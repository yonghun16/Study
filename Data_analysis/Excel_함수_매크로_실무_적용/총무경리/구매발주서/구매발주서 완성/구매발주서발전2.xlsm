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함수매크로실무적용예제\총무경리\구매발주서 완성\"/>
    </mc:Choice>
  </mc:AlternateContent>
  <xr:revisionPtr revIDLastSave="0" documentId="13_ncr:1_{97EAEE1E-7D27-4305-9952-4EBBB4690EBA}" xr6:coauthVersionLast="47" xr6:coauthVersionMax="47" xr10:uidLastSave="{00000000-0000-0000-0000-000000000000}"/>
  <bookViews>
    <workbookView xWindow="-120" yWindow="-120" windowWidth="24240" windowHeight="13140" activeTab="2" xr2:uid="{00000000-000D-0000-FFFF-FFFF00000000}"/>
  </bookViews>
  <sheets>
    <sheet name="구매처등록" sheetId="3" r:id="rId1"/>
    <sheet name="구매발주대장" sheetId="2" r:id="rId2"/>
    <sheet name="구매발주서" sheetId="1" r:id="rId3"/>
  </sheets>
  <definedNames>
    <definedName name="_xlnm._FilterDatabase" localSheetId="1" hidden="1">구매발주대장!$A$4:$H$39</definedName>
    <definedName name="_xlnm.Criteria" localSheetId="1">구매발주대장!$J$4:$K$5</definedName>
    <definedName name="_xlnm.Extract" localSheetId="1">구매발주대장!$J$7:$N$7</definedName>
    <definedName name="구매처">OFFSET(구매처등록!$A$2,1,0,COUNTA(구매처등록!$A:$A)-1,1)</definedName>
    <definedName name="구매처목록">OFFSET(구매발주대장!$Q$7,1,0,32-(COUNTIF(구매발주대장!$Q$8:$Q$39,"#N/A")+1),1)</definedName>
    <definedName name="동신물산">구매처등록!$C$4:$C$6</definedName>
    <definedName name="동신물산표">구매처등록!$C$4:$E$6</definedName>
    <definedName name="목록표">구매발주대장!$A$4:$H$39</definedName>
    <definedName name="발주일자목록">OFFSET(구매발주대장!K1,1,0,COUNT(구매발주대장!$P$8:$P$39)-1,1)</definedName>
    <definedName name="복사표">구매발주대장!$J$7:$N$7</definedName>
    <definedName name="성진교역">구매처등록!$K$4:$K$5</definedName>
    <definedName name="성진교역표">구매처등록!$K$4:$M$5</definedName>
    <definedName name="아주상사">구매처등록!$G$4:$G$5</definedName>
    <definedName name="아주상사표">구매처등록!$G$4:$I$5</definedName>
    <definedName name="조건표">구매발주대장!$J$4:$K$5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" i="2" l="1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Q8" i="2" a="1"/>
  <c r="Q8" i="2" s="1"/>
  <c r="P8" i="2" a="1"/>
  <c r="P8" i="2" s="1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AB17" i="1"/>
  <c r="AC17" i="1"/>
  <c r="AD17" i="1"/>
  <c r="AE17" i="1"/>
  <c r="AF17" i="1"/>
  <c r="AG17" i="1"/>
  <c r="AH17" i="1"/>
  <c r="AI17" i="1"/>
  <c r="AJ17" i="1"/>
  <c r="AB18" i="1"/>
  <c r="AC18" i="1"/>
  <c r="AD18" i="1"/>
  <c r="AE18" i="1"/>
  <c r="AF18" i="1"/>
  <c r="AG18" i="1"/>
  <c r="AH18" i="1"/>
  <c r="AI18" i="1"/>
  <c r="AJ18" i="1"/>
  <c r="AB19" i="1"/>
  <c r="AC19" i="1"/>
  <c r="AD19" i="1"/>
  <c r="AE19" i="1"/>
  <c r="AF19" i="1"/>
  <c r="AG19" i="1"/>
  <c r="AH19" i="1"/>
  <c r="AI19" i="1"/>
  <c r="AJ19" i="1"/>
  <c r="AB20" i="1"/>
  <c r="AC20" i="1"/>
  <c r="AD20" i="1"/>
  <c r="AE20" i="1"/>
  <c r="AF20" i="1"/>
  <c r="AG20" i="1"/>
  <c r="AH20" i="1"/>
  <c r="AI20" i="1"/>
  <c r="AJ20" i="1"/>
  <c r="AB21" i="1"/>
  <c r="AC21" i="1"/>
  <c r="AD21" i="1"/>
  <c r="AE21" i="1"/>
  <c r="AF21" i="1"/>
  <c r="AG21" i="1"/>
  <c r="AH21" i="1"/>
  <c r="AI21" i="1"/>
  <c r="AJ21" i="1"/>
  <c r="AB22" i="1"/>
  <c r="AC22" i="1"/>
  <c r="AD22" i="1"/>
  <c r="AE22" i="1"/>
  <c r="AF22" i="1"/>
  <c r="AG22" i="1"/>
  <c r="AH22" i="1"/>
  <c r="AI22" i="1"/>
  <c r="AJ22" i="1"/>
  <c r="AB23" i="1"/>
  <c r="AC23" i="1"/>
  <c r="AD23" i="1"/>
  <c r="AE23" i="1"/>
  <c r="AF23" i="1"/>
  <c r="AG23" i="1"/>
  <c r="AH23" i="1"/>
  <c r="AI23" i="1"/>
  <c r="AJ23" i="1"/>
  <c r="AB24" i="1"/>
  <c r="AC24" i="1"/>
  <c r="AD24" i="1"/>
  <c r="AE24" i="1"/>
  <c r="AF24" i="1"/>
  <c r="AG24" i="1"/>
  <c r="AH24" i="1"/>
  <c r="AI24" i="1"/>
  <c r="AJ24" i="1"/>
  <c r="AB25" i="1"/>
  <c r="AC25" i="1"/>
  <c r="AD25" i="1"/>
  <c r="AE25" i="1"/>
  <c r="AF25" i="1"/>
  <c r="AG25" i="1"/>
  <c r="AH25" i="1"/>
  <c r="AI25" i="1"/>
  <c r="AJ25" i="1"/>
  <c r="AB26" i="1"/>
  <c r="AC26" i="1"/>
  <c r="AD26" i="1"/>
  <c r="AE26" i="1"/>
  <c r="AF26" i="1"/>
  <c r="AG26" i="1"/>
  <c r="AH26" i="1"/>
  <c r="AI26" i="1"/>
  <c r="AJ26" i="1"/>
  <c r="AB27" i="1"/>
  <c r="AC27" i="1"/>
  <c r="AD27" i="1"/>
  <c r="AE27" i="1"/>
  <c r="AF27" i="1"/>
  <c r="AG27" i="1"/>
  <c r="AH27" i="1"/>
  <c r="AI27" i="1"/>
  <c r="AJ27" i="1"/>
  <c r="AB28" i="1"/>
  <c r="AC28" i="1"/>
  <c r="AD28" i="1"/>
  <c r="AE28" i="1"/>
  <c r="AF28" i="1"/>
  <c r="AG28" i="1"/>
  <c r="AH28" i="1"/>
  <c r="AI28" i="1"/>
  <c r="AJ28" i="1"/>
  <c r="AB29" i="1"/>
  <c r="AC29" i="1"/>
  <c r="AD29" i="1"/>
  <c r="AE29" i="1"/>
  <c r="AF29" i="1"/>
  <c r="AG29" i="1"/>
  <c r="AH29" i="1"/>
  <c r="AI29" i="1"/>
  <c r="AJ29" i="1"/>
  <c r="AB30" i="1"/>
  <c r="AC30" i="1"/>
  <c r="AD30" i="1"/>
  <c r="AE30" i="1"/>
  <c r="AF30" i="1"/>
  <c r="AG30" i="1"/>
  <c r="AH30" i="1"/>
  <c r="AI30" i="1"/>
  <c r="AJ30" i="1"/>
  <c r="AB31" i="1"/>
  <c r="AC31" i="1"/>
  <c r="AD31" i="1"/>
  <c r="AE31" i="1"/>
  <c r="AF31" i="1"/>
  <c r="AG31" i="1"/>
  <c r="AH31" i="1"/>
  <c r="AI31" i="1"/>
  <c r="AJ31" i="1"/>
  <c r="AB32" i="1"/>
  <c r="AC32" i="1"/>
  <c r="AD32" i="1"/>
  <c r="AE32" i="1"/>
  <c r="AF32" i="1"/>
  <c r="AG32" i="1"/>
  <c r="AH32" i="1"/>
  <c r="AI32" i="1"/>
  <c r="AJ32" i="1"/>
  <c r="AB33" i="1"/>
  <c r="AC33" i="1"/>
  <c r="AD33" i="1"/>
  <c r="AE33" i="1"/>
  <c r="AF33" i="1"/>
  <c r="AG33" i="1"/>
  <c r="AH33" i="1"/>
  <c r="AI33" i="1"/>
  <c r="AJ33" i="1"/>
  <c r="AB34" i="1"/>
  <c r="AC34" i="1"/>
  <c r="AD34" i="1"/>
  <c r="AE34" i="1"/>
  <c r="AF34" i="1"/>
  <c r="AG34" i="1"/>
  <c r="AH34" i="1"/>
  <c r="AI34" i="1"/>
  <c r="AJ34" i="1"/>
  <c r="AB35" i="1"/>
  <c r="AC35" i="1"/>
  <c r="AD35" i="1"/>
  <c r="AE35" i="1"/>
  <c r="AF35" i="1"/>
  <c r="AG35" i="1"/>
  <c r="AH35" i="1"/>
  <c r="AI35" i="1"/>
  <c r="AJ35" i="1"/>
  <c r="AC16" i="1"/>
  <c r="AD16" i="1"/>
  <c r="AE16" i="1"/>
  <c r="AF16" i="1"/>
  <c r="AG16" i="1"/>
  <c r="AH16" i="1"/>
  <c r="AI16" i="1"/>
  <c r="AJ16" i="1"/>
  <c r="AB16" i="1"/>
  <c r="F8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U16" i="1"/>
  <c r="R16" i="1"/>
  <c r="N16" i="1"/>
  <c r="D16" i="1"/>
  <c r="K5" i="2"/>
  <c r="J5" i="2"/>
  <c r="G9" i="2"/>
  <c r="E7" i="2"/>
  <c r="E8" i="2"/>
  <c r="E10" i="2"/>
  <c r="G13" i="2"/>
  <c r="E11" i="2"/>
  <c r="G12" i="2"/>
  <c r="G6" i="2"/>
  <c r="E12" i="2"/>
  <c r="E5" i="2"/>
  <c r="E13" i="2"/>
  <c r="G10" i="2"/>
  <c r="E6" i="2"/>
  <c r="G5" i="2"/>
  <c r="G11" i="2"/>
  <c r="E9" i="2"/>
  <c r="G7" i="2"/>
  <c r="G8" i="2"/>
  <c r="H13" i="2" l="1"/>
  <c r="H9" i="2"/>
  <c r="H5" i="2"/>
  <c r="H12" i="2"/>
  <c r="H8" i="2"/>
  <c r="H11" i="2"/>
  <c r="H7" i="2"/>
  <c r="H10" i="2"/>
  <c r="H6" i="2"/>
  <c r="Q9" i="2" a="1"/>
  <c r="Q9" i="2" s="1"/>
  <c r="Q10" i="2" s="1" a="1"/>
  <c r="Q10" i="2" s="1"/>
  <c r="P9" i="2" a="1"/>
  <c r="P9" i="2" s="1"/>
  <c r="P10" i="2" s="1" a="1"/>
  <c r="P10" i="2" s="1"/>
  <c r="P11" i="2" l="1" a="1"/>
  <c r="P11" i="2" s="1"/>
  <c r="Q11" i="2" a="1"/>
  <c r="Q11" i="2" s="1"/>
  <c r="Q12" i="2" l="1" a="1"/>
  <c r="Q12" i="2" s="1"/>
  <c r="P12" i="2" a="1"/>
  <c r="P12" i="2" s="1"/>
  <c r="P13" i="2" l="1" a="1"/>
  <c r="P13" i="2" s="1"/>
  <c r="P14" i="2" s="1" a="1"/>
  <c r="P14" i="2" s="1"/>
  <c r="Q13" i="2" a="1"/>
  <c r="Q13" i="2" s="1"/>
  <c r="Q14" i="2" l="1" a="1"/>
  <c r="Q14" i="2" s="1"/>
  <c r="P15" i="2" a="1"/>
  <c r="P15" i="2" s="1"/>
  <c r="P16" i="2" s="1" a="1"/>
  <c r="P16" i="2" s="1"/>
  <c r="P17" i="2" s="1" a="1"/>
  <c r="P17" i="2" s="1"/>
  <c r="P18" i="2" s="1" a="1"/>
  <c r="P18" i="2" s="1"/>
  <c r="Q15" i="2" l="1" a="1"/>
  <c r="Q15" i="2" s="1"/>
  <c r="P19" i="2" a="1"/>
  <c r="P19" i="2" s="1"/>
  <c r="P20" i="2" s="1" a="1"/>
  <c r="P20" i="2" s="1"/>
  <c r="P21" i="2" s="1" a="1"/>
  <c r="P21" i="2" s="1"/>
  <c r="P22" i="2" s="1" a="1"/>
  <c r="P22" i="2" s="1"/>
  <c r="P23" i="2" s="1" a="1"/>
  <c r="P23" i="2" s="1"/>
  <c r="P24" i="2" s="1" a="1"/>
  <c r="P24" i="2" s="1"/>
  <c r="P25" i="2" s="1" a="1"/>
  <c r="P25" i="2" s="1"/>
  <c r="P26" i="2" s="1" a="1"/>
  <c r="P26" i="2" s="1"/>
  <c r="P27" i="2" s="1" a="1"/>
  <c r="P27" i="2" s="1"/>
  <c r="P28" i="2" s="1" a="1"/>
  <c r="P28" i="2" s="1"/>
  <c r="P29" i="2" s="1" a="1"/>
  <c r="P29" i="2" s="1"/>
  <c r="P30" i="2" s="1" a="1"/>
  <c r="P30" i="2" s="1"/>
  <c r="P31" i="2" s="1" a="1"/>
  <c r="P31" i="2" s="1"/>
  <c r="P32" i="2" s="1" a="1"/>
  <c r="P32" i="2" s="1"/>
  <c r="P33" i="2" s="1" a="1"/>
  <c r="P33" i="2" s="1"/>
  <c r="P34" i="2" s="1" a="1"/>
  <c r="P34" i="2" s="1"/>
  <c r="P35" i="2" s="1" a="1"/>
  <c r="P35" i="2" s="1"/>
  <c r="P36" i="2" s="1" a="1"/>
  <c r="P36" i="2" s="1"/>
  <c r="P37" i="2" s="1" a="1"/>
  <c r="P37" i="2" s="1"/>
  <c r="P38" i="2" s="1" a="1"/>
  <c r="P38" i="2" s="1"/>
  <c r="P39" i="2" s="1" a="1"/>
  <c r="P39" i="2" s="1"/>
  <c r="Q16" i="2" l="1" a="1"/>
  <c r="Q16" i="2" s="1"/>
  <c r="Q17" i="2" s="1" a="1"/>
  <c r="Q17" i="2" s="1"/>
  <c r="Q18" i="2" s="1" a="1"/>
  <c r="Q18" i="2" s="1"/>
  <c r="Q19" i="2" s="1" a="1"/>
  <c r="Q19" i="2" s="1"/>
  <c r="Q20" i="2" s="1" a="1"/>
  <c r="Q20" i="2" s="1"/>
  <c r="Q21" i="2" s="1" a="1"/>
  <c r="Q21" i="2" s="1"/>
  <c r="Q22" i="2" s="1" a="1"/>
  <c r="Q22" i="2" s="1"/>
  <c r="Q23" i="2" s="1" a="1"/>
  <c r="Q23" i="2" s="1"/>
  <c r="Q24" i="2" s="1" a="1"/>
  <c r="Q24" i="2" s="1"/>
  <c r="Q25" i="2" s="1" a="1"/>
  <c r="Q25" i="2" s="1"/>
  <c r="Q26" i="2" s="1" a="1"/>
  <c r="Q26" i="2" s="1"/>
  <c r="Q27" i="2" s="1" a="1"/>
  <c r="Q27" i="2" s="1"/>
  <c r="Q28" i="2" s="1" a="1"/>
  <c r="Q28" i="2" s="1"/>
  <c r="Q29" i="2" s="1" a="1"/>
  <c r="Q29" i="2" s="1"/>
  <c r="Q30" i="2" s="1" a="1"/>
  <c r="Q30" i="2" s="1"/>
  <c r="Q31" i="2" s="1" a="1"/>
  <c r="Q31" i="2" s="1"/>
  <c r="Q32" i="2" s="1" a="1"/>
  <c r="Q32" i="2" s="1"/>
  <c r="Q33" i="2" s="1" a="1"/>
  <c r="Q33" i="2" s="1"/>
  <c r="Q34" i="2" s="1" a="1"/>
  <c r="Q34" i="2" s="1"/>
  <c r="Q35" i="2" s="1" a="1"/>
  <c r="Q35" i="2" s="1"/>
  <c r="Q36" i="2" s="1" a="1"/>
  <c r="Q36" i="2" s="1"/>
  <c r="Q37" i="2" l="1" a="1"/>
  <c r="Q37" i="2" s="1"/>
  <c r="Q38" i="2" s="1" a="1"/>
  <c r="Q38" i="2" s="1"/>
  <c r="Q39" i="2" s="1" a="1"/>
  <c r="Q39" i="2" s="1"/>
</calcChain>
</file>

<file path=xl/sharedStrings.xml><?xml version="1.0" encoding="utf-8"?>
<sst xmlns="http://schemas.openxmlformats.org/spreadsheetml/2006/main" count="87" uniqueCount="66">
  <si>
    <t>결  재</t>
    <phoneticPr fontId="4" type="noConversion"/>
  </si>
  <si>
    <t>대리</t>
    <phoneticPr fontId="4" type="noConversion"/>
  </si>
  <si>
    <t>과장</t>
    <phoneticPr fontId="4" type="noConversion"/>
  </si>
  <si>
    <t>대표이사</t>
    <phoneticPr fontId="4" type="noConversion"/>
  </si>
  <si>
    <t>발주처</t>
    <phoneticPr fontId="4" type="noConversion"/>
  </si>
  <si>
    <t>주   소</t>
    <phoneticPr fontId="4" type="noConversion"/>
  </si>
  <si>
    <t>전화번호</t>
    <phoneticPr fontId="4" type="noConversion"/>
  </si>
  <si>
    <t>품  번</t>
    <phoneticPr fontId="4" type="noConversion"/>
  </si>
  <si>
    <t>품  명</t>
    <phoneticPr fontId="4" type="noConversion"/>
  </si>
  <si>
    <t>규  격</t>
    <phoneticPr fontId="4" type="noConversion"/>
  </si>
  <si>
    <t>수  량</t>
    <phoneticPr fontId="4" type="noConversion"/>
  </si>
  <si>
    <t>단  가</t>
    <phoneticPr fontId="4" type="noConversion"/>
  </si>
  <si>
    <t>구  매  발  주  서</t>
    <phoneticPr fontId="4" type="noConversion"/>
  </si>
  <si>
    <t>담당자</t>
    <phoneticPr fontId="4" type="noConversion"/>
  </si>
  <si>
    <t>구매처</t>
    <phoneticPr fontId="3" type="noConversion"/>
  </si>
  <si>
    <t>품명</t>
    <phoneticPr fontId="3" type="noConversion"/>
  </si>
  <si>
    <t>규격</t>
    <phoneticPr fontId="3" type="noConversion"/>
  </si>
  <si>
    <t>수량</t>
    <phoneticPr fontId="3" type="noConversion"/>
  </si>
  <si>
    <t>단가</t>
    <phoneticPr fontId="3" type="noConversion"/>
  </si>
  <si>
    <t>구매 발주 대장</t>
    <phoneticPr fontId="3" type="noConversion"/>
  </si>
  <si>
    <t>동신물산</t>
    <phoneticPr fontId="3" type="noConversion"/>
  </si>
  <si>
    <t>번호</t>
    <phoneticPr fontId="3" type="noConversion"/>
  </si>
  <si>
    <t>담당</t>
    <phoneticPr fontId="3" type="noConversion"/>
  </si>
  <si>
    <t>발주일자</t>
    <phoneticPr fontId="3" type="noConversion"/>
  </si>
  <si>
    <t>귀중</t>
    <phoneticPr fontId="3" type="noConversion"/>
  </si>
  <si>
    <t>발주일자</t>
    <phoneticPr fontId="4" type="noConversion"/>
  </si>
  <si>
    <t>도서출판 아울미디어</t>
    <phoneticPr fontId="3" type="noConversion"/>
  </si>
  <si>
    <t>이정진</t>
    <phoneticPr fontId="3" type="noConversion"/>
  </si>
  <si>
    <t>02-325-0838</t>
    <phoneticPr fontId="3" type="noConversion"/>
  </si>
  <si>
    <t>서울시 마포구 연남동 562-25</t>
    <phoneticPr fontId="3" type="noConversion"/>
  </si>
  <si>
    <t>키보드</t>
    <phoneticPr fontId="3" type="noConversion"/>
  </si>
  <si>
    <t>동신물산</t>
    <phoneticPr fontId="3" type="noConversion"/>
  </si>
  <si>
    <t>아주상사</t>
    <phoneticPr fontId="3" type="noConversion"/>
  </si>
  <si>
    <t>성진교역</t>
    <phoneticPr fontId="3" type="noConversion"/>
  </si>
  <si>
    <t>동신물산</t>
    <phoneticPr fontId="3" type="noConversion"/>
  </si>
  <si>
    <t>금액(세액)</t>
    <phoneticPr fontId="3" type="noConversion"/>
  </si>
  <si>
    <t>발주총액</t>
    <phoneticPr fontId="4" type="noConversion"/>
  </si>
  <si>
    <t>금  액(세액)</t>
    <phoneticPr fontId="4" type="noConversion"/>
  </si>
  <si>
    <t>발주일자목록</t>
    <phoneticPr fontId="3" type="noConversion"/>
  </si>
  <si>
    <t>구매처목록</t>
    <phoneticPr fontId="3" type="noConversion"/>
  </si>
  <si>
    <t>아주상사</t>
    <phoneticPr fontId="3" type="noConversion"/>
  </si>
  <si>
    <t>성진교역</t>
    <phoneticPr fontId="3" type="noConversion"/>
  </si>
  <si>
    <t>마우스</t>
    <phoneticPr fontId="3" type="noConversion"/>
  </si>
  <si>
    <t>A4</t>
    <phoneticPr fontId="3" type="noConversion"/>
  </si>
  <si>
    <t>품명</t>
    <phoneticPr fontId="3" type="noConversion"/>
  </si>
  <si>
    <t>규격</t>
    <phoneticPr fontId="3" type="noConversion"/>
  </si>
  <si>
    <t>단가</t>
    <phoneticPr fontId="3" type="noConversion"/>
  </si>
  <si>
    <t>모니터-A</t>
    <phoneticPr fontId="3" type="noConversion"/>
  </si>
  <si>
    <t>모니터-B</t>
    <phoneticPr fontId="3" type="noConversion"/>
  </si>
  <si>
    <t>동신물산</t>
  </si>
  <si>
    <t>스피커</t>
    <phoneticPr fontId="3" type="noConversion"/>
  </si>
  <si>
    <t>A4복사용지</t>
  </si>
  <si>
    <t>A4복사용지</t>
    <phoneticPr fontId="3" type="noConversion"/>
  </si>
  <si>
    <t>아주상사</t>
  </si>
  <si>
    <t>구매처</t>
    <phoneticPr fontId="3" type="noConversion"/>
  </si>
  <si>
    <t>동신물산</t>
    <phoneticPr fontId="3" type="noConversion"/>
  </si>
  <si>
    <t>아주상사</t>
    <phoneticPr fontId="3" type="noConversion"/>
  </si>
  <si>
    <t>성진교역</t>
    <phoneticPr fontId="3" type="noConversion"/>
  </si>
  <si>
    <t>마우스</t>
  </si>
  <si>
    <t>키보드</t>
  </si>
  <si>
    <t>포토용지</t>
  </si>
  <si>
    <t>모니터-A</t>
  </si>
  <si>
    <t>모니터-B</t>
  </si>
  <si>
    <t>스피커</t>
  </si>
  <si>
    <t>포토용지</t>
    <phoneticPr fontId="3" type="noConversion"/>
  </si>
  <si>
    <t>B5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</si>
</sst>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&quot;₩&quot;#,##0"/>
    <numFmt numFmtId="177" formatCode="#,###\ "/>
    <numFmt numFmtId="178" formatCode="yy/mm/dd"/>
    <numFmt numFmtId="179" formatCode="General;;General"/>
  </numFmts>
  <fonts count="11" x14ac:knownFonts="1">
    <font>
      <sz val="10"/>
      <name val="Arial Narrow"/>
      <family val="2"/>
    </font>
    <font>
      <sz val="10"/>
      <name val="Arial Narrow"/>
      <family val="2"/>
    </font>
    <font>
      <b/>
      <sz val="18"/>
      <name val="굴림"/>
      <family val="3"/>
      <charset val="129"/>
    </font>
    <font>
      <sz val="8"/>
      <name val="돋움"/>
      <family val="3"/>
      <charset val="129"/>
    </font>
    <font>
      <sz val="8"/>
      <name val="굴림"/>
      <family val="3"/>
      <charset val="129"/>
    </font>
    <font>
      <b/>
      <sz val="10"/>
      <name val="굴림"/>
      <family val="3"/>
      <charset val="129"/>
    </font>
    <font>
      <sz val="10"/>
      <name val="굴림"/>
      <family val="3"/>
      <charset val="129"/>
    </font>
    <font>
      <sz val="11"/>
      <name val="굴림"/>
      <family val="3"/>
      <charset val="129"/>
    </font>
    <font>
      <b/>
      <sz val="11"/>
      <name val="굴림"/>
      <family val="3"/>
      <charset val="129"/>
    </font>
    <font>
      <b/>
      <sz val="11"/>
      <color rgb="FF000000"/>
      <name val="돋움"/>
      <family val="3"/>
      <charset val="129"/>
    </font>
    <font>
      <b/>
      <sz val="11"/>
      <color rgb="FF000000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15">
    <xf numFmtId="0" fontId="0" fillId="0" borderId="0" xfId="0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41" fontId="6" fillId="0" borderId="2" xfId="0" applyNumberFormat="1" applyFont="1" applyBorder="1" applyAlignment="1" applyProtection="1">
      <alignment vertical="center" shrinkToFit="1"/>
      <protection hidden="1"/>
    </xf>
    <xf numFmtId="178" fontId="7" fillId="0" borderId="0" xfId="0" applyNumberFormat="1" applyFont="1" applyAlignment="1" applyProtection="1">
      <alignment horizontal="center" vertical="center" shrinkToFit="1"/>
      <protection hidden="1"/>
    </xf>
    <xf numFmtId="0" fontId="7" fillId="0" borderId="0" xfId="0" applyFont="1" applyAlignment="1" applyProtection="1">
      <alignment horizontal="center" vertical="center" shrinkToFit="1"/>
      <protection hidden="1"/>
    </xf>
    <xf numFmtId="0" fontId="7" fillId="0" borderId="0" xfId="0" applyFont="1" applyAlignment="1" applyProtection="1">
      <alignment vertical="center" shrinkToFit="1"/>
      <protection hidden="1"/>
    </xf>
    <xf numFmtId="178" fontId="8" fillId="2" borderId="3" xfId="0" applyNumberFormat="1" applyFont="1" applyFill="1" applyBorder="1" applyAlignment="1" applyProtection="1">
      <alignment horizontal="center" vertical="center" shrinkToFit="1"/>
      <protection hidden="1"/>
    </xf>
    <xf numFmtId="0" fontId="8" fillId="2" borderId="3" xfId="0" applyFont="1" applyFill="1" applyBorder="1" applyAlignment="1" applyProtection="1">
      <alignment horizontal="center" vertical="center" shrinkToFit="1"/>
      <protection hidden="1"/>
    </xf>
    <xf numFmtId="0" fontId="7" fillId="0" borderId="0" xfId="0" applyFont="1" applyFill="1" applyAlignment="1" applyProtection="1">
      <alignment vertical="center" shrinkToFit="1"/>
      <protection hidden="1"/>
    </xf>
    <xf numFmtId="178" fontId="7" fillId="0" borderId="4" xfId="0" applyNumberFormat="1" applyFont="1" applyFill="1" applyBorder="1" applyAlignment="1" applyProtection="1">
      <alignment horizontal="center" vertical="center" shrinkToFit="1"/>
      <protection hidden="1"/>
    </xf>
    <xf numFmtId="0" fontId="7" fillId="0" borderId="4" xfId="0" applyFont="1" applyFill="1" applyBorder="1" applyAlignment="1" applyProtection="1">
      <alignment horizontal="center" vertical="center" shrinkToFit="1"/>
      <protection hidden="1"/>
    </xf>
    <xf numFmtId="178" fontId="7" fillId="0" borderId="0" xfId="0" applyNumberFormat="1" applyFont="1" applyFill="1" applyAlignment="1" applyProtection="1">
      <alignment horizontal="center" vertical="center" shrinkToFit="1"/>
      <protection hidden="1"/>
    </xf>
    <xf numFmtId="0" fontId="7" fillId="0" borderId="0" xfId="0" applyFont="1" applyFill="1" applyAlignment="1" applyProtection="1">
      <alignment horizontal="center" vertical="center" shrinkToFit="1"/>
      <protection hidden="1"/>
    </xf>
    <xf numFmtId="0" fontId="8" fillId="2" borderId="5" xfId="0" applyFont="1" applyFill="1" applyBorder="1" applyAlignment="1" applyProtection="1">
      <alignment horizontal="center" vertical="center" shrinkToFit="1"/>
      <protection hidden="1"/>
    </xf>
    <xf numFmtId="41" fontId="8" fillId="2" borderId="5" xfId="0" applyNumberFormat="1" applyFont="1" applyFill="1" applyBorder="1" applyAlignment="1" applyProtection="1">
      <alignment horizontal="center" vertical="center" shrinkToFit="1"/>
      <protection hidden="1"/>
    </xf>
    <xf numFmtId="0" fontId="6" fillId="0" borderId="4" xfId="0" applyFont="1" applyBorder="1" applyAlignment="1" applyProtection="1">
      <alignment vertical="center" shrinkToFit="1"/>
      <protection hidden="1"/>
    </xf>
    <xf numFmtId="0" fontId="6" fillId="0" borderId="4" xfId="0" applyFont="1" applyBorder="1" applyAlignment="1" applyProtection="1">
      <alignment horizontal="center" vertical="center" shrinkToFit="1"/>
      <protection hidden="1"/>
    </xf>
    <xf numFmtId="41" fontId="6" fillId="0" borderId="4" xfId="0" applyNumberFormat="1" applyFont="1" applyBorder="1" applyAlignment="1" applyProtection="1">
      <alignment vertical="center" shrinkToFit="1"/>
      <protection hidden="1"/>
    </xf>
    <xf numFmtId="0" fontId="6" fillId="0" borderId="4" xfId="0" applyFont="1" applyFill="1" applyBorder="1" applyAlignment="1" applyProtection="1">
      <alignment vertical="center" shrinkToFit="1"/>
      <protection hidden="1"/>
    </xf>
    <xf numFmtId="0" fontId="6" fillId="0" borderId="4" xfId="0" applyFont="1" applyFill="1" applyBorder="1" applyAlignment="1" applyProtection="1">
      <alignment horizontal="center" vertical="center" shrinkToFit="1"/>
      <protection hidden="1"/>
    </xf>
    <xf numFmtId="41" fontId="6" fillId="0" borderId="4" xfId="0" applyNumberFormat="1" applyFont="1" applyFill="1" applyBorder="1" applyAlignment="1" applyProtection="1">
      <alignment vertical="center" shrinkToFit="1"/>
      <protection hidden="1"/>
    </xf>
    <xf numFmtId="41" fontId="6" fillId="0" borderId="6" xfId="0" applyNumberFormat="1" applyFont="1" applyFill="1" applyBorder="1" applyAlignment="1" applyProtection="1">
      <alignment vertical="center" shrinkToFit="1"/>
      <protection hidden="1"/>
    </xf>
    <xf numFmtId="0" fontId="7" fillId="0" borderId="4" xfId="0" applyFont="1" applyFill="1" applyBorder="1" applyAlignment="1" applyProtection="1">
      <alignment vertical="center" shrinkToFit="1"/>
      <protection hidden="1"/>
    </xf>
    <xf numFmtId="0" fontId="7" fillId="0" borderId="0" xfId="0" applyFont="1" applyAlignment="1" applyProtection="1">
      <alignment vertical="center" shrinkToFit="1"/>
      <protection locked="0"/>
    </xf>
    <xf numFmtId="178" fontId="7" fillId="0" borderId="0" xfId="0" applyNumberFormat="1" applyFont="1" applyAlignment="1" applyProtection="1">
      <alignment horizontal="center" vertical="center" shrinkToFit="1"/>
      <protection locked="0"/>
    </xf>
    <xf numFmtId="0" fontId="7" fillId="0" borderId="0" xfId="0" applyFont="1" applyAlignment="1" applyProtection="1">
      <alignment horizontal="center" vertical="center" shrinkToFit="1"/>
      <protection locked="0"/>
    </xf>
    <xf numFmtId="0" fontId="8" fillId="0" borderId="7" xfId="0" applyFont="1" applyBorder="1" applyAlignment="1" applyProtection="1">
      <alignment horizontal="center" vertical="center" shrinkToFit="1"/>
      <protection locked="0"/>
    </xf>
    <xf numFmtId="178" fontId="8" fillId="0" borderId="5" xfId="0" applyNumberFormat="1" applyFont="1" applyBorder="1" applyAlignment="1" applyProtection="1">
      <alignment horizontal="center" vertical="center" shrinkToFit="1"/>
      <protection locked="0"/>
    </xf>
    <xf numFmtId="0" fontId="8" fillId="0" borderId="5" xfId="0" applyFont="1" applyBorder="1" applyAlignment="1" applyProtection="1">
      <alignment horizontal="center" vertical="center" shrinkToFit="1"/>
      <protection locked="0"/>
    </xf>
    <xf numFmtId="41" fontId="8" fillId="0" borderId="5" xfId="0" applyNumberFormat="1" applyFont="1" applyBorder="1" applyAlignment="1" applyProtection="1">
      <alignment horizontal="center" vertical="center" shrinkToFit="1"/>
      <protection locked="0"/>
    </xf>
    <xf numFmtId="0" fontId="6" fillId="0" borderId="8" xfId="0" applyFont="1" applyBorder="1" applyAlignment="1" applyProtection="1">
      <alignment horizontal="center" vertical="center" shrinkToFit="1"/>
      <protection locked="0"/>
    </xf>
    <xf numFmtId="0" fontId="6" fillId="0" borderId="6" xfId="0" applyFont="1" applyBorder="1" applyAlignment="1" applyProtection="1">
      <alignment vertical="center" shrinkToFit="1"/>
      <protection locked="0"/>
    </xf>
    <xf numFmtId="41" fontId="6" fillId="0" borderId="6" xfId="0" applyNumberFormat="1" applyFont="1" applyBorder="1" applyAlignment="1" applyProtection="1">
      <alignment vertical="center" shrinkToFit="1"/>
      <protection locked="0"/>
    </xf>
    <xf numFmtId="0" fontId="6" fillId="0" borderId="9" xfId="0" applyFont="1" applyBorder="1" applyAlignment="1" applyProtection="1">
      <alignment horizontal="center" vertical="center" shrinkToFit="1"/>
      <protection locked="0"/>
    </xf>
    <xf numFmtId="0" fontId="6" fillId="0" borderId="4" xfId="0" applyFont="1" applyBorder="1" applyAlignment="1" applyProtection="1">
      <alignment vertical="center" shrinkToFit="1"/>
      <protection locked="0"/>
    </xf>
    <xf numFmtId="41" fontId="7" fillId="0" borderId="0" xfId="0" applyNumberFormat="1" applyFont="1" applyAlignment="1" applyProtection="1">
      <alignment vertical="center" shrinkToFit="1"/>
      <protection locked="0"/>
    </xf>
    <xf numFmtId="0" fontId="2" fillId="0" borderId="0" xfId="0" applyFont="1" applyAlignment="1" applyProtection="1">
      <alignment horizontal="centerContinuous" vertical="center" shrinkToFit="1"/>
      <protection locked="0"/>
    </xf>
    <xf numFmtId="0" fontId="2" fillId="0" borderId="10" xfId="0" applyFont="1" applyBorder="1" applyAlignment="1" applyProtection="1">
      <alignment horizontal="centerContinuous" vertical="center" shrinkToFit="1"/>
      <protection locked="0"/>
    </xf>
    <xf numFmtId="41" fontId="7" fillId="0" borderId="0" xfId="0" applyNumberFormat="1" applyFont="1" applyAlignment="1" applyProtection="1">
      <alignment vertical="center" shrinkToFit="1"/>
      <protection hidden="1"/>
    </xf>
    <xf numFmtId="0" fontId="2" fillId="0" borderId="0" xfId="0" applyFont="1" applyAlignment="1" applyProtection="1">
      <alignment horizontal="centerContinuous" vertical="center" shrinkToFit="1"/>
      <protection hidden="1"/>
    </xf>
    <xf numFmtId="0" fontId="2" fillId="0" borderId="10" xfId="0" applyFont="1" applyBorder="1" applyAlignment="1" applyProtection="1">
      <alignment horizontal="centerContinuous" vertical="center" shrinkToFit="1"/>
      <protection hidden="1"/>
    </xf>
    <xf numFmtId="41" fontId="8" fillId="0" borderId="11" xfId="0" applyNumberFormat="1" applyFont="1" applyBorder="1" applyAlignment="1" applyProtection="1">
      <alignment horizontal="center" vertical="center"/>
      <protection hidden="1"/>
    </xf>
    <xf numFmtId="41" fontId="6" fillId="0" borderId="0" xfId="0" applyNumberFormat="1" applyFont="1" applyBorder="1" applyAlignment="1" applyProtection="1">
      <alignment vertical="center" shrinkToFit="1"/>
      <protection hidden="1"/>
    </xf>
    <xf numFmtId="41" fontId="6" fillId="0" borderId="0" xfId="0" applyNumberFormat="1" applyFont="1" applyFill="1" applyBorder="1" applyAlignment="1" applyProtection="1">
      <alignment vertical="center" shrinkToFit="1"/>
      <protection hidden="1"/>
    </xf>
    <xf numFmtId="0" fontId="7" fillId="0" borderId="0" xfId="0" applyFont="1" applyFill="1" applyBorder="1" applyAlignment="1" applyProtection="1">
      <alignment vertical="center" shrinkToFit="1"/>
      <protection hidden="1"/>
    </xf>
    <xf numFmtId="41" fontId="8" fillId="0" borderId="0" xfId="0" applyNumberFormat="1" applyFont="1" applyFill="1" applyBorder="1" applyAlignment="1" applyProtection="1">
      <alignment horizontal="center" vertical="center" shrinkToFit="1"/>
      <protection hidden="1"/>
    </xf>
    <xf numFmtId="41" fontId="6" fillId="0" borderId="6" xfId="0" applyNumberFormat="1" applyFont="1" applyBorder="1" applyAlignment="1" applyProtection="1">
      <alignment vertical="center" shrinkToFit="1"/>
      <protection hidden="1"/>
    </xf>
    <xf numFmtId="178" fontId="6" fillId="0" borderId="4" xfId="0" applyNumberFormat="1" applyFont="1" applyBorder="1" applyAlignment="1" applyProtection="1">
      <alignment horizontal="center" vertical="center" shrinkToFit="1"/>
      <protection hidden="1"/>
    </xf>
    <xf numFmtId="0" fontId="6" fillId="0" borderId="6" xfId="0" applyNumberFormat="1" applyFont="1" applyBorder="1" applyAlignment="1" applyProtection="1">
      <alignment horizontal="center" vertical="center" shrinkToFit="1"/>
      <protection hidden="1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shrinkToFit="1"/>
      <protection locked="0"/>
    </xf>
    <xf numFmtId="0" fontId="7" fillId="3" borderId="4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41" fontId="7" fillId="0" borderId="4" xfId="1" applyFont="1" applyBorder="1">
      <alignment vertical="center"/>
    </xf>
    <xf numFmtId="178" fontId="6" fillId="2" borderId="6" xfId="0" applyNumberFormat="1" applyFont="1" applyFill="1" applyBorder="1" applyAlignment="1" applyProtection="1">
      <alignment horizontal="center" vertical="center" shrinkToFit="1"/>
      <protection locked="0"/>
    </xf>
    <xf numFmtId="178" fontId="6" fillId="2" borderId="4" xfId="0" applyNumberFormat="1" applyFont="1" applyFill="1" applyBorder="1" applyAlignment="1" applyProtection="1">
      <alignment horizontal="center" vertical="center" shrinkToFit="1"/>
      <protection locked="0"/>
    </xf>
    <xf numFmtId="41" fontId="6" fillId="2" borderId="6" xfId="0" applyNumberFormat="1" applyFont="1" applyFill="1" applyBorder="1" applyAlignment="1" applyProtection="1">
      <alignment vertical="center" shrinkToFit="1"/>
      <protection locked="0"/>
    </xf>
    <xf numFmtId="41" fontId="6" fillId="2" borderId="4" xfId="0" applyNumberFormat="1" applyFont="1" applyFill="1" applyBorder="1" applyAlignment="1" applyProtection="1">
      <alignment vertical="center" shrinkToFit="1"/>
      <protection locked="0"/>
    </xf>
    <xf numFmtId="179" fontId="6" fillId="0" borderId="6" xfId="0" applyNumberFormat="1" applyFont="1" applyBorder="1" applyAlignment="1" applyProtection="1">
      <alignment horizontal="center" vertical="center" shrinkToFit="1"/>
      <protection locked="0"/>
    </xf>
    <xf numFmtId="0" fontId="6" fillId="0" borderId="12" xfId="0" applyFont="1" applyBorder="1" applyAlignment="1" applyProtection="1">
      <alignment horizontal="center" vertical="center" shrinkToFit="1"/>
      <protection locked="0"/>
    </xf>
    <xf numFmtId="178" fontId="6" fillId="2" borderId="13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13" xfId="0" applyFont="1" applyBorder="1" applyAlignment="1" applyProtection="1">
      <alignment vertical="center" shrinkToFit="1"/>
      <protection locked="0"/>
    </xf>
    <xf numFmtId="179" fontId="6" fillId="0" borderId="13" xfId="0" applyNumberFormat="1" applyFont="1" applyBorder="1" applyAlignment="1" applyProtection="1">
      <alignment horizontal="center" vertical="center" shrinkToFit="1"/>
      <protection locked="0"/>
    </xf>
    <xf numFmtId="41" fontId="6" fillId="2" borderId="13" xfId="0" applyNumberFormat="1" applyFont="1" applyFill="1" applyBorder="1" applyAlignment="1" applyProtection="1">
      <alignment vertical="center" shrinkToFit="1"/>
      <protection locked="0"/>
    </xf>
    <xf numFmtId="41" fontId="6" fillId="0" borderId="13" xfId="0" applyNumberFormat="1" applyFont="1" applyBorder="1" applyAlignment="1" applyProtection="1">
      <alignment vertical="center" shrinkToFit="1"/>
      <protection locked="0"/>
    </xf>
    <xf numFmtId="41" fontId="6" fillId="0" borderId="14" xfId="0" applyNumberFormat="1" applyFont="1" applyBorder="1" applyAlignment="1" applyProtection="1">
      <alignment vertical="center" shrinkToFit="1"/>
      <protection hidden="1"/>
    </xf>
    <xf numFmtId="0" fontId="6" fillId="0" borderId="6" xfId="0" applyFont="1" applyBorder="1" applyAlignment="1" applyProtection="1">
      <alignment vertical="center" shrinkToFit="1"/>
      <protection hidden="1"/>
    </xf>
    <xf numFmtId="179" fontId="6" fillId="0" borderId="6" xfId="0" applyNumberFormat="1" applyFont="1" applyBorder="1" applyAlignment="1" applyProtection="1">
      <alignment horizontal="center" vertical="center" shrinkToFit="1"/>
      <protection hidden="1"/>
    </xf>
    <xf numFmtId="41" fontId="6" fillId="2" borderId="4" xfId="0" applyNumberFormat="1" applyFont="1" applyFill="1" applyBorder="1" applyAlignment="1" applyProtection="1">
      <alignment vertical="center" shrinkToFit="1"/>
      <protection hidden="1"/>
    </xf>
    <xf numFmtId="0" fontId="8" fillId="3" borderId="15" xfId="0" applyFont="1" applyFill="1" applyBorder="1" applyAlignment="1">
      <alignment horizontal="center" vertical="center"/>
    </xf>
    <xf numFmtId="0" fontId="8" fillId="3" borderId="16" xfId="0" applyFont="1" applyFill="1" applyBorder="1" applyAlignment="1">
      <alignment horizontal="center" vertical="center"/>
    </xf>
    <xf numFmtId="0" fontId="8" fillId="3" borderId="17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 textRotation="255"/>
    </xf>
    <xf numFmtId="0" fontId="6" fillId="0" borderId="19" xfId="0" applyFont="1" applyBorder="1" applyAlignment="1">
      <alignment horizontal="center" vertical="center" textRotation="255"/>
    </xf>
    <xf numFmtId="0" fontId="6" fillId="0" borderId="20" xfId="0" applyFont="1" applyBorder="1" applyAlignment="1">
      <alignment horizontal="center" vertical="center" textRotation="255"/>
    </xf>
    <xf numFmtId="0" fontId="6" fillId="0" borderId="21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7" xfId="0" applyFont="1" applyBorder="1" applyAlignment="1">
      <alignment horizontal="left" vertical="center" shrinkToFit="1"/>
    </xf>
    <xf numFmtId="0" fontId="6" fillId="0" borderId="4" xfId="0" applyFont="1" applyBorder="1" applyAlignment="1">
      <alignment horizontal="left" vertical="center" shrinkToFit="1"/>
    </xf>
    <xf numFmtId="0" fontId="6" fillId="0" borderId="27" xfId="0" applyFont="1" applyBorder="1" applyAlignment="1">
      <alignment horizontal="left" vertical="center" shrinkToFit="1"/>
    </xf>
    <xf numFmtId="0" fontId="6" fillId="0" borderId="28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9" xfId="0" applyFont="1" applyBorder="1" applyAlignment="1">
      <alignment horizontal="left" vertical="center" shrinkToFit="1"/>
    </xf>
    <xf numFmtId="0" fontId="6" fillId="0" borderId="3" xfId="0" applyFont="1" applyBorder="1" applyAlignment="1">
      <alignment horizontal="left" vertical="center" shrinkToFit="1"/>
    </xf>
    <xf numFmtId="0" fontId="6" fillId="0" borderId="30" xfId="0" applyFont="1" applyBorder="1" applyAlignment="1">
      <alignment horizontal="left" vertical="center" shrinkToFit="1"/>
    </xf>
    <xf numFmtId="178" fontId="5" fillId="2" borderId="3" xfId="0" applyNumberFormat="1" applyFont="1" applyFill="1" applyBorder="1" applyAlignment="1">
      <alignment horizontal="center" vertical="center"/>
    </xf>
    <xf numFmtId="178" fontId="5" fillId="2" borderId="30" xfId="0" applyNumberFormat="1" applyFont="1" applyFill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176" fontId="5" fillId="0" borderId="13" xfId="0" applyNumberFormat="1" applyFont="1" applyBorder="1" applyAlignment="1">
      <alignment horizontal="center" vertical="center"/>
    </xf>
    <xf numFmtId="176" fontId="5" fillId="0" borderId="14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6" xfId="0" applyFont="1" applyBorder="1" applyAlignment="1">
      <alignment horizontal="left" vertical="center" shrinkToFit="1"/>
    </xf>
    <xf numFmtId="0" fontId="6" fillId="0" borderId="13" xfId="0" applyFont="1" applyBorder="1" applyAlignment="1">
      <alignment horizontal="left" vertical="center" shrinkToFit="1"/>
    </xf>
    <xf numFmtId="0" fontId="6" fillId="0" borderId="14" xfId="0" applyFont="1" applyBorder="1" applyAlignment="1">
      <alignment horizontal="left" vertical="center" shrinkToFit="1"/>
    </xf>
    <xf numFmtId="177" fontId="6" fillId="0" borderId="1" xfId="0" applyNumberFormat="1" applyFont="1" applyBorder="1" applyAlignment="1">
      <alignment horizontal="right" vertical="center"/>
    </xf>
  </cellXfs>
  <cellStyles count="2">
    <cellStyle name="쉼표 [0]" xfId="1" builtinId="6"/>
    <cellStyle name="표준" xfId="0" builtinId="0"/>
  </cellStyles>
  <dxfs count="1"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</xdr:colOff>
          <xdr:row>3</xdr:row>
          <xdr:rowOff>9525</xdr:rowOff>
        </xdr:from>
        <xdr:to>
          <xdr:col>20</xdr:col>
          <xdr:colOff>200025</xdr:colOff>
          <xdr:row>4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</xdr:colOff>
          <xdr:row>5</xdr:row>
          <xdr:rowOff>76200</xdr:rowOff>
        </xdr:from>
        <xdr:to>
          <xdr:col>20</xdr:col>
          <xdr:colOff>200025</xdr:colOff>
          <xdr:row>6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새로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Arial Narrow"/>
                  <a:ea typeface="돋움"/>
                </a:rPr>
                <a:t> 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작성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104775</xdr:colOff>
          <xdr:row>3</xdr:row>
          <xdr:rowOff>228600</xdr:rowOff>
        </xdr:from>
        <xdr:to>
          <xdr:col>48</xdr:col>
          <xdr:colOff>95250</xdr:colOff>
          <xdr:row>5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구매발주서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Arial Narrow"/>
                  <a:ea typeface="돋움"/>
                </a:rPr>
                <a:t> 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104775</xdr:colOff>
          <xdr:row>6</xdr:row>
          <xdr:rowOff>104775</xdr:rowOff>
        </xdr:from>
        <xdr:to>
          <xdr:col>48</xdr:col>
          <xdr:colOff>95250</xdr:colOff>
          <xdr:row>8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indexed="43"/>
  </sheetPr>
  <dimension ref="A2:M6"/>
  <sheetViews>
    <sheetView showGridLines="0" workbookViewId="0">
      <selection activeCell="A3" sqref="A3"/>
    </sheetView>
  </sheetViews>
  <sheetFormatPr defaultRowHeight="18" customHeight="1" x14ac:dyDescent="0.2"/>
  <cols>
    <col min="1" max="1" width="16.33203125" style="53" customWidth="1"/>
    <col min="2" max="2" width="3.83203125" style="52" customWidth="1"/>
    <col min="3" max="3" width="11.83203125" style="53" customWidth="1"/>
    <col min="4" max="4" width="9.33203125" style="53"/>
    <col min="5" max="5" width="14" style="52" bestFit="1" customWidth="1"/>
    <col min="6" max="6" width="3.83203125" style="52" customWidth="1"/>
    <col min="7" max="7" width="15.1640625" style="53" customWidth="1"/>
    <col min="8" max="8" width="9.33203125" style="53"/>
    <col min="9" max="9" width="12.33203125" style="52" bestFit="1" customWidth="1"/>
    <col min="10" max="10" width="4" style="52" customWidth="1"/>
    <col min="11" max="11" width="12.5" style="53" customWidth="1"/>
    <col min="12" max="12" width="9.33203125" style="53"/>
    <col min="13" max="13" width="14" style="52" bestFit="1" customWidth="1"/>
    <col min="14" max="16384" width="9.33203125" style="52"/>
  </cols>
  <sheetData>
    <row r="2" spans="1:13" ht="18" customHeight="1" x14ac:dyDescent="0.2">
      <c r="A2" s="57" t="s">
        <v>54</v>
      </c>
      <c r="C2" s="74" t="s">
        <v>55</v>
      </c>
      <c r="D2" s="75"/>
      <c r="E2" s="76"/>
      <c r="G2" s="74" t="s">
        <v>56</v>
      </c>
      <c r="H2" s="75"/>
      <c r="I2" s="76"/>
      <c r="K2" s="74" t="s">
        <v>57</v>
      </c>
      <c r="L2" s="75"/>
      <c r="M2" s="76"/>
    </row>
    <row r="3" spans="1:13" ht="18" customHeight="1" x14ac:dyDescent="0.2">
      <c r="A3" s="55" t="s">
        <v>20</v>
      </c>
      <c r="C3" s="56" t="s">
        <v>15</v>
      </c>
      <c r="D3" s="56" t="s">
        <v>16</v>
      </c>
      <c r="E3" s="56" t="s">
        <v>18</v>
      </c>
      <c r="G3" s="56" t="s">
        <v>44</v>
      </c>
      <c r="H3" s="56" t="s">
        <v>45</v>
      </c>
      <c r="I3" s="56" t="s">
        <v>46</v>
      </c>
      <c r="K3" s="56" t="s">
        <v>44</v>
      </c>
      <c r="L3" s="56" t="s">
        <v>45</v>
      </c>
      <c r="M3" s="56" t="s">
        <v>46</v>
      </c>
    </row>
    <row r="4" spans="1:13" ht="18" customHeight="1" x14ac:dyDescent="0.2">
      <c r="A4" s="55" t="s">
        <v>40</v>
      </c>
      <c r="C4" s="54" t="s">
        <v>42</v>
      </c>
      <c r="D4" s="54"/>
      <c r="E4" s="58">
        <v>10000</v>
      </c>
      <c r="G4" s="54" t="s">
        <v>52</v>
      </c>
      <c r="H4" s="54" t="s">
        <v>43</v>
      </c>
      <c r="I4" s="58">
        <v>24000</v>
      </c>
      <c r="K4" s="54" t="s">
        <v>47</v>
      </c>
      <c r="L4" s="54">
        <v>17</v>
      </c>
      <c r="M4" s="58">
        <v>550000</v>
      </c>
    </row>
    <row r="5" spans="1:13" ht="18" customHeight="1" x14ac:dyDescent="0.2">
      <c r="A5" s="55" t="s">
        <v>41</v>
      </c>
      <c r="C5" s="54" t="s">
        <v>30</v>
      </c>
      <c r="D5" s="54"/>
      <c r="E5" s="58">
        <v>12000</v>
      </c>
      <c r="G5" s="54" t="s">
        <v>64</v>
      </c>
      <c r="H5" s="54" t="s">
        <v>65</v>
      </c>
      <c r="I5" s="58">
        <v>15000</v>
      </c>
      <c r="K5" s="54" t="s">
        <v>48</v>
      </c>
      <c r="L5" s="54">
        <v>19</v>
      </c>
      <c r="M5" s="58">
        <v>600000</v>
      </c>
    </row>
    <row r="6" spans="1:13" ht="18" customHeight="1" x14ac:dyDescent="0.2">
      <c r="C6" s="54" t="s">
        <v>50</v>
      </c>
      <c r="D6" s="54"/>
      <c r="E6" s="58">
        <v>150000</v>
      </c>
    </row>
  </sheetData>
  <mergeCells count="3">
    <mergeCell ref="C2:E2"/>
    <mergeCell ref="G2:I2"/>
    <mergeCell ref="K2:M2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47"/>
  </sheetPr>
  <dimension ref="A2:R39"/>
  <sheetViews>
    <sheetView showGridLines="0" workbookViewId="0">
      <selection activeCell="G12" sqref="G12"/>
    </sheetView>
  </sheetViews>
  <sheetFormatPr defaultRowHeight="17.25" customHeight="1" x14ac:dyDescent="0.2"/>
  <cols>
    <col min="1" max="1" width="7.33203125" style="28" customWidth="1"/>
    <col min="2" max="2" width="13.1640625" style="27" bestFit="1" customWidth="1"/>
    <col min="3" max="3" width="14" style="26" customWidth="1"/>
    <col min="4" max="4" width="16.33203125" style="26" customWidth="1"/>
    <col min="5" max="5" width="8.6640625" style="28" customWidth="1"/>
    <col min="6" max="6" width="9" style="38" customWidth="1"/>
    <col min="7" max="7" width="14" style="38" customWidth="1"/>
    <col min="8" max="8" width="21.6640625" style="41" customWidth="1"/>
    <col min="9" max="9" width="4" style="26" customWidth="1"/>
    <col min="10" max="10" width="14" style="6" customWidth="1"/>
    <col min="11" max="11" width="14.5" style="7" customWidth="1"/>
    <col min="12" max="12" width="9.33203125" style="8" customWidth="1"/>
    <col min="13" max="13" width="14.33203125" style="8" customWidth="1"/>
    <col min="14" max="14" width="18" style="8" customWidth="1"/>
    <col min="15" max="15" width="4.6640625" style="8" customWidth="1"/>
    <col min="16" max="16" width="22" style="7" customWidth="1"/>
    <col min="17" max="17" width="18" style="7" customWidth="1"/>
    <col min="18" max="18" width="18" style="8" customWidth="1"/>
    <col min="19" max="16384" width="9.33203125" style="26"/>
  </cols>
  <sheetData>
    <row r="2" spans="1:18" ht="30.75" customHeight="1" x14ac:dyDescent="0.2">
      <c r="A2" s="39" t="s">
        <v>19</v>
      </c>
      <c r="B2" s="39"/>
      <c r="C2" s="39"/>
      <c r="D2" s="39"/>
      <c r="E2" s="39"/>
      <c r="F2" s="39"/>
      <c r="G2" s="39"/>
      <c r="H2" s="42"/>
    </row>
    <row r="3" spans="1:18" ht="19.5" customHeight="1" x14ac:dyDescent="0.2">
      <c r="A3" s="40"/>
      <c r="B3" s="40"/>
      <c r="C3" s="40"/>
      <c r="D3" s="40"/>
      <c r="E3" s="40"/>
      <c r="F3" s="40"/>
      <c r="G3" s="40"/>
      <c r="H3" s="43"/>
    </row>
    <row r="4" spans="1:18" ht="17.25" customHeight="1" x14ac:dyDescent="0.2">
      <c r="A4" s="29" t="s">
        <v>21</v>
      </c>
      <c r="B4" s="30" t="s">
        <v>23</v>
      </c>
      <c r="C4" s="31" t="s">
        <v>14</v>
      </c>
      <c r="D4" s="31" t="s">
        <v>15</v>
      </c>
      <c r="E4" s="31" t="s">
        <v>16</v>
      </c>
      <c r="F4" s="32" t="s">
        <v>17</v>
      </c>
      <c r="G4" s="32" t="s">
        <v>18</v>
      </c>
      <c r="H4" s="44" t="s">
        <v>35</v>
      </c>
      <c r="J4" s="9" t="s">
        <v>23</v>
      </c>
      <c r="K4" s="10" t="s">
        <v>14</v>
      </c>
      <c r="L4" s="11"/>
      <c r="M4" s="11"/>
      <c r="N4" s="11"/>
      <c r="O4" s="11"/>
      <c r="P4" s="15"/>
      <c r="Q4" s="15"/>
      <c r="R4" s="11"/>
    </row>
    <row r="5" spans="1:18" ht="17.25" customHeight="1" x14ac:dyDescent="0.2">
      <c r="A5" s="33">
        <v>1</v>
      </c>
      <c r="B5" s="59">
        <v>43833</v>
      </c>
      <c r="C5" s="34" t="s">
        <v>49</v>
      </c>
      <c r="D5" s="34" t="s">
        <v>58</v>
      </c>
      <c r="E5" s="63">
        <f ca="1">IF(ISBLANK(D5),"",VLOOKUP(D5,INDIRECT(C5&amp;"표"),2,FALSE))</f>
        <v>0</v>
      </c>
      <c r="F5" s="61">
        <v>50</v>
      </c>
      <c r="G5" s="35">
        <f ca="1">IF(ISBLANK(D5),"",VLOOKUP(D5,INDIRECT(C5&amp;"표"),3,FALSE))</f>
        <v>10000</v>
      </c>
      <c r="H5" s="5">
        <f ca="1">IF(ISBLANK(F5),"",F5*G5+F5*G5*0.1)</f>
        <v>550000</v>
      </c>
      <c r="J5" s="12">
        <f>구매발주서!F7</f>
        <v>43845</v>
      </c>
      <c r="K5" s="13" t="str">
        <f>구매발주서!A5</f>
        <v>동신물산</v>
      </c>
      <c r="L5" s="11"/>
      <c r="M5" s="11"/>
      <c r="N5" s="11"/>
      <c r="O5" s="11"/>
      <c r="P5" s="15"/>
      <c r="Q5" s="15"/>
      <c r="R5" s="11"/>
    </row>
    <row r="6" spans="1:18" ht="17.25" customHeight="1" x14ac:dyDescent="0.2">
      <c r="A6" s="36">
        <v>2</v>
      </c>
      <c r="B6" s="59">
        <v>43833</v>
      </c>
      <c r="C6" s="34" t="s">
        <v>20</v>
      </c>
      <c r="D6" s="34" t="s">
        <v>59</v>
      </c>
      <c r="E6" s="63">
        <f t="shared" ref="E6:E39" ca="1" si="0">IF(ISBLANK(D6),"",VLOOKUP(D6,INDIRECT(C6&amp;"표"),2,FALSE))</f>
        <v>0</v>
      </c>
      <c r="F6" s="62">
        <v>40</v>
      </c>
      <c r="G6" s="35">
        <f t="shared" ref="G6:G39" ca="1" si="1">IF(ISBLANK(D6),"",VLOOKUP(D6,INDIRECT(C6&amp;"표"),3,FALSE))</f>
        <v>12000</v>
      </c>
      <c r="H6" s="5">
        <f t="shared" ref="H6:H39" ca="1" si="2">IF(ISBLANK(F6),"",F6*G6+F6*G6*0.1)</f>
        <v>528000</v>
      </c>
      <c r="J6" s="14"/>
      <c r="K6" s="15"/>
      <c r="L6" s="11"/>
      <c r="M6" s="11"/>
      <c r="N6" s="11"/>
      <c r="O6" s="11"/>
      <c r="P6" s="15"/>
      <c r="Q6" s="15"/>
      <c r="R6" s="11"/>
    </row>
    <row r="7" spans="1:18" ht="17.25" customHeight="1" x14ac:dyDescent="0.2">
      <c r="A7" s="33">
        <v>3</v>
      </c>
      <c r="B7" s="59">
        <v>43833</v>
      </c>
      <c r="C7" s="37" t="s">
        <v>32</v>
      </c>
      <c r="D7" s="34" t="s">
        <v>51</v>
      </c>
      <c r="E7" s="63" t="str">
        <f t="shared" ca="1" si="0"/>
        <v>A4</v>
      </c>
      <c r="F7" s="62">
        <v>10</v>
      </c>
      <c r="G7" s="35">
        <f t="shared" ca="1" si="1"/>
        <v>24000</v>
      </c>
      <c r="H7" s="5">
        <f t="shared" ca="1" si="2"/>
        <v>264000</v>
      </c>
      <c r="J7" s="16" t="s">
        <v>15</v>
      </c>
      <c r="K7" s="16" t="s">
        <v>16</v>
      </c>
      <c r="L7" s="17" t="s">
        <v>17</v>
      </c>
      <c r="M7" s="17" t="s">
        <v>18</v>
      </c>
      <c r="N7" s="17" t="s">
        <v>35</v>
      </c>
      <c r="O7" s="48"/>
      <c r="P7" s="17" t="s">
        <v>38</v>
      </c>
      <c r="Q7" s="17" t="s">
        <v>39</v>
      </c>
      <c r="R7" s="48"/>
    </row>
    <row r="8" spans="1:18" ht="17.25" customHeight="1" x14ac:dyDescent="0.2">
      <c r="A8" s="36">
        <v>4</v>
      </c>
      <c r="B8" s="59">
        <v>43833</v>
      </c>
      <c r="C8" s="37" t="s">
        <v>53</v>
      </c>
      <c r="D8" s="34" t="s">
        <v>60</v>
      </c>
      <c r="E8" s="63" t="str">
        <f t="shared" ca="1" si="0"/>
        <v>B5</v>
      </c>
      <c r="F8" s="62">
        <v>20</v>
      </c>
      <c r="G8" s="35">
        <f t="shared" ca="1" si="1"/>
        <v>15000</v>
      </c>
      <c r="H8" s="5">
        <f t="shared" ca="1" si="2"/>
        <v>330000</v>
      </c>
      <c r="J8" s="71" t="s">
        <v>58</v>
      </c>
      <c r="K8" s="72">
        <v>0</v>
      </c>
      <c r="L8" s="73">
        <v>100</v>
      </c>
      <c r="M8" s="49">
        <v>10000</v>
      </c>
      <c r="N8" s="5">
        <v>1100000</v>
      </c>
      <c r="O8" s="45"/>
      <c r="P8" s="50">
        <f t="array" ref="P8">INDEX($B$5:$B$39,MATCH(0,COUNTIF($P$7:P7,$B$5:$B$39),0))</f>
        <v>43833</v>
      </c>
      <c r="Q8" s="51" t="str">
        <f t="array" ref="Q8">INDEX($C$5:$C$39,MATCH(0,COUNTIF($Q$7:Q7,$C$5:$C$39),0))</f>
        <v>동신물산</v>
      </c>
      <c r="R8" s="45"/>
    </row>
    <row r="9" spans="1:18" ht="17.25" customHeight="1" x14ac:dyDescent="0.2">
      <c r="A9" s="33">
        <v>5</v>
      </c>
      <c r="B9" s="60">
        <v>43835</v>
      </c>
      <c r="C9" s="37" t="s">
        <v>33</v>
      </c>
      <c r="D9" s="34" t="s">
        <v>61</v>
      </c>
      <c r="E9" s="63">
        <f t="shared" ca="1" si="0"/>
        <v>17</v>
      </c>
      <c r="F9" s="62">
        <v>5</v>
      </c>
      <c r="G9" s="35">
        <f t="shared" ca="1" si="1"/>
        <v>550000</v>
      </c>
      <c r="H9" s="5">
        <f t="shared" ca="1" si="2"/>
        <v>3025000</v>
      </c>
      <c r="J9" s="71" t="s">
        <v>63</v>
      </c>
      <c r="K9" s="72">
        <v>0</v>
      </c>
      <c r="L9" s="73">
        <v>1000</v>
      </c>
      <c r="M9" s="49">
        <v>150000</v>
      </c>
      <c r="N9" s="5">
        <v>165000000</v>
      </c>
      <c r="O9" s="45"/>
      <c r="P9" s="50">
        <f t="array" ref="P9">INDEX($B$5:$B$39,MATCH(0,COUNTIF($P$7:P8,$B$5:$B$39),0))</f>
        <v>43835</v>
      </c>
      <c r="Q9" s="51" t="str">
        <f t="array" ref="Q9">INDEX($C$5:$C$39,MATCH(0,COUNTIF($Q$7:Q8,$C$5:$C$39),0))</f>
        <v>아주상사</v>
      </c>
      <c r="R9" s="45"/>
    </row>
    <row r="10" spans="1:18" ht="17.25" customHeight="1" x14ac:dyDescent="0.2">
      <c r="A10" s="36">
        <v>6</v>
      </c>
      <c r="B10" s="60">
        <v>43835</v>
      </c>
      <c r="C10" s="37" t="s">
        <v>33</v>
      </c>
      <c r="D10" s="34" t="s">
        <v>62</v>
      </c>
      <c r="E10" s="63">
        <f t="shared" ca="1" si="0"/>
        <v>19</v>
      </c>
      <c r="F10" s="62">
        <v>5</v>
      </c>
      <c r="G10" s="35">
        <f t="shared" ca="1" si="1"/>
        <v>600000</v>
      </c>
      <c r="H10" s="5">
        <f t="shared" ca="1" si="2"/>
        <v>3300000</v>
      </c>
      <c r="J10" s="18"/>
      <c r="K10" s="19"/>
      <c r="L10" s="20"/>
      <c r="M10" s="20"/>
      <c r="N10" s="49"/>
      <c r="O10" s="45"/>
      <c r="P10" s="50">
        <f t="array" ref="P10">INDEX($B$5:$B$39,MATCH(0,COUNTIF($P$7:P9,$B$5:$B$39),0))</f>
        <v>43845</v>
      </c>
      <c r="Q10" s="51" t="str">
        <f t="array" ref="Q10">INDEX($C$5:$C$39,MATCH(0,COUNTIF($Q$7:Q9,$C$5:$C$39),0))</f>
        <v>성진교역</v>
      </c>
      <c r="R10" s="45"/>
    </row>
    <row r="11" spans="1:18" ht="17.25" customHeight="1" x14ac:dyDescent="0.2">
      <c r="A11" s="33">
        <v>7</v>
      </c>
      <c r="B11" s="60">
        <v>43835</v>
      </c>
      <c r="C11" s="37" t="s">
        <v>33</v>
      </c>
      <c r="D11" s="34" t="s">
        <v>61</v>
      </c>
      <c r="E11" s="63">
        <f t="shared" ca="1" si="0"/>
        <v>17</v>
      </c>
      <c r="F11" s="62">
        <v>5</v>
      </c>
      <c r="G11" s="35">
        <f t="shared" ca="1" si="1"/>
        <v>550000</v>
      </c>
      <c r="H11" s="5">
        <f t="shared" ca="1" si="2"/>
        <v>3025000</v>
      </c>
      <c r="J11" s="18"/>
      <c r="K11" s="19"/>
      <c r="L11" s="20"/>
      <c r="M11" s="20"/>
      <c r="N11" s="49"/>
      <c r="O11" s="45"/>
      <c r="P11" s="50">
        <f t="array" ref="P11">INDEX($B$5:$B$39,MATCH(0,COUNTIF($P$7:P10,$B$5:$B$39),0))</f>
        <v>0</v>
      </c>
      <c r="Q11" s="51">
        <f t="array" ref="Q11">INDEX($C$5:$C$39,MATCH(0,COUNTIF($Q$7:Q10,$C$5:$C$39),0))</f>
        <v>0</v>
      </c>
      <c r="R11" s="45"/>
    </row>
    <row r="12" spans="1:18" ht="17.25" customHeight="1" x14ac:dyDescent="0.2">
      <c r="A12" s="36">
        <v>8</v>
      </c>
      <c r="B12" s="60">
        <v>43845</v>
      </c>
      <c r="C12" s="37" t="s">
        <v>34</v>
      </c>
      <c r="D12" s="34" t="s">
        <v>58</v>
      </c>
      <c r="E12" s="63">
        <f t="shared" ca="1" si="0"/>
        <v>0</v>
      </c>
      <c r="F12" s="62">
        <v>100</v>
      </c>
      <c r="G12" s="35">
        <f t="shared" ca="1" si="1"/>
        <v>10000</v>
      </c>
      <c r="H12" s="5">
        <f t="shared" ca="1" si="2"/>
        <v>1100000</v>
      </c>
      <c r="J12" s="21"/>
      <c r="K12" s="22"/>
      <c r="L12" s="23"/>
      <c r="M12" s="23"/>
      <c r="N12" s="24"/>
      <c r="O12" s="46"/>
      <c r="P12" s="50" t="e">
        <f t="array" ref="P12">INDEX($B$5:$B$39,MATCH(0,COUNTIF($P$7:P11,$B$5:$B$39),0))</f>
        <v>#N/A</v>
      </c>
      <c r="Q12" s="51" t="e">
        <f t="array" ref="Q12">INDEX($C$5:$C$39,MATCH(0,COUNTIF($Q$7:Q11,$C$5:$C$39),0))</f>
        <v>#N/A</v>
      </c>
      <c r="R12" s="46"/>
    </row>
    <row r="13" spans="1:18" ht="17.25" customHeight="1" x14ac:dyDescent="0.2">
      <c r="A13" s="33">
        <v>9</v>
      </c>
      <c r="B13" s="60">
        <v>43845</v>
      </c>
      <c r="C13" s="37" t="s">
        <v>31</v>
      </c>
      <c r="D13" s="34" t="s">
        <v>63</v>
      </c>
      <c r="E13" s="63">
        <f t="shared" ca="1" si="0"/>
        <v>0</v>
      </c>
      <c r="F13" s="62">
        <v>1000</v>
      </c>
      <c r="G13" s="35">
        <f t="shared" ca="1" si="1"/>
        <v>150000</v>
      </c>
      <c r="H13" s="5">
        <f t="shared" ca="1" si="2"/>
        <v>165000000</v>
      </c>
      <c r="J13" s="12"/>
      <c r="K13" s="13"/>
      <c r="L13" s="25"/>
      <c r="M13" s="25"/>
      <c r="N13" s="25"/>
      <c r="O13" s="47"/>
      <c r="P13" s="50" t="e">
        <f t="array" ref="P13">INDEX($B$5:$B$39,MATCH(0,COUNTIF($P$7:P12,$B$5:$B$39),0))</f>
        <v>#N/A</v>
      </c>
      <c r="Q13" s="51" t="e">
        <f t="array" ref="Q13">INDEX($C$5:$C$39,MATCH(0,COUNTIF($Q$7:Q12,$C$5:$C$39),0))</f>
        <v>#N/A</v>
      </c>
      <c r="R13" s="47"/>
    </row>
    <row r="14" spans="1:18" ht="17.25" customHeight="1" x14ac:dyDescent="0.2">
      <c r="A14" s="36">
        <v>10</v>
      </c>
      <c r="B14" s="60"/>
      <c r="C14" s="37"/>
      <c r="D14" s="34"/>
      <c r="E14" s="63" t="str">
        <f t="shared" ca="1" si="0"/>
        <v/>
      </c>
      <c r="F14" s="62"/>
      <c r="G14" s="35" t="str">
        <f t="shared" ca="1" si="1"/>
        <v/>
      </c>
      <c r="H14" s="5" t="str">
        <f t="shared" si="2"/>
        <v/>
      </c>
      <c r="J14" s="12"/>
      <c r="K14" s="13"/>
      <c r="L14" s="25"/>
      <c r="M14" s="25"/>
      <c r="N14" s="25"/>
      <c r="O14" s="47"/>
      <c r="P14" s="50" t="e">
        <f t="array" ref="P14">INDEX($B$5:$B$39,MATCH(0,COUNTIF($P$7:P13,$B$5:$B$39),0))</f>
        <v>#N/A</v>
      </c>
      <c r="Q14" s="51" t="e">
        <f t="array" ref="Q14">INDEX($C$5:$C$39,MATCH(0,COUNTIF($Q$7:Q13,$C$5:$C$39),0))</f>
        <v>#N/A</v>
      </c>
      <c r="R14" s="47"/>
    </row>
    <row r="15" spans="1:18" ht="17.25" customHeight="1" x14ac:dyDescent="0.2">
      <c r="A15" s="33">
        <v>11</v>
      </c>
      <c r="B15" s="60"/>
      <c r="C15" s="37"/>
      <c r="D15" s="34"/>
      <c r="E15" s="63" t="str">
        <f t="shared" ca="1" si="0"/>
        <v/>
      </c>
      <c r="F15" s="62"/>
      <c r="G15" s="35" t="str">
        <f t="shared" ca="1" si="1"/>
        <v/>
      </c>
      <c r="H15" s="5" t="str">
        <f t="shared" si="2"/>
        <v/>
      </c>
      <c r="J15" s="12"/>
      <c r="K15" s="13"/>
      <c r="L15" s="25"/>
      <c r="M15" s="25"/>
      <c r="N15" s="25"/>
      <c r="O15" s="47"/>
      <c r="P15" s="50" t="e">
        <f t="array" ref="P15">INDEX($B$5:$B$39,MATCH(0,COUNTIF($P$7:P14,$B$5:$B$39),0))</f>
        <v>#N/A</v>
      </c>
      <c r="Q15" s="51" t="e">
        <f t="array" ref="Q15">INDEX($C$5:$C$39,MATCH(0,COUNTIF($Q$7:Q14,$C$5:$C$39),0))</f>
        <v>#N/A</v>
      </c>
      <c r="R15" s="47"/>
    </row>
    <row r="16" spans="1:18" ht="17.25" customHeight="1" x14ac:dyDescent="0.2">
      <c r="A16" s="36">
        <v>12</v>
      </c>
      <c r="B16" s="60"/>
      <c r="C16" s="37"/>
      <c r="D16" s="34"/>
      <c r="E16" s="63" t="str">
        <f t="shared" ca="1" si="0"/>
        <v/>
      </c>
      <c r="F16" s="62"/>
      <c r="G16" s="35" t="str">
        <f t="shared" ca="1" si="1"/>
        <v/>
      </c>
      <c r="H16" s="5" t="str">
        <f t="shared" si="2"/>
        <v/>
      </c>
      <c r="J16" s="12"/>
      <c r="K16" s="13"/>
      <c r="L16" s="25"/>
      <c r="M16" s="25"/>
      <c r="N16" s="25"/>
      <c r="O16" s="47"/>
      <c r="P16" s="50" t="e">
        <f t="array" ref="P16">INDEX($B$5:$B$39,MATCH(0,COUNTIF($P$7:P15,$B$5:$B$39),0))</f>
        <v>#N/A</v>
      </c>
      <c r="Q16" s="51" t="e">
        <f t="array" ref="Q16">INDEX($C$5:$C$39,MATCH(0,COUNTIF($Q$7:Q15,$C$5:$C$39),0))</f>
        <v>#N/A</v>
      </c>
      <c r="R16" s="47"/>
    </row>
    <row r="17" spans="1:18" ht="17.25" customHeight="1" x14ac:dyDescent="0.2">
      <c r="A17" s="33">
        <v>13</v>
      </c>
      <c r="B17" s="60"/>
      <c r="C17" s="37"/>
      <c r="D17" s="34"/>
      <c r="E17" s="63" t="str">
        <f t="shared" ca="1" si="0"/>
        <v/>
      </c>
      <c r="F17" s="62"/>
      <c r="G17" s="35" t="str">
        <f t="shared" ca="1" si="1"/>
        <v/>
      </c>
      <c r="H17" s="5" t="str">
        <f t="shared" si="2"/>
        <v/>
      </c>
      <c r="J17" s="12"/>
      <c r="K17" s="13"/>
      <c r="L17" s="25"/>
      <c r="M17" s="25"/>
      <c r="N17" s="25"/>
      <c r="O17" s="47"/>
      <c r="P17" s="50" t="e">
        <f t="array" ref="P17">INDEX($B$5:$B$39,MATCH(0,COUNTIF($P$7:P16,$B$5:$B$39),0))</f>
        <v>#N/A</v>
      </c>
      <c r="Q17" s="51" t="e">
        <f t="array" ref="Q17">INDEX($C$5:$C$39,MATCH(0,COUNTIF($Q$7:Q16,$C$5:$C$39),0))</f>
        <v>#N/A</v>
      </c>
      <c r="R17" s="47"/>
    </row>
    <row r="18" spans="1:18" ht="17.25" customHeight="1" x14ac:dyDescent="0.2">
      <c r="A18" s="36">
        <v>14</v>
      </c>
      <c r="B18" s="60"/>
      <c r="C18" s="37"/>
      <c r="D18" s="34"/>
      <c r="E18" s="63" t="str">
        <f t="shared" ca="1" si="0"/>
        <v/>
      </c>
      <c r="F18" s="62"/>
      <c r="G18" s="35" t="str">
        <f t="shared" ca="1" si="1"/>
        <v/>
      </c>
      <c r="H18" s="5" t="str">
        <f t="shared" si="2"/>
        <v/>
      </c>
      <c r="J18" s="12"/>
      <c r="K18" s="13"/>
      <c r="L18" s="25"/>
      <c r="M18" s="25"/>
      <c r="N18" s="25"/>
      <c r="O18" s="47"/>
      <c r="P18" s="50" t="e">
        <f t="array" ref="P18">INDEX($B$5:$B$39,MATCH(0,COUNTIF($P$7:P17,$B$5:$B$39),0))</f>
        <v>#N/A</v>
      </c>
      <c r="Q18" s="51" t="e">
        <f t="array" ref="Q18">INDEX($C$5:$C$39,MATCH(0,COUNTIF($Q$7:Q17,$C$5:$C$39),0))</f>
        <v>#N/A</v>
      </c>
      <c r="R18" s="47"/>
    </row>
    <row r="19" spans="1:18" ht="17.25" customHeight="1" x14ac:dyDescent="0.2">
      <c r="A19" s="33">
        <v>15</v>
      </c>
      <c r="B19" s="60"/>
      <c r="C19" s="37"/>
      <c r="D19" s="34"/>
      <c r="E19" s="63" t="str">
        <f t="shared" ca="1" si="0"/>
        <v/>
      </c>
      <c r="F19" s="62"/>
      <c r="G19" s="35" t="str">
        <f t="shared" ca="1" si="1"/>
        <v/>
      </c>
      <c r="H19" s="5" t="str">
        <f t="shared" si="2"/>
        <v/>
      </c>
      <c r="J19" s="12"/>
      <c r="K19" s="13"/>
      <c r="L19" s="25"/>
      <c r="M19" s="25"/>
      <c r="N19" s="25"/>
      <c r="O19" s="47"/>
      <c r="P19" s="50" t="e">
        <f t="array" ref="P19">INDEX($B$5:$B$39,MATCH(0,COUNTIF($P$7:P18,$B$5:$B$39),0))</f>
        <v>#N/A</v>
      </c>
      <c r="Q19" s="51" t="e">
        <f t="array" ref="Q19">INDEX($C$5:$C$39,MATCH(0,COUNTIF($Q$7:Q18,$C$5:$C$39),0))</f>
        <v>#N/A</v>
      </c>
      <c r="R19" s="47"/>
    </row>
    <row r="20" spans="1:18" ht="17.25" customHeight="1" x14ac:dyDescent="0.2">
      <c r="A20" s="36">
        <v>16</v>
      </c>
      <c r="B20" s="60"/>
      <c r="C20" s="37"/>
      <c r="D20" s="34"/>
      <c r="E20" s="63" t="str">
        <f t="shared" ca="1" si="0"/>
        <v/>
      </c>
      <c r="F20" s="62"/>
      <c r="G20" s="35" t="str">
        <f t="shared" ca="1" si="1"/>
        <v/>
      </c>
      <c r="H20" s="5" t="str">
        <f t="shared" si="2"/>
        <v/>
      </c>
      <c r="J20" s="12"/>
      <c r="K20" s="13"/>
      <c r="L20" s="25"/>
      <c r="M20" s="25"/>
      <c r="N20" s="25"/>
      <c r="O20" s="47"/>
      <c r="P20" s="50" t="e">
        <f t="array" ref="P20">INDEX($B$5:$B$39,MATCH(0,COUNTIF($P$7:P19,$B$5:$B$39),0))</f>
        <v>#N/A</v>
      </c>
      <c r="Q20" s="51" t="e">
        <f t="array" ref="Q20">INDEX($C$5:$C$39,MATCH(0,COUNTIF($Q$7:Q19,$C$5:$C$39),0))</f>
        <v>#N/A</v>
      </c>
      <c r="R20" s="47"/>
    </row>
    <row r="21" spans="1:18" ht="17.25" customHeight="1" x14ac:dyDescent="0.2">
      <c r="A21" s="33">
        <v>17</v>
      </c>
      <c r="B21" s="60"/>
      <c r="C21" s="37"/>
      <c r="D21" s="34"/>
      <c r="E21" s="63" t="str">
        <f t="shared" ca="1" si="0"/>
        <v/>
      </c>
      <c r="F21" s="62"/>
      <c r="G21" s="35" t="str">
        <f t="shared" ca="1" si="1"/>
        <v/>
      </c>
      <c r="H21" s="5" t="str">
        <f t="shared" si="2"/>
        <v/>
      </c>
      <c r="J21" s="12"/>
      <c r="K21" s="13"/>
      <c r="L21" s="25"/>
      <c r="M21" s="25"/>
      <c r="N21" s="25"/>
      <c r="O21" s="47"/>
      <c r="P21" s="50" t="e">
        <f t="array" ref="P21">INDEX($B$5:$B$39,MATCH(0,COUNTIF($P$7:P20,$B$5:$B$39),0))</f>
        <v>#N/A</v>
      </c>
      <c r="Q21" s="51" t="e">
        <f t="array" ref="Q21">INDEX($C$5:$C$39,MATCH(0,COUNTIF($Q$7:Q20,$C$5:$C$39),0))</f>
        <v>#N/A</v>
      </c>
      <c r="R21" s="47"/>
    </row>
    <row r="22" spans="1:18" ht="17.25" customHeight="1" x14ac:dyDescent="0.2">
      <c r="A22" s="36">
        <v>18</v>
      </c>
      <c r="B22" s="60"/>
      <c r="C22" s="37"/>
      <c r="D22" s="34"/>
      <c r="E22" s="63" t="str">
        <f t="shared" ca="1" si="0"/>
        <v/>
      </c>
      <c r="F22" s="62"/>
      <c r="G22" s="35" t="str">
        <f t="shared" ca="1" si="1"/>
        <v/>
      </c>
      <c r="H22" s="5" t="str">
        <f t="shared" si="2"/>
        <v/>
      </c>
      <c r="J22" s="12"/>
      <c r="K22" s="13"/>
      <c r="L22" s="25"/>
      <c r="M22" s="25"/>
      <c r="N22" s="25"/>
      <c r="O22" s="47"/>
      <c r="P22" s="50" t="e">
        <f t="array" ref="P22">INDEX($B$5:$B$39,MATCH(0,COUNTIF($P$7:P21,$B$5:$B$39),0))</f>
        <v>#N/A</v>
      </c>
      <c r="Q22" s="51" t="e">
        <f t="array" ref="Q22">INDEX($C$5:$C$39,MATCH(0,COUNTIF($Q$7:Q21,$C$5:$C$39),0))</f>
        <v>#N/A</v>
      </c>
      <c r="R22" s="47"/>
    </row>
    <row r="23" spans="1:18" ht="17.25" customHeight="1" x14ac:dyDescent="0.2">
      <c r="A23" s="33">
        <v>19</v>
      </c>
      <c r="B23" s="60"/>
      <c r="C23" s="37"/>
      <c r="D23" s="34"/>
      <c r="E23" s="63" t="str">
        <f t="shared" ca="1" si="0"/>
        <v/>
      </c>
      <c r="F23" s="62"/>
      <c r="G23" s="35" t="str">
        <f t="shared" ca="1" si="1"/>
        <v/>
      </c>
      <c r="H23" s="5" t="str">
        <f t="shared" si="2"/>
        <v/>
      </c>
      <c r="J23" s="12"/>
      <c r="K23" s="13"/>
      <c r="L23" s="25"/>
      <c r="M23" s="25"/>
      <c r="N23" s="25"/>
      <c r="O23" s="47"/>
      <c r="P23" s="50" t="e">
        <f t="array" ref="P23">INDEX($B$5:$B$39,MATCH(0,COUNTIF($P$7:P22,$B$5:$B$39),0))</f>
        <v>#N/A</v>
      </c>
      <c r="Q23" s="51" t="e">
        <f t="array" ref="Q23">INDEX($C$5:$C$39,MATCH(0,COUNTIF($Q$7:Q22,$C$5:$C$39),0))</f>
        <v>#N/A</v>
      </c>
      <c r="R23" s="47"/>
    </row>
    <row r="24" spans="1:18" ht="17.25" customHeight="1" x14ac:dyDescent="0.2">
      <c r="A24" s="36">
        <v>20</v>
      </c>
      <c r="B24" s="60"/>
      <c r="C24" s="37"/>
      <c r="D24" s="34"/>
      <c r="E24" s="63" t="str">
        <f t="shared" ca="1" si="0"/>
        <v/>
      </c>
      <c r="F24" s="62"/>
      <c r="G24" s="35" t="str">
        <f t="shared" ca="1" si="1"/>
        <v/>
      </c>
      <c r="H24" s="5" t="str">
        <f t="shared" si="2"/>
        <v/>
      </c>
      <c r="J24" s="12"/>
      <c r="K24" s="13"/>
      <c r="L24" s="25"/>
      <c r="M24" s="25"/>
      <c r="N24" s="25"/>
      <c r="O24" s="47"/>
      <c r="P24" s="50" t="e">
        <f t="array" ref="P24">INDEX($B$5:$B$39,MATCH(0,COUNTIF($P$7:P23,$B$5:$B$39),0))</f>
        <v>#N/A</v>
      </c>
      <c r="Q24" s="51" t="e">
        <f t="array" ref="Q24">INDEX($C$5:$C$39,MATCH(0,COUNTIF($Q$7:Q23,$C$5:$C$39),0))</f>
        <v>#N/A</v>
      </c>
      <c r="R24" s="47"/>
    </row>
    <row r="25" spans="1:18" ht="17.25" customHeight="1" x14ac:dyDescent="0.2">
      <c r="A25" s="33">
        <v>21</v>
      </c>
      <c r="B25" s="60"/>
      <c r="C25" s="37"/>
      <c r="D25" s="34"/>
      <c r="E25" s="63" t="str">
        <f t="shared" ca="1" si="0"/>
        <v/>
      </c>
      <c r="F25" s="62"/>
      <c r="G25" s="35" t="str">
        <f t="shared" ca="1" si="1"/>
        <v/>
      </c>
      <c r="H25" s="5" t="str">
        <f t="shared" si="2"/>
        <v/>
      </c>
      <c r="J25" s="12"/>
      <c r="K25" s="13"/>
      <c r="L25" s="25"/>
      <c r="M25" s="25"/>
      <c r="N25" s="25"/>
      <c r="O25" s="47"/>
      <c r="P25" s="50" t="e">
        <f t="array" ref="P25">INDEX($B$5:$B$39,MATCH(0,COUNTIF($P$7:P24,$B$5:$B$39),0))</f>
        <v>#N/A</v>
      </c>
      <c r="Q25" s="51" t="e">
        <f t="array" ref="Q25">INDEX($C$5:$C$39,MATCH(0,COUNTIF($Q$7:Q24,$C$5:$C$39),0))</f>
        <v>#N/A</v>
      </c>
      <c r="R25" s="47"/>
    </row>
    <row r="26" spans="1:18" ht="17.25" customHeight="1" x14ac:dyDescent="0.2">
      <c r="A26" s="36">
        <v>22</v>
      </c>
      <c r="B26" s="60"/>
      <c r="C26" s="37"/>
      <c r="D26" s="34"/>
      <c r="E26" s="63" t="str">
        <f t="shared" ca="1" si="0"/>
        <v/>
      </c>
      <c r="F26" s="62"/>
      <c r="G26" s="35" t="str">
        <f t="shared" ca="1" si="1"/>
        <v/>
      </c>
      <c r="H26" s="5" t="str">
        <f t="shared" si="2"/>
        <v/>
      </c>
      <c r="J26" s="12"/>
      <c r="K26" s="13"/>
      <c r="L26" s="25"/>
      <c r="M26" s="25"/>
      <c r="N26" s="25"/>
      <c r="O26" s="47"/>
      <c r="P26" s="50" t="e">
        <f t="array" ref="P26">INDEX($B$5:$B$39,MATCH(0,COUNTIF($P$7:P25,$B$5:$B$39),0))</f>
        <v>#N/A</v>
      </c>
      <c r="Q26" s="51" t="e">
        <f t="array" ref="Q26">INDEX($C$5:$C$39,MATCH(0,COUNTIF($Q$7:Q25,$C$5:$C$39),0))</f>
        <v>#N/A</v>
      </c>
      <c r="R26" s="47"/>
    </row>
    <row r="27" spans="1:18" ht="17.25" customHeight="1" x14ac:dyDescent="0.2">
      <c r="A27" s="33">
        <v>23</v>
      </c>
      <c r="B27" s="60"/>
      <c r="C27" s="37"/>
      <c r="D27" s="34"/>
      <c r="E27" s="63" t="str">
        <f t="shared" ca="1" si="0"/>
        <v/>
      </c>
      <c r="F27" s="62"/>
      <c r="G27" s="35" t="str">
        <f t="shared" ca="1" si="1"/>
        <v/>
      </c>
      <c r="H27" s="5" t="str">
        <f t="shared" si="2"/>
        <v/>
      </c>
      <c r="J27" s="12"/>
      <c r="K27" s="13"/>
      <c r="L27" s="25"/>
      <c r="M27" s="25"/>
      <c r="N27" s="25"/>
      <c r="O27" s="47"/>
      <c r="P27" s="50" t="e">
        <f t="array" ref="P27">INDEX($B$5:$B$39,MATCH(0,COUNTIF($P$7:P26,$B$5:$B$39),0))</f>
        <v>#N/A</v>
      </c>
      <c r="Q27" s="51" t="e">
        <f t="array" ref="Q27">INDEX($C$5:$C$39,MATCH(0,COUNTIF($Q$7:Q26,$C$5:$C$39),0))</f>
        <v>#N/A</v>
      </c>
      <c r="R27" s="47"/>
    </row>
    <row r="28" spans="1:18" ht="17.25" customHeight="1" x14ac:dyDescent="0.2">
      <c r="A28" s="36">
        <v>24</v>
      </c>
      <c r="B28" s="60"/>
      <c r="C28" s="37"/>
      <c r="D28" s="34"/>
      <c r="E28" s="63" t="str">
        <f t="shared" ca="1" si="0"/>
        <v/>
      </c>
      <c r="F28" s="62"/>
      <c r="G28" s="35" t="str">
        <f t="shared" ca="1" si="1"/>
        <v/>
      </c>
      <c r="H28" s="5" t="str">
        <f t="shared" si="2"/>
        <v/>
      </c>
      <c r="P28" s="50" t="e">
        <f t="array" ref="P28">INDEX($B$5:$B$39,MATCH(0,COUNTIF($P$7:P27,$B$5:$B$39),0))</f>
        <v>#N/A</v>
      </c>
      <c r="Q28" s="51" t="e">
        <f t="array" ref="Q28">INDEX($C$5:$C$39,MATCH(0,COUNTIF($Q$7:Q27,$C$5:$C$39),0))</f>
        <v>#N/A</v>
      </c>
    </row>
    <row r="29" spans="1:18" ht="17.25" customHeight="1" x14ac:dyDescent="0.2">
      <c r="A29" s="33">
        <v>25</v>
      </c>
      <c r="B29" s="60"/>
      <c r="C29" s="37"/>
      <c r="D29" s="34"/>
      <c r="E29" s="63" t="str">
        <f t="shared" ca="1" si="0"/>
        <v/>
      </c>
      <c r="F29" s="62"/>
      <c r="G29" s="35" t="str">
        <f t="shared" ca="1" si="1"/>
        <v/>
      </c>
      <c r="H29" s="5" t="str">
        <f t="shared" si="2"/>
        <v/>
      </c>
      <c r="P29" s="50" t="e">
        <f t="array" ref="P29">INDEX($B$5:$B$39,MATCH(0,COUNTIF($P$7:P28,$B$5:$B$39),0))</f>
        <v>#N/A</v>
      </c>
      <c r="Q29" s="51" t="e">
        <f t="array" ref="Q29">INDEX($C$5:$C$39,MATCH(0,COUNTIF($Q$7:Q28,$C$5:$C$39),0))</f>
        <v>#N/A</v>
      </c>
    </row>
    <row r="30" spans="1:18" ht="17.25" customHeight="1" x14ac:dyDescent="0.2">
      <c r="A30" s="36">
        <v>26</v>
      </c>
      <c r="B30" s="60"/>
      <c r="C30" s="37"/>
      <c r="D30" s="34"/>
      <c r="E30" s="63" t="str">
        <f t="shared" ca="1" si="0"/>
        <v/>
      </c>
      <c r="F30" s="62"/>
      <c r="G30" s="35" t="str">
        <f t="shared" ca="1" si="1"/>
        <v/>
      </c>
      <c r="H30" s="5" t="str">
        <f t="shared" si="2"/>
        <v/>
      </c>
      <c r="P30" s="50" t="e">
        <f t="array" ref="P30">INDEX($B$5:$B$39,MATCH(0,COUNTIF($P$7:P29,$B$5:$B$39),0))</f>
        <v>#N/A</v>
      </c>
      <c r="Q30" s="51" t="e">
        <f t="array" ref="Q30">INDEX($C$5:$C$39,MATCH(0,COUNTIF($Q$7:Q29,$C$5:$C$39),0))</f>
        <v>#N/A</v>
      </c>
    </row>
    <row r="31" spans="1:18" ht="17.25" customHeight="1" x14ac:dyDescent="0.2">
      <c r="A31" s="33">
        <v>27</v>
      </c>
      <c r="B31" s="60"/>
      <c r="C31" s="37"/>
      <c r="D31" s="34"/>
      <c r="E31" s="63" t="str">
        <f t="shared" ca="1" si="0"/>
        <v/>
      </c>
      <c r="F31" s="62"/>
      <c r="G31" s="35" t="str">
        <f t="shared" ca="1" si="1"/>
        <v/>
      </c>
      <c r="H31" s="5" t="str">
        <f t="shared" si="2"/>
        <v/>
      </c>
      <c r="P31" s="50" t="e">
        <f t="array" ref="P31">INDEX($B$5:$B$39,MATCH(0,COUNTIF($P$7:P30,$B$5:$B$39),0))</f>
        <v>#N/A</v>
      </c>
      <c r="Q31" s="51" t="e">
        <f t="array" ref="Q31">INDEX($C$5:$C$39,MATCH(0,COUNTIF($Q$7:Q30,$C$5:$C$39),0))</f>
        <v>#N/A</v>
      </c>
    </row>
    <row r="32" spans="1:18" ht="17.25" customHeight="1" x14ac:dyDescent="0.2">
      <c r="A32" s="36">
        <v>28</v>
      </c>
      <c r="B32" s="60"/>
      <c r="C32" s="37"/>
      <c r="D32" s="34"/>
      <c r="E32" s="63" t="str">
        <f t="shared" ca="1" si="0"/>
        <v/>
      </c>
      <c r="F32" s="62"/>
      <c r="G32" s="35" t="str">
        <f t="shared" ca="1" si="1"/>
        <v/>
      </c>
      <c r="H32" s="5" t="str">
        <f t="shared" si="2"/>
        <v/>
      </c>
      <c r="P32" s="50" t="e">
        <f t="array" ref="P32">INDEX($B$5:$B$39,MATCH(0,COUNTIF($P$7:P31,$B$5:$B$39),0))</f>
        <v>#N/A</v>
      </c>
      <c r="Q32" s="51" t="e">
        <f t="array" ref="Q32">INDEX($C$5:$C$39,MATCH(0,COUNTIF($Q$7:Q31,$C$5:$C$39),0))</f>
        <v>#N/A</v>
      </c>
    </row>
    <row r="33" spans="1:17" ht="17.25" customHeight="1" x14ac:dyDescent="0.2">
      <c r="A33" s="33">
        <v>29</v>
      </c>
      <c r="B33" s="60"/>
      <c r="C33" s="37"/>
      <c r="D33" s="34"/>
      <c r="E33" s="63" t="str">
        <f t="shared" ca="1" si="0"/>
        <v/>
      </c>
      <c r="F33" s="62"/>
      <c r="G33" s="35" t="str">
        <f t="shared" ca="1" si="1"/>
        <v/>
      </c>
      <c r="H33" s="5" t="str">
        <f t="shared" si="2"/>
        <v/>
      </c>
      <c r="P33" s="50" t="e">
        <f t="array" ref="P33">INDEX($B$5:$B$39,MATCH(0,COUNTIF($P$7:P32,$B$5:$B$39),0))</f>
        <v>#N/A</v>
      </c>
      <c r="Q33" s="51" t="e">
        <f t="array" ref="Q33">INDEX($C$5:$C$39,MATCH(0,COUNTIF($Q$7:Q32,$C$5:$C$39),0))</f>
        <v>#N/A</v>
      </c>
    </row>
    <row r="34" spans="1:17" ht="17.25" customHeight="1" x14ac:dyDescent="0.2">
      <c r="A34" s="36">
        <v>30</v>
      </c>
      <c r="B34" s="60"/>
      <c r="C34" s="37"/>
      <c r="D34" s="34"/>
      <c r="E34" s="63" t="str">
        <f t="shared" ca="1" si="0"/>
        <v/>
      </c>
      <c r="F34" s="62"/>
      <c r="G34" s="35" t="str">
        <f t="shared" ca="1" si="1"/>
        <v/>
      </c>
      <c r="H34" s="5" t="str">
        <f t="shared" si="2"/>
        <v/>
      </c>
      <c r="P34" s="50" t="e">
        <f t="array" ref="P34">INDEX($B$5:$B$39,MATCH(0,COUNTIF($P$7:P33,$B$5:$B$39),0))</f>
        <v>#N/A</v>
      </c>
      <c r="Q34" s="51" t="e">
        <f t="array" ref="Q34">INDEX($C$5:$C$39,MATCH(0,COUNTIF($Q$7:Q33,$C$5:$C$39),0))</f>
        <v>#N/A</v>
      </c>
    </row>
    <row r="35" spans="1:17" ht="17.25" customHeight="1" x14ac:dyDescent="0.2">
      <c r="A35" s="33">
        <v>31</v>
      </c>
      <c r="B35" s="59"/>
      <c r="C35" s="34"/>
      <c r="D35" s="34"/>
      <c r="E35" s="63" t="str">
        <f t="shared" ca="1" si="0"/>
        <v/>
      </c>
      <c r="F35" s="61"/>
      <c r="G35" s="35" t="str">
        <f t="shared" ca="1" si="1"/>
        <v/>
      </c>
      <c r="H35" s="5" t="str">
        <f t="shared" si="2"/>
        <v/>
      </c>
      <c r="P35" s="50" t="e">
        <f t="array" ref="P35">INDEX($B$5:$B$39,MATCH(0,COUNTIF($P$7:P34,$B$5:$B$39),0))</f>
        <v>#N/A</v>
      </c>
      <c r="Q35" s="51" t="e">
        <f t="array" ref="Q35">INDEX($C$5:$C$39,MATCH(0,COUNTIF($Q$7:Q34,$C$5:$C$39),0))</f>
        <v>#N/A</v>
      </c>
    </row>
    <row r="36" spans="1:17" ht="17.25" customHeight="1" x14ac:dyDescent="0.2">
      <c r="A36" s="33">
        <v>32</v>
      </c>
      <c r="B36" s="60"/>
      <c r="C36" s="37"/>
      <c r="D36" s="34"/>
      <c r="E36" s="63" t="str">
        <f t="shared" ca="1" si="0"/>
        <v/>
      </c>
      <c r="F36" s="62"/>
      <c r="G36" s="35" t="str">
        <f t="shared" ca="1" si="1"/>
        <v/>
      </c>
      <c r="H36" s="5" t="str">
        <f t="shared" si="2"/>
        <v/>
      </c>
      <c r="P36" s="50" t="e">
        <f t="array" ref="P36">INDEX($B$5:$B$39,MATCH(0,COUNTIF($P$7:P35,$B$5:$B$39),0))</f>
        <v>#N/A</v>
      </c>
      <c r="Q36" s="51" t="e">
        <f t="array" ref="Q36">INDEX($C$5:$C$39,MATCH(0,COUNTIF($Q$7:Q35,$C$5:$C$39),0))</f>
        <v>#N/A</v>
      </c>
    </row>
    <row r="37" spans="1:17" ht="17.25" customHeight="1" x14ac:dyDescent="0.2">
      <c r="A37" s="36">
        <v>33</v>
      </c>
      <c r="B37" s="60"/>
      <c r="C37" s="37"/>
      <c r="D37" s="34"/>
      <c r="E37" s="63" t="str">
        <f t="shared" ca="1" si="0"/>
        <v/>
      </c>
      <c r="F37" s="62"/>
      <c r="G37" s="35" t="str">
        <f t="shared" ca="1" si="1"/>
        <v/>
      </c>
      <c r="H37" s="5" t="str">
        <f t="shared" si="2"/>
        <v/>
      </c>
      <c r="P37" s="50" t="e">
        <f t="array" ref="P37">INDEX($B$5:$B$39,MATCH(0,COUNTIF($P$7:P36,$B$5:$B$39),0))</f>
        <v>#N/A</v>
      </c>
      <c r="Q37" s="51" t="e">
        <f t="array" ref="Q37">INDEX($C$5:$C$39,MATCH(0,COUNTIF($Q$7:Q36,$C$5:$C$39),0))</f>
        <v>#N/A</v>
      </c>
    </row>
    <row r="38" spans="1:17" ht="17.25" customHeight="1" x14ac:dyDescent="0.2">
      <c r="A38" s="33">
        <v>34</v>
      </c>
      <c r="B38" s="60"/>
      <c r="C38" s="37"/>
      <c r="D38" s="34"/>
      <c r="E38" s="63" t="str">
        <f t="shared" ca="1" si="0"/>
        <v/>
      </c>
      <c r="F38" s="62"/>
      <c r="G38" s="35" t="str">
        <f t="shared" ca="1" si="1"/>
        <v/>
      </c>
      <c r="H38" s="5" t="str">
        <f t="shared" si="2"/>
        <v/>
      </c>
      <c r="P38" s="50" t="e">
        <f t="array" ref="P38">INDEX($B$5:$B$39,MATCH(0,COUNTIF($P$7:P37,$B$5:$B$39),0))</f>
        <v>#N/A</v>
      </c>
      <c r="Q38" s="51" t="e">
        <f t="array" ref="Q38">INDEX($C$5:$C$39,MATCH(0,COUNTIF($Q$7:Q37,$C$5:$C$39),0))</f>
        <v>#N/A</v>
      </c>
    </row>
    <row r="39" spans="1:17" ht="17.25" customHeight="1" x14ac:dyDescent="0.2">
      <c r="A39" s="64">
        <v>35</v>
      </c>
      <c r="B39" s="65"/>
      <c r="C39" s="66"/>
      <c r="D39" s="66"/>
      <c r="E39" s="67" t="str">
        <f t="shared" ca="1" si="0"/>
        <v/>
      </c>
      <c r="F39" s="68"/>
      <c r="G39" s="69" t="str">
        <f t="shared" ca="1" si="1"/>
        <v/>
      </c>
      <c r="H39" s="70" t="str">
        <f t="shared" si="2"/>
        <v/>
      </c>
      <c r="P39" s="50" t="e">
        <f t="array" ref="P39">INDEX($B$5:$B$39,MATCH(0,COUNTIF($P$7:P38,$B$5:$B$39),0))</f>
        <v>#N/A</v>
      </c>
      <c r="Q39" s="51" t="e">
        <f t="array" ref="Q39">INDEX($C$5:$C$39,MATCH(0,COUNTIF($Q$7:Q38,$C$5:$C$39),0))</f>
        <v>#N/A</v>
      </c>
    </row>
  </sheetData>
  <phoneticPr fontId="3" type="noConversion"/>
  <conditionalFormatting sqref="E5:E39">
    <cfRule type="cellIs" dxfId="0" priority="1" stopIfTrue="1" operator="equal">
      <formula>0</formula>
    </cfRule>
  </conditionalFormatting>
  <dataValidations count="2">
    <dataValidation type="list" allowBlank="1" showInputMessage="1" showErrorMessage="1" sqref="C5:C39" xr:uid="{00000000-0002-0000-0100-000000000000}">
      <formula1>구매처</formula1>
    </dataValidation>
    <dataValidation type="list" allowBlank="1" showInputMessage="1" showErrorMessage="1" sqref="D5:D39" xr:uid="{00000000-0002-0000-0100-000001000000}">
      <formula1>INDIRECT(C5)</formula1>
    </dataValidation>
  </dataValidations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인쇄하기">
                <anchor moveWithCells="1" sizeWithCells="1">
                  <from>
                    <xdr:col>18</xdr:col>
                    <xdr:colOff>38100</xdr:colOff>
                    <xdr:row>3</xdr:row>
                    <xdr:rowOff>9525</xdr:rowOff>
                  </from>
                  <to>
                    <xdr:col>20</xdr:col>
                    <xdr:colOff>200025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새로작성">
                <anchor moveWithCells="1" sizeWithCells="1">
                  <from>
                    <xdr:col>18</xdr:col>
                    <xdr:colOff>38100</xdr:colOff>
                    <xdr:row>5</xdr:row>
                    <xdr:rowOff>76200</xdr:rowOff>
                  </from>
                  <to>
                    <xdr:col>20</xdr:col>
                    <xdr:colOff>200025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indexed="42"/>
  </sheetPr>
  <dimension ref="A1:AK35"/>
  <sheetViews>
    <sheetView showGridLines="0" tabSelected="1" workbookViewId="0">
      <selection activeCell="F7" sqref="F7:O7"/>
    </sheetView>
  </sheetViews>
  <sheetFormatPr defaultColWidth="2.33203125" defaultRowHeight="18.75" customHeight="1" x14ac:dyDescent="0.2"/>
  <cols>
    <col min="1" max="3" width="2.83203125" style="1" customWidth="1"/>
    <col min="4" max="13" width="3.1640625" style="1" customWidth="1"/>
    <col min="14" max="36" width="2.83203125" style="1" customWidth="1"/>
    <col min="37" max="16384" width="2.33203125" style="1"/>
  </cols>
  <sheetData>
    <row r="1" spans="1:36" ht="22.5" customHeight="1" x14ac:dyDescent="0.2">
      <c r="A1" s="89" t="s">
        <v>12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</row>
    <row r="2" spans="1:36" ht="22.5" customHeight="1" x14ac:dyDescent="0.2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9"/>
    </row>
    <row r="3" spans="1:36" ht="22.5" customHeight="1" x14ac:dyDescent="0.2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89"/>
    </row>
    <row r="4" spans="1:36" ht="18.75" customHeight="1" x14ac:dyDescent="0.2">
      <c r="A4" s="89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89"/>
    </row>
    <row r="5" spans="1:36" ht="17.25" customHeight="1" x14ac:dyDescent="0.2">
      <c r="A5" s="90" t="s">
        <v>49</v>
      </c>
      <c r="B5" s="90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1" t="s">
        <v>24</v>
      </c>
      <c r="O5" s="91"/>
      <c r="T5" s="92" t="s">
        <v>0</v>
      </c>
      <c r="U5" s="95" t="s">
        <v>22</v>
      </c>
      <c r="V5" s="77"/>
      <c r="W5" s="77"/>
      <c r="X5" s="77"/>
      <c r="Y5" s="77" t="s">
        <v>1</v>
      </c>
      <c r="Z5" s="77"/>
      <c r="AA5" s="77"/>
      <c r="AB5" s="77"/>
      <c r="AC5" s="77" t="s">
        <v>2</v>
      </c>
      <c r="AD5" s="77"/>
      <c r="AE5" s="77"/>
      <c r="AF5" s="77"/>
      <c r="AG5" s="77" t="s">
        <v>3</v>
      </c>
      <c r="AH5" s="77"/>
      <c r="AI5" s="77"/>
      <c r="AJ5" s="78"/>
    </row>
    <row r="6" spans="1:36" ht="17.25" customHeight="1" x14ac:dyDescent="0.2">
      <c r="A6" s="79"/>
      <c r="B6" s="79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T6" s="93"/>
      <c r="U6" s="80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1"/>
      <c r="AI6" s="81"/>
      <c r="AJ6" s="86"/>
    </row>
    <row r="7" spans="1:36" ht="17.25" customHeight="1" x14ac:dyDescent="0.2">
      <c r="A7" s="100" t="s">
        <v>25</v>
      </c>
      <c r="B7" s="101"/>
      <c r="C7" s="101"/>
      <c r="D7" s="101"/>
      <c r="E7" s="101"/>
      <c r="F7" s="105">
        <v>43845</v>
      </c>
      <c r="G7" s="105"/>
      <c r="H7" s="105"/>
      <c r="I7" s="105"/>
      <c r="J7" s="105"/>
      <c r="K7" s="105"/>
      <c r="L7" s="105"/>
      <c r="M7" s="105"/>
      <c r="N7" s="105"/>
      <c r="O7" s="106"/>
      <c r="T7" s="93"/>
      <c r="U7" s="82"/>
      <c r="V7" s="83"/>
      <c r="W7" s="83"/>
      <c r="X7" s="83"/>
      <c r="Y7" s="83"/>
      <c r="Z7" s="83"/>
      <c r="AA7" s="83"/>
      <c r="AB7" s="83"/>
      <c r="AC7" s="83"/>
      <c r="AD7" s="83"/>
      <c r="AE7" s="83"/>
      <c r="AF7" s="83"/>
      <c r="AG7" s="83"/>
      <c r="AH7" s="83"/>
      <c r="AI7" s="83"/>
      <c r="AJ7" s="87"/>
    </row>
    <row r="8" spans="1:36" ht="17.25" customHeight="1" x14ac:dyDescent="0.2">
      <c r="A8" s="107" t="s">
        <v>36</v>
      </c>
      <c r="B8" s="85"/>
      <c r="C8" s="85"/>
      <c r="D8" s="85"/>
      <c r="E8" s="85"/>
      <c r="F8" s="108">
        <f>SUM(구매발주대장!N:N)</f>
        <v>166100000</v>
      </c>
      <c r="G8" s="108"/>
      <c r="H8" s="108"/>
      <c r="I8" s="108"/>
      <c r="J8" s="108"/>
      <c r="K8" s="108"/>
      <c r="L8" s="108"/>
      <c r="M8" s="108"/>
      <c r="N8" s="108"/>
      <c r="O8" s="109"/>
      <c r="T8" s="94"/>
      <c r="U8" s="84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8"/>
    </row>
    <row r="9" spans="1:36" ht="17.25" customHeight="1" x14ac:dyDescent="0.2">
      <c r="A9" s="2"/>
      <c r="B9" s="2"/>
      <c r="C9" s="2"/>
      <c r="D9" s="2"/>
      <c r="E9" s="2"/>
    </row>
    <row r="10" spans="1:36" ht="17.25" customHeight="1" x14ac:dyDescent="0.2">
      <c r="A10" s="100" t="s">
        <v>4</v>
      </c>
      <c r="B10" s="101"/>
      <c r="C10" s="101"/>
      <c r="D10" s="101"/>
      <c r="E10" s="101"/>
      <c r="F10" s="102" t="s">
        <v>26</v>
      </c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4"/>
    </row>
    <row r="11" spans="1:36" ht="17.25" customHeight="1" x14ac:dyDescent="0.2">
      <c r="A11" s="96" t="s">
        <v>5</v>
      </c>
      <c r="B11" s="83"/>
      <c r="C11" s="83"/>
      <c r="D11" s="83"/>
      <c r="E11" s="83"/>
      <c r="F11" s="97" t="s">
        <v>29</v>
      </c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9"/>
    </row>
    <row r="12" spans="1:36" ht="17.25" customHeight="1" x14ac:dyDescent="0.2">
      <c r="A12" s="96" t="s">
        <v>13</v>
      </c>
      <c r="B12" s="83"/>
      <c r="C12" s="83"/>
      <c r="D12" s="83"/>
      <c r="E12" s="83"/>
      <c r="F12" s="97" t="s">
        <v>27</v>
      </c>
      <c r="G12" s="9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9"/>
    </row>
    <row r="13" spans="1:36" ht="17.25" customHeight="1" x14ac:dyDescent="0.2">
      <c r="A13" s="107" t="s">
        <v>6</v>
      </c>
      <c r="B13" s="85"/>
      <c r="C13" s="85"/>
      <c r="D13" s="85"/>
      <c r="E13" s="85"/>
      <c r="F13" s="111" t="s">
        <v>28</v>
      </c>
      <c r="G13" s="112"/>
      <c r="H13" s="112"/>
      <c r="I13" s="112"/>
      <c r="J13" s="112"/>
      <c r="K13" s="112"/>
      <c r="L13" s="112"/>
      <c r="M13" s="112"/>
      <c r="N13" s="112"/>
      <c r="O13" s="112"/>
      <c r="P13" s="112"/>
      <c r="Q13" s="112"/>
      <c r="R13" s="112"/>
      <c r="S13" s="112"/>
      <c r="T13" s="113"/>
    </row>
    <row r="15" spans="1:36" ht="21" customHeight="1" x14ac:dyDescent="0.2">
      <c r="A15" s="110" t="s">
        <v>7</v>
      </c>
      <c r="B15" s="110"/>
      <c r="C15" s="110"/>
      <c r="D15" s="110" t="s">
        <v>8</v>
      </c>
      <c r="E15" s="110"/>
      <c r="F15" s="110"/>
      <c r="G15" s="110"/>
      <c r="H15" s="110"/>
      <c r="I15" s="110"/>
      <c r="J15" s="110"/>
      <c r="K15" s="110"/>
      <c r="L15" s="110"/>
      <c r="M15" s="110"/>
      <c r="N15" s="110" t="s">
        <v>9</v>
      </c>
      <c r="O15" s="110"/>
      <c r="P15" s="110"/>
      <c r="Q15" s="110"/>
      <c r="R15" s="110" t="s">
        <v>10</v>
      </c>
      <c r="S15" s="110"/>
      <c r="T15" s="110"/>
      <c r="U15" s="110" t="s">
        <v>11</v>
      </c>
      <c r="V15" s="110"/>
      <c r="W15" s="110"/>
      <c r="X15" s="110"/>
      <c r="Y15" s="110"/>
      <c r="Z15" s="110"/>
      <c r="AA15" s="110"/>
      <c r="AB15" s="110" t="s">
        <v>37</v>
      </c>
      <c r="AC15" s="110"/>
      <c r="AD15" s="110"/>
      <c r="AE15" s="110"/>
      <c r="AF15" s="110"/>
      <c r="AG15" s="110"/>
      <c r="AH15" s="110"/>
      <c r="AI15" s="110"/>
      <c r="AJ15" s="110"/>
    </row>
    <row r="16" spans="1:36" ht="21" customHeight="1" x14ac:dyDescent="0.2">
      <c r="A16" s="110">
        <v>1</v>
      </c>
      <c r="B16" s="110"/>
      <c r="C16" s="110"/>
      <c r="D16" s="110" t="str">
        <f>IF(구매발주대장!J8="","",구매발주대장!J8)</f>
        <v>마우스</v>
      </c>
      <c r="E16" s="110"/>
      <c r="F16" s="110"/>
      <c r="G16" s="110"/>
      <c r="H16" s="110"/>
      <c r="I16" s="110"/>
      <c r="J16" s="110"/>
      <c r="K16" s="110"/>
      <c r="L16" s="110"/>
      <c r="M16" s="110"/>
      <c r="N16" s="110">
        <f>IF(구매발주대장!K8="","",구매발주대장!K8)</f>
        <v>0</v>
      </c>
      <c r="O16" s="110"/>
      <c r="P16" s="110"/>
      <c r="Q16" s="110"/>
      <c r="R16" s="110">
        <f>IF(구매발주대장!L8="","",구매발주대장!L8)</f>
        <v>100</v>
      </c>
      <c r="S16" s="110"/>
      <c r="T16" s="110"/>
      <c r="U16" s="114">
        <f>IF(구매발주대장!M8="","",구매발주대장!M8)</f>
        <v>10000</v>
      </c>
      <c r="V16" s="114"/>
      <c r="W16" s="114"/>
      <c r="X16" s="114"/>
      <c r="Y16" s="114"/>
      <c r="Z16" s="114"/>
      <c r="AA16" s="114"/>
      <c r="AB16" s="4" t="str">
        <f>MID(TEXT(구매발주대장!$N8,REPT("?",9)),COLUMN(A1),1)</f>
        <v xml:space="preserve"> </v>
      </c>
      <c r="AC16" s="4" t="str">
        <f>MID(TEXT(구매발주대장!$N8,REPT("?",9)),COLUMN(B1),1)</f>
        <v xml:space="preserve"> </v>
      </c>
      <c r="AD16" s="4" t="str">
        <f>MID(TEXT(구매발주대장!$N8,REPT("?",9)),COLUMN(C1),1)</f>
        <v>1</v>
      </c>
      <c r="AE16" s="4" t="str">
        <f>MID(TEXT(구매발주대장!$N8,REPT("?",9)),COLUMN(D1),1)</f>
        <v>1</v>
      </c>
      <c r="AF16" s="4" t="str">
        <f>MID(TEXT(구매발주대장!$N8,REPT("?",9)),COLUMN(E1),1)</f>
        <v>0</v>
      </c>
      <c r="AG16" s="4" t="str">
        <f>MID(TEXT(구매발주대장!$N8,REPT("?",9)),COLUMN(F1),1)</f>
        <v>0</v>
      </c>
      <c r="AH16" s="4" t="str">
        <f>MID(TEXT(구매발주대장!$N8,REPT("?",9)),COLUMN(G1),1)</f>
        <v>0</v>
      </c>
      <c r="AI16" s="4" t="str">
        <f>MID(TEXT(구매발주대장!$N8,REPT("?",9)),COLUMN(H1),1)</f>
        <v>0</v>
      </c>
      <c r="AJ16" s="4" t="str">
        <f>MID(TEXT(구매발주대장!$N8,REPT("?",9)),COLUMN(I1),1)</f>
        <v>0</v>
      </c>
    </row>
    <row r="17" spans="1:37" ht="21" customHeight="1" x14ac:dyDescent="0.2">
      <c r="A17" s="110">
        <v>2</v>
      </c>
      <c r="B17" s="110"/>
      <c r="C17" s="110"/>
      <c r="D17" s="110" t="str">
        <f>IF(구매발주대장!J9="","",구매발주대장!J9)</f>
        <v>스피커</v>
      </c>
      <c r="E17" s="110"/>
      <c r="F17" s="110"/>
      <c r="G17" s="110"/>
      <c r="H17" s="110"/>
      <c r="I17" s="110"/>
      <c r="J17" s="110"/>
      <c r="K17" s="110"/>
      <c r="L17" s="110"/>
      <c r="M17" s="110"/>
      <c r="N17" s="110">
        <f>IF(구매발주대장!K9="","",구매발주대장!K9)</f>
        <v>0</v>
      </c>
      <c r="O17" s="110"/>
      <c r="P17" s="110"/>
      <c r="Q17" s="110"/>
      <c r="R17" s="110">
        <f>IF(구매발주대장!L9="","",구매발주대장!L9)</f>
        <v>1000</v>
      </c>
      <c r="S17" s="110"/>
      <c r="T17" s="110"/>
      <c r="U17" s="114">
        <f>IF(구매발주대장!M9="","",구매발주대장!M9)</f>
        <v>150000</v>
      </c>
      <c r="V17" s="114"/>
      <c r="W17" s="114"/>
      <c r="X17" s="114"/>
      <c r="Y17" s="114"/>
      <c r="Z17" s="114"/>
      <c r="AA17" s="114"/>
      <c r="AB17" s="4" t="str">
        <f>MID(TEXT(구매발주대장!$N9,REPT("?",9)),COLUMN(A2),1)</f>
        <v>1</v>
      </c>
      <c r="AC17" s="4" t="str">
        <f>MID(TEXT(구매발주대장!$N9,REPT("?",9)),COLUMN(B2),1)</f>
        <v>6</v>
      </c>
      <c r="AD17" s="4" t="str">
        <f>MID(TEXT(구매발주대장!$N9,REPT("?",9)),COLUMN(C2),1)</f>
        <v>5</v>
      </c>
      <c r="AE17" s="4" t="str">
        <f>MID(TEXT(구매발주대장!$N9,REPT("?",9)),COLUMN(D2),1)</f>
        <v>0</v>
      </c>
      <c r="AF17" s="4" t="str">
        <f>MID(TEXT(구매발주대장!$N9,REPT("?",9)),COLUMN(E2),1)</f>
        <v>0</v>
      </c>
      <c r="AG17" s="4" t="str">
        <f>MID(TEXT(구매발주대장!$N9,REPT("?",9)),COLUMN(F2),1)</f>
        <v>0</v>
      </c>
      <c r="AH17" s="4" t="str">
        <f>MID(TEXT(구매발주대장!$N9,REPT("?",9)),COLUMN(G2),1)</f>
        <v>0</v>
      </c>
      <c r="AI17" s="4" t="str">
        <f>MID(TEXT(구매발주대장!$N9,REPT("?",9)),COLUMN(H2),1)</f>
        <v>0</v>
      </c>
      <c r="AJ17" s="4" t="str">
        <f>MID(TEXT(구매발주대장!$N9,REPT("?",9)),COLUMN(I2),1)</f>
        <v>0</v>
      </c>
      <c r="AK17" s="3"/>
    </row>
    <row r="18" spans="1:37" ht="21" customHeight="1" x14ac:dyDescent="0.2">
      <c r="A18" s="110">
        <v>3</v>
      </c>
      <c r="B18" s="110"/>
      <c r="C18" s="110"/>
      <c r="D18" s="110" t="str">
        <f>IF(구매발주대장!J10="","",구매발주대장!J10)</f>
        <v/>
      </c>
      <c r="E18" s="110"/>
      <c r="F18" s="110"/>
      <c r="G18" s="110"/>
      <c r="H18" s="110"/>
      <c r="I18" s="110"/>
      <c r="J18" s="110"/>
      <c r="K18" s="110"/>
      <c r="L18" s="110"/>
      <c r="M18" s="110"/>
      <c r="N18" s="110" t="str">
        <f>IF(구매발주대장!K10="","",구매발주대장!K10)</f>
        <v/>
      </c>
      <c r="O18" s="110"/>
      <c r="P18" s="110"/>
      <c r="Q18" s="110"/>
      <c r="R18" s="110" t="str">
        <f>IF(구매발주대장!L10="","",구매발주대장!L10)</f>
        <v/>
      </c>
      <c r="S18" s="110"/>
      <c r="T18" s="110"/>
      <c r="U18" s="114" t="str">
        <f>IF(구매발주대장!M10="","",구매발주대장!M10)</f>
        <v/>
      </c>
      <c r="V18" s="114"/>
      <c r="W18" s="114"/>
      <c r="X18" s="114"/>
      <c r="Y18" s="114"/>
      <c r="Z18" s="114"/>
      <c r="AA18" s="114"/>
      <c r="AB18" s="4" t="str">
        <f>MID(TEXT(구매발주대장!$N10,REPT("?",9)),COLUMN(A3),1)</f>
        <v xml:space="preserve"> </v>
      </c>
      <c r="AC18" s="4" t="str">
        <f>MID(TEXT(구매발주대장!$N10,REPT("?",9)),COLUMN(B3),1)</f>
        <v xml:space="preserve"> </v>
      </c>
      <c r="AD18" s="4" t="str">
        <f>MID(TEXT(구매발주대장!$N10,REPT("?",9)),COLUMN(C3),1)</f>
        <v xml:space="preserve"> </v>
      </c>
      <c r="AE18" s="4" t="str">
        <f>MID(TEXT(구매발주대장!$N10,REPT("?",9)),COLUMN(D3),1)</f>
        <v xml:space="preserve"> </v>
      </c>
      <c r="AF18" s="4" t="str">
        <f>MID(TEXT(구매발주대장!$N10,REPT("?",9)),COLUMN(E3),1)</f>
        <v xml:space="preserve"> </v>
      </c>
      <c r="AG18" s="4" t="str">
        <f>MID(TEXT(구매발주대장!$N10,REPT("?",9)),COLUMN(F3),1)</f>
        <v xml:space="preserve"> </v>
      </c>
      <c r="AH18" s="4" t="str">
        <f>MID(TEXT(구매발주대장!$N10,REPT("?",9)),COLUMN(G3),1)</f>
        <v xml:space="preserve"> </v>
      </c>
      <c r="AI18" s="4" t="str">
        <f>MID(TEXT(구매발주대장!$N10,REPT("?",9)),COLUMN(H3),1)</f>
        <v xml:space="preserve"> </v>
      </c>
      <c r="AJ18" s="4" t="str">
        <f>MID(TEXT(구매발주대장!$N10,REPT("?",9)),COLUMN(I3),1)</f>
        <v xml:space="preserve"> </v>
      </c>
      <c r="AK18" s="3"/>
    </row>
    <row r="19" spans="1:37" ht="21" customHeight="1" x14ac:dyDescent="0.2">
      <c r="A19" s="110">
        <v>4</v>
      </c>
      <c r="B19" s="110"/>
      <c r="C19" s="110"/>
      <c r="D19" s="110" t="str">
        <f>IF(구매발주대장!J11="","",구매발주대장!J11)</f>
        <v/>
      </c>
      <c r="E19" s="110"/>
      <c r="F19" s="110"/>
      <c r="G19" s="110"/>
      <c r="H19" s="110"/>
      <c r="I19" s="110"/>
      <c r="J19" s="110"/>
      <c r="K19" s="110"/>
      <c r="L19" s="110"/>
      <c r="M19" s="110"/>
      <c r="N19" s="110" t="str">
        <f>IF(구매발주대장!K11="","",구매발주대장!K11)</f>
        <v/>
      </c>
      <c r="O19" s="110"/>
      <c r="P19" s="110"/>
      <c r="Q19" s="110"/>
      <c r="R19" s="110" t="str">
        <f>IF(구매발주대장!L11="","",구매발주대장!L11)</f>
        <v/>
      </c>
      <c r="S19" s="110"/>
      <c r="T19" s="110"/>
      <c r="U19" s="114" t="str">
        <f>IF(구매발주대장!M11="","",구매발주대장!M11)</f>
        <v/>
      </c>
      <c r="V19" s="114"/>
      <c r="W19" s="114"/>
      <c r="X19" s="114"/>
      <c r="Y19" s="114"/>
      <c r="Z19" s="114"/>
      <c r="AA19" s="114"/>
      <c r="AB19" s="4" t="str">
        <f>MID(TEXT(구매발주대장!$N11,REPT("?",9)),COLUMN(A4),1)</f>
        <v xml:space="preserve"> </v>
      </c>
      <c r="AC19" s="4" t="str">
        <f>MID(TEXT(구매발주대장!$N11,REPT("?",9)),COLUMN(B4),1)</f>
        <v xml:space="preserve"> </v>
      </c>
      <c r="AD19" s="4" t="str">
        <f>MID(TEXT(구매발주대장!$N11,REPT("?",9)),COLUMN(C4),1)</f>
        <v xml:space="preserve"> </v>
      </c>
      <c r="AE19" s="4" t="str">
        <f>MID(TEXT(구매발주대장!$N11,REPT("?",9)),COLUMN(D4),1)</f>
        <v xml:space="preserve"> </v>
      </c>
      <c r="AF19" s="4" t="str">
        <f>MID(TEXT(구매발주대장!$N11,REPT("?",9)),COLUMN(E4),1)</f>
        <v xml:space="preserve"> </v>
      </c>
      <c r="AG19" s="4" t="str">
        <f>MID(TEXT(구매발주대장!$N11,REPT("?",9)),COLUMN(F4),1)</f>
        <v xml:space="preserve"> </v>
      </c>
      <c r="AH19" s="4" t="str">
        <f>MID(TEXT(구매발주대장!$N11,REPT("?",9)),COLUMN(G4),1)</f>
        <v xml:space="preserve"> </v>
      </c>
      <c r="AI19" s="4" t="str">
        <f>MID(TEXT(구매발주대장!$N11,REPT("?",9)),COLUMN(H4),1)</f>
        <v xml:space="preserve"> </v>
      </c>
      <c r="AJ19" s="4" t="str">
        <f>MID(TEXT(구매발주대장!$N11,REPT("?",9)),COLUMN(I4),1)</f>
        <v xml:space="preserve"> </v>
      </c>
      <c r="AK19" s="3"/>
    </row>
    <row r="20" spans="1:37" ht="21" customHeight="1" x14ac:dyDescent="0.2">
      <c r="A20" s="110">
        <v>5</v>
      </c>
      <c r="B20" s="110"/>
      <c r="C20" s="110"/>
      <c r="D20" s="110" t="str">
        <f>IF(구매발주대장!J12="","",구매발주대장!J12)</f>
        <v/>
      </c>
      <c r="E20" s="110"/>
      <c r="F20" s="110"/>
      <c r="G20" s="110"/>
      <c r="H20" s="110"/>
      <c r="I20" s="110"/>
      <c r="J20" s="110"/>
      <c r="K20" s="110"/>
      <c r="L20" s="110"/>
      <c r="M20" s="110"/>
      <c r="N20" s="110" t="str">
        <f>IF(구매발주대장!K12="","",구매발주대장!K12)</f>
        <v/>
      </c>
      <c r="O20" s="110"/>
      <c r="P20" s="110"/>
      <c r="Q20" s="110"/>
      <c r="R20" s="110" t="str">
        <f>IF(구매발주대장!L12="","",구매발주대장!L12)</f>
        <v/>
      </c>
      <c r="S20" s="110"/>
      <c r="T20" s="110"/>
      <c r="U20" s="114" t="str">
        <f>IF(구매발주대장!M12="","",구매발주대장!M12)</f>
        <v/>
      </c>
      <c r="V20" s="114"/>
      <c r="W20" s="114"/>
      <c r="X20" s="114"/>
      <c r="Y20" s="114"/>
      <c r="Z20" s="114"/>
      <c r="AA20" s="114"/>
      <c r="AB20" s="4" t="str">
        <f>MID(TEXT(구매발주대장!$N12,REPT("?",9)),COLUMN(A5),1)</f>
        <v xml:space="preserve"> </v>
      </c>
      <c r="AC20" s="4" t="str">
        <f>MID(TEXT(구매발주대장!$N12,REPT("?",9)),COLUMN(B5),1)</f>
        <v xml:space="preserve"> </v>
      </c>
      <c r="AD20" s="4" t="str">
        <f>MID(TEXT(구매발주대장!$N12,REPT("?",9)),COLUMN(C5),1)</f>
        <v xml:space="preserve"> </v>
      </c>
      <c r="AE20" s="4" t="str">
        <f>MID(TEXT(구매발주대장!$N12,REPT("?",9)),COLUMN(D5),1)</f>
        <v xml:space="preserve"> </v>
      </c>
      <c r="AF20" s="4" t="str">
        <f>MID(TEXT(구매발주대장!$N12,REPT("?",9)),COLUMN(E5),1)</f>
        <v xml:space="preserve"> </v>
      </c>
      <c r="AG20" s="4" t="str">
        <f>MID(TEXT(구매발주대장!$N12,REPT("?",9)),COLUMN(F5),1)</f>
        <v xml:space="preserve"> </v>
      </c>
      <c r="AH20" s="4" t="str">
        <f>MID(TEXT(구매발주대장!$N12,REPT("?",9)),COLUMN(G5),1)</f>
        <v xml:space="preserve"> </v>
      </c>
      <c r="AI20" s="4" t="str">
        <f>MID(TEXT(구매발주대장!$N12,REPT("?",9)),COLUMN(H5),1)</f>
        <v xml:space="preserve"> </v>
      </c>
      <c r="AJ20" s="4" t="str">
        <f>MID(TEXT(구매발주대장!$N12,REPT("?",9)),COLUMN(I5),1)</f>
        <v xml:space="preserve"> </v>
      </c>
      <c r="AK20" s="3"/>
    </row>
    <row r="21" spans="1:37" ht="21" customHeight="1" x14ac:dyDescent="0.2">
      <c r="A21" s="110">
        <v>6</v>
      </c>
      <c r="B21" s="110"/>
      <c r="C21" s="110"/>
      <c r="D21" s="110" t="str">
        <f>IF(구매발주대장!J13="","",구매발주대장!J13)</f>
        <v/>
      </c>
      <c r="E21" s="110"/>
      <c r="F21" s="110"/>
      <c r="G21" s="110"/>
      <c r="H21" s="110"/>
      <c r="I21" s="110"/>
      <c r="J21" s="110"/>
      <c r="K21" s="110"/>
      <c r="L21" s="110"/>
      <c r="M21" s="110"/>
      <c r="N21" s="110" t="str">
        <f>IF(구매발주대장!K13="","",구매발주대장!K13)</f>
        <v/>
      </c>
      <c r="O21" s="110"/>
      <c r="P21" s="110"/>
      <c r="Q21" s="110"/>
      <c r="R21" s="110" t="str">
        <f>IF(구매발주대장!L13="","",구매발주대장!L13)</f>
        <v/>
      </c>
      <c r="S21" s="110"/>
      <c r="T21" s="110"/>
      <c r="U21" s="114" t="str">
        <f>IF(구매발주대장!M13="","",구매발주대장!M13)</f>
        <v/>
      </c>
      <c r="V21" s="114"/>
      <c r="W21" s="114"/>
      <c r="X21" s="114"/>
      <c r="Y21" s="114"/>
      <c r="Z21" s="114"/>
      <c r="AA21" s="114"/>
      <c r="AB21" s="4" t="str">
        <f>MID(TEXT(구매발주대장!$N13,REPT("?",9)),COLUMN(A6),1)</f>
        <v xml:space="preserve"> </v>
      </c>
      <c r="AC21" s="4" t="str">
        <f>MID(TEXT(구매발주대장!$N13,REPT("?",9)),COLUMN(B6),1)</f>
        <v xml:space="preserve"> </v>
      </c>
      <c r="AD21" s="4" t="str">
        <f>MID(TEXT(구매발주대장!$N13,REPT("?",9)),COLUMN(C6),1)</f>
        <v xml:space="preserve"> </v>
      </c>
      <c r="AE21" s="4" t="str">
        <f>MID(TEXT(구매발주대장!$N13,REPT("?",9)),COLUMN(D6),1)</f>
        <v xml:space="preserve"> </v>
      </c>
      <c r="AF21" s="4" t="str">
        <f>MID(TEXT(구매발주대장!$N13,REPT("?",9)),COLUMN(E6),1)</f>
        <v xml:space="preserve"> </v>
      </c>
      <c r="AG21" s="4" t="str">
        <f>MID(TEXT(구매발주대장!$N13,REPT("?",9)),COLUMN(F6),1)</f>
        <v xml:space="preserve"> </v>
      </c>
      <c r="AH21" s="4" t="str">
        <f>MID(TEXT(구매발주대장!$N13,REPT("?",9)),COLUMN(G6),1)</f>
        <v xml:space="preserve"> </v>
      </c>
      <c r="AI21" s="4" t="str">
        <f>MID(TEXT(구매발주대장!$N13,REPT("?",9)),COLUMN(H6),1)</f>
        <v xml:space="preserve"> </v>
      </c>
      <c r="AJ21" s="4" t="str">
        <f>MID(TEXT(구매발주대장!$N13,REPT("?",9)),COLUMN(I6),1)</f>
        <v xml:space="preserve"> </v>
      </c>
      <c r="AK21" s="3"/>
    </row>
    <row r="22" spans="1:37" ht="21" customHeight="1" x14ac:dyDescent="0.2">
      <c r="A22" s="110">
        <v>7</v>
      </c>
      <c r="B22" s="110"/>
      <c r="C22" s="110"/>
      <c r="D22" s="110" t="str">
        <f>IF(구매발주대장!J14="","",구매발주대장!J14)</f>
        <v/>
      </c>
      <c r="E22" s="110"/>
      <c r="F22" s="110"/>
      <c r="G22" s="110"/>
      <c r="H22" s="110"/>
      <c r="I22" s="110"/>
      <c r="J22" s="110"/>
      <c r="K22" s="110"/>
      <c r="L22" s="110"/>
      <c r="M22" s="110"/>
      <c r="N22" s="110" t="str">
        <f>IF(구매발주대장!K14="","",구매발주대장!K14)</f>
        <v/>
      </c>
      <c r="O22" s="110"/>
      <c r="P22" s="110"/>
      <c r="Q22" s="110"/>
      <c r="R22" s="110" t="str">
        <f>IF(구매발주대장!L14="","",구매발주대장!L14)</f>
        <v/>
      </c>
      <c r="S22" s="110"/>
      <c r="T22" s="110"/>
      <c r="U22" s="114" t="str">
        <f>IF(구매발주대장!M14="","",구매발주대장!M14)</f>
        <v/>
      </c>
      <c r="V22" s="114"/>
      <c r="W22" s="114"/>
      <c r="X22" s="114"/>
      <c r="Y22" s="114"/>
      <c r="Z22" s="114"/>
      <c r="AA22" s="114"/>
      <c r="AB22" s="4" t="str">
        <f>MID(TEXT(구매발주대장!$N14,REPT("?",9)),COLUMN(A7),1)</f>
        <v xml:space="preserve"> </v>
      </c>
      <c r="AC22" s="4" t="str">
        <f>MID(TEXT(구매발주대장!$N14,REPT("?",9)),COLUMN(B7),1)</f>
        <v xml:space="preserve"> </v>
      </c>
      <c r="AD22" s="4" t="str">
        <f>MID(TEXT(구매발주대장!$N14,REPT("?",9)),COLUMN(C7),1)</f>
        <v xml:space="preserve"> </v>
      </c>
      <c r="AE22" s="4" t="str">
        <f>MID(TEXT(구매발주대장!$N14,REPT("?",9)),COLUMN(D7),1)</f>
        <v xml:space="preserve"> </v>
      </c>
      <c r="AF22" s="4" t="str">
        <f>MID(TEXT(구매발주대장!$N14,REPT("?",9)),COLUMN(E7),1)</f>
        <v xml:space="preserve"> </v>
      </c>
      <c r="AG22" s="4" t="str">
        <f>MID(TEXT(구매발주대장!$N14,REPT("?",9)),COLUMN(F7),1)</f>
        <v xml:space="preserve"> </v>
      </c>
      <c r="AH22" s="4" t="str">
        <f>MID(TEXT(구매발주대장!$N14,REPT("?",9)),COLUMN(G7),1)</f>
        <v xml:space="preserve"> </v>
      </c>
      <c r="AI22" s="4" t="str">
        <f>MID(TEXT(구매발주대장!$N14,REPT("?",9)),COLUMN(H7),1)</f>
        <v xml:space="preserve"> </v>
      </c>
      <c r="AJ22" s="4" t="str">
        <f>MID(TEXT(구매발주대장!$N14,REPT("?",9)),COLUMN(I7),1)</f>
        <v xml:space="preserve"> </v>
      </c>
      <c r="AK22" s="3"/>
    </row>
    <row r="23" spans="1:37" ht="21" customHeight="1" x14ac:dyDescent="0.2">
      <c r="A23" s="110">
        <v>8</v>
      </c>
      <c r="B23" s="110"/>
      <c r="C23" s="110"/>
      <c r="D23" s="110" t="str">
        <f>IF(구매발주대장!J15="","",구매발주대장!J15)</f>
        <v/>
      </c>
      <c r="E23" s="110"/>
      <c r="F23" s="110"/>
      <c r="G23" s="110"/>
      <c r="H23" s="110"/>
      <c r="I23" s="110"/>
      <c r="J23" s="110"/>
      <c r="K23" s="110"/>
      <c r="L23" s="110"/>
      <c r="M23" s="110"/>
      <c r="N23" s="110" t="str">
        <f>IF(구매발주대장!K15="","",구매발주대장!K15)</f>
        <v/>
      </c>
      <c r="O23" s="110"/>
      <c r="P23" s="110"/>
      <c r="Q23" s="110"/>
      <c r="R23" s="110" t="str">
        <f>IF(구매발주대장!L15="","",구매발주대장!L15)</f>
        <v/>
      </c>
      <c r="S23" s="110"/>
      <c r="T23" s="110"/>
      <c r="U23" s="114" t="str">
        <f>IF(구매발주대장!M15="","",구매발주대장!M15)</f>
        <v/>
      </c>
      <c r="V23" s="114"/>
      <c r="W23" s="114"/>
      <c r="X23" s="114"/>
      <c r="Y23" s="114"/>
      <c r="Z23" s="114"/>
      <c r="AA23" s="114"/>
      <c r="AB23" s="4" t="str">
        <f>MID(TEXT(구매발주대장!$N15,REPT("?",9)),COLUMN(A8),1)</f>
        <v xml:space="preserve"> </v>
      </c>
      <c r="AC23" s="4" t="str">
        <f>MID(TEXT(구매발주대장!$N15,REPT("?",9)),COLUMN(B8),1)</f>
        <v xml:space="preserve"> </v>
      </c>
      <c r="AD23" s="4" t="str">
        <f>MID(TEXT(구매발주대장!$N15,REPT("?",9)),COLUMN(C8),1)</f>
        <v xml:space="preserve"> </v>
      </c>
      <c r="AE23" s="4" t="str">
        <f>MID(TEXT(구매발주대장!$N15,REPT("?",9)),COLUMN(D8),1)</f>
        <v xml:space="preserve"> </v>
      </c>
      <c r="AF23" s="4" t="str">
        <f>MID(TEXT(구매발주대장!$N15,REPT("?",9)),COLUMN(E8),1)</f>
        <v xml:space="preserve"> </v>
      </c>
      <c r="AG23" s="4" t="str">
        <f>MID(TEXT(구매발주대장!$N15,REPT("?",9)),COLUMN(F8),1)</f>
        <v xml:space="preserve"> </v>
      </c>
      <c r="AH23" s="4" t="str">
        <f>MID(TEXT(구매발주대장!$N15,REPT("?",9)),COLUMN(G8),1)</f>
        <v xml:space="preserve"> </v>
      </c>
      <c r="AI23" s="4" t="str">
        <f>MID(TEXT(구매발주대장!$N15,REPT("?",9)),COLUMN(H8),1)</f>
        <v xml:space="preserve"> </v>
      </c>
      <c r="AJ23" s="4" t="str">
        <f>MID(TEXT(구매발주대장!$N15,REPT("?",9)),COLUMN(I8),1)</f>
        <v xml:space="preserve"> </v>
      </c>
      <c r="AK23" s="3"/>
    </row>
    <row r="24" spans="1:37" ht="21" customHeight="1" x14ac:dyDescent="0.2">
      <c r="A24" s="110">
        <v>9</v>
      </c>
      <c r="B24" s="110"/>
      <c r="C24" s="110"/>
      <c r="D24" s="110" t="str">
        <f>IF(구매발주대장!J16="","",구매발주대장!J16)</f>
        <v/>
      </c>
      <c r="E24" s="110"/>
      <c r="F24" s="110"/>
      <c r="G24" s="110"/>
      <c r="H24" s="110"/>
      <c r="I24" s="110"/>
      <c r="J24" s="110"/>
      <c r="K24" s="110"/>
      <c r="L24" s="110"/>
      <c r="M24" s="110"/>
      <c r="N24" s="110" t="str">
        <f>IF(구매발주대장!K16="","",구매발주대장!K16)</f>
        <v/>
      </c>
      <c r="O24" s="110"/>
      <c r="P24" s="110"/>
      <c r="Q24" s="110"/>
      <c r="R24" s="110" t="str">
        <f>IF(구매발주대장!L16="","",구매발주대장!L16)</f>
        <v/>
      </c>
      <c r="S24" s="110"/>
      <c r="T24" s="110"/>
      <c r="U24" s="114" t="str">
        <f>IF(구매발주대장!M16="","",구매발주대장!M16)</f>
        <v/>
      </c>
      <c r="V24" s="114"/>
      <c r="W24" s="114"/>
      <c r="X24" s="114"/>
      <c r="Y24" s="114"/>
      <c r="Z24" s="114"/>
      <c r="AA24" s="114"/>
      <c r="AB24" s="4" t="str">
        <f>MID(TEXT(구매발주대장!$N16,REPT("?",9)),COLUMN(A9),1)</f>
        <v xml:space="preserve"> </v>
      </c>
      <c r="AC24" s="4" t="str">
        <f>MID(TEXT(구매발주대장!$N16,REPT("?",9)),COLUMN(B9),1)</f>
        <v xml:space="preserve"> </v>
      </c>
      <c r="AD24" s="4" t="str">
        <f>MID(TEXT(구매발주대장!$N16,REPT("?",9)),COLUMN(C9),1)</f>
        <v xml:space="preserve"> </v>
      </c>
      <c r="AE24" s="4" t="str">
        <f>MID(TEXT(구매발주대장!$N16,REPT("?",9)),COLUMN(D9),1)</f>
        <v xml:space="preserve"> </v>
      </c>
      <c r="AF24" s="4" t="str">
        <f>MID(TEXT(구매발주대장!$N16,REPT("?",9)),COLUMN(E9),1)</f>
        <v xml:space="preserve"> </v>
      </c>
      <c r="AG24" s="4" t="str">
        <f>MID(TEXT(구매발주대장!$N16,REPT("?",9)),COLUMN(F9),1)</f>
        <v xml:space="preserve"> </v>
      </c>
      <c r="AH24" s="4" t="str">
        <f>MID(TEXT(구매발주대장!$N16,REPT("?",9)),COLUMN(G9),1)</f>
        <v xml:space="preserve"> </v>
      </c>
      <c r="AI24" s="4" t="str">
        <f>MID(TEXT(구매발주대장!$N16,REPT("?",9)),COLUMN(H9),1)</f>
        <v xml:space="preserve"> </v>
      </c>
      <c r="AJ24" s="4" t="str">
        <f>MID(TEXT(구매발주대장!$N16,REPT("?",9)),COLUMN(I9),1)</f>
        <v xml:space="preserve"> </v>
      </c>
      <c r="AK24" s="3"/>
    </row>
    <row r="25" spans="1:37" ht="21" customHeight="1" x14ac:dyDescent="0.2">
      <c r="A25" s="110">
        <v>10</v>
      </c>
      <c r="B25" s="110"/>
      <c r="C25" s="110"/>
      <c r="D25" s="110" t="str">
        <f>IF(구매발주대장!J17="","",구매발주대장!J17)</f>
        <v/>
      </c>
      <c r="E25" s="110"/>
      <c r="F25" s="110"/>
      <c r="G25" s="110"/>
      <c r="H25" s="110"/>
      <c r="I25" s="110"/>
      <c r="J25" s="110"/>
      <c r="K25" s="110"/>
      <c r="L25" s="110"/>
      <c r="M25" s="110"/>
      <c r="N25" s="110" t="str">
        <f>IF(구매발주대장!K17="","",구매발주대장!K17)</f>
        <v/>
      </c>
      <c r="O25" s="110"/>
      <c r="P25" s="110"/>
      <c r="Q25" s="110"/>
      <c r="R25" s="110" t="str">
        <f>IF(구매발주대장!L17="","",구매발주대장!L17)</f>
        <v/>
      </c>
      <c r="S25" s="110"/>
      <c r="T25" s="110"/>
      <c r="U25" s="114" t="str">
        <f>IF(구매발주대장!M17="","",구매발주대장!M17)</f>
        <v/>
      </c>
      <c r="V25" s="114"/>
      <c r="W25" s="114"/>
      <c r="X25" s="114"/>
      <c r="Y25" s="114"/>
      <c r="Z25" s="114"/>
      <c r="AA25" s="114"/>
      <c r="AB25" s="4" t="str">
        <f>MID(TEXT(구매발주대장!$N17,REPT("?",9)),COLUMN(A10),1)</f>
        <v xml:space="preserve"> </v>
      </c>
      <c r="AC25" s="4" t="str">
        <f>MID(TEXT(구매발주대장!$N17,REPT("?",9)),COLUMN(B10),1)</f>
        <v xml:space="preserve"> </v>
      </c>
      <c r="AD25" s="4" t="str">
        <f>MID(TEXT(구매발주대장!$N17,REPT("?",9)),COLUMN(C10),1)</f>
        <v xml:space="preserve"> </v>
      </c>
      <c r="AE25" s="4" t="str">
        <f>MID(TEXT(구매발주대장!$N17,REPT("?",9)),COLUMN(D10),1)</f>
        <v xml:space="preserve"> </v>
      </c>
      <c r="AF25" s="4" t="str">
        <f>MID(TEXT(구매발주대장!$N17,REPT("?",9)),COLUMN(E10),1)</f>
        <v xml:space="preserve"> </v>
      </c>
      <c r="AG25" s="4" t="str">
        <f>MID(TEXT(구매발주대장!$N17,REPT("?",9)),COLUMN(F10),1)</f>
        <v xml:space="preserve"> </v>
      </c>
      <c r="AH25" s="4" t="str">
        <f>MID(TEXT(구매발주대장!$N17,REPT("?",9)),COLUMN(G10),1)</f>
        <v xml:space="preserve"> </v>
      </c>
      <c r="AI25" s="4" t="str">
        <f>MID(TEXT(구매발주대장!$N17,REPT("?",9)),COLUMN(H10),1)</f>
        <v xml:space="preserve"> </v>
      </c>
      <c r="AJ25" s="4" t="str">
        <f>MID(TEXT(구매발주대장!$N17,REPT("?",9)),COLUMN(I10),1)</f>
        <v xml:space="preserve"> </v>
      </c>
      <c r="AK25" s="3"/>
    </row>
    <row r="26" spans="1:37" ht="21" customHeight="1" x14ac:dyDescent="0.2">
      <c r="A26" s="110">
        <v>11</v>
      </c>
      <c r="B26" s="110"/>
      <c r="C26" s="110"/>
      <c r="D26" s="110" t="str">
        <f>IF(구매발주대장!J18="","",구매발주대장!J18)</f>
        <v/>
      </c>
      <c r="E26" s="110"/>
      <c r="F26" s="110"/>
      <c r="G26" s="110"/>
      <c r="H26" s="110"/>
      <c r="I26" s="110"/>
      <c r="J26" s="110"/>
      <c r="K26" s="110"/>
      <c r="L26" s="110"/>
      <c r="M26" s="110"/>
      <c r="N26" s="110" t="str">
        <f>IF(구매발주대장!K18="","",구매발주대장!K18)</f>
        <v/>
      </c>
      <c r="O26" s="110"/>
      <c r="P26" s="110"/>
      <c r="Q26" s="110"/>
      <c r="R26" s="110" t="str">
        <f>IF(구매발주대장!L18="","",구매발주대장!L18)</f>
        <v/>
      </c>
      <c r="S26" s="110"/>
      <c r="T26" s="110"/>
      <c r="U26" s="114" t="str">
        <f>IF(구매발주대장!M18="","",구매발주대장!M18)</f>
        <v/>
      </c>
      <c r="V26" s="114"/>
      <c r="W26" s="114"/>
      <c r="X26" s="114"/>
      <c r="Y26" s="114"/>
      <c r="Z26" s="114"/>
      <c r="AA26" s="114"/>
      <c r="AB26" s="4" t="str">
        <f>MID(TEXT(구매발주대장!$N18,REPT("?",9)),COLUMN(A11),1)</f>
        <v xml:space="preserve"> </v>
      </c>
      <c r="AC26" s="4" t="str">
        <f>MID(TEXT(구매발주대장!$N18,REPT("?",9)),COLUMN(B11),1)</f>
        <v xml:space="preserve"> </v>
      </c>
      <c r="AD26" s="4" t="str">
        <f>MID(TEXT(구매발주대장!$N18,REPT("?",9)),COLUMN(C11),1)</f>
        <v xml:space="preserve"> </v>
      </c>
      <c r="AE26" s="4" t="str">
        <f>MID(TEXT(구매발주대장!$N18,REPT("?",9)),COLUMN(D11),1)</f>
        <v xml:space="preserve"> </v>
      </c>
      <c r="AF26" s="4" t="str">
        <f>MID(TEXT(구매발주대장!$N18,REPT("?",9)),COLUMN(E11),1)</f>
        <v xml:space="preserve"> </v>
      </c>
      <c r="AG26" s="4" t="str">
        <f>MID(TEXT(구매발주대장!$N18,REPT("?",9)),COLUMN(F11),1)</f>
        <v xml:space="preserve"> </v>
      </c>
      <c r="AH26" s="4" t="str">
        <f>MID(TEXT(구매발주대장!$N18,REPT("?",9)),COLUMN(G11),1)</f>
        <v xml:space="preserve"> </v>
      </c>
      <c r="AI26" s="4" t="str">
        <f>MID(TEXT(구매발주대장!$N18,REPT("?",9)),COLUMN(H11),1)</f>
        <v xml:space="preserve"> </v>
      </c>
      <c r="AJ26" s="4" t="str">
        <f>MID(TEXT(구매발주대장!$N18,REPT("?",9)),COLUMN(I11),1)</f>
        <v xml:space="preserve"> </v>
      </c>
      <c r="AK26" s="3"/>
    </row>
    <row r="27" spans="1:37" ht="21" customHeight="1" x14ac:dyDescent="0.2">
      <c r="A27" s="110">
        <v>12</v>
      </c>
      <c r="B27" s="110"/>
      <c r="C27" s="110"/>
      <c r="D27" s="110" t="str">
        <f>IF(구매발주대장!J19="","",구매발주대장!J19)</f>
        <v/>
      </c>
      <c r="E27" s="110"/>
      <c r="F27" s="110"/>
      <c r="G27" s="110"/>
      <c r="H27" s="110"/>
      <c r="I27" s="110"/>
      <c r="J27" s="110"/>
      <c r="K27" s="110"/>
      <c r="L27" s="110"/>
      <c r="M27" s="110"/>
      <c r="N27" s="110" t="str">
        <f>IF(구매발주대장!K19="","",구매발주대장!K19)</f>
        <v/>
      </c>
      <c r="O27" s="110"/>
      <c r="P27" s="110"/>
      <c r="Q27" s="110"/>
      <c r="R27" s="110" t="str">
        <f>IF(구매발주대장!L19="","",구매발주대장!L19)</f>
        <v/>
      </c>
      <c r="S27" s="110"/>
      <c r="T27" s="110"/>
      <c r="U27" s="114" t="str">
        <f>IF(구매발주대장!M19="","",구매발주대장!M19)</f>
        <v/>
      </c>
      <c r="V27" s="114"/>
      <c r="W27" s="114"/>
      <c r="X27" s="114"/>
      <c r="Y27" s="114"/>
      <c r="Z27" s="114"/>
      <c r="AA27" s="114"/>
      <c r="AB27" s="4" t="str">
        <f>MID(TEXT(구매발주대장!$N19,REPT("?",9)),COLUMN(A12),1)</f>
        <v xml:space="preserve"> </v>
      </c>
      <c r="AC27" s="4" t="str">
        <f>MID(TEXT(구매발주대장!$N19,REPT("?",9)),COLUMN(B12),1)</f>
        <v xml:space="preserve"> </v>
      </c>
      <c r="AD27" s="4" t="str">
        <f>MID(TEXT(구매발주대장!$N19,REPT("?",9)),COLUMN(C12),1)</f>
        <v xml:space="preserve"> </v>
      </c>
      <c r="AE27" s="4" t="str">
        <f>MID(TEXT(구매발주대장!$N19,REPT("?",9)),COLUMN(D12),1)</f>
        <v xml:space="preserve"> </v>
      </c>
      <c r="AF27" s="4" t="str">
        <f>MID(TEXT(구매발주대장!$N19,REPT("?",9)),COLUMN(E12),1)</f>
        <v xml:space="preserve"> </v>
      </c>
      <c r="AG27" s="4" t="str">
        <f>MID(TEXT(구매발주대장!$N19,REPT("?",9)),COLUMN(F12),1)</f>
        <v xml:space="preserve"> </v>
      </c>
      <c r="AH27" s="4" t="str">
        <f>MID(TEXT(구매발주대장!$N19,REPT("?",9)),COLUMN(G12),1)</f>
        <v xml:space="preserve"> </v>
      </c>
      <c r="AI27" s="4" t="str">
        <f>MID(TEXT(구매발주대장!$N19,REPT("?",9)),COLUMN(H12),1)</f>
        <v xml:space="preserve"> </v>
      </c>
      <c r="AJ27" s="4" t="str">
        <f>MID(TEXT(구매발주대장!$N19,REPT("?",9)),COLUMN(I12),1)</f>
        <v xml:space="preserve"> </v>
      </c>
      <c r="AK27" s="3"/>
    </row>
    <row r="28" spans="1:37" ht="21" customHeight="1" x14ac:dyDescent="0.2">
      <c r="A28" s="110">
        <v>13</v>
      </c>
      <c r="B28" s="110"/>
      <c r="C28" s="110"/>
      <c r="D28" s="110" t="str">
        <f>IF(구매발주대장!J20="","",구매발주대장!J20)</f>
        <v/>
      </c>
      <c r="E28" s="110"/>
      <c r="F28" s="110"/>
      <c r="G28" s="110"/>
      <c r="H28" s="110"/>
      <c r="I28" s="110"/>
      <c r="J28" s="110"/>
      <c r="K28" s="110"/>
      <c r="L28" s="110"/>
      <c r="M28" s="110"/>
      <c r="N28" s="110" t="str">
        <f>IF(구매발주대장!K20="","",구매발주대장!K20)</f>
        <v/>
      </c>
      <c r="O28" s="110"/>
      <c r="P28" s="110"/>
      <c r="Q28" s="110"/>
      <c r="R28" s="110" t="str">
        <f>IF(구매발주대장!L20="","",구매발주대장!L20)</f>
        <v/>
      </c>
      <c r="S28" s="110"/>
      <c r="T28" s="110"/>
      <c r="U28" s="114" t="str">
        <f>IF(구매발주대장!M20="","",구매발주대장!M20)</f>
        <v/>
      </c>
      <c r="V28" s="114"/>
      <c r="W28" s="114"/>
      <c r="X28" s="114"/>
      <c r="Y28" s="114"/>
      <c r="Z28" s="114"/>
      <c r="AA28" s="114"/>
      <c r="AB28" s="4" t="str">
        <f>MID(TEXT(구매발주대장!$N20,REPT("?",9)),COLUMN(A13),1)</f>
        <v xml:space="preserve"> </v>
      </c>
      <c r="AC28" s="4" t="str">
        <f>MID(TEXT(구매발주대장!$N20,REPT("?",9)),COLUMN(B13),1)</f>
        <v xml:space="preserve"> </v>
      </c>
      <c r="AD28" s="4" t="str">
        <f>MID(TEXT(구매발주대장!$N20,REPT("?",9)),COLUMN(C13),1)</f>
        <v xml:space="preserve"> </v>
      </c>
      <c r="AE28" s="4" t="str">
        <f>MID(TEXT(구매발주대장!$N20,REPT("?",9)),COLUMN(D13),1)</f>
        <v xml:space="preserve"> </v>
      </c>
      <c r="AF28" s="4" t="str">
        <f>MID(TEXT(구매발주대장!$N20,REPT("?",9)),COLUMN(E13),1)</f>
        <v xml:space="preserve"> </v>
      </c>
      <c r="AG28" s="4" t="str">
        <f>MID(TEXT(구매발주대장!$N20,REPT("?",9)),COLUMN(F13),1)</f>
        <v xml:space="preserve"> </v>
      </c>
      <c r="AH28" s="4" t="str">
        <f>MID(TEXT(구매발주대장!$N20,REPT("?",9)),COLUMN(G13),1)</f>
        <v xml:space="preserve"> </v>
      </c>
      <c r="AI28" s="4" t="str">
        <f>MID(TEXT(구매발주대장!$N20,REPT("?",9)),COLUMN(H13),1)</f>
        <v xml:space="preserve"> </v>
      </c>
      <c r="AJ28" s="4" t="str">
        <f>MID(TEXT(구매발주대장!$N20,REPT("?",9)),COLUMN(I13),1)</f>
        <v xml:space="preserve"> </v>
      </c>
      <c r="AK28" s="3"/>
    </row>
    <row r="29" spans="1:37" ht="21" customHeight="1" x14ac:dyDescent="0.2">
      <c r="A29" s="110">
        <v>14</v>
      </c>
      <c r="B29" s="110"/>
      <c r="C29" s="110"/>
      <c r="D29" s="110" t="str">
        <f>IF(구매발주대장!J21="","",구매발주대장!J21)</f>
        <v/>
      </c>
      <c r="E29" s="110"/>
      <c r="F29" s="110"/>
      <c r="G29" s="110"/>
      <c r="H29" s="110"/>
      <c r="I29" s="110"/>
      <c r="J29" s="110"/>
      <c r="K29" s="110"/>
      <c r="L29" s="110"/>
      <c r="M29" s="110"/>
      <c r="N29" s="110" t="str">
        <f>IF(구매발주대장!K21="","",구매발주대장!K21)</f>
        <v/>
      </c>
      <c r="O29" s="110"/>
      <c r="P29" s="110"/>
      <c r="Q29" s="110"/>
      <c r="R29" s="110" t="str">
        <f>IF(구매발주대장!L21="","",구매발주대장!L21)</f>
        <v/>
      </c>
      <c r="S29" s="110"/>
      <c r="T29" s="110"/>
      <c r="U29" s="114" t="str">
        <f>IF(구매발주대장!M21="","",구매발주대장!M21)</f>
        <v/>
      </c>
      <c r="V29" s="114"/>
      <c r="W29" s="114"/>
      <c r="X29" s="114"/>
      <c r="Y29" s="114"/>
      <c r="Z29" s="114"/>
      <c r="AA29" s="114"/>
      <c r="AB29" s="4" t="str">
        <f>MID(TEXT(구매발주대장!$N21,REPT("?",9)),COLUMN(A14),1)</f>
        <v xml:space="preserve"> </v>
      </c>
      <c r="AC29" s="4" t="str">
        <f>MID(TEXT(구매발주대장!$N21,REPT("?",9)),COLUMN(B14),1)</f>
        <v xml:space="preserve"> </v>
      </c>
      <c r="AD29" s="4" t="str">
        <f>MID(TEXT(구매발주대장!$N21,REPT("?",9)),COLUMN(C14),1)</f>
        <v xml:space="preserve"> </v>
      </c>
      <c r="AE29" s="4" t="str">
        <f>MID(TEXT(구매발주대장!$N21,REPT("?",9)),COLUMN(D14),1)</f>
        <v xml:space="preserve"> </v>
      </c>
      <c r="AF29" s="4" t="str">
        <f>MID(TEXT(구매발주대장!$N21,REPT("?",9)),COLUMN(E14),1)</f>
        <v xml:space="preserve"> </v>
      </c>
      <c r="AG29" s="4" t="str">
        <f>MID(TEXT(구매발주대장!$N21,REPT("?",9)),COLUMN(F14),1)</f>
        <v xml:space="preserve"> </v>
      </c>
      <c r="AH29" s="4" t="str">
        <f>MID(TEXT(구매발주대장!$N21,REPT("?",9)),COLUMN(G14),1)</f>
        <v xml:space="preserve"> </v>
      </c>
      <c r="AI29" s="4" t="str">
        <f>MID(TEXT(구매발주대장!$N21,REPT("?",9)),COLUMN(H14),1)</f>
        <v xml:space="preserve"> </v>
      </c>
      <c r="AJ29" s="4" t="str">
        <f>MID(TEXT(구매발주대장!$N21,REPT("?",9)),COLUMN(I14),1)</f>
        <v xml:space="preserve"> </v>
      </c>
      <c r="AK29" s="3"/>
    </row>
    <row r="30" spans="1:37" ht="21" customHeight="1" x14ac:dyDescent="0.2">
      <c r="A30" s="110">
        <v>15</v>
      </c>
      <c r="B30" s="110"/>
      <c r="C30" s="110"/>
      <c r="D30" s="110" t="str">
        <f>IF(구매발주대장!J22="","",구매발주대장!J22)</f>
        <v/>
      </c>
      <c r="E30" s="110"/>
      <c r="F30" s="110"/>
      <c r="G30" s="110"/>
      <c r="H30" s="110"/>
      <c r="I30" s="110"/>
      <c r="J30" s="110"/>
      <c r="K30" s="110"/>
      <c r="L30" s="110"/>
      <c r="M30" s="110"/>
      <c r="N30" s="110" t="str">
        <f>IF(구매발주대장!K22="","",구매발주대장!K22)</f>
        <v/>
      </c>
      <c r="O30" s="110"/>
      <c r="P30" s="110"/>
      <c r="Q30" s="110"/>
      <c r="R30" s="110" t="str">
        <f>IF(구매발주대장!L22="","",구매발주대장!L22)</f>
        <v/>
      </c>
      <c r="S30" s="110"/>
      <c r="T30" s="110"/>
      <c r="U30" s="114" t="str">
        <f>IF(구매발주대장!M22="","",구매발주대장!M22)</f>
        <v/>
      </c>
      <c r="V30" s="114"/>
      <c r="W30" s="114"/>
      <c r="X30" s="114"/>
      <c r="Y30" s="114"/>
      <c r="Z30" s="114"/>
      <c r="AA30" s="114"/>
      <c r="AB30" s="4" t="str">
        <f>MID(TEXT(구매발주대장!$N22,REPT("?",9)),COLUMN(A15),1)</f>
        <v xml:space="preserve"> </v>
      </c>
      <c r="AC30" s="4" t="str">
        <f>MID(TEXT(구매발주대장!$N22,REPT("?",9)),COLUMN(B15),1)</f>
        <v xml:space="preserve"> </v>
      </c>
      <c r="AD30" s="4" t="str">
        <f>MID(TEXT(구매발주대장!$N22,REPT("?",9)),COLUMN(C15),1)</f>
        <v xml:space="preserve"> </v>
      </c>
      <c r="AE30" s="4" t="str">
        <f>MID(TEXT(구매발주대장!$N22,REPT("?",9)),COLUMN(D15),1)</f>
        <v xml:space="preserve"> </v>
      </c>
      <c r="AF30" s="4" t="str">
        <f>MID(TEXT(구매발주대장!$N22,REPT("?",9)),COLUMN(E15),1)</f>
        <v xml:space="preserve"> </v>
      </c>
      <c r="AG30" s="4" t="str">
        <f>MID(TEXT(구매발주대장!$N22,REPT("?",9)),COLUMN(F15),1)</f>
        <v xml:space="preserve"> </v>
      </c>
      <c r="AH30" s="4" t="str">
        <f>MID(TEXT(구매발주대장!$N22,REPT("?",9)),COLUMN(G15),1)</f>
        <v xml:space="preserve"> </v>
      </c>
      <c r="AI30" s="4" t="str">
        <f>MID(TEXT(구매발주대장!$N22,REPT("?",9)),COLUMN(H15),1)</f>
        <v xml:space="preserve"> </v>
      </c>
      <c r="AJ30" s="4" t="str">
        <f>MID(TEXT(구매발주대장!$N22,REPT("?",9)),COLUMN(I15),1)</f>
        <v xml:space="preserve"> </v>
      </c>
      <c r="AK30" s="3"/>
    </row>
    <row r="31" spans="1:37" ht="21" customHeight="1" x14ac:dyDescent="0.2">
      <c r="A31" s="110">
        <v>16</v>
      </c>
      <c r="B31" s="110"/>
      <c r="C31" s="110"/>
      <c r="D31" s="110" t="str">
        <f>IF(구매발주대장!J23="","",구매발주대장!J23)</f>
        <v/>
      </c>
      <c r="E31" s="110"/>
      <c r="F31" s="110"/>
      <c r="G31" s="110"/>
      <c r="H31" s="110"/>
      <c r="I31" s="110"/>
      <c r="J31" s="110"/>
      <c r="K31" s="110"/>
      <c r="L31" s="110"/>
      <c r="M31" s="110"/>
      <c r="N31" s="110" t="str">
        <f>IF(구매발주대장!K23="","",구매발주대장!K23)</f>
        <v/>
      </c>
      <c r="O31" s="110"/>
      <c r="P31" s="110"/>
      <c r="Q31" s="110"/>
      <c r="R31" s="110" t="str">
        <f>IF(구매발주대장!L23="","",구매발주대장!L23)</f>
        <v/>
      </c>
      <c r="S31" s="110"/>
      <c r="T31" s="110"/>
      <c r="U31" s="114" t="str">
        <f>IF(구매발주대장!M23="","",구매발주대장!M23)</f>
        <v/>
      </c>
      <c r="V31" s="114"/>
      <c r="W31" s="114"/>
      <c r="X31" s="114"/>
      <c r="Y31" s="114"/>
      <c r="Z31" s="114"/>
      <c r="AA31" s="114"/>
      <c r="AB31" s="4" t="str">
        <f>MID(TEXT(구매발주대장!$N23,REPT("?",9)),COLUMN(A16),1)</f>
        <v xml:space="preserve"> </v>
      </c>
      <c r="AC31" s="4" t="str">
        <f>MID(TEXT(구매발주대장!$N23,REPT("?",9)),COLUMN(B16),1)</f>
        <v xml:space="preserve"> </v>
      </c>
      <c r="AD31" s="4" t="str">
        <f>MID(TEXT(구매발주대장!$N23,REPT("?",9)),COLUMN(C16),1)</f>
        <v xml:space="preserve"> </v>
      </c>
      <c r="AE31" s="4" t="str">
        <f>MID(TEXT(구매발주대장!$N23,REPT("?",9)),COLUMN(D16),1)</f>
        <v xml:space="preserve"> </v>
      </c>
      <c r="AF31" s="4" t="str">
        <f>MID(TEXT(구매발주대장!$N23,REPT("?",9)),COLUMN(E16),1)</f>
        <v xml:space="preserve"> </v>
      </c>
      <c r="AG31" s="4" t="str">
        <f>MID(TEXT(구매발주대장!$N23,REPT("?",9)),COLUMN(F16),1)</f>
        <v xml:space="preserve"> </v>
      </c>
      <c r="AH31" s="4" t="str">
        <f>MID(TEXT(구매발주대장!$N23,REPT("?",9)),COLUMN(G16),1)</f>
        <v xml:space="preserve"> </v>
      </c>
      <c r="AI31" s="4" t="str">
        <f>MID(TEXT(구매발주대장!$N23,REPT("?",9)),COLUMN(H16),1)</f>
        <v xml:space="preserve"> </v>
      </c>
      <c r="AJ31" s="4" t="str">
        <f>MID(TEXT(구매발주대장!$N23,REPT("?",9)),COLUMN(I16),1)</f>
        <v xml:space="preserve"> </v>
      </c>
      <c r="AK31" s="3"/>
    </row>
    <row r="32" spans="1:37" ht="21" customHeight="1" x14ac:dyDescent="0.2">
      <c r="A32" s="110">
        <v>17</v>
      </c>
      <c r="B32" s="110"/>
      <c r="C32" s="110"/>
      <c r="D32" s="110" t="str">
        <f>IF(구매발주대장!J24="","",구매발주대장!J24)</f>
        <v/>
      </c>
      <c r="E32" s="110"/>
      <c r="F32" s="110"/>
      <c r="G32" s="110"/>
      <c r="H32" s="110"/>
      <c r="I32" s="110"/>
      <c r="J32" s="110"/>
      <c r="K32" s="110"/>
      <c r="L32" s="110"/>
      <c r="M32" s="110"/>
      <c r="N32" s="110" t="str">
        <f>IF(구매발주대장!K24="","",구매발주대장!K24)</f>
        <v/>
      </c>
      <c r="O32" s="110"/>
      <c r="P32" s="110"/>
      <c r="Q32" s="110"/>
      <c r="R32" s="110" t="str">
        <f>IF(구매발주대장!L24="","",구매발주대장!L24)</f>
        <v/>
      </c>
      <c r="S32" s="110"/>
      <c r="T32" s="110"/>
      <c r="U32" s="114" t="str">
        <f>IF(구매발주대장!M24="","",구매발주대장!M24)</f>
        <v/>
      </c>
      <c r="V32" s="114"/>
      <c r="W32" s="114"/>
      <c r="X32" s="114"/>
      <c r="Y32" s="114"/>
      <c r="Z32" s="114"/>
      <c r="AA32" s="114"/>
      <c r="AB32" s="4" t="str">
        <f>MID(TEXT(구매발주대장!$N24,REPT("?",9)),COLUMN(A17),1)</f>
        <v xml:space="preserve"> </v>
      </c>
      <c r="AC32" s="4" t="str">
        <f>MID(TEXT(구매발주대장!$N24,REPT("?",9)),COLUMN(B17),1)</f>
        <v xml:space="preserve"> </v>
      </c>
      <c r="AD32" s="4" t="str">
        <f>MID(TEXT(구매발주대장!$N24,REPT("?",9)),COLUMN(C17),1)</f>
        <v xml:space="preserve"> </v>
      </c>
      <c r="AE32" s="4" t="str">
        <f>MID(TEXT(구매발주대장!$N24,REPT("?",9)),COLUMN(D17),1)</f>
        <v xml:space="preserve"> </v>
      </c>
      <c r="AF32" s="4" t="str">
        <f>MID(TEXT(구매발주대장!$N24,REPT("?",9)),COLUMN(E17),1)</f>
        <v xml:space="preserve"> </v>
      </c>
      <c r="AG32" s="4" t="str">
        <f>MID(TEXT(구매발주대장!$N24,REPT("?",9)),COLUMN(F17),1)</f>
        <v xml:space="preserve"> </v>
      </c>
      <c r="AH32" s="4" t="str">
        <f>MID(TEXT(구매발주대장!$N24,REPT("?",9)),COLUMN(G17),1)</f>
        <v xml:space="preserve"> </v>
      </c>
      <c r="AI32" s="4" t="str">
        <f>MID(TEXT(구매발주대장!$N24,REPT("?",9)),COLUMN(H17),1)</f>
        <v xml:space="preserve"> </v>
      </c>
      <c r="AJ32" s="4" t="str">
        <f>MID(TEXT(구매발주대장!$N24,REPT("?",9)),COLUMN(I17),1)</f>
        <v xml:space="preserve"> </v>
      </c>
      <c r="AK32" s="3"/>
    </row>
    <row r="33" spans="1:37" ht="21" customHeight="1" x14ac:dyDescent="0.2">
      <c r="A33" s="110">
        <v>18</v>
      </c>
      <c r="B33" s="110"/>
      <c r="C33" s="110"/>
      <c r="D33" s="110" t="str">
        <f>IF(구매발주대장!J25="","",구매발주대장!J25)</f>
        <v/>
      </c>
      <c r="E33" s="110"/>
      <c r="F33" s="110"/>
      <c r="G33" s="110"/>
      <c r="H33" s="110"/>
      <c r="I33" s="110"/>
      <c r="J33" s="110"/>
      <c r="K33" s="110"/>
      <c r="L33" s="110"/>
      <c r="M33" s="110"/>
      <c r="N33" s="110" t="str">
        <f>IF(구매발주대장!K25="","",구매발주대장!K25)</f>
        <v/>
      </c>
      <c r="O33" s="110"/>
      <c r="P33" s="110"/>
      <c r="Q33" s="110"/>
      <c r="R33" s="110" t="str">
        <f>IF(구매발주대장!L25="","",구매발주대장!L25)</f>
        <v/>
      </c>
      <c r="S33" s="110"/>
      <c r="T33" s="110"/>
      <c r="U33" s="114" t="str">
        <f>IF(구매발주대장!M25="","",구매발주대장!M25)</f>
        <v/>
      </c>
      <c r="V33" s="114"/>
      <c r="W33" s="114"/>
      <c r="X33" s="114"/>
      <c r="Y33" s="114"/>
      <c r="Z33" s="114"/>
      <c r="AA33" s="114"/>
      <c r="AB33" s="4" t="str">
        <f>MID(TEXT(구매발주대장!$N25,REPT("?",9)),COLUMN(A18),1)</f>
        <v xml:space="preserve"> </v>
      </c>
      <c r="AC33" s="4" t="str">
        <f>MID(TEXT(구매발주대장!$N25,REPT("?",9)),COLUMN(B18),1)</f>
        <v xml:space="preserve"> </v>
      </c>
      <c r="AD33" s="4" t="str">
        <f>MID(TEXT(구매발주대장!$N25,REPT("?",9)),COLUMN(C18),1)</f>
        <v xml:space="preserve"> </v>
      </c>
      <c r="AE33" s="4" t="str">
        <f>MID(TEXT(구매발주대장!$N25,REPT("?",9)),COLUMN(D18),1)</f>
        <v xml:space="preserve"> </v>
      </c>
      <c r="AF33" s="4" t="str">
        <f>MID(TEXT(구매발주대장!$N25,REPT("?",9)),COLUMN(E18),1)</f>
        <v xml:space="preserve"> </v>
      </c>
      <c r="AG33" s="4" t="str">
        <f>MID(TEXT(구매발주대장!$N25,REPT("?",9)),COLUMN(F18),1)</f>
        <v xml:space="preserve"> </v>
      </c>
      <c r="AH33" s="4" t="str">
        <f>MID(TEXT(구매발주대장!$N25,REPT("?",9)),COLUMN(G18),1)</f>
        <v xml:space="preserve"> </v>
      </c>
      <c r="AI33" s="4" t="str">
        <f>MID(TEXT(구매발주대장!$N25,REPT("?",9)),COLUMN(H18),1)</f>
        <v xml:space="preserve"> </v>
      </c>
      <c r="AJ33" s="4" t="str">
        <f>MID(TEXT(구매발주대장!$N25,REPT("?",9)),COLUMN(I18),1)</f>
        <v xml:space="preserve"> </v>
      </c>
      <c r="AK33" s="3"/>
    </row>
    <row r="34" spans="1:37" ht="21" customHeight="1" x14ac:dyDescent="0.2">
      <c r="A34" s="110">
        <v>19</v>
      </c>
      <c r="B34" s="110"/>
      <c r="C34" s="110"/>
      <c r="D34" s="110" t="str">
        <f>IF(구매발주대장!J26="","",구매발주대장!J26)</f>
        <v/>
      </c>
      <c r="E34" s="110"/>
      <c r="F34" s="110"/>
      <c r="G34" s="110"/>
      <c r="H34" s="110"/>
      <c r="I34" s="110"/>
      <c r="J34" s="110"/>
      <c r="K34" s="110"/>
      <c r="L34" s="110"/>
      <c r="M34" s="110"/>
      <c r="N34" s="110" t="str">
        <f>IF(구매발주대장!K26="","",구매발주대장!K26)</f>
        <v/>
      </c>
      <c r="O34" s="110"/>
      <c r="P34" s="110"/>
      <c r="Q34" s="110"/>
      <c r="R34" s="110" t="str">
        <f>IF(구매발주대장!L26="","",구매발주대장!L26)</f>
        <v/>
      </c>
      <c r="S34" s="110"/>
      <c r="T34" s="110"/>
      <c r="U34" s="114" t="str">
        <f>IF(구매발주대장!M26="","",구매발주대장!M26)</f>
        <v/>
      </c>
      <c r="V34" s="114"/>
      <c r="W34" s="114"/>
      <c r="X34" s="114"/>
      <c r="Y34" s="114"/>
      <c r="Z34" s="114"/>
      <c r="AA34" s="114"/>
      <c r="AB34" s="4" t="str">
        <f>MID(TEXT(구매발주대장!$N26,REPT("?",9)),COLUMN(A19),1)</f>
        <v xml:space="preserve"> </v>
      </c>
      <c r="AC34" s="4" t="str">
        <f>MID(TEXT(구매발주대장!$N26,REPT("?",9)),COLUMN(B19),1)</f>
        <v xml:space="preserve"> </v>
      </c>
      <c r="AD34" s="4" t="str">
        <f>MID(TEXT(구매발주대장!$N26,REPT("?",9)),COLUMN(C19),1)</f>
        <v xml:space="preserve"> </v>
      </c>
      <c r="AE34" s="4" t="str">
        <f>MID(TEXT(구매발주대장!$N26,REPT("?",9)),COLUMN(D19),1)</f>
        <v xml:space="preserve"> </v>
      </c>
      <c r="AF34" s="4" t="str">
        <f>MID(TEXT(구매발주대장!$N26,REPT("?",9)),COLUMN(E19),1)</f>
        <v xml:space="preserve"> </v>
      </c>
      <c r="AG34" s="4" t="str">
        <f>MID(TEXT(구매발주대장!$N26,REPT("?",9)),COLUMN(F19),1)</f>
        <v xml:space="preserve"> </v>
      </c>
      <c r="AH34" s="4" t="str">
        <f>MID(TEXT(구매발주대장!$N26,REPT("?",9)),COLUMN(G19),1)</f>
        <v xml:space="preserve"> </v>
      </c>
      <c r="AI34" s="4" t="str">
        <f>MID(TEXT(구매발주대장!$N26,REPT("?",9)),COLUMN(H19),1)</f>
        <v xml:space="preserve"> </v>
      </c>
      <c r="AJ34" s="4" t="str">
        <f>MID(TEXT(구매발주대장!$N26,REPT("?",9)),COLUMN(I19),1)</f>
        <v xml:space="preserve"> </v>
      </c>
      <c r="AK34" s="3"/>
    </row>
    <row r="35" spans="1:37" ht="21" customHeight="1" x14ac:dyDescent="0.2">
      <c r="A35" s="110">
        <v>20</v>
      </c>
      <c r="B35" s="110"/>
      <c r="C35" s="110"/>
      <c r="D35" s="110" t="str">
        <f>IF(구매발주대장!J27="","",구매발주대장!J27)</f>
        <v/>
      </c>
      <c r="E35" s="110"/>
      <c r="F35" s="110"/>
      <c r="G35" s="110"/>
      <c r="H35" s="110"/>
      <c r="I35" s="110"/>
      <c r="J35" s="110"/>
      <c r="K35" s="110"/>
      <c r="L35" s="110"/>
      <c r="M35" s="110"/>
      <c r="N35" s="110" t="str">
        <f>IF(구매발주대장!K27="","",구매발주대장!K27)</f>
        <v/>
      </c>
      <c r="O35" s="110"/>
      <c r="P35" s="110"/>
      <c r="Q35" s="110"/>
      <c r="R35" s="110" t="str">
        <f>IF(구매발주대장!L27="","",구매발주대장!L27)</f>
        <v/>
      </c>
      <c r="S35" s="110"/>
      <c r="T35" s="110"/>
      <c r="U35" s="114" t="str">
        <f>IF(구매발주대장!M27="","",구매발주대장!M27)</f>
        <v/>
      </c>
      <c r="V35" s="114"/>
      <c r="W35" s="114"/>
      <c r="X35" s="114"/>
      <c r="Y35" s="114"/>
      <c r="Z35" s="114"/>
      <c r="AA35" s="114"/>
      <c r="AB35" s="4" t="str">
        <f>MID(TEXT(구매발주대장!$N27,REPT("?",9)),COLUMN(A20),1)</f>
        <v xml:space="preserve"> </v>
      </c>
      <c r="AC35" s="4" t="str">
        <f>MID(TEXT(구매발주대장!$N27,REPT("?",9)),COLUMN(B20),1)</f>
        <v xml:space="preserve"> </v>
      </c>
      <c r="AD35" s="4" t="str">
        <f>MID(TEXT(구매발주대장!$N27,REPT("?",9)),COLUMN(C20),1)</f>
        <v xml:space="preserve"> </v>
      </c>
      <c r="AE35" s="4" t="str">
        <f>MID(TEXT(구매발주대장!$N27,REPT("?",9)),COLUMN(D20),1)</f>
        <v xml:space="preserve"> </v>
      </c>
      <c r="AF35" s="4" t="str">
        <f>MID(TEXT(구매발주대장!$N27,REPT("?",9)),COLUMN(E20),1)</f>
        <v xml:space="preserve"> </v>
      </c>
      <c r="AG35" s="4" t="str">
        <f>MID(TEXT(구매발주대장!$N27,REPT("?",9)),COLUMN(F20),1)</f>
        <v xml:space="preserve"> </v>
      </c>
      <c r="AH35" s="4" t="str">
        <f>MID(TEXT(구매발주대장!$N27,REPT("?",9)),COLUMN(G20),1)</f>
        <v xml:space="preserve"> </v>
      </c>
      <c r="AI35" s="4" t="str">
        <f>MID(TEXT(구매발주대장!$N27,REPT("?",9)),COLUMN(H20),1)</f>
        <v xml:space="preserve"> </v>
      </c>
      <c r="AJ35" s="4" t="str">
        <f>MID(TEXT(구매발주대장!$N27,REPT("?",9)),COLUMN(I20),1)</f>
        <v xml:space="preserve"> </v>
      </c>
      <c r="AK35" s="3"/>
    </row>
  </sheetData>
  <mergeCells count="132">
    <mergeCell ref="A34:C34"/>
    <mergeCell ref="D34:M34"/>
    <mergeCell ref="N34:Q34"/>
    <mergeCell ref="R34:T34"/>
    <mergeCell ref="N33:Q33"/>
    <mergeCell ref="R33:T33"/>
    <mergeCell ref="U35:AA35"/>
    <mergeCell ref="A35:C35"/>
    <mergeCell ref="D35:M35"/>
    <mergeCell ref="N35:Q35"/>
    <mergeCell ref="R35:T35"/>
    <mergeCell ref="U34:AA34"/>
    <mergeCell ref="U32:AA32"/>
    <mergeCell ref="U33:AA33"/>
    <mergeCell ref="A32:C32"/>
    <mergeCell ref="D32:M32"/>
    <mergeCell ref="N32:Q32"/>
    <mergeCell ref="R32:T32"/>
    <mergeCell ref="A31:C31"/>
    <mergeCell ref="D31:M31"/>
    <mergeCell ref="N31:Q31"/>
    <mergeCell ref="A33:C33"/>
    <mergeCell ref="D33:M33"/>
    <mergeCell ref="R31:T31"/>
    <mergeCell ref="U31:AA31"/>
    <mergeCell ref="U30:AA30"/>
    <mergeCell ref="A29:C29"/>
    <mergeCell ref="D29:M29"/>
    <mergeCell ref="A30:C30"/>
    <mergeCell ref="D30:M30"/>
    <mergeCell ref="N30:Q30"/>
    <mergeCell ref="R30:T30"/>
    <mergeCell ref="N29:Q29"/>
    <mergeCell ref="R29:T29"/>
    <mergeCell ref="U28:AA28"/>
    <mergeCell ref="U29:AA29"/>
    <mergeCell ref="A28:C28"/>
    <mergeCell ref="D28:M28"/>
    <mergeCell ref="N28:Q28"/>
    <mergeCell ref="R28:T28"/>
    <mergeCell ref="A27:C27"/>
    <mergeCell ref="D27:M27"/>
    <mergeCell ref="N27:Q27"/>
    <mergeCell ref="R27:T27"/>
    <mergeCell ref="U27:AA27"/>
    <mergeCell ref="U26:AA26"/>
    <mergeCell ref="A25:C25"/>
    <mergeCell ref="D25:M25"/>
    <mergeCell ref="A26:C26"/>
    <mergeCell ref="D26:M26"/>
    <mergeCell ref="N26:Q26"/>
    <mergeCell ref="R26:T26"/>
    <mergeCell ref="N25:Q25"/>
    <mergeCell ref="R25:T25"/>
    <mergeCell ref="U24:AA24"/>
    <mergeCell ref="U25:AA25"/>
    <mergeCell ref="A24:C24"/>
    <mergeCell ref="D24:M24"/>
    <mergeCell ref="N24:Q24"/>
    <mergeCell ref="R24:T24"/>
    <mergeCell ref="A23:C23"/>
    <mergeCell ref="D23:M23"/>
    <mergeCell ref="N23:Q23"/>
    <mergeCell ref="R23:T23"/>
    <mergeCell ref="U23:AA23"/>
    <mergeCell ref="U22:AA22"/>
    <mergeCell ref="A21:C21"/>
    <mergeCell ref="D21:M21"/>
    <mergeCell ref="A22:C22"/>
    <mergeCell ref="D22:M22"/>
    <mergeCell ref="N22:Q22"/>
    <mergeCell ref="R22:T22"/>
    <mergeCell ref="N21:Q21"/>
    <mergeCell ref="R21:T21"/>
    <mergeCell ref="U20:AA20"/>
    <mergeCell ref="U21:AA21"/>
    <mergeCell ref="A20:C20"/>
    <mergeCell ref="D20:M20"/>
    <mergeCell ref="N20:Q20"/>
    <mergeCell ref="R20:T20"/>
    <mergeCell ref="A19:C19"/>
    <mergeCell ref="D19:M19"/>
    <mergeCell ref="N19:Q19"/>
    <mergeCell ref="R19:T19"/>
    <mergeCell ref="U19:AA19"/>
    <mergeCell ref="U18:AA18"/>
    <mergeCell ref="A17:C17"/>
    <mergeCell ref="D17:M17"/>
    <mergeCell ref="A18:C18"/>
    <mergeCell ref="D18:M18"/>
    <mergeCell ref="N18:Q18"/>
    <mergeCell ref="R18:T18"/>
    <mergeCell ref="N17:Q17"/>
    <mergeCell ref="R17:T17"/>
    <mergeCell ref="U15:AA15"/>
    <mergeCell ref="R15:T15"/>
    <mergeCell ref="U17:AA17"/>
    <mergeCell ref="AB15:AJ15"/>
    <mergeCell ref="U16:AA16"/>
    <mergeCell ref="A16:C16"/>
    <mergeCell ref="D16:M16"/>
    <mergeCell ref="N16:Q16"/>
    <mergeCell ref="R16:T16"/>
    <mergeCell ref="A15:C15"/>
    <mergeCell ref="A11:E11"/>
    <mergeCell ref="F11:T11"/>
    <mergeCell ref="A10:E10"/>
    <mergeCell ref="F10:T10"/>
    <mergeCell ref="A7:E7"/>
    <mergeCell ref="F7:O7"/>
    <mergeCell ref="A8:E8"/>
    <mergeCell ref="F8:O8"/>
    <mergeCell ref="D15:M15"/>
    <mergeCell ref="N15:Q15"/>
    <mergeCell ref="A13:E13"/>
    <mergeCell ref="F13:T13"/>
    <mergeCell ref="A12:E12"/>
    <mergeCell ref="F12:T12"/>
    <mergeCell ref="AC5:AF5"/>
    <mergeCell ref="AG5:AJ5"/>
    <mergeCell ref="A6:E6"/>
    <mergeCell ref="F6:O6"/>
    <mergeCell ref="U6:X8"/>
    <mergeCell ref="Y6:AB8"/>
    <mergeCell ref="AC6:AF8"/>
    <mergeCell ref="AG6:AJ8"/>
    <mergeCell ref="A1:AJ4"/>
    <mergeCell ref="A5:M5"/>
    <mergeCell ref="N5:O5"/>
    <mergeCell ref="T5:T8"/>
    <mergeCell ref="U5:X5"/>
    <mergeCell ref="Y5:AB5"/>
  </mergeCells>
  <phoneticPr fontId="3" type="noConversion"/>
  <dataValidations count="2">
    <dataValidation type="list" allowBlank="1" showInputMessage="1" showErrorMessage="1" sqref="F7:O7" xr:uid="{00000000-0002-0000-0200-000000000000}">
      <formula1>발주일자목록</formula1>
    </dataValidation>
    <dataValidation type="list" allowBlank="1" showInputMessage="1" showErrorMessage="1" sqref="A5:M5" xr:uid="{00000000-0002-0000-0200-000001000000}">
      <formula1>구매처목록</formula1>
    </dataValidation>
  </dataValidations>
  <printOptions horizontalCentered="1" vertic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구매발주서작성">
                <anchor moveWithCells="1" sizeWithCells="1">
                  <from>
                    <xdr:col>38</xdr:col>
                    <xdr:colOff>104775</xdr:colOff>
                    <xdr:row>3</xdr:row>
                    <xdr:rowOff>228600</xdr:rowOff>
                  </from>
                  <to>
                    <xdr:col>48</xdr:col>
                    <xdr:colOff>95250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인쇄하기">
                <anchor moveWithCells="1" sizeWithCells="1">
                  <from>
                    <xdr:col>38</xdr:col>
                    <xdr:colOff>104775</xdr:colOff>
                    <xdr:row>6</xdr:row>
                    <xdr:rowOff>104775</xdr:rowOff>
                  </from>
                  <to>
                    <xdr:col>48</xdr:col>
                    <xdr:colOff>95250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11</vt:i4>
      </vt:variant>
    </vt:vector>
  </HeadingPairs>
  <TitlesOfParts>
    <vt:vector size="14" baseType="lpstr">
      <vt:lpstr>구매처등록</vt:lpstr>
      <vt:lpstr>구매발주대장</vt:lpstr>
      <vt:lpstr>구매발주서</vt:lpstr>
      <vt:lpstr>구매발주대장!Criteria</vt:lpstr>
      <vt:lpstr>구매발주대장!Extract</vt:lpstr>
      <vt:lpstr>동신물산</vt:lpstr>
      <vt:lpstr>동신물산표</vt:lpstr>
      <vt:lpstr>목록표</vt:lpstr>
      <vt:lpstr>복사표</vt:lpstr>
      <vt:lpstr>성진교역</vt:lpstr>
      <vt:lpstr>성진교역표</vt:lpstr>
      <vt:lpstr>아주상사</vt:lpstr>
      <vt:lpstr>아주상사표</vt:lpstr>
      <vt:lpstr>조건표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이병재</dc:creator>
  <cp:lastModifiedBy>user</cp:lastModifiedBy>
  <cp:lastPrinted>2006-10-12T02:52:40Z</cp:lastPrinted>
  <dcterms:created xsi:type="dcterms:W3CDTF">2006-09-28T01:12:32Z</dcterms:created>
  <dcterms:modified xsi:type="dcterms:W3CDTF">2021-08-20T09:45:34Z</dcterms:modified>
</cp:coreProperties>
</file>