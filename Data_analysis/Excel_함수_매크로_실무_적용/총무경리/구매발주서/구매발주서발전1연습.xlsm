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총무경리\구매발주서 연습\"/>
    </mc:Choice>
  </mc:AlternateContent>
  <xr:revisionPtr revIDLastSave="0" documentId="13_ncr:1_{74890584-90B6-4C03-B0D9-F0A33F2DEDE0}" xr6:coauthVersionLast="45" xr6:coauthVersionMax="45" xr10:uidLastSave="{00000000-0000-0000-0000-000000000000}"/>
  <bookViews>
    <workbookView xWindow="5190" yWindow="90" windowWidth="13020" windowHeight="10350" xr2:uid="{00000000-000D-0000-FFFF-FFFF00000000}"/>
  </bookViews>
  <sheets>
    <sheet name="구매발주대장" sheetId="2" r:id="rId1"/>
    <sheet name="구매발주서" sheetId="1" r:id="rId2"/>
  </sheets>
  <definedNames>
    <definedName name="_xlnm._FilterDatabase" localSheetId="0" hidden="1">구매발주대장!$A$4:$H$39</definedName>
    <definedName name="_xlnm.Criteria" localSheetId="0">구매발주대장!$J$4:$K$5</definedName>
    <definedName name="_xlnm.Extract" localSheetId="0">구매발주대장!$J$7:$N$7</definedName>
    <definedName name="목록표">구매발주대장!$A$4:$H$39</definedName>
    <definedName name="복사표">구매발주대장!$J$7:$N$7</definedName>
    <definedName name="조건표">구매발주대장!$J$4:$K$5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5" i="2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F8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U16" i="1"/>
  <c r="R16" i="1"/>
  <c r="N16" i="1"/>
  <c r="D16" i="1"/>
  <c r="K5" i="2"/>
  <c r="J5" i="2"/>
</calcChain>
</file>

<file path=xl/sharedStrings.xml><?xml version="1.0" encoding="utf-8"?>
<sst xmlns="http://schemas.openxmlformats.org/spreadsheetml/2006/main" count="65" uniqueCount="52">
  <si>
    <t>결  재</t>
    <phoneticPr fontId="3" type="noConversion"/>
  </si>
  <si>
    <t>대리</t>
    <phoneticPr fontId="3" type="noConversion"/>
  </si>
  <si>
    <t>과장</t>
    <phoneticPr fontId="3" type="noConversion"/>
  </si>
  <si>
    <t>대표이사</t>
    <phoneticPr fontId="3" type="noConversion"/>
  </si>
  <si>
    <t>발주처</t>
    <phoneticPr fontId="3" type="noConversion"/>
  </si>
  <si>
    <t>주   소</t>
    <phoneticPr fontId="3" type="noConversion"/>
  </si>
  <si>
    <t>전화번호</t>
    <phoneticPr fontId="3" type="noConversion"/>
  </si>
  <si>
    <t>품  번</t>
    <phoneticPr fontId="3" type="noConversion"/>
  </si>
  <si>
    <t>품  명</t>
    <phoneticPr fontId="3" type="noConversion"/>
  </si>
  <si>
    <t>규  격</t>
    <phoneticPr fontId="3" type="noConversion"/>
  </si>
  <si>
    <t>수  량</t>
    <phoneticPr fontId="3" type="noConversion"/>
  </si>
  <si>
    <t>단  가</t>
    <phoneticPr fontId="3" type="noConversion"/>
  </si>
  <si>
    <t>구  매  발  주  서</t>
    <phoneticPr fontId="3" type="noConversion"/>
  </si>
  <si>
    <t>담당자</t>
    <phoneticPr fontId="3" type="noConversion"/>
  </si>
  <si>
    <t>구매처</t>
    <phoneticPr fontId="2" type="noConversion"/>
  </si>
  <si>
    <t>품명</t>
    <phoneticPr fontId="2" type="noConversion"/>
  </si>
  <si>
    <t>규격</t>
    <phoneticPr fontId="2" type="noConversion"/>
  </si>
  <si>
    <t>수량</t>
    <phoneticPr fontId="2" type="noConversion"/>
  </si>
  <si>
    <t>단가</t>
    <phoneticPr fontId="2" type="noConversion"/>
  </si>
  <si>
    <t>구매 발주 대장</t>
    <phoneticPr fontId="2" type="noConversion"/>
  </si>
  <si>
    <t>동신물산</t>
    <phoneticPr fontId="2" type="noConversion"/>
  </si>
  <si>
    <t>번호</t>
    <phoneticPr fontId="2" type="noConversion"/>
  </si>
  <si>
    <t>담당</t>
    <phoneticPr fontId="2" type="noConversion"/>
  </si>
  <si>
    <t>발주일자</t>
    <phoneticPr fontId="2" type="noConversion"/>
  </si>
  <si>
    <t>귀중</t>
    <phoneticPr fontId="2" type="noConversion"/>
  </si>
  <si>
    <t>발주일자</t>
    <phoneticPr fontId="3" type="noConversion"/>
  </si>
  <si>
    <t>도서출판 아울미디어</t>
    <phoneticPr fontId="2" type="noConversion"/>
  </si>
  <si>
    <t>이정진</t>
    <phoneticPr fontId="2" type="noConversion"/>
  </si>
  <si>
    <t>02-325-0838</t>
    <phoneticPr fontId="2" type="noConversion"/>
  </si>
  <si>
    <t>서울시 마포구 연남동 562-25</t>
    <phoneticPr fontId="2" type="noConversion"/>
  </si>
  <si>
    <t>동신물산</t>
    <phoneticPr fontId="2" type="noConversion"/>
  </si>
  <si>
    <t>마우스</t>
    <phoneticPr fontId="2" type="noConversion"/>
  </si>
  <si>
    <t>키보드</t>
    <phoneticPr fontId="2" type="noConversion"/>
  </si>
  <si>
    <t>동신물산</t>
    <phoneticPr fontId="2" type="noConversion"/>
  </si>
  <si>
    <t>아주상사</t>
    <phoneticPr fontId="2" type="noConversion"/>
  </si>
  <si>
    <t>A4</t>
    <phoneticPr fontId="2" type="noConversion"/>
  </si>
  <si>
    <t>포토용지</t>
    <phoneticPr fontId="2" type="noConversion"/>
  </si>
  <si>
    <t>B5</t>
    <phoneticPr fontId="2" type="noConversion"/>
  </si>
  <si>
    <t>성진교역</t>
    <phoneticPr fontId="2" type="noConversion"/>
  </si>
  <si>
    <t>본체</t>
    <phoneticPr fontId="2" type="noConversion"/>
  </si>
  <si>
    <t>동신물산</t>
    <phoneticPr fontId="2" type="noConversion"/>
  </si>
  <si>
    <t>마우스</t>
    <phoneticPr fontId="2" type="noConversion"/>
  </si>
  <si>
    <t>키보드</t>
    <phoneticPr fontId="2" type="noConversion"/>
  </si>
  <si>
    <t>금액(세액)</t>
    <phoneticPr fontId="2" type="noConversion"/>
  </si>
  <si>
    <t>발주총액</t>
    <phoneticPr fontId="3" type="noConversion"/>
  </si>
  <si>
    <t>금  액(세액)</t>
    <phoneticPr fontId="3" type="noConversion"/>
  </si>
  <si>
    <t>발주일자목록</t>
    <phoneticPr fontId="2" type="noConversion"/>
  </si>
  <si>
    <t>구매처목록</t>
    <phoneticPr fontId="2" type="noConversion"/>
  </si>
  <si>
    <t>모니터-A</t>
    <phoneticPr fontId="2" type="noConversion"/>
  </si>
  <si>
    <t>모니터-B</t>
    <phoneticPr fontId="2" type="noConversion"/>
  </si>
  <si>
    <t>A4복사용지</t>
    <phoneticPr fontId="2" type="noConversion"/>
  </si>
  <si>
    <t>성진교역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</si>
</sst>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₩&quot;#,##0"/>
    <numFmt numFmtId="177" formatCode="#,###\ "/>
    <numFmt numFmtId="178" formatCode="yy/mm/dd"/>
  </numFmts>
  <fonts count="10" x14ac:knownFonts="1">
    <font>
      <sz val="10"/>
      <name val="Arial Narrow"/>
      <family val="2"/>
    </font>
    <font>
      <b/>
      <sz val="18"/>
      <name val="굴림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0"/>
      <name val="굴림"/>
      <family val="3"/>
      <charset val="129"/>
    </font>
    <font>
      <sz val="10"/>
      <name val="굴림"/>
      <family val="3"/>
      <charset val="129"/>
    </font>
    <font>
      <sz val="11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41" fontId="5" fillId="0" borderId="2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vertical="center" shrinkToFit="1"/>
      <protection hidden="1"/>
    </xf>
    <xf numFmtId="178" fontId="7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7" fillId="2" borderId="3" xfId="0" applyFont="1" applyFill="1" applyBorder="1" applyAlignment="1" applyProtection="1">
      <alignment horizontal="center" vertical="center" shrinkToFit="1"/>
      <protection hidden="1"/>
    </xf>
    <xf numFmtId="0" fontId="6" fillId="0" borderId="0" xfId="0" applyFont="1" applyFill="1" applyAlignment="1" applyProtection="1">
      <alignment vertical="center" shrinkToFit="1"/>
      <protection hidden="1"/>
    </xf>
    <xf numFmtId="178" fontId="6" fillId="0" borderId="4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Fill="1" applyBorder="1" applyAlignment="1" applyProtection="1">
      <alignment horizontal="center" vertical="center" shrinkToFit="1"/>
      <protection hidden="1"/>
    </xf>
    <xf numFmtId="178" fontId="6" fillId="0" borderId="0" xfId="0" applyNumberFormat="1" applyFont="1" applyFill="1" applyAlignment="1" applyProtection="1">
      <alignment horizontal="center" vertical="center" shrinkToFit="1"/>
      <protection hidden="1"/>
    </xf>
    <xf numFmtId="0" fontId="6" fillId="0" borderId="0" xfId="0" applyFont="1" applyFill="1" applyAlignment="1" applyProtection="1">
      <alignment horizontal="center" vertical="center" shrinkToFit="1"/>
      <protection hidden="1"/>
    </xf>
    <xf numFmtId="0" fontId="7" fillId="2" borderId="5" xfId="0" applyFont="1" applyFill="1" applyBorder="1" applyAlignment="1" applyProtection="1">
      <alignment horizontal="center" vertical="center" shrinkToFit="1"/>
      <protection hidden="1"/>
    </xf>
    <xf numFmtId="41" fontId="7" fillId="2" borderId="5" xfId="0" applyNumberFormat="1" applyFont="1" applyFill="1" applyBorder="1" applyAlignment="1" applyProtection="1">
      <alignment horizontal="center" vertical="center" shrinkToFit="1"/>
      <protection hidden="1"/>
    </xf>
    <xf numFmtId="0" fontId="5" fillId="0" borderId="4" xfId="0" applyFont="1" applyBorder="1" applyAlignment="1" applyProtection="1">
      <alignment vertical="center" shrinkToFit="1"/>
      <protection hidden="1"/>
    </xf>
    <xf numFmtId="0" fontId="5" fillId="0" borderId="4" xfId="0" applyFont="1" applyBorder="1" applyAlignment="1" applyProtection="1">
      <alignment horizontal="center" vertical="center" shrinkToFit="1"/>
      <protection hidden="1"/>
    </xf>
    <xf numFmtId="41" fontId="5" fillId="0" borderId="4" xfId="0" applyNumberFormat="1" applyFont="1" applyBorder="1" applyAlignment="1" applyProtection="1">
      <alignment vertical="center" shrinkToFit="1"/>
      <protection hidden="1"/>
    </xf>
    <xf numFmtId="0" fontId="5" fillId="0" borderId="4" xfId="0" applyFont="1" applyFill="1" applyBorder="1" applyAlignment="1" applyProtection="1">
      <alignment vertical="center" shrinkToFit="1"/>
      <protection hidden="1"/>
    </xf>
    <xf numFmtId="0" fontId="5" fillId="0" borderId="4" xfId="0" applyFont="1" applyFill="1" applyBorder="1" applyAlignment="1" applyProtection="1">
      <alignment horizontal="center" vertical="center" shrinkToFit="1"/>
      <protection hidden="1"/>
    </xf>
    <xf numFmtId="41" fontId="5" fillId="0" borderId="4" xfId="0" applyNumberFormat="1" applyFont="1" applyFill="1" applyBorder="1" applyAlignment="1" applyProtection="1">
      <alignment vertical="center" shrinkToFit="1"/>
      <protection hidden="1"/>
    </xf>
    <xf numFmtId="41" fontId="5" fillId="0" borderId="6" xfId="0" applyNumberFormat="1" applyFont="1" applyFill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center" shrinkToFit="1"/>
      <protection locked="0"/>
    </xf>
    <xf numFmtId="178" fontId="6" fillId="0" borderId="0" xfId="0" applyNumberFormat="1" applyFont="1" applyAlignment="1" applyProtection="1">
      <alignment horizontal="center" vertical="center" shrinkToFit="1"/>
      <protection locked="0"/>
    </xf>
    <xf numFmtId="0" fontId="6" fillId="0" borderId="0" xfId="0" applyFont="1" applyAlignment="1" applyProtection="1">
      <alignment horizontal="center" vertical="center" shrinkToFit="1"/>
      <protection locked="0"/>
    </xf>
    <xf numFmtId="0" fontId="7" fillId="0" borderId="7" xfId="0" applyFont="1" applyBorder="1" applyAlignment="1" applyProtection="1">
      <alignment horizontal="center" vertical="center" shrinkToFit="1"/>
      <protection locked="0"/>
    </xf>
    <xf numFmtId="178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7" fillId="0" borderId="5" xfId="0" applyFont="1" applyBorder="1" applyAlignment="1" applyProtection="1">
      <alignment horizontal="center" vertical="center" shrinkToFit="1"/>
      <protection locked="0"/>
    </xf>
    <xf numFmtId="41" fontId="7" fillId="0" borderId="5" xfId="0" applyNumberFormat="1" applyFont="1" applyBorder="1" applyAlignment="1" applyProtection="1">
      <alignment horizontal="center" vertical="center" shrinkToFit="1"/>
      <protection locked="0"/>
    </xf>
    <xf numFmtId="0" fontId="5" fillId="0" borderId="8" xfId="0" applyFont="1" applyBorder="1" applyAlignment="1" applyProtection="1">
      <alignment horizontal="center" vertical="center" shrinkToFit="1"/>
      <protection locked="0"/>
    </xf>
    <xf numFmtId="178" fontId="5" fillId="0" borderId="6" xfId="0" applyNumberFormat="1" applyFont="1" applyBorder="1" applyAlignment="1" applyProtection="1">
      <alignment horizontal="center" vertical="center" shrinkToFit="1"/>
      <protection locked="0"/>
    </xf>
    <xf numFmtId="0" fontId="5" fillId="0" borderId="6" xfId="0" applyFont="1" applyBorder="1" applyAlignment="1" applyProtection="1">
      <alignment vertical="center" shrinkToFit="1"/>
      <protection locked="0"/>
    </xf>
    <xf numFmtId="0" fontId="5" fillId="0" borderId="6" xfId="0" applyFont="1" applyBorder="1" applyAlignment="1" applyProtection="1">
      <alignment horizontal="center" vertical="center" shrinkToFit="1"/>
      <protection locked="0"/>
    </xf>
    <xf numFmtId="41" fontId="5" fillId="0" borderId="6" xfId="0" applyNumberFormat="1" applyFont="1" applyBorder="1" applyAlignment="1" applyProtection="1">
      <alignment vertical="center" shrinkToFit="1"/>
      <protection locked="0"/>
    </xf>
    <xf numFmtId="0" fontId="5" fillId="0" borderId="9" xfId="0" applyFont="1" applyBorder="1" applyAlignment="1" applyProtection="1">
      <alignment horizontal="center" vertical="center" shrinkToFit="1"/>
      <protection locked="0"/>
    </xf>
    <xf numFmtId="178" fontId="5" fillId="0" borderId="4" xfId="0" applyNumberFormat="1" applyFont="1" applyBorder="1" applyAlignment="1" applyProtection="1">
      <alignment horizontal="center" vertical="center" shrinkToFit="1"/>
      <protection locked="0"/>
    </xf>
    <xf numFmtId="0" fontId="5" fillId="0" borderId="4" xfId="0" applyFont="1" applyBorder="1" applyAlignment="1" applyProtection="1">
      <alignment vertical="center" shrinkToFit="1"/>
      <protection locked="0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41" fontId="5" fillId="0" borderId="4" xfId="0" applyNumberFormat="1" applyFont="1" applyBorder="1" applyAlignment="1" applyProtection="1">
      <alignment vertical="center" shrinkToFit="1"/>
      <protection locked="0"/>
    </xf>
    <xf numFmtId="41" fontId="6" fillId="0" borderId="0" xfId="0" applyNumberFormat="1" applyFont="1" applyAlignment="1" applyProtection="1">
      <alignment vertical="center" shrinkToFit="1"/>
      <protection locked="0"/>
    </xf>
    <xf numFmtId="0" fontId="1" fillId="0" borderId="0" xfId="0" applyFont="1" applyAlignment="1" applyProtection="1">
      <alignment horizontal="centerContinuous" vertical="center" shrinkToFit="1"/>
      <protection locked="0"/>
    </xf>
    <xf numFmtId="0" fontId="1" fillId="0" borderId="10" xfId="0" applyFont="1" applyBorder="1" applyAlignment="1" applyProtection="1">
      <alignment horizontal="centerContinuous" vertical="center" shrinkToFit="1"/>
      <protection locked="0"/>
    </xf>
    <xf numFmtId="41" fontId="6" fillId="0" borderId="0" xfId="0" applyNumberFormat="1" applyFont="1" applyAlignment="1" applyProtection="1">
      <alignment vertical="center" shrinkToFit="1"/>
      <protection hidden="1"/>
    </xf>
    <xf numFmtId="0" fontId="1" fillId="0" borderId="0" xfId="0" applyFont="1" applyAlignment="1" applyProtection="1">
      <alignment horizontal="centerContinuous" vertical="center" shrinkToFit="1"/>
      <protection hidden="1"/>
    </xf>
    <xf numFmtId="0" fontId="1" fillId="0" borderId="10" xfId="0" applyFont="1" applyBorder="1" applyAlignment="1" applyProtection="1">
      <alignment horizontal="centerContinuous" vertical="center" shrinkToFit="1"/>
      <protection hidden="1"/>
    </xf>
    <xf numFmtId="41" fontId="7" fillId="0" borderId="11" xfId="0" applyNumberFormat="1" applyFont="1" applyBorder="1" applyAlignment="1" applyProtection="1">
      <alignment horizontal="center" vertical="center"/>
      <protection hidden="1"/>
    </xf>
    <xf numFmtId="41" fontId="5" fillId="0" borderId="0" xfId="0" applyNumberFormat="1" applyFont="1" applyBorder="1" applyAlignment="1" applyProtection="1">
      <alignment vertical="center" shrinkToFit="1"/>
      <protection hidden="1"/>
    </xf>
    <xf numFmtId="41" fontId="5" fillId="0" borderId="0" xfId="0" applyNumberFormat="1" applyFont="1" applyFill="1" applyBorder="1" applyAlignment="1" applyProtection="1">
      <alignment vertical="center" shrinkToFit="1"/>
      <protection hidden="1"/>
    </xf>
    <xf numFmtId="0" fontId="6" fillId="0" borderId="0" xfId="0" applyFont="1" applyFill="1" applyBorder="1" applyAlignment="1" applyProtection="1">
      <alignment vertical="center" shrinkToFit="1"/>
      <protection hidden="1"/>
    </xf>
    <xf numFmtId="41" fontId="7" fillId="0" borderId="0" xfId="0" applyNumberFormat="1" applyFont="1" applyFill="1" applyBorder="1" applyAlignment="1" applyProtection="1">
      <alignment horizontal="center" vertical="center" shrinkToFit="1"/>
      <protection hidden="1"/>
    </xf>
    <xf numFmtId="41" fontId="5" fillId="0" borderId="6" xfId="0" applyNumberFormat="1" applyFont="1" applyBorder="1" applyAlignment="1" applyProtection="1">
      <alignment vertical="center" shrinkToFit="1"/>
      <protection hidden="1"/>
    </xf>
    <xf numFmtId="178" fontId="5" fillId="0" borderId="4" xfId="0" applyNumberFormat="1" applyFont="1" applyBorder="1" applyAlignment="1" applyProtection="1">
      <alignment horizontal="center" vertical="center" shrinkToFit="1"/>
      <protection hidden="1"/>
    </xf>
    <xf numFmtId="0" fontId="5" fillId="0" borderId="6" xfId="0" applyNumberFormat="1" applyFont="1" applyBorder="1" applyAlignment="1" applyProtection="1">
      <alignment horizontal="center" vertical="center" shrinkToFit="1"/>
      <protection hidden="1"/>
    </xf>
    <xf numFmtId="0" fontId="5" fillId="0" borderId="12" xfId="0" applyFont="1" applyBorder="1" applyAlignment="1" applyProtection="1">
      <alignment horizontal="center" vertical="center" shrinkToFit="1"/>
      <protection locked="0"/>
    </xf>
    <xf numFmtId="178" fontId="5" fillId="0" borderId="13" xfId="0" applyNumberFormat="1" applyFont="1" applyBorder="1" applyAlignment="1" applyProtection="1">
      <alignment horizontal="center" vertical="center" shrinkToFit="1"/>
      <protection locked="0"/>
    </xf>
    <xf numFmtId="0" fontId="5" fillId="0" borderId="13" xfId="0" applyFont="1" applyBorder="1" applyAlignment="1" applyProtection="1">
      <alignment vertical="center" shrinkToFit="1"/>
      <protection locked="0"/>
    </xf>
    <xf numFmtId="0" fontId="5" fillId="0" borderId="13" xfId="0" applyFont="1" applyBorder="1" applyAlignment="1" applyProtection="1">
      <alignment horizontal="center" vertical="center" shrinkToFit="1"/>
      <protection locked="0"/>
    </xf>
    <xf numFmtId="41" fontId="5" fillId="0" borderId="13" xfId="0" applyNumberFormat="1" applyFont="1" applyBorder="1" applyAlignment="1" applyProtection="1">
      <alignment vertical="center" shrinkToFit="1"/>
      <protection locked="0"/>
    </xf>
    <xf numFmtId="41" fontId="5" fillId="0" borderId="14" xfId="0" applyNumberFormat="1" applyFont="1" applyBorder="1" applyAlignment="1" applyProtection="1">
      <alignment vertical="center" shrinkToFit="1"/>
      <protection hidden="1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textRotation="255"/>
    </xf>
    <xf numFmtId="0" fontId="5" fillId="0" borderId="16" xfId="0" applyFont="1" applyBorder="1" applyAlignment="1">
      <alignment horizontal="center" vertical="center" textRotation="255"/>
    </xf>
    <xf numFmtId="0" fontId="5" fillId="0" borderId="17" xfId="0" applyFont="1" applyBorder="1" applyAlignment="1">
      <alignment horizontal="center" vertical="center" textRotation="255"/>
    </xf>
    <xf numFmtId="0" fontId="5" fillId="0" borderId="1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3" xfId="0" applyFont="1" applyBorder="1" applyAlignment="1">
      <alignment horizontal="left" vertical="center" shrinkToFit="1"/>
    </xf>
    <xf numFmtId="0" fontId="5" fillId="0" borderId="4" xfId="0" applyFont="1" applyBorder="1" applyAlignment="1">
      <alignment horizontal="left" vertical="center" shrinkToFit="1"/>
    </xf>
    <xf numFmtId="0" fontId="5" fillId="0" borderId="25" xfId="0" applyFont="1" applyBorder="1" applyAlignment="1">
      <alignment horizontal="left" vertical="center" shrinkToFit="1"/>
    </xf>
    <xf numFmtId="0" fontId="5" fillId="0" borderId="2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7" xfId="0" applyFont="1" applyBorder="1" applyAlignment="1">
      <alignment horizontal="left" vertical="center" shrinkToFit="1"/>
    </xf>
    <xf numFmtId="0" fontId="5" fillId="0" borderId="3" xfId="0" applyFont="1" applyBorder="1" applyAlignment="1">
      <alignment horizontal="left" vertical="center" shrinkToFit="1"/>
    </xf>
    <xf numFmtId="0" fontId="5" fillId="0" borderId="28" xfId="0" applyFont="1" applyBorder="1" applyAlignment="1">
      <alignment horizontal="left" vertical="center" shrinkToFit="1"/>
    </xf>
    <xf numFmtId="178" fontId="4" fillId="2" borderId="3" xfId="0" applyNumberFormat="1" applyFont="1" applyFill="1" applyBorder="1" applyAlignment="1">
      <alignment horizontal="center" vertical="center"/>
    </xf>
    <xf numFmtId="178" fontId="4" fillId="2" borderId="28" xfId="0" applyNumberFormat="1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76" fontId="4" fillId="0" borderId="13" xfId="0" applyNumberFormat="1" applyFont="1" applyBorder="1" applyAlignment="1">
      <alignment horizontal="center" vertical="center"/>
    </xf>
    <xf numFmtId="176" fontId="4" fillId="0" borderId="14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4" xfId="0" applyFont="1" applyBorder="1" applyAlignment="1">
      <alignment horizontal="left" vertical="center" shrinkToFit="1"/>
    </xf>
    <xf numFmtId="0" fontId="5" fillId="0" borderId="13" xfId="0" applyFont="1" applyBorder="1" applyAlignment="1">
      <alignment horizontal="left" vertical="center" shrinkToFit="1"/>
    </xf>
    <xf numFmtId="0" fontId="5" fillId="0" borderId="14" xfId="0" applyFont="1" applyBorder="1" applyAlignment="1">
      <alignment horizontal="left" vertical="center" shrinkToFit="1"/>
    </xf>
    <xf numFmtId="177" fontId="5" fillId="0" borderId="1" xfId="0" applyNumberFormat="1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3</xdr:row>
          <xdr:rowOff>9525</xdr:rowOff>
        </xdr:from>
        <xdr:to>
          <xdr:col>20</xdr:col>
          <xdr:colOff>200025</xdr:colOff>
          <xdr:row>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5</xdr:row>
          <xdr:rowOff>76200</xdr:rowOff>
        </xdr:from>
        <xdr:to>
          <xdr:col>20</xdr:col>
          <xdr:colOff>200025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3</xdr:row>
          <xdr:rowOff>228600</xdr:rowOff>
        </xdr:from>
        <xdr:to>
          <xdr:col>48</xdr:col>
          <xdr:colOff>95250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6</xdr:row>
          <xdr:rowOff>104775</xdr:rowOff>
        </xdr:from>
        <xdr:to>
          <xdr:col>48</xdr:col>
          <xdr:colOff>95250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2:R39"/>
  <sheetViews>
    <sheetView showGridLines="0" tabSelected="1" workbookViewId="0">
      <selection activeCell="B5" sqref="B5"/>
    </sheetView>
  </sheetViews>
  <sheetFormatPr defaultRowHeight="17.25" customHeight="1" x14ac:dyDescent="0.2"/>
  <cols>
    <col min="1" max="1" width="7.33203125" style="28" customWidth="1"/>
    <col min="2" max="2" width="13.1640625" style="27" bestFit="1" customWidth="1"/>
    <col min="3" max="3" width="14" style="26" customWidth="1"/>
    <col min="4" max="4" width="16.33203125" style="26" customWidth="1"/>
    <col min="5" max="5" width="8.6640625" style="28" customWidth="1"/>
    <col min="6" max="6" width="9" style="43" customWidth="1"/>
    <col min="7" max="7" width="14" style="43" customWidth="1"/>
    <col min="8" max="8" width="21.6640625" style="46" customWidth="1"/>
    <col min="9" max="9" width="4" style="26" customWidth="1"/>
    <col min="10" max="10" width="14" style="6" customWidth="1"/>
    <col min="11" max="11" width="14.5" style="7" customWidth="1"/>
    <col min="12" max="12" width="9.33203125" style="8"/>
    <col min="13" max="13" width="14.33203125" style="8" customWidth="1"/>
    <col min="14" max="14" width="18" style="8" customWidth="1"/>
    <col min="15" max="15" width="4.6640625" style="8" customWidth="1"/>
    <col min="16" max="16" width="22" style="7" customWidth="1"/>
    <col min="17" max="17" width="18" style="7" customWidth="1"/>
    <col min="18" max="18" width="18" style="8" customWidth="1"/>
    <col min="19" max="16384" width="9.33203125" style="26"/>
  </cols>
  <sheetData>
    <row r="2" spans="1:18" ht="30.75" customHeight="1" x14ac:dyDescent="0.2">
      <c r="A2" s="44" t="s">
        <v>19</v>
      </c>
      <c r="B2" s="44"/>
      <c r="C2" s="44"/>
      <c r="D2" s="44"/>
      <c r="E2" s="44"/>
      <c r="F2" s="44"/>
      <c r="G2" s="44"/>
      <c r="H2" s="47"/>
    </row>
    <row r="3" spans="1:18" ht="19.5" customHeight="1" x14ac:dyDescent="0.2">
      <c r="A3" s="45"/>
      <c r="B3" s="45"/>
      <c r="C3" s="45"/>
      <c r="D3" s="45"/>
      <c r="E3" s="45"/>
      <c r="F3" s="45"/>
      <c r="G3" s="45"/>
      <c r="H3" s="48"/>
    </row>
    <row r="4" spans="1:18" ht="17.25" customHeight="1" x14ac:dyDescent="0.2">
      <c r="A4" s="29" t="s">
        <v>21</v>
      </c>
      <c r="B4" s="30" t="s">
        <v>23</v>
      </c>
      <c r="C4" s="31" t="s">
        <v>14</v>
      </c>
      <c r="D4" s="31" t="s">
        <v>15</v>
      </c>
      <c r="E4" s="31" t="s">
        <v>16</v>
      </c>
      <c r="F4" s="32" t="s">
        <v>17</v>
      </c>
      <c r="G4" s="32" t="s">
        <v>18</v>
      </c>
      <c r="H4" s="49" t="s">
        <v>43</v>
      </c>
      <c r="J4" s="9" t="s">
        <v>23</v>
      </c>
      <c r="K4" s="10" t="s">
        <v>14</v>
      </c>
      <c r="L4" s="11"/>
      <c r="M4" s="11"/>
      <c r="N4" s="11"/>
      <c r="O4" s="11"/>
      <c r="P4" s="15"/>
      <c r="Q4" s="15"/>
      <c r="R4" s="11"/>
    </row>
    <row r="5" spans="1:18" ht="17.25" customHeight="1" x14ac:dyDescent="0.2">
      <c r="A5" s="33">
        <v>1</v>
      </c>
      <c r="B5" s="34">
        <v>43833</v>
      </c>
      <c r="C5" s="35" t="s">
        <v>30</v>
      </c>
      <c r="D5" s="35" t="s">
        <v>31</v>
      </c>
      <c r="E5" s="36"/>
      <c r="F5" s="37">
        <v>50</v>
      </c>
      <c r="G5" s="37">
        <v>10000</v>
      </c>
      <c r="H5" s="5">
        <f>IF(ISBLANK(F5),"",F5*G5+F5*G5*0.1)</f>
        <v>550000</v>
      </c>
      <c r="J5" s="12">
        <f>구매발주서!F7</f>
        <v>43835</v>
      </c>
      <c r="K5" s="13" t="str">
        <f>구매발주서!A5</f>
        <v>성진교역</v>
      </c>
      <c r="L5" s="11"/>
      <c r="M5" s="11"/>
      <c r="N5" s="11"/>
      <c r="O5" s="11"/>
      <c r="P5" s="15"/>
      <c r="Q5" s="15"/>
      <c r="R5" s="11"/>
    </row>
    <row r="6" spans="1:18" ht="17.25" customHeight="1" x14ac:dyDescent="0.2">
      <c r="A6" s="38">
        <v>2</v>
      </c>
      <c r="B6" s="34">
        <v>43833</v>
      </c>
      <c r="C6" s="35" t="s">
        <v>20</v>
      </c>
      <c r="D6" s="40" t="s">
        <v>32</v>
      </c>
      <c r="E6" s="41"/>
      <c r="F6" s="42">
        <v>40</v>
      </c>
      <c r="G6" s="42">
        <v>12000</v>
      </c>
      <c r="H6" s="5">
        <f t="shared" ref="H6:H39" si="0">IF(ISBLANK(F6),"",F6*G6+F6*G6*0.1)</f>
        <v>528000</v>
      </c>
      <c r="J6" s="14"/>
      <c r="K6" s="15"/>
      <c r="L6" s="11"/>
      <c r="M6" s="11"/>
      <c r="N6" s="11"/>
      <c r="O6" s="11"/>
      <c r="P6" s="15"/>
      <c r="Q6" s="15"/>
      <c r="R6" s="11"/>
    </row>
    <row r="7" spans="1:18" ht="17.25" customHeight="1" x14ac:dyDescent="0.2">
      <c r="A7" s="33">
        <v>3</v>
      </c>
      <c r="B7" s="34">
        <v>43833</v>
      </c>
      <c r="C7" s="40" t="s">
        <v>34</v>
      </c>
      <c r="D7" s="40" t="s">
        <v>50</v>
      </c>
      <c r="E7" s="41" t="s">
        <v>35</v>
      </c>
      <c r="F7" s="42">
        <v>10</v>
      </c>
      <c r="G7" s="42">
        <v>24000</v>
      </c>
      <c r="H7" s="5">
        <f t="shared" si="0"/>
        <v>264000</v>
      </c>
      <c r="J7" s="16" t="s">
        <v>15</v>
      </c>
      <c r="K7" s="16" t="s">
        <v>16</v>
      </c>
      <c r="L7" s="17" t="s">
        <v>17</v>
      </c>
      <c r="M7" s="17" t="s">
        <v>18</v>
      </c>
      <c r="N7" s="17" t="s">
        <v>43</v>
      </c>
      <c r="O7" s="53"/>
      <c r="P7" s="17" t="s">
        <v>46</v>
      </c>
      <c r="Q7" s="17" t="s">
        <v>47</v>
      </c>
      <c r="R7" s="53"/>
    </row>
    <row r="8" spans="1:18" ht="17.25" customHeight="1" x14ac:dyDescent="0.2">
      <c r="A8" s="38">
        <v>4</v>
      </c>
      <c r="B8" s="34">
        <v>43833</v>
      </c>
      <c r="C8" s="40" t="s">
        <v>34</v>
      </c>
      <c r="D8" s="40" t="s">
        <v>36</v>
      </c>
      <c r="E8" s="41" t="s">
        <v>37</v>
      </c>
      <c r="F8" s="42">
        <v>20</v>
      </c>
      <c r="G8" s="42">
        <v>15000</v>
      </c>
      <c r="H8" s="5">
        <f t="shared" si="0"/>
        <v>330000</v>
      </c>
      <c r="J8" s="18" t="s">
        <v>48</v>
      </c>
      <c r="K8" s="19">
        <v>17</v>
      </c>
      <c r="L8" s="20">
        <v>5</v>
      </c>
      <c r="M8" s="20">
        <v>550000</v>
      </c>
      <c r="N8" s="5">
        <v>3025000</v>
      </c>
      <c r="O8" s="50"/>
      <c r="P8" s="55"/>
      <c r="Q8" s="56"/>
      <c r="R8" s="50"/>
    </row>
    <row r="9" spans="1:18" ht="17.25" customHeight="1" x14ac:dyDescent="0.2">
      <c r="A9" s="33">
        <v>5</v>
      </c>
      <c r="B9" s="39">
        <v>43835</v>
      </c>
      <c r="C9" s="40" t="s">
        <v>38</v>
      </c>
      <c r="D9" s="40" t="s">
        <v>48</v>
      </c>
      <c r="E9" s="41">
        <v>17</v>
      </c>
      <c r="F9" s="42">
        <v>5</v>
      </c>
      <c r="G9" s="42">
        <v>550000</v>
      </c>
      <c r="H9" s="5">
        <f t="shared" si="0"/>
        <v>3025000</v>
      </c>
      <c r="J9" s="18" t="s">
        <v>49</v>
      </c>
      <c r="K9" s="19">
        <v>19</v>
      </c>
      <c r="L9" s="20">
        <v>5</v>
      </c>
      <c r="M9" s="20">
        <v>600000</v>
      </c>
      <c r="N9" s="5">
        <v>3300000</v>
      </c>
      <c r="O9" s="50"/>
      <c r="P9" s="55"/>
      <c r="Q9" s="56"/>
      <c r="R9" s="50"/>
    </row>
    <row r="10" spans="1:18" ht="17.25" customHeight="1" x14ac:dyDescent="0.2">
      <c r="A10" s="38">
        <v>6</v>
      </c>
      <c r="B10" s="39">
        <v>43835</v>
      </c>
      <c r="C10" s="40" t="s">
        <v>38</v>
      </c>
      <c r="D10" s="40" t="s">
        <v>49</v>
      </c>
      <c r="E10" s="41">
        <v>19</v>
      </c>
      <c r="F10" s="42">
        <v>5</v>
      </c>
      <c r="G10" s="42">
        <v>600000</v>
      </c>
      <c r="H10" s="5">
        <f t="shared" si="0"/>
        <v>3300000</v>
      </c>
      <c r="J10" s="18" t="s">
        <v>39</v>
      </c>
      <c r="K10" s="19"/>
      <c r="L10" s="20">
        <v>5</v>
      </c>
      <c r="M10" s="20">
        <v>720000</v>
      </c>
      <c r="N10" s="5">
        <v>3960000</v>
      </c>
      <c r="O10" s="50"/>
      <c r="P10" s="55"/>
      <c r="Q10" s="56"/>
      <c r="R10" s="50"/>
    </row>
    <row r="11" spans="1:18" ht="17.25" customHeight="1" x14ac:dyDescent="0.2">
      <c r="A11" s="33">
        <v>7</v>
      </c>
      <c r="B11" s="39">
        <v>43835</v>
      </c>
      <c r="C11" s="40" t="s">
        <v>38</v>
      </c>
      <c r="D11" s="40" t="s">
        <v>39</v>
      </c>
      <c r="E11" s="41"/>
      <c r="F11" s="42">
        <v>5</v>
      </c>
      <c r="G11" s="42">
        <v>720000</v>
      </c>
      <c r="H11" s="5">
        <f t="shared" si="0"/>
        <v>3960000</v>
      </c>
      <c r="J11" s="18"/>
      <c r="K11" s="19"/>
      <c r="L11" s="20"/>
      <c r="M11" s="20"/>
      <c r="N11" s="54"/>
      <c r="O11" s="50"/>
      <c r="P11" s="55"/>
      <c r="Q11" s="56"/>
      <c r="R11" s="50"/>
    </row>
    <row r="12" spans="1:18" ht="17.25" customHeight="1" x14ac:dyDescent="0.2">
      <c r="A12" s="38">
        <v>8</v>
      </c>
      <c r="B12" s="39">
        <v>43845</v>
      </c>
      <c r="C12" s="40" t="s">
        <v>40</v>
      </c>
      <c r="D12" s="40" t="s">
        <v>41</v>
      </c>
      <c r="E12" s="41"/>
      <c r="F12" s="42">
        <v>100</v>
      </c>
      <c r="G12" s="42">
        <v>10000</v>
      </c>
      <c r="H12" s="5">
        <f t="shared" si="0"/>
        <v>1100000</v>
      </c>
      <c r="J12" s="21"/>
      <c r="K12" s="22"/>
      <c r="L12" s="23"/>
      <c r="M12" s="23"/>
      <c r="N12" s="24"/>
      <c r="O12" s="51"/>
      <c r="P12" s="55"/>
      <c r="Q12" s="56"/>
      <c r="R12" s="51"/>
    </row>
    <row r="13" spans="1:18" ht="17.25" customHeight="1" x14ac:dyDescent="0.2">
      <c r="A13" s="33">
        <v>9</v>
      </c>
      <c r="B13" s="39">
        <v>43845</v>
      </c>
      <c r="C13" s="40" t="s">
        <v>33</v>
      </c>
      <c r="D13" s="40" t="s">
        <v>42</v>
      </c>
      <c r="E13" s="41"/>
      <c r="F13" s="42">
        <v>1000</v>
      </c>
      <c r="G13" s="42">
        <v>12000</v>
      </c>
      <c r="H13" s="5">
        <f t="shared" si="0"/>
        <v>13200000</v>
      </c>
      <c r="J13" s="12"/>
      <c r="K13" s="13"/>
      <c r="L13" s="25"/>
      <c r="M13" s="25"/>
      <c r="N13" s="25"/>
      <c r="O13" s="52"/>
      <c r="P13" s="55"/>
      <c r="Q13" s="56"/>
      <c r="R13" s="52"/>
    </row>
    <row r="14" spans="1:18" ht="17.25" customHeight="1" x14ac:dyDescent="0.2">
      <c r="A14" s="38">
        <v>10</v>
      </c>
      <c r="B14" s="39"/>
      <c r="C14" s="40"/>
      <c r="D14" s="40"/>
      <c r="E14" s="41"/>
      <c r="F14" s="42"/>
      <c r="G14" s="42"/>
      <c r="H14" s="5" t="str">
        <f t="shared" si="0"/>
        <v/>
      </c>
      <c r="J14" s="12"/>
      <c r="K14" s="13"/>
      <c r="L14" s="25"/>
      <c r="M14" s="25"/>
      <c r="N14" s="25"/>
      <c r="O14" s="52"/>
      <c r="P14" s="55"/>
      <c r="Q14" s="56"/>
      <c r="R14" s="52"/>
    </row>
    <row r="15" spans="1:18" ht="17.25" customHeight="1" x14ac:dyDescent="0.2">
      <c r="A15" s="33">
        <v>11</v>
      </c>
      <c r="B15" s="39"/>
      <c r="C15" s="40"/>
      <c r="D15" s="40"/>
      <c r="E15" s="41"/>
      <c r="F15" s="42"/>
      <c r="G15" s="42"/>
      <c r="H15" s="5" t="str">
        <f t="shared" si="0"/>
        <v/>
      </c>
      <c r="J15" s="12"/>
      <c r="K15" s="13"/>
      <c r="L15" s="25"/>
      <c r="M15" s="25"/>
      <c r="N15" s="25"/>
      <c r="O15" s="52"/>
      <c r="P15" s="55"/>
      <c r="Q15" s="56"/>
      <c r="R15" s="52"/>
    </row>
    <row r="16" spans="1:18" ht="17.25" customHeight="1" x14ac:dyDescent="0.2">
      <c r="A16" s="38">
        <v>12</v>
      </c>
      <c r="B16" s="39"/>
      <c r="C16" s="40"/>
      <c r="D16" s="40"/>
      <c r="E16" s="41"/>
      <c r="F16" s="42"/>
      <c r="G16" s="42"/>
      <c r="H16" s="5" t="str">
        <f t="shared" si="0"/>
        <v/>
      </c>
      <c r="J16" s="12"/>
      <c r="K16" s="13"/>
      <c r="L16" s="25"/>
      <c r="M16" s="25"/>
      <c r="N16" s="25"/>
      <c r="O16" s="52"/>
      <c r="P16" s="55"/>
      <c r="Q16" s="56"/>
      <c r="R16" s="52"/>
    </row>
    <row r="17" spans="1:18" ht="17.25" customHeight="1" x14ac:dyDescent="0.2">
      <c r="A17" s="33">
        <v>13</v>
      </c>
      <c r="B17" s="39"/>
      <c r="C17" s="40"/>
      <c r="D17" s="40"/>
      <c r="E17" s="41"/>
      <c r="F17" s="42"/>
      <c r="G17" s="42"/>
      <c r="H17" s="5" t="str">
        <f t="shared" si="0"/>
        <v/>
      </c>
      <c r="J17" s="12"/>
      <c r="K17" s="13"/>
      <c r="L17" s="25"/>
      <c r="M17" s="25"/>
      <c r="N17" s="25"/>
      <c r="O17" s="52"/>
      <c r="P17" s="55"/>
      <c r="Q17" s="56"/>
      <c r="R17" s="52"/>
    </row>
    <row r="18" spans="1:18" ht="17.25" customHeight="1" x14ac:dyDescent="0.2">
      <c r="A18" s="38">
        <v>14</v>
      </c>
      <c r="B18" s="39"/>
      <c r="C18" s="40"/>
      <c r="D18" s="40"/>
      <c r="E18" s="41"/>
      <c r="F18" s="42"/>
      <c r="G18" s="42"/>
      <c r="H18" s="5" t="str">
        <f t="shared" si="0"/>
        <v/>
      </c>
      <c r="J18" s="12"/>
      <c r="K18" s="13"/>
      <c r="L18" s="25"/>
      <c r="M18" s="25"/>
      <c r="N18" s="25"/>
      <c r="O18" s="52"/>
      <c r="P18" s="55"/>
      <c r="Q18" s="56"/>
      <c r="R18" s="52"/>
    </row>
    <row r="19" spans="1:18" ht="17.25" customHeight="1" x14ac:dyDescent="0.2">
      <c r="A19" s="33">
        <v>15</v>
      </c>
      <c r="B19" s="39"/>
      <c r="C19" s="40"/>
      <c r="D19" s="40"/>
      <c r="E19" s="41"/>
      <c r="F19" s="42"/>
      <c r="G19" s="42"/>
      <c r="H19" s="5" t="str">
        <f t="shared" si="0"/>
        <v/>
      </c>
      <c r="J19" s="12"/>
      <c r="K19" s="13"/>
      <c r="L19" s="25"/>
      <c r="M19" s="25"/>
      <c r="N19" s="25"/>
      <c r="O19" s="52"/>
      <c r="P19" s="55"/>
      <c r="Q19" s="56"/>
      <c r="R19" s="52"/>
    </row>
    <row r="20" spans="1:18" ht="17.25" customHeight="1" x14ac:dyDescent="0.2">
      <c r="A20" s="38">
        <v>16</v>
      </c>
      <c r="B20" s="39"/>
      <c r="C20" s="40"/>
      <c r="D20" s="40"/>
      <c r="E20" s="41"/>
      <c r="F20" s="42"/>
      <c r="G20" s="42"/>
      <c r="H20" s="5" t="str">
        <f t="shared" si="0"/>
        <v/>
      </c>
      <c r="J20" s="12"/>
      <c r="K20" s="13"/>
      <c r="L20" s="25"/>
      <c r="M20" s="25"/>
      <c r="N20" s="25"/>
      <c r="O20" s="52"/>
      <c r="P20" s="55"/>
      <c r="Q20" s="56"/>
      <c r="R20" s="52"/>
    </row>
    <row r="21" spans="1:18" ht="17.25" customHeight="1" x14ac:dyDescent="0.2">
      <c r="A21" s="33">
        <v>17</v>
      </c>
      <c r="B21" s="39"/>
      <c r="C21" s="40"/>
      <c r="D21" s="40"/>
      <c r="E21" s="41"/>
      <c r="F21" s="42"/>
      <c r="G21" s="42"/>
      <c r="H21" s="5" t="str">
        <f t="shared" si="0"/>
        <v/>
      </c>
      <c r="J21" s="12"/>
      <c r="K21" s="13"/>
      <c r="L21" s="25"/>
      <c r="M21" s="25"/>
      <c r="N21" s="25"/>
      <c r="O21" s="52"/>
      <c r="P21" s="55"/>
      <c r="Q21" s="56"/>
      <c r="R21" s="52"/>
    </row>
    <row r="22" spans="1:18" ht="17.25" customHeight="1" x14ac:dyDescent="0.2">
      <c r="A22" s="38">
        <v>18</v>
      </c>
      <c r="B22" s="39"/>
      <c r="C22" s="40"/>
      <c r="D22" s="40"/>
      <c r="E22" s="41"/>
      <c r="F22" s="42"/>
      <c r="G22" s="42"/>
      <c r="H22" s="5" t="str">
        <f t="shared" si="0"/>
        <v/>
      </c>
      <c r="J22" s="12"/>
      <c r="K22" s="13"/>
      <c r="L22" s="25"/>
      <c r="M22" s="25"/>
      <c r="N22" s="25"/>
      <c r="O22" s="52"/>
      <c r="P22" s="55"/>
      <c r="Q22" s="56"/>
      <c r="R22" s="52"/>
    </row>
    <row r="23" spans="1:18" ht="17.25" customHeight="1" x14ac:dyDescent="0.2">
      <c r="A23" s="33">
        <v>19</v>
      </c>
      <c r="B23" s="39"/>
      <c r="C23" s="40"/>
      <c r="D23" s="40"/>
      <c r="E23" s="41"/>
      <c r="F23" s="42"/>
      <c r="G23" s="42"/>
      <c r="H23" s="5" t="str">
        <f t="shared" si="0"/>
        <v/>
      </c>
      <c r="J23" s="12"/>
      <c r="K23" s="13"/>
      <c r="L23" s="25"/>
      <c r="M23" s="25"/>
      <c r="N23" s="25"/>
      <c r="O23" s="52"/>
      <c r="P23" s="55"/>
      <c r="Q23" s="56"/>
      <c r="R23" s="52"/>
    </row>
    <row r="24" spans="1:18" ht="17.25" customHeight="1" x14ac:dyDescent="0.2">
      <c r="A24" s="38">
        <v>20</v>
      </c>
      <c r="B24" s="39"/>
      <c r="C24" s="40"/>
      <c r="D24" s="40"/>
      <c r="E24" s="41"/>
      <c r="F24" s="42"/>
      <c r="G24" s="42"/>
      <c r="H24" s="5" t="str">
        <f t="shared" si="0"/>
        <v/>
      </c>
      <c r="J24" s="12"/>
      <c r="K24" s="13"/>
      <c r="L24" s="25"/>
      <c r="M24" s="25"/>
      <c r="N24" s="25"/>
      <c r="O24" s="52"/>
      <c r="P24" s="55"/>
      <c r="Q24" s="56"/>
      <c r="R24" s="52"/>
    </row>
    <row r="25" spans="1:18" ht="17.25" customHeight="1" x14ac:dyDescent="0.2">
      <c r="A25" s="33">
        <v>21</v>
      </c>
      <c r="B25" s="39"/>
      <c r="C25" s="40"/>
      <c r="D25" s="40"/>
      <c r="E25" s="41"/>
      <c r="F25" s="42"/>
      <c r="G25" s="42"/>
      <c r="H25" s="5" t="str">
        <f t="shared" si="0"/>
        <v/>
      </c>
      <c r="J25" s="12"/>
      <c r="K25" s="13"/>
      <c r="L25" s="25"/>
      <c r="M25" s="25"/>
      <c r="N25" s="25"/>
      <c r="O25" s="52"/>
      <c r="P25" s="55"/>
      <c r="Q25" s="56"/>
      <c r="R25" s="52"/>
    </row>
    <row r="26" spans="1:18" ht="17.25" customHeight="1" x14ac:dyDescent="0.2">
      <c r="A26" s="38">
        <v>22</v>
      </c>
      <c r="B26" s="39"/>
      <c r="C26" s="40"/>
      <c r="D26" s="40"/>
      <c r="E26" s="41"/>
      <c r="F26" s="42"/>
      <c r="G26" s="42"/>
      <c r="H26" s="5" t="str">
        <f t="shared" si="0"/>
        <v/>
      </c>
      <c r="J26" s="12"/>
      <c r="K26" s="13"/>
      <c r="L26" s="25"/>
      <c r="M26" s="25"/>
      <c r="N26" s="25"/>
      <c r="O26" s="52"/>
      <c r="P26" s="55"/>
      <c r="Q26" s="56"/>
      <c r="R26" s="52"/>
    </row>
    <row r="27" spans="1:18" ht="17.25" customHeight="1" x14ac:dyDescent="0.2">
      <c r="A27" s="33">
        <v>23</v>
      </c>
      <c r="B27" s="39"/>
      <c r="C27" s="40"/>
      <c r="D27" s="40"/>
      <c r="E27" s="41"/>
      <c r="F27" s="42"/>
      <c r="G27" s="42"/>
      <c r="H27" s="5" t="str">
        <f t="shared" si="0"/>
        <v/>
      </c>
      <c r="J27" s="12"/>
      <c r="K27" s="13"/>
      <c r="L27" s="25"/>
      <c r="M27" s="25"/>
      <c r="N27" s="25"/>
      <c r="O27" s="52"/>
      <c r="P27" s="55"/>
      <c r="Q27" s="56"/>
      <c r="R27" s="52"/>
    </row>
    <row r="28" spans="1:18" ht="17.25" customHeight="1" x14ac:dyDescent="0.2">
      <c r="A28" s="38">
        <v>24</v>
      </c>
      <c r="B28" s="39"/>
      <c r="C28" s="40"/>
      <c r="D28" s="40"/>
      <c r="E28" s="41"/>
      <c r="F28" s="42"/>
      <c r="G28" s="42"/>
      <c r="H28" s="5" t="str">
        <f t="shared" si="0"/>
        <v/>
      </c>
      <c r="P28" s="55"/>
      <c r="Q28" s="56"/>
    </row>
    <row r="29" spans="1:18" ht="17.25" customHeight="1" x14ac:dyDescent="0.2">
      <c r="A29" s="33">
        <v>25</v>
      </c>
      <c r="B29" s="39"/>
      <c r="C29" s="40"/>
      <c r="D29" s="40"/>
      <c r="E29" s="41"/>
      <c r="F29" s="42"/>
      <c r="G29" s="42"/>
      <c r="H29" s="5" t="str">
        <f t="shared" si="0"/>
        <v/>
      </c>
      <c r="P29" s="55"/>
      <c r="Q29" s="56"/>
    </row>
    <row r="30" spans="1:18" ht="17.25" customHeight="1" x14ac:dyDescent="0.2">
      <c r="A30" s="38">
        <v>26</v>
      </c>
      <c r="B30" s="39"/>
      <c r="C30" s="40"/>
      <c r="D30" s="40"/>
      <c r="E30" s="41"/>
      <c r="F30" s="42"/>
      <c r="G30" s="42"/>
      <c r="H30" s="5" t="str">
        <f t="shared" si="0"/>
        <v/>
      </c>
      <c r="P30" s="55"/>
      <c r="Q30" s="56"/>
    </row>
    <row r="31" spans="1:18" ht="17.25" customHeight="1" x14ac:dyDescent="0.2">
      <c r="A31" s="33">
        <v>27</v>
      </c>
      <c r="B31" s="39"/>
      <c r="C31" s="40"/>
      <c r="D31" s="40"/>
      <c r="E31" s="41"/>
      <c r="F31" s="42"/>
      <c r="G31" s="42"/>
      <c r="H31" s="5" t="str">
        <f t="shared" si="0"/>
        <v/>
      </c>
      <c r="P31" s="55"/>
      <c r="Q31" s="56"/>
    </row>
    <row r="32" spans="1:18" ht="17.25" customHeight="1" x14ac:dyDescent="0.2">
      <c r="A32" s="38">
        <v>28</v>
      </c>
      <c r="B32" s="39"/>
      <c r="C32" s="40"/>
      <c r="D32" s="40"/>
      <c r="E32" s="41"/>
      <c r="F32" s="42"/>
      <c r="G32" s="42"/>
      <c r="H32" s="5" t="str">
        <f t="shared" si="0"/>
        <v/>
      </c>
      <c r="P32" s="55"/>
      <c r="Q32" s="56"/>
    </row>
    <row r="33" spans="1:17" ht="17.25" customHeight="1" x14ac:dyDescent="0.2">
      <c r="A33" s="33">
        <v>29</v>
      </c>
      <c r="B33" s="39"/>
      <c r="C33" s="40"/>
      <c r="D33" s="40"/>
      <c r="E33" s="41"/>
      <c r="F33" s="42"/>
      <c r="G33" s="42"/>
      <c r="H33" s="5" t="str">
        <f t="shared" si="0"/>
        <v/>
      </c>
      <c r="P33" s="55"/>
      <c r="Q33" s="56"/>
    </row>
    <row r="34" spans="1:17" ht="17.25" customHeight="1" x14ac:dyDescent="0.2">
      <c r="A34" s="38">
        <v>30</v>
      </c>
      <c r="B34" s="39"/>
      <c r="C34" s="40"/>
      <c r="D34" s="40"/>
      <c r="E34" s="41"/>
      <c r="F34" s="42"/>
      <c r="G34" s="42"/>
      <c r="H34" s="5" t="str">
        <f t="shared" si="0"/>
        <v/>
      </c>
      <c r="P34" s="55"/>
      <c r="Q34" s="56"/>
    </row>
    <row r="35" spans="1:17" ht="17.25" customHeight="1" x14ac:dyDescent="0.2">
      <c r="A35" s="33">
        <v>31</v>
      </c>
      <c r="B35" s="34"/>
      <c r="C35" s="35"/>
      <c r="D35" s="35"/>
      <c r="E35" s="36"/>
      <c r="F35" s="37"/>
      <c r="G35" s="37"/>
      <c r="H35" s="5" t="str">
        <f t="shared" si="0"/>
        <v/>
      </c>
      <c r="P35" s="55"/>
      <c r="Q35" s="56"/>
    </row>
    <row r="36" spans="1:17" ht="17.25" customHeight="1" x14ac:dyDescent="0.2">
      <c r="A36" s="33">
        <v>32</v>
      </c>
      <c r="B36" s="39"/>
      <c r="C36" s="40"/>
      <c r="D36" s="40"/>
      <c r="E36" s="41"/>
      <c r="F36" s="42"/>
      <c r="G36" s="42"/>
      <c r="H36" s="5" t="str">
        <f t="shared" si="0"/>
        <v/>
      </c>
      <c r="P36" s="55"/>
      <c r="Q36" s="56"/>
    </row>
    <row r="37" spans="1:17" ht="17.25" customHeight="1" x14ac:dyDescent="0.2">
      <c r="A37" s="38">
        <v>33</v>
      </c>
      <c r="B37" s="39"/>
      <c r="C37" s="40"/>
      <c r="D37" s="40"/>
      <c r="E37" s="41"/>
      <c r="F37" s="42"/>
      <c r="G37" s="42"/>
      <c r="H37" s="5" t="str">
        <f t="shared" si="0"/>
        <v/>
      </c>
      <c r="P37" s="55"/>
      <c r="Q37" s="56"/>
    </row>
    <row r="38" spans="1:17" ht="17.25" customHeight="1" x14ac:dyDescent="0.2">
      <c r="A38" s="33">
        <v>34</v>
      </c>
      <c r="B38" s="39"/>
      <c r="C38" s="40"/>
      <c r="D38" s="40"/>
      <c r="E38" s="41"/>
      <c r="F38" s="42"/>
      <c r="G38" s="42"/>
      <c r="H38" s="5" t="str">
        <f t="shared" si="0"/>
        <v/>
      </c>
      <c r="P38" s="55"/>
      <c r="Q38" s="56"/>
    </row>
    <row r="39" spans="1:17" ht="17.25" customHeight="1" x14ac:dyDescent="0.2">
      <c r="A39" s="57">
        <v>35</v>
      </c>
      <c r="B39" s="58"/>
      <c r="C39" s="59"/>
      <c r="D39" s="59"/>
      <c r="E39" s="60"/>
      <c r="F39" s="61"/>
      <c r="G39" s="61"/>
      <c r="H39" s="62" t="str">
        <f t="shared" si="0"/>
        <v/>
      </c>
      <c r="P39" s="55"/>
      <c r="Q39" s="56"/>
    </row>
  </sheetData>
  <phoneticPr fontId="2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18</xdr:col>
                    <xdr:colOff>38100</xdr:colOff>
                    <xdr:row>3</xdr:row>
                    <xdr:rowOff>9525</xdr:rowOff>
                  </from>
                  <to>
                    <xdr:col>20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>
                <anchor moveWithCells="1" sizeWithCells="1">
                  <from>
                    <xdr:col>18</xdr:col>
                    <xdr:colOff>38100</xdr:colOff>
                    <xdr:row>5</xdr:row>
                    <xdr:rowOff>76200</xdr:rowOff>
                  </from>
                  <to>
                    <xdr:col>20</xdr:col>
                    <xdr:colOff>200025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AK35"/>
  <sheetViews>
    <sheetView showGridLines="0" workbookViewId="0">
      <selection activeCell="F8" sqref="F8:O8"/>
    </sheetView>
  </sheetViews>
  <sheetFormatPr defaultColWidth="2.33203125" defaultRowHeight="18.75" customHeight="1" x14ac:dyDescent="0.2"/>
  <cols>
    <col min="1" max="3" width="2.83203125" style="1" customWidth="1"/>
    <col min="4" max="13" width="3.1640625" style="1" customWidth="1"/>
    <col min="14" max="36" width="2.83203125" style="1" customWidth="1"/>
    <col min="37" max="16384" width="2.33203125" style="1"/>
  </cols>
  <sheetData>
    <row r="1" spans="1:36" ht="22.5" customHeight="1" x14ac:dyDescent="0.2">
      <c r="A1" s="75" t="s">
        <v>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</row>
    <row r="2" spans="1:36" ht="22.5" customHeight="1" x14ac:dyDescent="0.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3" spans="1:36" ht="22.5" customHeight="1" x14ac:dyDescent="0.2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</row>
    <row r="4" spans="1:36" ht="18.75" customHeight="1" x14ac:dyDescent="0.2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</row>
    <row r="5" spans="1:36" ht="17.25" customHeight="1" x14ac:dyDescent="0.2">
      <c r="A5" s="76" t="s">
        <v>51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7" t="s">
        <v>24</v>
      </c>
      <c r="O5" s="77"/>
      <c r="T5" s="78" t="s">
        <v>0</v>
      </c>
      <c r="U5" s="81" t="s">
        <v>22</v>
      </c>
      <c r="V5" s="63"/>
      <c r="W5" s="63"/>
      <c r="X5" s="63"/>
      <c r="Y5" s="63" t="s">
        <v>1</v>
      </c>
      <c r="Z5" s="63"/>
      <c r="AA5" s="63"/>
      <c r="AB5" s="63"/>
      <c r="AC5" s="63" t="s">
        <v>2</v>
      </c>
      <c r="AD5" s="63"/>
      <c r="AE5" s="63"/>
      <c r="AF5" s="63"/>
      <c r="AG5" s="63" t="s">
        <v>3</v>
      </c>
      <c r="AH5" s="63"/>
      <c r="AI5" s="63"/>
      <c r="AJ5" s="64"/>
    </row>
    <row r="6" spans="1:36" ht="17.25" customHeight="1" x14ac:dyDescent="0.2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T6" s="79"/>
      <c r="U6" s="66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72"/>
    </row>
    <row r="7" spans="1:36" ht="17.25" customHeight="1" x14ac:dyDescent="0.2">
      <c r="A7" s="86" t="s">
        <v>25</v>
      </c>
      <c r="B7" s="87"/>
      <c r="C7" s="87"/>
      <c r="D7" s="87"/>
      <c r="E7" s="87"/>
      <c r="F7" s="91">
        <v>43835</v>
      </c>
      <c r="G7" s="91"/>
      <c r="H7" s="91"/>
      <c r="I7" s="91"/>
      <c r="J7" s="91"/>
      <c r="K7" s="91"/>
      <c r="L7" s="91"/>
      <c r="M7" s="91"/>
      <c r="N7" s="91"/>
      <c r="O7" s="92"/>
      <c r="T7" s="79"/>
      <c r="U7" s="68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73"/>
    </row>
    <row r="8" spans="1:36" ht="17.25" customHeight="1" x14ac:dyDescent="0.2">
      <c r="A8" s="93" t="s">
        <v>44</v>
      </c>
      <c r="B8" s="71"/>
      <c r="C8" s="71"/>
      <c r="D8" s="71"/>
      <c r="E8" s="71"/>
      <c r="F8" s="94">
        <f>SUM(구매발주대장!N:N)</f>
        <v>10285000</v>
      </c>
      <c r="G8" s="94"/>
      <c r="H8" s="94"/>
      <c r="I8" s="94"/>
      <c r="J8" s="94"/>
      <c r="K8" s="94"/>
      <c r="L8" s="94"/>
      <c r="M8" s="94"/>
      <c r="N8" s="94"/>
      <c r="O8" s="95"/>
      <c r="T8" s="80"/>
      <c r="U8" s="70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4"/>
    </row>
    <row r="9" spans="1:36" ht="17.25" customHeight="1" x14ac:dyDescent="0.2">
      <c r="A9" s="2"/>
      <c r="B9" s="2"/>
      <c r="C9" s="2"/>
      <c r="D9" s="2"/>
      <c r="E9" s="2"/>
    </row>
    <row r="10" spans="1:36" ht="17.25" customHeight="1" x14ac:dyDescent="0.2">
      <c r="A10" s="86" t="s">
        <v>4</v>
      </c>
      <c r="B10" s="87"/>
      <c r="C10" s="87"/>
      <c r="D10" s="87"/>
      <c r="E10" s="87"/>
      <c r="F10" s="88" t="s">
        <v>26</v>
      </c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90"/>
    </row>
    <row r="11" spans="1:36" ht="17.25" customHeight="1" x14ac:dyDescent="0.2">
      <c r="A11" s="82" t="s">
        <v>5</v>
      </c>
      <c r="B11" s="69"/>
      <c r="C11" s="69"/>
      <c r="D11" s="69"/>
      <c r="E11" s="69"/>
      <c r="F11" s="83" t="s">
        <v>29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5"/>
    </row>
    <row r="12" spans="1:36" ht="17.25" customHeight="1" x14ac:dyDescent="0.2">
      <c r="A12" s="82" t="s">
        <v>13</v>
      </c>
      <c r="B12" s="69"/>
      <c r="C12" s="69"/>
      <c r="D12" s="69"/>
      <c r="E12" s="69"/>
      <c r="F12" s="83" t="s">
        <v>27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5"/>
    </row>
    <row r="13" spans="1:36" ht="17.25" customHeight="1" x14ac:dyDescent="0.2">
      <c r="A13" s="93" t="s">
        <v>6</v>
      </c>
      <c r="B13" s="71"/>
      <c r="C13" s="71"/>
      <c r="D13" s="71"/>
      <c r="E13" s="71"/>
      <c r="F13" s="97" t="s">
        <v>28</v>
      </c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9"/>
    </row>
    <row r="15" spans="1:36" ht="21" customHeight="1" x14ac:dyDescent="0.2">
      <c r="A15" s="96" t="s">
        <v>7</v>
      </c>
      <c r="B15" s="96"/>
      <c r="C15" s="96"/>
      <c r="D15" s="96" t="s">
        <v>8</v>
      </c>
      <c r="E15" s="96"/>
      <c r="F15" s="96"/>
      <c r="G15" s="96"/>
      <c r="H15" s="96"/>
      <c r="I15" s="96"/>
      <c r="J15" s="96"/>
      <c r="K15" s="96"/>
      <c r="L15" s="96"/>
      <c r="M15" s="96"/>
      <c r="N15" s="96" t="s">
        <v>9</v>
      </c>
      <c r="O15" s="96"/>
      <c r="P15" s="96"/>
      <c r="Q15" s="96"/>
      <c r="R15" s="96" t="s">
        <v>10</v>
      </c>
      <c r="S15" s="96"/>
      <c r="T15" s="96"/>
      <c r="U15" s="96" t="s">
        <v>11</v>
      </c>
      <c r="V15" s="96"/>
      <c r="W15" s="96"/>
      <c r="X15" s="96"/>
      <c r="Y15" s="96"/>
      <c r="Z15" s="96"/>
      <c r="AA15" s="96"/>
      <c r="AB15" s="96" t="s">
        <v>45</v>
      </c>
      <c r="AC15" s="96"/>
      <c r="AD15" s="96"/>
      <c r="AE15" s="96"/>
      <c r="AF15" s="96"/>
      <c r="AG15" s="96"/>
      <c r="AH15" s="96"/>
      <c r="AI15" s="96"/>
      <c r="AJ15" s="96"/>
    </row>
    <row r="16" spans="1:36" ht="21" customHeight="1" x14ac:dyDescent="0.2">
      <c r="A16" s="96">
        <v>1</v>
      </c>
      <c r="B16" s="96"/>
      <c r="C16" s="96"/>
      <c r="D16" s="96" t="str">
        <f>IF(구매발주대장!J8="","",구매발주대장!J8)</f>
        <v>모니터-A</v>
      </c>
      <c r="E16" s="96"/>
      <c r="F16" s="96"/>
      <c r="G16" s="96"/>
      <c r="H16" s="96"/>
      <c r="I16" s="96"/>
      <c r="J16" s="96"/>
      <c r="K16" s="96"/>
      <c r="L16" s="96"/>
      <c r="M16" s="96"/>
      <c r="N16" s="96">
        <f>IF(구매발주대장!K8="","",구매발주대장!K8)</f>
        <v>17</v>
      </c>
      <c r="O16" s="96"/>
      <c r="P16" s="96"/>
      <c r="Q16" s="96"/>
      <c r="R16" s="96">
        <f>IF(구매발주대장!L8="","",구매발주대장!L8)</f>
        <v>5</v>
      </c>
      <c r="S16" s="96"/>
      <c r="T16" s="96"/>
      <c r="U16" s="100">
        <f>IF(구매발주대장!M8="","",구매발주대장!M8)</f>
        <v>550000</v>
      </c>
      <c r="V16" s="100"/>
      <c r="W16" s="100"/>
      <c r="X16" s="100"/>
      <c r="Y16" s="100"/>
      <c r="Z16" s="100"/>
      <c r="AA16" s="100"/>
      <c r="AB16" s="4" t="str">
        <f>MID(TEXT(구매발주대장!$N8,REPT("?",9)),COLUMN(A1),1)</f>
        <v xml:space="preserve"> </v>
      </c>
      <c r="AC16" s="4" t="str">
        <f>MID(TEXT(구매발주대장!$N8,REPT("?",9)),COLUMN(B1),1)</f>
        <v xml:space="preserve"> </v>
      </c>
      <c r="AD16" s="4" t="str">
        <f>MID(TEXT(구매발주대장!$N8,REPT("?",9)),COLUMN(C1),1)</f>
        <v>3</v>
      </c>
      <c r="AE16" s="4" t="str">
        <f>MID(TEXT(구매발주대장!$N8,REPT("?",9)),COLUMN(D1),1)</f>
        <v>0</v>
      </c>
      <c r="AF16" s="4" t="str">
        <f>MID(TEXT(구매발주대장!$N8,REPT("?",9)),COLUMN(E1),1)</f>
        <v>2</v>
      </c>
      <c r="AG16" s="4" t="str">
        <f>MID(TEXT(구매발주대장!$N8,REPT("?",9)),COLUMN(F1),1)</f>
        <v>5</v>
      </c>
      <c r="AH16" s="4" t="str">
        <f>MID(TEXT(구매발주대장!$N8,REPT("?",9)),COLUMN(G1),1)</f>
        <v>0</v>
      </c>
      <c r="AI16" s="4" t="str">
        <f>MID(TEXT(구매발주대장!$N8,REPT("?",9)),COLUMN(H1),1)</f>
        <v>0</v>
      </c>
      <c r="AJ16" s="4" t="str">
        <f>MID(TEXT(구매발주대장!$N8,REPT("?",9)),COLUMN(I1),1)</f>
        <v>0</v>
      </c>
    </row>
    <row r="17" spans="1:37" ht="21" customHeight="1" x14ac:dyDescent="0.2">
      <c r="A17" s="96">
        <v>2</v>
      </c>
      <c r="B17" s="96"/>
      <c r="C17" s="96"/>
      <c r="D17" s="96" t="str">
        <f>IF(구매발주대장!J9="","",구매발주대장!J9)</f>
        <v>모니터-B</v>
      </c>
      <c r="E17" s="96"/>
      <c r="F17" s="96"/>
      <c r="G17" s="96"/>
      <c r="H17" s="96"/>
      <c r="I17" s="96"/>
      <c r="J17" s="96"/>
      <c r="K17" s="96"/>
      <c r="L17" s="96"/>
      <c r="M17" s="96"/>
      <c r="N17" s="96">
        <f>IF(구매발주대장!K9="","",구매발주대장!K9)</f>
        <v>19</v>
      </c>
      <c r="O17" s="96"/>
      <c r="P17" s="96"/>
      <c r="Q17" s="96"/>
      <c r="R17" s="96">
        <f>IF(구매발주대장!L9="","",구매발주대장!L9)</f>
        <v>5</v>
      </c>
      <c r="S17" s="96"/>
      <c r="T17" s="96"/>
      <c r="U17" s="100">
        <f>IF(구매발주대장!M9="","",구매발주대장!M9)</f>
        <v>600000</v>
      </c>
      <c r="V17" s="100"/>
      <c r="W17" s="100"/>
      <c r="X17" s="100"/>
      <c r="Y17" s="100"/>
      <c r="Z17" s="100"/>
      <c r="AA17" s="100"/>
      <c r="AB17" s="4" t="str">
        <f>MID(TEXT(구매발주대장!$N9,REPT("?",9)),COLUMN(A2),1)</f>
        <v xml:space="preserve"> </v>
      </c>
      <c r="AC17" s="4" t="str">
        <f>MID(TEXT(구매발주대장!$N9,REPT("?",9)),COLUMN(B2),1)</f>
        <v xml:space="preserve"> </v>
      </c>
      <c r="AD17" s="4" t="str">
        <f>MID(TEXT(구매발주대장!$N9,REPT("?",9)),COLUMN(C2),1)</f>
        <v>3</v>
      </c>
      <c r="AE17" s="4" t="str">
        <f>MID(TEXT(구매발주대장!$N9,REPT("?",9)),COLUMN(D2),1)</f>
        <v>3</v>
      </c>
      <c r="AF17" s="4" t="str">
        <f>MID(TEXT(구매발주대장!$N9,REPT("?",9)),COLUMN(E2),1)</f>
        <v>0</v>
      </c>
      <c r="AG17" s="4" t="str">
        <f>MID(TEXT(구매발주대장!$N9,REPT("?",9)),COLUMN(F2),1)</f>
        <v>0</v>
      </c>
      <c r="AH17" s="4" t="str">
        <f>MID(TEXT(구매발주대장!$N9,REPT("?",9)),COLUMN(G2),1)</f>
        <v>0</v>
      </c>
      <c r="AI17" s="4" t="str">
        <f>MID(TEXT(구매발주대장!$N9,REPT("?",9)),COLUMN(H2),1)</f>
        <v>0</v>
      </c>
      <c r="AJ17" s="4" t="str">
        <f>MID(TEXT(구매발주대장!$N9,REPT("?",9)),COLUMN(I2),1)</f>
        <v>0</v>
      </c>
      <c r="AK17" s="3"/>
    </row>
    <row r="18" spans="1:37" ht="21" customHeight="1" x14ac:dyDescent="0.2">
      <c r="A18" s="96">
        <v>3</v>
      </c>
      <c r="B18" s="96"/>
      <c r="C18" s="96"/>
      <c r="D18" s="96" t="str">
        <f>IF(구매발주대장!J10="","",구매발주대장!J10)</f>
        <v>본체</v>
      </c>
      <c r="E18" s="96"/>
      <c r="F18" s="96"/>
      <c r="G18" s="96"/>
      <c r="H18" s="96"/>
      <c r="I18" s="96"/>
      <c r="J18" s="96"/>
      <c r="K18" s="96"/>
      <c r="L18" s="96"/>
      <c r="M18" s="96"/>
      <c r="N18" s="96" t="str">
        <f>IF(구매발주대장!K10="","",구매발주대장!K10)</f>
        <v/>
      </c>
      <c r="O18" s="96"/>
      <c r="P18" s="96"/>
      <c r="Q18" s="96"/>
      <c r="R18" s="96">
        <f>IF(구매발주대장!L10="","",구매발주대장!L10)</f>
        <v>5</v>
      </c>
      <c r="S18" s="96"/>
      <c r="T18" s="96"/>
      <c r="U18" s="100">
        <f>IF(구매발주대장!M10="","",구매발주대장!M10)</f>
        <v>720000</v>
      </c>
      <c r="V18" s="100"/>
      <c r="W18" s="100"/>
      <c r="X18" s="100"/>
      <c r="Y18" s="100"/>
      <c r="Z18" s="100"/>
      <c r="AA18" s="100"/>
      <c r="AB18" s="4" t="str">
        <f>MID(TEXT(구매발주대장!$N10,REPT("?",9)),COLUMN(A3),1)</f>
        <v xml:space="preserve"> </v>
      </c>
      <c r="AC18" s="4" t="str">
        <f>MID(TEXT(구매발주대장!$N10,REPT("?",9)),COLUMN(B3),1)</f>
        <v xml:space="preserve"> </v>
      </c>
      <c r="AD18" s="4" t="str">
        <f>MID(TEXT(구매발주대장!$N10,REPT("?",9)),COLUMN(C3),1)</f>
        <v>3</v>
      </c>
      <c r="AE18" s="4" t="str">
        <f>MID(TEXT(구매발주대장!$N10,REPT("?",9)),COLUMN(D3),1)</f>
        <v>9</v>
      </c>
      <c r="AF18" s="4" t="str">
        <f>MID(TEXT(구매발주대장!$N10,REPT("?",9)),COLUMN(E3),1)</f>
        <v>6</v>
      </c>
      <c r="AG18" s="4" t="str">
        <f>MID(TEXT(구매발주대장!$N10,REPT("?",9)),COLUMN(F3),1)</f>
        <v>0</v>
      </c>
      <c r="AH18" s="4" t="str">
        <f>MID(TEXT(구매발주대장!$N10,REPT("?",9)),COLUMN(G3),1)</f>
        <v>0</v>
      </c>
      <c r="AI18" s="4" t="str">
        <f>MID(TEXT(구매발주대장!$N10,REPT("?",9)),COLUMN(H3),1)</f>
        <v>0</v>
      </c>
      <c r="AJ18" s="4" t="str">
        <f>MID(TEXT(구매발주대장!$N10,REPT("?",9)),COLUMN(I3),1)</f>
        <v>0</v>
      </c>
      <c r="AK18" s="3"/>
    </row>
    <row r="19" spans="1:37" ht="21" customHeight="1" x14ac:dyDescent="0.2">
      <c r="A19" s="96">
        <v>4</v>
      </c>
      <c r="B19" s="96"/>
      <c r="C19" s="96"/>
      <c r="D19" s="96" t="str">
        <f>IF(구매발주대장!J11="","",구매발주대장!J11)</f>
        <v/>
      </c>
      <c r="E19" s="96"/>
      <c r="F19" s="96"/>
      <c r="G19" s="96"/>
      <c r="H19" s="96"/>
      <c r="I19" s="96"/>
      <c r="J19" s="96"/>
      <c r="K19" s="96"/>
      <c r="L19" s="96"/>
      <c r="M19" s="96"/>
      <c r="N19" s="96" t="str">
        <f>IF(구매발주대장!K11="","",구매발주대장!K11)</f>
        <v/>
      </c>
      <c r="O19" s="96"/>
      <c r="P19" s="96"/>
      <c r="Q19" s="96"/>
      <c r="R19" s="96" t="str">
        <f>IF(구매발주대장!L11="","",구매발주대장!L11)</f>
        <v/>
      </c>
      <c r="S19" s="96"/>
      <c r="T19" s="96"/>
      <c r="U19" s="100" t="str">
        <f>IF(구매발주대장!M11="","",구매발주대장!M11)</f>
        <v/>
      </c>
      <c r="V19" s="100"/>
      <c r="W19" s="100"/>
      <c r="X19" s="100"/>
      <c r="Y19" s="100"/>
      <c r="Z19" s="100"/>
      <c r="AA19" s="100"/>
      <c r="AB19" s="4" t="str">
        <f>MID(TEXT(구매발주대장!$N11,REPT("?",9)),COLUMN(A4),1)</f>
        <v xml:space="preserve"> </v>
      </c>
      <c r="AC19" s="4" t="str">
        <f>MID(TEXT(구매발주대장!$N11,REPT("?",9)),COLUMN(B4),1)</f>
        <v xml:space="preserve"> </v>
      </c>
      <c r="AD19" s="4" t="str">
        <f>MID(TEXT(구매발주대장!$N11,REPT("?",9)),COLUMN(C4),1)</f>
        <v xml:space="preserve"> </v>
      </c>
      <c r="AE19" s="4" t="str">
        <f>MID(TEXT(구매발주대장!$N11,REPT("?",9)),COLUMN(D4),1)</f>
        <v xml:space="preserve"> </v>
      </c>
      <c r="AF19" s="4" t="str">
        <f>MID(TEXT(구매발주대장!$N11,REPT("?",9)),COLUMN(E4),1)</f>
        <v xml:space="preserve"> </v>
      </c>
      <c r="AG19" s="4" t="str">
        <f>MID(TEXT(구매발주대장!$N11,REPT("?",9)),COLUMN(F4),1)</f>
        <v xml:space="preserve"> </v>
      </c>
      <c r="AH19" s="4" t="str">
        <f>MID(TEXT(구매발주대장!$N11,REPT("?",9)),COLUMN(G4),1)</f>
        <v xml:space="preserve"> </v>
      </c>
      <c r="AI19" s="4" t="str">
        <f>MID(TEXT(구매발주대장!$N11,REPT("?",9)),COLUMN(H4),1)</f>
        <v xml:space="preserve"> </v>
      </c>
      <c r="AJ19" s="4" t="str">
        <f>MID(TEXT(구매발주대장!$N11,REPT("?",9)),COLUMN(I4),1)</f>
        <v xml:space="preserve"> </v>
      </c>
      <c r="AK19" s="3"/>
    </row>
    <row r="20" spans="1:37" ht="21" customHeight="1" x14ac:dyDescent="0.2">
      <c r="A20" s="96">
        <v>5</v>
      </c>
      <c r="B20" s="96"/>
      <c r="C20" s="96"/>
      <c r="D20" s="96" t="str">
        <f>IF(구매발주대장!J12="","",구매발주대장!J12)</f>
        <v/>
      </c>
      <c r="E20" s="96"/>
      <c r="F20" s="96"/>
      <c r="G20" s="96"/>
      <c r="H20" s="96"/>
      <c r="I20" s="96"/>
      <c r="J20" s="96"/>
      <c r="K20" s="96"/>
      <c r="L20" s="96"/>
      <c r="M20" s="96"/>
      <c r="N20" s="96" t="str">
        <f>IF(구매발주대장!K12="","",구매발주대장!K12)</f>
        <v/>
      </c>
      <c r="O20" s="96"/>
      <c r="P20" s="96"/>
      <c r="Q20" s="96"/>
      <c r="R20" s="96" t="str">
        <f>IF(구매발주대장!L12="","",구매발주대장!L12)</f>
        <v/>
      </c>
      <c r="S20" s="96"/>
      <c r="T20" s="96"/>
      <c r="U20" s="100" t="str">
        <f>IF(구매발주대장!M12="","",구매발주대장!M12)</f>
        <v/>
      </c>
      <c r="V20" s="100"/>
      <c r="W20" s="100"/>
      <c r="X20" s="100"/>
      <c r="Y20" s="100"/>
      <c r="Z20" s="100"/>
      <c r="AA20" s="100"/>
      <c r="AB20" s="4" t="str">
        <f>MID(TEXT(구매발주대장!$N12,REPT("?",9)),COLUMN(A5),1)</f>
        <v xml:space="preserve"> </v>
      </c>
      <c r="AC20" s="4" t="str">
        <f>MID(TEXT(구매발주대장!$N12,REPT("?",9)),COLUMN(B5),1)</f>
        <v xml:space="preserve"> </v>
      </c>
      <c r="AD20" s="4" t="str">
        <f>MID(TEXT(구매발주대장!$N12,REPT("?",9)),COLUMN(C5),1)</f>
        <v xml:space="preserve"> </v>
      </c>
      <c r="AE20" s="4" t="str">
        <f>MID(TEXT(구매발주대장!$N12,REPT("?",9)),COLUMN(D5),1)</f>
        <v xml:space="preserve"> </v>
      </c>
      <c r="AF20" s="4" t="str">
        <f>MID(TEXT(구매발주대장!$N12,REPT("?",9)),COLUMN(E5),1)</f>
        <v xml:space="preserve"> </v>
      </c>
      <c r="AG20" s="4" t="str">
        <f>MID(TEXT(구매발주대장!$N12,REPT("?",9)),COLUMN(F5),1)</f>
        <v xml:space="preserve"> </v>
      </c>
      <c r="AH20" s="4" t="str">
        <f>MID(TEXT(구매발주대장!$N12,REPT("?",9)),COLUMN(G5),1)</f>
        <v xml:space="preserve"> </v>
      </c>
      <c r="AI20" s="4" t="str">
        <f>MID(TEXT(구매발주대장!$N12,REPT("?",9)),COLUMN(H5),1)</f>
        <v xml:space="preserve"> </v>
      </c>
      <c r="AJ20" s="4" t="str">
        <f>MID(TEXT(구매발주대장!$N12,REPT("?",9)),COLUMN(I5),1)</f>
        <v xml:space="preserve"> </v>
      </c>
      <c r="AK20" s="3"/>
    </row>
    <row r="21" spans="1:37" ht="21" customHeight="1" x14ac:dyDescent="0.2">
      <c r="A21" s="96">
        <v>6</v>
      </c>
      <c r="B21" s="96"/>
      <c r="C21" s="96"/>
      <c r="D21" s="96" t="str">
        <f>IF(구매발주대장!J13="","",구매발주대장!J13)</f>
        <v/>
      </c>
      <c r="E21" s="96"/>
      <c r="F21" s="96"/>
      <c r="G21" s="96"/>
      <c r="H21" s="96"/>
      <c r="I21" s="96"/>
      <c r="J21" s="96"/>
      <c r="K21" s="96"/>
      <c r="L21" s="96"/>
      <c r="M21" s="96"/>
      <c r="N21" s="96" t="str">
        <f>IF(구매발주대장!K13="","",구매발주대장!K13)</f>
        <v/>
      </c>
      <c r="O21" s="96"/>
      <c r="P21" s="96"/>
      <c r="Q21" s="96"/>
      <c r="R21" s="96" t="str">
        <f>IF(구매발주대장!L13="","",구매발주대장!L13)</f>
        <v/>
      </c>
      <c r="S21" s="96"/>
      <c r="T21" s="96"/>
      <c r="U21" s="100" t="str">
        <f>IF(구매발주대장!M13="","",구매발주대장!M13)</f>
        <v/>
      </c>
      <c r="V21" s="100"/>
      <c r="W21" s="100"/>
      <c r="X21" s="100"/>
      <c r="Y21" s="100"/>
      <c r="Z21" s="100"/>
      <c r="AA21" s="100"/>
      <c r="AB21" s="4" t="str">
        <f>MID(TEXT(구매발주대장!$N13,REPT("?",9)),COLUMN(A6),1)</f>
        <v xml:space="preserve"> </v>
      </c>
      <c r="AC21" s="4" t="str">
        <f>MID(TEXT(구매발주대장!$N13,REPT("?",9)),COLUMN(B6),1)</f>
        <v xml:space="preserve"> </v>
      </c>
      <c r="AD21" s="4" t="str">
        <f>MID(TEXT(구매발주대장!$N13,REPT("?",9)),COLUMN(C6),1)</f>
        <v xml:space="preserve"> </v>
      </c>
      <c r="AE21" s="4" t="str">
        <f>MID(TEXT(구매발주대장!$N13,REPT("?",9)),COLUMN(D6),1)</f>
        <v xml:space="preserve"> </v>
      </c>
      <c r="AF21" s="4" t="str">
        <f>MID(TEXT(구매발주대장!$N13,REPT("?",9)),COLUMN(E6),1)</f>
        <v xml:space="preserve"> </v>
      </c>
      <c r="AG21" s="4" t="str">
        <f>MID(TEXT(구매발주대장!$N13,REPT("?",9)),COLUMN(F6),1)</f>
        <v xml:space="preserve"> </v>
      </c>
      <c r="AH21" s="4" t="str">
        <f>MID(TEXT(구매발주대장!$N13,REPT("?",9)),COLUMN(G6),1)</f>
        <v xml:space="preserve"> </v>
      </c>
      <c r="AI21" s="4" t="str">
        <f>MID(TEXT(구매발주대장!$N13,REPT("?",9)),COLUMN(H6),1)</f>
        <v xml:space="preserve"> </v>
      </c>
      <c r="AJ21" s="4" t="str">
        <f>MID(TEXT(구매발주대장!$N13,REPT("?",9)),COLUMN(I6),1)</f>
        <v xml:space="preserve"> </v>
      </c>
      <c r="AK21" s="3"/>
    </row>
    <row r="22" spans="1:37" ht="21" customHeight="1" x14ac:dyDescent="0.2">
      <c r="A22" s="96">
        <v>7</v>
      </c>
      <c r="B22" s="96"/>
      <c r="C22" s="96"/>
      <c r="D22" s="96" t="str">
        <f>IF(구매발주대장!J14="","",구매발주대장!J14)</f>
        <v/>
      </c>
      <c r="E22" s="96"/>
      <c r="F22" s="96"/>
      <c r="G22" s="96"/>
      <c r="H22" s="96"/>
      <c r="I22" s="96"/>
      <c r="J22" s="96"/>
      <c r="K22" s="96"/>
      <c r="L22" s="96"/>
      <c r="M22" s="96"/>
      <c r="N22" s="96" t="str">
        <f>IF(구매발주대장!K14="","",구매발주대장!K14)</f>
        <v/>
      </c>
      <c r="O22" s="96"/>
      <c r="P22" s="96"/>
      <c r="Q22" s="96"/>
      <c r="R22" s="96" t="str">
        <f>IF(구매발주대장!L14="","",구매발주대장!L14)</f>
        <v/>
      </c>
      <c r="S22" s="96"/>
      <c r="T22" s="96"/>
      <c r="U22" s="100" t="str">
        <f>IF(구매발주대장!M14="","",구매발주대장!M14)</f>
        <v/>
      </c>
      <c r="V22" s="100"/>
      <c r="W22" s="100"/>
      <c r="X22" s="100"/>
      <c r="Y22" s="100"/>
      <c r="Z22" s="100"/>
      <c r="AA22" s="100"/>
      <c r="AB22" s="4" t="str">
        <f>MID(TEXT(구매발주대장!$N14,REPT("?",9)),COLUMN(A7),1)</f>
        <v xml:space="preserve"> </v>
      </c>
      <c r="AC22" s="4" t="str">
        <f>MID(TEXT(구매발주대장!$N14,REPT("?",9)),COLUMN(B7),1)</f>
        <v xml:space="preserve"> </v>
      </c>
      <c r="AD22" s="4" t="str">
        <f>MID(TEXT(구매발주대장!$N14,REPT("?",9)),COLUMN(C7),1)</f>
        <v xml:space="preserve"> </v>
      </c>
      <c r="AE22" s="4" t="str">
        <f>MID(TEXT(구매발주대장!$N14,REPT("?",9)),COLUMN(D7),1)</f>
        <v xml:space="preserve"> </v>
      </c>
      <c r="AF22" s="4" t="str">
        <f>MID(TEXT(구매발주대장!$N14,REPT("?",9)),COLUMN(E7),1)</f>
        <v xml:space="preserve"> </v>
      </c>
      <c r="AG22" s="4" t="str">
        <f>MID(TEXT(구매발주대장!$N14,REPT("?",9)),COLUMN(F7),1)</f>
        <v xml:space="preserve"> </v>
      </c>
      <c r="AH22" s="4" t="str">
        <f>MID(TEXT(구매발주대장!$N14,REPT("?",9)),COLUMN(G7),1)</f>
        <v xml:space="preserve"> </v>
      </c>
      <c r="AI22" s="4" t="str">
        <f>MID(TEXT(구매발주대장!$N14,REPT("?",9)),COLUMN(H7),1)</f>
        <v xml:space="preserve"> </v>
      </c>
      <c r="AJ22" s="4" t="str">
        <f>MID(TEXT(구매발주대장!$N14,REPT("?",9)),COLUMN(I7),1)</f>
        <v xml:space="preserve"> </v>
      </c>
      <c r="AK22" s="3"/>
    </row>
    <row r="23" spans="1:37" ht="21" customHeight="1" x14ac:dyDescent="0.2">
      <c r="A23" s="96">
        <v>8</v>
      </c>
      <c r="B23" s="96"/>
      <c r="C23" s="96"/>
      <c r="D23" s="96" t="str">
        <f>IF(구매발주대장!J15="","",구매발주대장!J15)</f>
        <v/>
      </c>
      <c r="E23" s="96"/>
      <c r="F23" s="96"/>
      <c r="G23" s="96"/>
      <c r="H23" s="96"/>
      <c r="I23" s="96"/>
      <c r="J23" s="96"/>
      <c r="K23" s="96"/>
      <c r="L23" s="96"/>
      <c r="M23" s="96"/>
      <c r="N23" s="96" t="str">
        <f>IF(구매발주대장!K15="","",구매발주대장!K15)</f>
        <v/>
      </c>
      <c r="O23" s="96"/>
      <c r="P23" s="96"/>
      <c r="Q23" s="96"/>
      <c r="R23" s="96" t="str">
        <f>IF(구매발주대장!L15="","",구매발주대장!L15)</f>
        <v/>
      </c>
      <c r="S23" s="96"/>
      <c r="T23" s="96"/>
      <c r="U23" s="100" t="str">
        <f>IF(구매발주대장!M15="","",구매발주대장!M15)</f>
        <v/>
      </c>
      <c r="V23" s="100"/>
      <c r="W23" s="100"/>
      <c r="X23" s="100"/>
      <c r="Y23" s="100"/>
      <c r="Z23" s="100"/>
      <c r="AA23" s="100"/>
      <c r="AB23" s="4" t="str">
        <f>MID(TEXT(구매발주대장!$N15,REPT("?",9)),COLUMN(A8),1)</f>
        <v xml:space="preserve"> </v>
      </c>
      <c r="AC23" s="4" t="str">
        <f>MID(TEXT(구매발주대장!$N15,REPT("?",9)),COLUMN(B8),1)</f>
        <v xml:space="preserve"> </v>
      </c>
      <c r="AD23" s="4" t="str">
        <f>MID(TEXT(구매발주대장!$N15,REPT("?",9)),COLUMN(C8),1)</f>
        <v xml:space="preserve"> </v>
      </c>
      <c r="AE23" s="4" t="str">
        <f>MID(TEXT(구매발주대장!$N15,REPT("?",9)),COLUMN(D8),1)</f>
        <v xml:space="preserve"> </v>
      </c>
      <c r="AF23" s="4" t="str">
        <f>MID(TEXT(구매발주대장!$N15,REPT("?",9)),COLUMN(E8),1)</f>
        <v xml:space="preserve"> </v>
      </c>
      <c r="AG23" s="4" t="str">
        <f>MID(TEXT(구매발주대장!$N15,REPT("?",9)),COLUMN(F8),1)</f>
        <v xml:space="preserve"> </v>
      </c>
      <c r="AH23" s="4" t="str">
        <f>MID(TEXT(구매발주대장!$N15,REPT("?",9)),COLUMN(G8),1)</f>
        <v xml:space="preserve"> </v>
      </c>
      <c r="AI23" s="4" t="str">
        <f>MID(TEXT(구매발주대장!$N15,REPT("?",9)),COLUMN(H8),1)</f>
        <v xml:space="preserve"> </v>
      </c>
      <c r="AJ23" s="4" t="str">
        <f>MID(TEXT(구매발주대장!$N15,REPT("?",9)),COLUMN(I8),1)</f>
        <v xml:space="preserve"> </v>
      </c>
      <c r="AK23" s="3"/>
    </row>
    <row r="24" spans="1:37" ht="21" customHeight="1" x14ac:dyDescent="0.2">
      <c r="A24" s="96">
        <v>9</v>
      </c>
      <c r="B24" s="96"/>
      <c r="C24" s="96"/>
      <c r="D24" s="96" t="str">
        <f>IF(구매발주대장!J16="","",구매발주대장!J16)</f>
        <v/>
      </c>
      <c r="E24" s="96"/>
      <c r="F24" s="96"/>
      <c r="G24" s="96"/>
      <c r="H24" s="96"/>
      <c r="I24" s="96"/>
      <c r="J24" s="96"/>
      <c r="K24" s="96"/>
      <c r="L24" s="96"/>
      <c r="M24" s="96"/>
      <c r="N24" s="96" t="str">
        <f>IF(구매발주대장!K16="","",구매발주대장!K16)</f>
        <v/>
      </c>
      <c r="O24" s="96"/>
      <c r="P24" s="96"/>
      <c r="Q24" s="96"/>
      <c r="R24" s="96" t="str">
        <f>IF(구매발주대장!L16="","",구매발주대장!L16)</f>
        <v/>
      </c>
      <c r="S24" s="96"/>
      <c r="T24" s="96"/>
      <c r="U24" s="100" t="str">
        <f>IF(구매발주대장!M16="","",구매발주대장!M16)</f>
        <v/>
      </c>
      <c r="V24" s="100"/>
      <c r="W24" s="100"/>
      <c r="X24" s="100"/>
      <c r="Y24" s="100"/>
      <c r="Z24" s="100"/>
      <c r="AA24" s="100"/>
      <c r="AB24" s="4" t="str">
        <f>MID(TEXT(구매발주대장!$N16,REPT("?",9)),COLUMN(A9),1)</f>
        <v xml:space="preserve"> </v>
      </c>
      <c r="AC24" s="4" t="str">
        <f>MID(TEXT(구매발주대장!$N16,REPT("?",9)),COLUMN(B9),1)</f>
        <v xml:space="preserve"> </v>
      </c>
      <c r="AD24" s="4" t="str">
        <f>MID(TEXT(구매발주대장!$N16,REPT("?",9)),COLUMN(C9),1)</f>
        <v xml:space="preserve"> </v>
      </c>
      <c r="AE24" s="4" t="str">
        <f>MID(TEXT(구매발주대장!$N16,REPT("?",9)),COLUMN(D9),1)</f>
        <v xml:space="preserve"> </v>
      </c>
      <c r="AF24" s="4" t="str">
        <f>MID(TEXT(구매발주대장!$N16,REPT("?",9)),COLUMN(E9),1)</f>
        <v xml:space="preserve"> </v>
      </c>
      <c r="AG24" s="4" t="str">
        <f>MID(TEXT(구매발주대장!$N16,REPT("?",9)),COLUMN(F9),1)</f>
        <v xml:space="preserve"> </v>
      </c>
      <c r="AH24" s="4" t="str">
        <f>MID(TEXT(구매발주대장!$N16,REPT("?",9)),COLUMN(G9),1)</f>
        <v xml:space="preserve"> </v>
      </c>
      <c r="AI24" s="4" t="str">
        <f>MID(TEXT(구매발주대장!$N16,REPT("?",9)),COLUMN(H9),1)</f>
        <v xml:space="preserve"> </v>
      </c>
      <c r="AJ24" s="4" t="str">
        <f>MID(TEXT(구매발주대장!$N16,REPT("?",9)),COLUMN(I9),1)</f>
        <v xml:space="preserve"> </v>
      </c>
      <c r="AK24" s="3"/>
    </row>
    <row r="25" spans="1:37" ht="21" customHeight="1" x14ac:dyDescent="0.2">
      <c r="A25" s="96">
        <v>10</v>
      </c>
      <c r="B25" s="96"/>
      <c r="C25" s="96"/>
      <c r="D25" s="96" t="str">
        <f>IF(구매발주대장!J17="","",구매발주대장!J17)</f>
        <v/>
      </c>
      <c r="E25" s="96"/>
      <c r="F25" s="96"/>
      <c r="G25" s="96"/>
      <c r="H25" s="96"/>
      <c r="I25" s="96"/>
      <c r="J25" s="96"/>
      <c r="K25" s="96"/>
      <c r="L25" s="96"/>
      <c r="M25" s="96"/>
      <c r="N25" s="96" t="str">
        <f>IF(구매발주대장!K17="","",구매발주대장!K17)</f>
        <v/>
      </c>
      <c r="O25" s="96"/>
      <c r="P25" s="96"/>
      <c r="Q25" s="96"/>
      <c r="R25" s="96" t="str">
        <f>IF(구매발주대장!L17="","",구매발주대장!L17)</f>
        <v/>
      </c>
      <c r="S25" s="96"/>
      <c r="T25" s="96"/>
      <c r="U25" s="100" t="str">
        <f>IF(구매발주대장!M17="","",구매발주대장!M17)</f>
        <v/>
      </c>
      <c r="V25" s="100"/>
      <c r="W25" s="100"/>
      <c r="X25" s="100"/>
      <c r="Y25" s="100"/>
      <c r="Z25" s="100"/>
      <c r="AA25" s="100"/>
      <c r="AB25" s="4" t="str">
        <f>MID(TEXT(구매발주대장!$N17,REPT("?",9)),COLUMN(A10),1)</f>
        <v xml:space="preserve"> </v>
      </c>
      <c r="AC25" s="4" t="str">
        <f>MID(TEXT(구매발주대장!$N17,REPT("?",9)),COLUMN(B10),1)</f>
        <v xml:space="preserve"> </v>
      </c>
      <c r="AD25" s="4" t="str">
        <f>MID(TEXT(구매발주대장!$N17,REPT("?",9)),COLUMN(C10),1)</f>
        <v xml:space="preserve"> </v>
      </c>
      <c r="AE25" s="4" t="str">
        <f>MID(TEXT(구매발주대장!$N17,REPT("?",9)),COLUMN(D10),1)</f>
        <v xml:space="preserve"> </v>
      </c>
      <c r="AF25" s="4" t="str">
        <f>MID(TEXT(구매발주대장!$N17,REPT("?",9)),COLUMN(E10),1)</f>
        <v xml:space="preserve"> </v>
      </c>
      <c r="AG25" s="4" t="str">
        <f>MID(TEXT(구매발주대장!$N17,REPT("?",9)),COLUMN(F10),1)</f>
        <v xml:space="preserve"> </v>
      </c>
      <c r="AH25" s="4" t="str">
        <f>MID(TEXT(구매발주대장!$N17,REPT("?",9)),COLUMN(G10),1)</f>
        <v xml:space="preserve"> </v>
      </c>
      <c r="AI25" s="4" t="str">
        <f>MID(TEXT(구매발주대장!$N17,REPT("?",9)),COLUMN(H10),1)</f>
        <v xml:space="preserve"> </v>
      </c>
      <c r="AJ25" s="4" t="str">
        <f>MID(TEXT(구매발주대장!$N17,REPT("?",9)),COLUMN(I10),1)</f>
        <v xml:space="preserve"> </v>
      </c>
      <c r="AK25" s="3"/>
    </row>
    <row r="26" spans="1:37" ht="21" customHeight="1" x14ac:dyDescent="0.2">
      <c r="A26" s="96">
        <v>11</v>
      </c>
      <c r="B26" s="96"/>
      <c r="C26" s="96"/>
      <c r="D26" s="96" t="str">
        <f>IF(구매발주대장!J18="","",구매발주대장!J18)</f>
        <v/>
      </c>
      <c r="E26" s="96"/>
      <c r="F26" s="96"/>
      <c r="G26" s="96"/>
      <c r="H26" s="96"/>
      <c r="I26" s="96"/>
      <c r="J26" s="96"/>
      <c r="K26" s="96"/>
      <c r="L26" s="96"/>
      <c r="M26" s="96"/>
      <c r="N26" s="96" t="str">
        <f>IF(구매발주대장!K18="","",구매발주대장!K18)</f>
        <v/>
      </c>
      <c r="O26" s="96"/>
      <c r="P26" s="96"/>
      <c r="Q26" s="96"/>
      <c r="R26" s="96" t="str">
        <f>IF(구매발주대장!L18="","",구매발주대장!L18)</f>
        <v/>
      </c>
      <c r="S26" s="96"/>
      <c r="T26" s="96"/>
      <c r="U26" s="100" t="str">
        <f>IF(구매발주대장!M18="","",구매발주대장!M18)</f>
        <v/>
      </c>
      <c r="V26" s="100"/>
      <c r="W26" s="100"/>
      <c r="X26" s="100"/>
      <c r="Y26" s="100"/>
      <c r="Z26" s="100"/>
      <c r="AA26" s="100"/>
      <c r="AB26" s="4" t="str">
        <f>MID(TEXT(구매발주대장!$N18,REPT("?",9)),COLUMN(A11),1)</f>
        <v xml:space="preserve"> </v>
      </c>
      <c r="AC26" s="4" t="str">
        <f>MID(TEXT(구매발주대장!$N18,REPT("?",9)),COLUMN(B11),1)</f>
        <v xml:space="preserve"> </v>
      </c>
      <c r="AD26" s="4" t="str">
        <f>MID(TEXT(구매발주대장!$N18,REPT("?",9)),COLUMN(C11),1)</f>
        <v xml:space="preserve"> </v>
      </c>
      <c r="AE26" s="4" t="str">
        <f>MID(TEXT(구매발주대장!$N18,REPT("?",9)),COLUMN(D11),1)</f>
        <v xml:space="preserve"> </v>
      </c>
      <c r="AF26" s="4" t="str">
        <f>MID(TEXT(구매발주대장!$N18,REPT("?",9)),COLUMN(E11),1)</f>
        <v xml:space="preserve"> </v>
      </c>
      <c r="AG26" s="4" t="str">
        <f>MID(TEXT(구매발주대장!$N18,REPT("?",9)),COLUMN(F11),1)</f>
        <v xml:space="preserve"> </v>
      </c>
      <c r="AH26" s="4" t="str">
        <f>MID(TEXT(구매발주대장!$N18,REPT("?",9)),COLUMN(G11),1)</f>
        <v xml:space="preserve"> </v>
      </c>
      <c r="AI26" s="4" t="str">
        <f>MID(TEXT(구매발주대장!$N18,REPT("?",9)),COLUMN(H11),1)</f>
        <v xml:space="preserve"> </v>
      </c>
      <c r="AJ26" s="4" t="str">
        <f>MID(TEXT(구매발주대장!$N18,REPT("?",9)),COLUMN(I11),1)</f>
        <v xml:space="preserve"> </v>
      </c>
      <c r="AK26" s="3"/>
    </row>
    <row r="27" spans="1:37" ht="21" customHeight="1" x14ac:dyDescent="0.2">
      <c r="A27" s="96">
        <v>12</v>
      </c>
      <c r="B27" s="96"/>
      <c r="C27" s="96"/>
      <c r="D27" s="96" t="str">
        <f>IF(구매발주대장!J19="","",구매발주대장!J19)</f>
        <v/>
      </c>
      <c r="E27" s="96"/>
      <c r="F27" s="96"/>
      <c r="G27" s="96"/>
      <c r="H27" s="96"/>
      <c r="I27" s="96"/>
      <c r="J27" s="96"/>
      <c r="K27" s="96"/>
      <c r="L27" s="96"/>
      <c r="M27" s="96"/>
      <c r="N27" s="96" t="str">
        <f>IF(구매발주대장!K19="","",구매발주대장!K19)</f>
        <v/>
      </c>
      <c r="O27" s="96"/>
      <c r="P27" s="96"/>
      <c r="Q27" s="96"/>
      <c r="R27" s="96" t="str">
        <f>IF(구매발주대장!L19="","",구매발주대장!L19)</f>
        <v/>
      </c>
      <c r="S27" s="96"/>
      <c r="T27" s="96"/>
      <c r="U27" s="100" t="str">
        <f>IF(구매발주대장!M19="","",구매발주대장!M19)</f>
        <v/>
      </c>
      <c r="V27" s="100"/>
      <c r="W27" s="100"/>
      <c r="X27" s="100"/>
      <c r="Y27" s="100"/>
      <c r="Z27" s="100"/>
      <c r="AA27" s="100"/>
      <c r="AB27" s="4" t="str">
        <f>MID(TEXT(구매발주대장!$N19,REPT("?",9)),COLUMN(A12),1)</f>
        <v xml:space="preserve"> </v>
      </c>
      <c r="AC27" s="4" t="str">
        <f>MID(TEXT(구매발주대장!$N19,REPT("?",9)),COLUMN(B12),1)</f>
        <v xml:space="preserve"> </v>
      </c>
      <c r="AD27" s="4" t="str">
        <f>MID(TEXT(구매발주대장!$N19,REPT("?",9)),COLUMN(C12),1)</f>
        <v xml:space="preserve"> </v>
      </c>
      <c r="AE27" s="4" t="str">
        <f>MID(TEXT(구매발주대장!$N19,REPT("?",9)),COLUMN(D12),1)</f>
        <v xml:space="preserve"> </v>
      </c>
      <c r="AF27" s="4" t="str">
        <f>MID(TEXT(구매발주대장!$N19,REPT("?",9)),COLUMN(E12),1)</f>
        <v xml:space="preserve"> </v>
      </c>
      <c r="AG27" s="4" t="str">
        <f>MID(TEXT(구매발주대장!$N19,REPT("?",9)),COLUMN(F12),1)</f>
        <v xml:space="preserve"> </v>
      </c>
      <c r="AH27" s="4" t="str">
        <f>MID(TEXT(구매발주대장!$N19,REPT("?",9)),COLUMN(G12),1)</f>
        <v xml:space="preserve"> </v>
      </c>
      <c r="AI27" s="4" t="str">
        <f>MID(TEXT(구매발주대장!$N19,REPT("?",9)),COLUMN(H12),1)</f>
        <v xml:space="preserve"> </v>
      </c>
      <c r="AJ27" s="4" t="str">
        <f>MID(TEXT(구매발주대장!$N19,REPT("?",9)),COLUMN(I12),1)</f>
        <v xml:space="preserve"> </v>
      </c>
      <c r="AK27" s="3"/>
    </row>
    <row r="28" spans="1:37" ht="21" customHeight="1" x14ac:dyDescent="0.2">
      <c r="A28" s="96">
        <v>13</v>
      </c>
      <c r="B28" s="96"/>
      <c r="C28" s="96"/>
      <c r="D28" s="96" t="str">
        <f>IF(구매발주대장!J20="","",구매발주대장!J20)</f>
        <v/>
      </c>
      <c r="E28" s="96"/>
      <c r="F28" s="96"/>
      <c r="G28" s="96"/>
      <c r="H28" s="96"/>
      <c r="I28" s="96"/>
      <c r="J28" s="96"/>
      <c r="K28" s="96"/>
      <c r="L28" s="96"/>
      <c r="M28" s="96"/>
      <c r="N28" s="96" t="str">
        <f>IF(구매발주대장!K20="","",구매발주대장!K20)</f>
        <v/>
      </c>
      <c r="O28" s="96"/>
      <c r="P28" s="96"/>
      <c r="Q28" s="96"/>
      <c r="R28" s="96" t="str">
        <f>IF(구매발주대장!L20="","",구매발주대장!L20)</f>
        <v/>
      </c>
      <c r="S28" s="96"/>
      <c r="T28" s="96"/>
      <c r="U28" s="100" t="str">
        <f>IF(구매발주대장!M20="","",구매발주대장!M20)</f>
        <v/>
      </c>
      <c r="V28" s="100"/>
      <c r="W28" s="100"/>
      <c r="X28" s="100"/>
      <c r="Y28" s="100"/>
      <c r="Z28" s="100"/>
      <c r="AA28" s="100"/>
      <c r="AB28" s="4" t="str">
        <f>MID(TEXT(구매발주대장!$N20,REPT("?",9)),COLUMN(A13),1)</f>
        <v xml:space="preserve"> </v>
      </c>
      <c r="AC28" s="4" t="str">
        <f>MID(TEXT(구매발주대장!$N20,REPT("?",9)),COLUMN(B13),1)</f>
        <v xml:space="preserve"> </v>
      </c>
      <c r="AD28" s="4" t="str">
        <f>MID(TEXT(구매발주대장!$N20,REPT("?",9)),COLUMN(C13),1)</f>
        <v xml:space="preserve"> </v>
      </c>
      <c r="AE28" s="4" t="str">
        <f>MID(TEXT(구매발주대장!$N20,REPT("?",9)),COLUMN(D13),1)</f>
        <v xml:space="preserve"> </v>
      </c>
      <c r="AF28" s="4" t="str">
        <f>MID(TEXT(구매발주대장!$N20,REPT("?",9)),COLUMN(E13),1)</f>
        <v xml:space="preserve"> </v>
      </c>
      <c r="AG28" s="4" t="str">
        <f>MID(TEXT(구매발주대장!$N20,REPT("?",9)),COLUMN(F13),1)</f>
        <v xml:space="preserve"> </v>
      </c>
      <c r="AH28" s="4" t="str">
        <f>MID(TEXT(구매발주대장!$N20,REPT("?",9)),COLUMN(G13),1)</f>
        <v xml:space="preserve"> </v>
      </c>
      <c r="AI28" s="4" t="str">
        <f>MID(TEXT(구매발주대장!$N20,REPT("?",9)),COLUMN(H13),1)</f>
        <v xml:space="preserve"> </v>
      </c>
      <c r="AJ28" s="4" t="str">
        <f>MID(TEXT(구매발주대장!$N20,REPT("?",9)),COLUMN(I13),1)</f>
        <v xml:space="preserve"> </v>
      </c>
      <c r="AK28" s="3"/>
    </row>
    <row r="29" spans="1:37" ht="21" customHeight="1" x14ac:dyDescent="0.2">
      <c r="A29" s="96">
        <v>14</v>
      </c>
      <c r="B29" s="96"/>
      <c r="C29" s="96"/>
      <c r="D29" s="96" t="str">
        <f>IF(구매발주대장!J21="","",구매발주대장!J21)</f>
        <v/>
      </c>
      <c r="E29" s="96"/>
      <c r="F29" s="96"/>
      <c r="G29" s="96"/>
      <c r="H29" s="96"/>
      <c r="I29" s="96"/>
      <c r="J29" s="96"/>
      <c r="K29" s="96"/>
      <c r="L29" s="96"/>
      <c r="M29" s="96"/>
      <c r="N29" s="96" t="str">
        <f>IF(구매발주대장!K21="","",구매발주대장!K21)</f>
        <v/>
      </c>
      <c r="O29" s="96"/>
      <c r="P29" s="96"/>
      <c r="Q29" s="96"/>
      <c r="R29" s="96" t="str">
        <f>IF(구매발주대장!L21="","",구매발주대장!L21)</f>
        <v/>
      </c>
      <c r="S29" s="96"/>
      <c r="T29" s="96"/>
      <c r="U29" s="100" t="str">
        <f>IF(구매발주대장!M21="","",구매발주대장!M21)</f>
        <v/>
      </c>
      <c r="V29" s="100"/>
      <c r="W29" s="100"/>
      <c r="X29" s="100"/>
      <c r="Y29" s="100"/>
      <c r="Z29" s="100"/>
      <c r="AA29" s="100"/>
      <c r="AB29" s="4" t="str">
        <f>MID(TEXT(구매발주대장!$N21,REPT("?",9)),COLUMN(A14),1)</f>
        <v xml:space="preserve"> </v>
      </c>
      <c r="AC29" s="4" t="str">
        <f>MID(TEXT(구매발주대장!$N21,REPT("?",9)),COLUMN(B14),1)</f>
        <v xml:space="preserve"> </v>
      </c>
      <c r="AD29" s="4" t="str">
        <f>MID(TEXT(구매발주대장!$N21,REPT("?",9)),COLUMN(C14),1)</f>
        <v xml:space="preserve"> </v>
      </c>
      <c r="AE29" s="4" t="str">
        <f>MID(TEXT(구매발주대장!$N21,REPT("?",9)),COLUMN(D14),1)</f>
        <v xml:space="preserve"> </v>
      </c>
      <c r="AF29" s="4" t="str">
        <f>MID(TEXT(구매발주대장!$N21,REPT("?",9)),COLUMN(E14),1)</f>
        <v xml:space="preserve"> </v>
      </c>
      <c r="AG29" s="4" t="str">
        <f>MID(TEXT(구매발주대장!$N21,REPT("?",9)),COLUMN(F14),1)</f>
        <v xml:space="preserve"> </v>
      </c>
      <c r="AH29" s="4" t="str">
        <f>MID(TEXT(구매발주대장!$N21,REPT("?",9)),COLUMN(G14),1)</f>
        <v xml:space="preserve"> </v>
      </c>
      <c r="AI29" s="4" t="str">
        <f>MID(TEXT(구매발주대장!$N21,REPT("?",9)),COLUMN(H14),1)</f>
        <v xml:space="preserve"> </v>
      </c>
      <c r="AJ29" s="4" t="str">
        <f>MID(TEXT(구매발주대장!$N21,REPT("?",9)),COLUMN(I14),1)</f>
        <v xml:space="preserve"> </v>
      </c>
      <c r="AK29" s="3"/>
    </row>
    <row r="30" spans="1:37" ht="21" customHeight="1" x14ac:dyDescent="0.2">
      <c r="A30" s="96">
        <v>15</v>
      </c>
      <c r="B30" s="96"/>
      <c r="C30" s="96"/>
      <c r="D30" s="96" t="str">
        <f>IF(구매발주대장!J22="","",구매발주대장!J22)</f>
        <v/>
      </c>
      <c r="E30" s="96"/>
      <c r="F30" s="96"/>
      <c r="G30" s="96"/>
      <c r="H30" s="96"/>
      <c r="I30" s="96"/>
      <c r="J30" s="96"/>
      <c r="K30" s="96"/>
      <c r="L30" s="96"/>
      <c r="M30" s="96"/>
      <c r="N30" s="96" t="str">
        <f>IF(구매발주대장!K22="","",구매발주대장!K22)</f>
        <v/>
      </c>
      <c r="O30" s="96"/>
      <c r="P30" s="96"/>
      <c r="Q30" s="96"/>
      <c r="R30" s="96" t="str">
        <f>IF(구매발주대장!L22="","",구매발주대장!L22)</f>
        <v/>
      </c>
      <c r="S30" s="96"/>
      <c r="T30" s="96"/>
      <c r="U30" s="100" t="str">
        <f>IF(구매발주대장!M22="","",구매발주대장!M22)</f>
        <v/>
      </c>
      <c r="V30" s="100"/>
      <c r="W30" s="100"/>
      <c r="X30" s="100"/>
      <c r="Y30" s="100"/>
      <c r="Z30" s="100"/>
      <c r="AA30" s="100"/>
      <c r="AB30" s="4" t="str">
        <f>MID(TEXT(구매발주대장!$N22,REPT("?",9)),COLUMN(A15),1)</f>
        <v xml:space="preserve"> </v>
      </c>
      <c r="AC30" s="4" t="str">
        <f>MID(TEXT(구매발주대장!$N22,REPT("?",9)),COLUMN(B15),1)</f>
        <v xml:space="preserve"> </v>
      </c>
      <c r="AD30" s="4" t="str">
        <f>MID(TEXT(구매발주대장!$N22,REPT("?",9)),COLUMN(C15),1)</f>
        <v xml:space="preserve"> </v>
      </c>
      <c r="AE30" s="4" t="str">
        <f>MID(TEXT(구매발주대장!$N22,REPT("?",9)),COLUMN(D15),1)</f>
        <v xml:space="preserve"> </v>
      </c>
      <c r="AF30" s="4" t="str">
        <f>MID(TEXT(구매발주대장!$N22,REPT("?",9)),COLUMN(E15),1)</f>
        <v xml:space="preserve"> </v>
      </c>
      <c r="AG30" s="4" t="str">
        <f>MID(TEXT(구매발주대장!$N22,REPT("?",9)),COLUMN(F15),1)</f>
        <v xml:space="preserve"> </v>
      </c>
      <c r="AH30" s="4" t="str">
        <f>MID(TEXT(구매발주대장!$N22,REPT("?",9)),COLUMN(G15),1)</f>
        <v xml:space="preserve"> </v>
      </c>
      <c r="AI30" s="4" t="str">
        <f>MID(TEXT(구매발주대장!$N22,REPT("?",9)),COLUMN(H15),1)</f>
        <v xml:space="preserve"> </v>
      </c>
      <c r="AJ30" s="4" t="str">
        <f>MID(TEXT(구매발주대장!$N22,REPT("?",9)),COLUMN(I15),1)</f>
        <v xml:space="preserve"> </v>
      </c>
      <c r="AK30" s="3"/>
    </row>
    <row r="31" spans="1:37" ht="21" customHeight="1" x14ac:dyDescent="0.2">
      <c r="A31" s="96">
        <v>16</v>
      </c>
      <c r="B31" s="96"/>
      <c r="C31" s="96"/>
      <c r="D31" s="96" t="str">
        <f>IF(구매발주대장!J23="","",구매발주대장!J23)</f>
        <v/>
      </c>
      <c r="E31" s="96"/>
      <c r="F31" s="96"/>
      <c r="G31" s="96"/>
      <c r="H31" s="96"/>
      <c r="I31" s="96"/>
      <c r="J31" s="96"/>
      <c r="K31" s="96"/>
      <c r="L31" s="96"/>
      <c r="M31" s="96"/>
      <c r="N31" s="96" t="str">
        <f>IF(구매발주대장!K23="","",구매발주대장!K23)</f>
        <v/>
      </c>
      <c r="O31" s="96"/>
      <c r="P31" s="96"/>
      <c r="Q31" s="96"/>
      <c r="R31" s="96" t="str">
        <f>IF(구매발주대장!L23="","",구매발주대장!L23)</f>
        <v/>
      </c>
      <c r="S31" s="96"/>
      <c r="T31" s="96"/>
      <c r="U31" s="100" t="str">
        <f>IF(구매발주대장!M23="","",구매발주대장!M23)</f>
        <v/>
      </c>
      <c r="V31" s="100"/>
      <c r="W31" s="100"/>
      <c r="X31" s="100"/>
      <c r="Y31" s="100"/>
      <c r="Z31" s="100"/>
      <c r="AA31" s="100"/>
      <c r="AB31" s="4" t="str">
        <f>MID(TEXT(구매발주대장!$N23,REPT("?",9)),COLUMN(A16),1)</f>
        <v xml:space="preserve"> </v>
      </c>
      <c r="AC31" s="4" t="str">
        <f>MID(TEXT(구매발주대장!$N23,REPT("?",9)),COLUMN(B16),1)</f>
        <v xml:space="preserve"> </v>
      </c>
      <c r="AD31" s="4" t="str">
        <f>MID(TEXT(구매발주대장!$N23,REPT("?",9)),COLUMN(C16),1)</f>
        <v xml:space="preserve"> </v>
      </c>
      <c r="AE31" s="4" t="str">
        <f>MID(TEXT(구매발주대장!$N23,REPT("?",9)),COLUMN(D16),1)</f>
        <v xml:space="preserve"> </v>
      </c>
      <c r="AF31" s="4" t="str">
        <f>MID(TEXT(구매발주대장!$N23,REPT("?",9)),COLUMN(E16),1)</f>
        <v xml:space="preserve"> </v>
      </c>
      <c r="AG31" s="4" t="str">
        <f>MID(TEXT(구매발주대장!$N23,REPT("?",9)),COLUMN(F16),1)</f>
        <v xml:space="preserve"> </v>
      </c>
      <c r="AH31" s="4" t="str">
        <f>MID(TEXT(구매발주대장!$N23,REPT("?",9)),COLUMN(G16),1)</f>
        <v xml:space="preserve"> </v>
      </c>
      <c r="AI31" s="4" t="str">
        <f>MID(TEXT(구매발주대장!$N23,REPT("?",9)),COLUMN(H16),1)</f>
        <v xml:space="preserve"> </v>
      </c>
      <c r="AJ31" s="4" t="str">
        <f>MID(TEXT(구매발주대장!$N23,REPT("?",9)),COLUMN(I16),1)</f>
        <v xml:space="preserve"> </v>
      </c>
      <c r="AK31" s="3"/>
    </row>
    <row r="32" spans="1:37" ht="21" customHeight="1" x14ac:dyDescent="0.2">
      <c r="A32" s="96">
        <v>17</v>
      </c>
      <c r="B32" s="96"/>
      <c r="C32" s="96"/>
      <c r="D32" s="96" t="str">
        <f>IF(구매발주대장!J24="","",구매발주대장!J24)</f>
        <v/>
      </c>
      <c r="E32" s="96"/>
      <c r="F32" s="96"/>
      <c r="G32" s="96"/>
      <c r="H32" s="96"/>
      <c r="I32" s="96"/>
      <c r="J32" s="96"/>
      <c r="K32" s="96"/>
      <c r="L32" s="96"/>
      <c r="M32" s="96"/>
      <c r="N32" s="96" t="str">
        <f>IF(구매발주대장!K24="","",구매발주대장!K24)</f>
        <v/>
      </c>
      <c r="O32" s="96"/>
      <c r="P32" s="96"/>
      <c r="Q32" s="96"/>
      <c r="R32" s="96" t="str">
        <f>IF(구매발주대장!L24="","",구매발주대장!L24)</f>
        <v/>
      </c>
      <c r="S32" s="96"/>
      <c r="T32" s="96"/>
      <c r="U32" s="100" t="str">
        <f>IF(구매발주대장!M24="","",구매발주대장!M24)</f>
        <v/>
      </c>
      <c r="V32" s="100"/>
      <c r="W32" s="100"/>
      <c r="X32" s="100"/>
      <c r="Y32" s="100"/>
      <c r="Z32" s="100"/>
      <c r="AA32" s="100"/>
      <c r="AB32" s="4" t="str">
        <f>MID(TEXT(구매발주대장!$N24,REPT("?",9)),COLUMN(A17),1)</f>
        <v xml:space="preserve"> </v>
      </c>
      <c r="AC32" s="4" t="str">
        <f>MID(TEXT(구매발주대장!$N24,REPT("?",9)),COLUMN(B17),1)</f>
        <v xml:space="preserve"> </v>
      </c>
      <c r="AD32" s="4" t="str">
        <f>MID(TEXT(구매발주대장!$N24,REPT("?",9)),COLUMN(C17),1)</f>
        <v xml:space="preserve"> </v>
      </c>
      <c r="AE32" s="4" t="str">
        <f>MID(TEXT(구매발주대장!$N24,REPT("?",9)),COLUMN(D17),1)</f>
        <v xml:space="preserve"> </v>
      </c>
      <c r="AF32" s="4" t="str">
        <f>MID(TEXT(구매발주대장!$N24,REPT("?",9)),COLUMN(E17),1)</f>
        <v xml:space="preserve"> </v>
      </c>
      <c r="AG32" s="4" t="str">
        <f>MID(TEXT(구매발주대장!$N24,REPT("?",9)),COLUMN(F17),1)</f>
        <v xml:space="preserve"> </v>
      </c>
      <c r="AH32" s="4" t="str">
        <f>MID(TEXT(구매발주대장!$N24,REPT("?",9)),COLUMN(G17),1)</f>
        <v xml:space="preserve"> </v>
      </c>
      <c r="AI32" s="4" t="str">
        <f>MID(TEXT(구매발주대장!$N24,REPT("?",9)),COLUMN(H17),1)</f>
        <v xml:space="preserve"> </v>
      </c>
      <c r="AJ32" s="4" t="str">
        <f>MID(TEXT(구매발주대장!$N24,REPT("?",9)),COLUMN(I17),1)</f>
        <v xml:space="preserve"> </v>
      </c>
      <c r="AK32" s="3"/>
    </row>
    <row r="33" spans="1:37" ht="21" customHeight="1" x14ac:dyDescent="0.2">
      <c r="A33" s="96">
        <v>18</v>
      </c>
      <c r="B33" s="96"/>
      <c r="C33" s="96"/>
      <c r="D33" s="96" t="str">
        <f>IF(구매발주대장!J25="","",구매발주대장!J25)</f>
        <v/>
      </c>
      <c r="E33" s="96"/>
      <c r="F33" s="96"/>
      <c r="G33" s="96"/>
      <c r="H33" s="96"/>
      <c r="I33" s="96"/>
      <c r="J33" s="96"/>
      <c r="K33" s="96"/>
      <c r="L33" s="96"/>
      <c r="M33" s="96"/>
      <c r="N33" s="96" t="str">
        <f>IF(구매발주대장!K25="","",구매발주대장!K25)</f>
        <v/>
      </c>
      <c r="O33" s="96"/>
      <c r="P33" s="96"/>
      <c r="Q33" s="96"/>
      <c r="R33" s="96" t="str">
        <f>IF(구매발주대장!L25="","",구매발주대장!L25)</f>
        <v/>
      </c>
      <c r="S33" s="96"/>
      <c r="T33" s="96"/>
      <c r="U33" s="100" t="str">
        <f>IF(구매발주대장!M25="","",구매발주대장!M25)</f>
        <v/>
      </c>
      <c r="V33" s="100"/>
      <c r="W33" s="100"/>
      <c r="X33" s="100"/>
      <c r="Y33" s="100"/>
      <c r="Z33" s="100"/>
      <c r="AA33" s="100"/>
      <c r="AB33" s="4" t="str">
        <f>MID(TEXT(구매발주대장!$N25,REPT("?",9)),COLUMN(A18),1)</f>
        <v xml:space="preserve"> </v>
      </c>
      <c r="AC33" s="4" t="str">
        <f>MID(TEXT(구매발주대장!$N25,REPT("?",9)),COLUMN(B18),1)</f>
        <v xml:space="preserve"> </v>
      </c>
      <c r="AD33" s="4" t="str">
        <f>MID(TEXT(구매발주대장!$N25,REPT("?",9)),COLUMN(C18),1)</f>
        <v xml:space="preserve"> </v>
      </c>
      <c r="AE33" s="4" t="str">
        <f>MID(TEXT(구매발주대장!$N25,REPT("?",9)),COLUMN(D18),1)</f>
        <v xml:space="preserve"> </v>
      </c>
      <c r="AF33" s="4" t="str">
        <f>MID(TEXT(구매발주대장!$N25,REPT("?",9)),COLUMN(E18),1)</f>
        <v xml:space="preserve"> </v>
      </c>
      <c r="AG33" s="4" t="str">
        <f>MID(TEXT(구매발주대장!$N25,REPT("?",9)),COLUMN(F18),1)</f>
        <v xml:space="preserve"> </v>
      </c>
      <c r="AH33" s="4" t="str">
        <f>MID(TEXT(구매발주대장!$N25,REPT("?",9)),COLUMN(G18),1)</f>
        <v xml:space="preserve"> </v>
      </c>
      <c r="AI33" s="4" t="str">
        <f>MID(TEXT(구매발주대장!$N25,REPT("?",9)),COLUMN(H18),1)</f>
        <v xml:space="preserve"> </v>
      </c>
      <c r="AJ33" s="4" t="str">
        <f>MID(TEXT(구매발주대장!$N25,REPT("?",9)),COLUMN(I18),1)</f>
        <v xml:space="preserve"> </v>
      </c>
      <c r="AK33" s="3"/>
    </row>
    <row r="34" spans="1:37" ht="21" customHeight="1" x14ac:dyDescent="0.2">
      <c r="A34" s="96">
        <v>19</v>
      </c>
      <c r="B34" s="96"/>
      <c r="C34" s="96"/>
      <c r="D34" s="96" t="str">
        <f>IF(구매발주대장!J26="","",구매발주대장!J26)</f>
        <v/>
      </c>
      <c r="E34" s="96"/>
      <c r="F34" s="96"/>
      <c r="G34" s="96"/>
      <c r="H34" s="96"/>
      <c r="I34" s="96"/>
      <c r="J34" s="96"/>
      <c r="K34" s="96"/>
      <c r="L34" s="96"/>
      <c r="M34" s="96"/>
      <c r="N34" s="96" t="str">
        <f>IF(구매발주대장!K26="","",구매발주대장!K26)</f>
        <v/>
      </c>
      <c r="O34" s="96"/>
      <c r="P34" s="96"/>
      <c r="Q34" s="96"/>
      <c r="R34" s="96" t="str">
        <f>IF(구매발주대장!L26="","",구매발주대장!L26)</f>
        <v/>
      </c>
      <c r="S34" s="96"/>
      <c r="T34" s="96"/>
      <c r="U34" s="100" t="str">
        <f>IF(구매발주대장!M26="","",구매발주대장!M26)</f>
        <v/>
      </c>
      <c r="V34" s="100"/>
      <c r="W34" s="100"/>
      <c r="X34" s="100"/>
      <c r="Y34" s="100"/>
      <c r="Z34" s="100"/>
      <c r="AA34" s="100"/>
      <c r="AB34" s="4" t="str">
        <f>MID(TEXT(구매발주대장!$N26,REPT("?",9)),COLUMN(A19),1)</f>
        <v xml:space="preserve"> </v>
      </c>
      <c r="AC34" s="4" t="str">
        <f>MID(TEXT(구매발주대장!$N26,REPT("?",9)),COLUMN(B19),1)</f>
        <v xml:space="preserve"> </v>
      </c>
      <c r="AD34" s="4" t="str">
        <f>MID(TEXT(구매발주대장!$N26,REPT("?",9)),COLUMN(C19),1)</f>
        <v xml:space="preserve"> </v>
      </c>
      <c r="AE34" s="4" t="str">
        <f>MID(TEXT(구매발주대장!$N26,REPT("?",9)),COLUMN(D19),1)</f>
        <v xml:space="preserve"> </v>
      </c>
      <c r="AF34" s="4" t="str">
        <f>MID(TEXT(구매발주대장!$N26,REPT("?",9)),COLUMN(E19),1)</f>
        <v xml:space="preserve"> </v>
      </c>
      <c r="AG34" s="4" t="str">
        <f>MID(TEXT(구매발주대장!$N26,REPT("?",9)),COLUMN(F19),1)</f>
        <v xml:space="preserve"> </v>
      </c>
      <c r="AH34" s="4" t="str">
        <f>MID(TEXT(구매발주대장!$N26,REPT("?",9)),COLUMN(G19),1)</f>
        <v xml:space="preserve"> </v>
      </c>
      <c r="AI34" s="4" t="str">
        <f>MID(TEXT(구매발주대장!$N26,REPT("?",9)),COLUMN(H19),1)</f>
        <v xml:space="preserve"> </v>
      </c>
      <c r="AJ34" s="4" t="str">
        <f>MID(TEXT(구매발주대장!$N26,REPT("?",9)),COLUMN(I19),1)</f>
        <v xml:space="preserve"> </v>
      </c>
      <c r="AK34" s="3"/>
    </row>
    <row r="35" spans="1:37" ht="21" customHeight="1" x14ac:dyDescent="0.2">
      <c r="A35" s="96">
        <v>20</v>
      </c>
      <c r="B35" s="96"/>
      <c r="C35" s="96"/>
      <c r="D35" s="96" t="str">
        <f>IF(구매발주대장!J27="","",구매발주대장!J27)</f>
        <v/>
      </c>
      <c r="E35" s="96"/>
      <c r="F35" s="96"/>
      <c r="G35" s="96"/>
      <c r="H35" s="96"/>
      <c r="I35" s="96"/>
      <c r="J35" s="96"/>
      <c r="K35" s="96"/>
      <c r="L35" s="96"/>
      <c r="M35" s="96"/>
      <c r="N35" s="96" t="str">
        <f>IF(구매발주대장!K27="","",구매발주대장!K27)</f>
        <v/>
      </c>
      <c r="O35" s="96"/>
      <c r="P35" s="96"/>
      <c r="Q35" s="96"/>
      <c r="R35" s="96" t="str">
        <f>IF(구매발주대장!L27="","",구매발주대장!L27)</f>
        <v/>
      </c>
      <c r="S35" s="96"/>
      <c r="T35" s="96"/>
      <c r="U35" s="100" t="str">
        <f>IF(구매발주대장!M27="","",구매발주대장!M27)</f>
        <v/>
      </c>
      <c r="V35" s="100"/>
      <c r="W35" s="100"/>
      <c r="X35" s="100"/>
      <c r="Y35" s="100"/>
      <c r="Z35" s="100"/>
      <c r="AA35" s="100"/>
      <c r="AB35" s="4" t="str">
        <f>MID(TEXT(구매발주대장!$N27,REPT("?",9)),COLUMN(A20),1)</f>
        <v xml:space="preserve"> </v>
      </c>
      <c r="AC35" s="4" t="str">
        <f>MID(TEXT(구매발주대장!$N27,REPT("?",9)),COLUMN(B20),1)</f>
        <v xml:space="preserve"> </v>
      </c>
      <c r="AD35" s="4" t="str">
        <f>MID(TEXT(구매발주대장!$N27,REPT("?",9)),COLUMN(C20),1)</f>
        <v xml:space="preserve"> </v>
      </c>
      <c r="AE35" s="4" t="str">
        <f>MID(TEXT(구매발주대장!$N27,REPT("?",9)),COLUMN(D20),1)</f>
        <v xml:space="preserve"> </v>
      </c>
      <c r="AF35" s="4" t="str">
        <f>MID(TEXT(구매발주대장!$N27,REPT("?",9)),COLUMN(E20),1)</f>
        <v xml:space="preserve"> </v>
      </c>
      <c r="AG35" s="4" t="str">
        <f>MID(TEXT(구매발주대장!$N27,REPT("?",9)),COLUMN(F20),1)</f>
        <v xml:space="preserve"> </v>
      </c>
      <c r="AH35" s="4" t="str">
        <f>MID(TEXT(구매발주대장!$N27,REPT("?",9)),COLUMN(G20),1)</f>
        <v xml:space="preserve"> </v>
      </c>
      <c r="AI35" s="4" t="str">
        <f>MID(TEXT(구매발주대장!$N27,REPT("?",9)),COLUMN(H20),1)</f>
        <v xml:space="preserve"> </v>
      </c>
      <c r="AJ35" s="4" t="str">
        <f>MID(TEXT(구매발주대장!$N27,REPT("?",9)),COLUMN(I20),1)</f>
        <v xml:space="preserve"> </v>
      </c>
      <c r="AK35" s="3"/>
    </row>
  </sheetData>
  <mergeCells count="132"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31:AA31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7:AA27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3:AA23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19:AA19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</mergeCells>
  <phoneticPr fontId="2" type="noConversion"/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104775</xdr:colOff>
                    <xdr:row>3</xdr:row>
                    <xdr:rowOff>228600</xdr:rowOff>
                  </from>
                  <to>
                    <xdr:col>48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104775</xdr:colOff>
                    <xdr:row>6</xdr:row>
                    <xdr:rowOff>104775</xdr:rowOff>
                  </from>
                  <to>
                    <xdr:col>48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5</vt:i4>
      </vt:variant>
    </vt:vector>
  </HeadingPairs>
  <TitlesOfParts>
    <vt:vector size="7" baseType="lpstr">
      <vt:lpstr>구매발주대장</vt:lpstr>
      <vt:lpstr>구매발주서</vt:lpstr>
      <vt:lpstr>구매발주대장!Criteria</vt:lpstr>
      <vt:lpstr>구매발주대장!Extract</vt:lpstr>
      <vt:lpstr>목록표</vt:lpstr>
      <vt:lpstr>복사표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2006-10-12T02:52:40Z</cp:lastPrinted>
  <dcterms:created xsi:type="dcterms:W3CDTF">2006-09-28T01:12:32Z</dcterms:created>
  <dcterms:modified xsi:type="dcterms:W3CDTF">2020-03-02T04:49:53Z</dcterms:modified>
</cp:coreProperties>
</file>