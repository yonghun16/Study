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 함수 매크로 실무 적용 예제\영업매출\"/>
    </mc:Choice>
  </mc:AlternateContent>
  <xr:revisionPtr revIDLastSave="0" documentId="8_{96C19A98-B73A-43F7-9CA1-D8140347D752}" xr6:coauthVersionLast="45" xr6:coauthVersionMax="45" xr10:uidLastSave="{00000000-0000-0000-0000-000000000000}"/>
  <bookViews>
    <workbookView xWindow="5865" yWindow="1800" windowWidth="14145" windowHeight="10020" tabRatio="644"/>
  </bookViews>
  <sheets>
    <sheet name="주문집계장" sheetId="13" r:id="rId1"/>
    <sheet name="거래처제품" sheetId="15" r:id="rId2"/>
    <sheet name="거래처사원" sheetId="16" r:id="rId3"/>
    <sheet name="제품사원" sheetId="17" r:id="rId4"/>
    <sheet name="거래처제품 (2)" sheetId="19" r:id="rId5"/>
    <sheet name="제품사원 (2)" sheetId="21" r:id="rId6"/>
  </sheets>
  <definedNames>
    <definedName name="_xlnm._FilterDatabase" localSheetId="0" hidden="1">주문집계장!$A$7:$G$21</definedName>
    <definedName name="거래처">OFFSET(주문집계장!$A$8,0,0,COUNTA(주문집계장!$A:$A)-2,1)</definedName>
    <definedName name="거래처목록">#REF!</definedName>
    <definedName name="금액">OFFSET(주문집계장!$G$8,0,0,COUNTA(주문집계장!$G:$G)-1,1)</definedName>
    <definedName name="날짜">OFFSET(주문집계장!$C$8,0,0,COUNTA(주문집계장!$C:$C)-1,1)</definedName>
    <definedName name="수량">OFFSET(주문집계장!$E$8,0,0,COUNTA(주문집계장!$E:$E)-1,1)</definedName>
    <definedName name="영업사원">OFFSET(주문집계장!$B$8,0,0,COUNTA(주문집계장!$B:$B)-1,1)</definedName>
    <definedName name="영업사원목록">#REF!</definedName>
    <definedName name="제품">OFFSET(주문집계장!$D$8,0,0,COUNTA(주문집계장!$D:$D)-1,1)</definedName>
    <definedName name="제품목록">#REF!</definedName>
    <definedName name="제품표">#REF!</definedName>
  </definedNames>
  <calcPr calcId="18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" i="21" l="1"/>
  <c r="C6" i="21"/>
  <c r="D6" i="21"/>
  <c r="E6" i="21"/>
  <c r="F6" i="21" s="1"/>
  <c r="B7" i="21"/>
  <c r="C7" i="21"/>
  <c r="D7" i="21"/>
  <c r="E7" i="21"/>
  <c r="B8" i="21"/>
  <c r="C8" i="21"/>
  <c r="D8" i="21"/>
  <c r="E8" i="21"/>
  <c r="F8" i="21" s="1"/>
  <c r="B9" i="21"/>
  <c r="C9" i="21"/>
  <c r="D9" i="21"/>
  <c r="E9" i="21"/>
  <c r="B10" i="21"/>
  <c r="C10" i="21"/>
  <c r="D10" i="21"/>
  <c r="E10" i="21"/>
  <c r="F10" i="21" s="1"/>
  <c r="C5" i="21"/>
  <c r="D5" i="21"/>
  <c r="E5" i="21"/>
  <c r="B5" i="21"/>
  <c r="B11" i="21" s="1"/>
  <c r="B6" i="19"/>
  <c r="C6" i="19"/>
  <c r="D6" i="19"/>
  <c r="E6" i="19"/>
  <c r="H6" i="19" s="1"/>
  <c r="F6" i="19"/>
  <c r="G6" i="19"/>
  <c r="B7" i="19"/>
  <c r="C7" i="19"/>
  <c r="D7" i="19"/>
  <c r="E7" i="19"/>
  <c r="F7" i="19"/>
  <c r="G7" i="19"/>
  <c r="B8" i="19"/>
  <c r="C8" i="19"/>
  <c r="D8" i="19"/>
  <c r="E8" i="19"/>
  <c r="F8" i="19"/>
  <c r="G8" i="19"/>
  <c r="B9" i="19"/>
  <c r="C9" i="19"/>
  <c r="D9" i="19"/>
  <c r="E9" i="19"/>
  <c r="F9" i="19"/>
  <c r="G9" i="19"/>
  <c r="B10" i="19"/>
  <c r="C10" i="19"/>
  <c r="D10" i="19"/>
  <c r="E10" i="19"/>
  <c r="H10" i="19" s="1"/>
  <c r="F10" i="19"/>
  <c r="G10" i="19"/>
  <c r="B11" i="19"/>
  <c r="C11" i="19"/>
  <c r="D11" i="19"/>
  <c r="E11" i="19"/>
  <c r="F11" i="19"/>
  <c r="G11" i="19"/>
  <c r="B12" i="19"/>
  <c r="C12" i="19"/>
  <c r="D12" i="19"/>
  <c r="E12" i="19"/>
  <c r="F12" i="19"/>
  <c r="G12" i="19"/>
  <c r="C5" i="19"/>
  <c r="D5" i="19"/>
  <c r="D13" i="19" s="1"/>
  <c r="E5" i="19"/>
  <c r="F5" i="19"/>
  <c r="G5" i="19"/>
  <c r="B5" i="19"/>
  <c r="H5" i="19" s="1"/>
  <c r="C11" i="21"/>
  <c r="D11" i="21"/>
  <c r="B5" i="15"/>
  <c r="B5" i="17"/>
  <c r="C5" i="17"/>
  <c r="D5" i="17"/>
  <c r="E5" i="17"/>
  <c r="B6" i="17"/>
  <c r="C6" i="17"/>
  <c r="D6" i="17"/>
  <c r="E6" i="17"/>
  <c r="B7" i="17"/>
  <c r="C7" i="17"/>
  <c r="D7" i="17"/>
  <c r="E7" i="17"/>
  <c r="B8" i="17"/>
  <c r="C8" i="17"/>
  <c r="D8" i="17"/>
  <c r="E8" i="17"/>
  <c r="B9" i="17"/>
  <c r="C9" i="17"/>
  <c r="D9" i="17"/>
  <c r="E9" i="17"/>
  <c r="B10" i="17"/>
  <c r="C10" i="17"/>
  <c r="D10" i="17"/>
  <c r="E10" i="17"/>
  <c r="B5" i="16"/>
  <c r="C5" i="16"/>
  <c r="C13" i="16" s="1"/>
  <c r="D5" i="16"/>
  <c r="E5" i="16"/>
  <c r="B6" i="16"/>
  <c r="C6" i="16"/>
  <c r="D6" i="16"/>
  <c r="E6" i="16"/>
  <c r="B7" i="16"/>
  <c r="C7" i="16"/>
  <c r="D7" i="16"/>
  <c r="E7" i="16"/>
  <c r="B8" i="16"/>
  <c r="C8" i="16"/>
  <c r="D8" i="16"/>
  <c r="E8" i="16"/>
  <c r="B9" i="16"/>
  <c r="C9" i="16"/>
  <c r="D9" i="16"/>
  <c r="E9" i="16"/>
  <c r="B10" i="16"/>
  <c r="C10" i="16"/>
  <c r="D10" i="16"/>
  <c r="E10" i="16"/>
  <c r="B11" i="16"/>
  <c r="C11" i="16"/>
  <c r="D11" i="16"/>
  <c r="E11" i="16"/>
  <c r="B12" i="16"/>
  <c r="C12" i="16"/>
  <c r="D12" i="16"/>
  <c r="E12" i="16"/>
  <c r="C5" i="15"/>
  <c r="C13" i="15" s="1"/>
  <c r="D5" i="15"/>
  <c r="E5" i="15"/>
  <c r="F5" i="15"/>
  <c r="G5" i="15"/>
  <c r="B6" i="15"/>
  <c r="C6" i="15"/>
  <c r="D6" i="15"/>
  <c r="E6" i="15"/>
  <c r="F6" i="15"/>
  <c r="G6" i="15"/>
  <c r="B7" i="15"/>
  <c r="C7" i="15"/>
  <c r="D7" i="15"/>
  <c r="E7" i="15"/>
  <c r="F7" i="15"/>
  <c r="G7" i="15"/>
  <c r="B8" i="15"/>
  <c r="C8" i="15"/>
  <c r="D8" i="15"/>
  <c r="E8" i="15"/>
  <c r="F8" i="15"/>
  <c r="G8" i="15"/>
  <c r="B9" i="15"/>
  <c r="C9" i="15"/>
  <c r="D9" i="15"/>
  <c r="E9" i="15"/>
  <c r="F9" i="15"/>
  <c r="G9" i="15"/>
  <c r="B10" i="15"/>
  <c r="C10" i="15"/>
  <c r="D10" i="15"/>
  <c r="E10" i="15"/>
  <c r="F10" i="15"/>
  <c r="G10" i="15"/>
  <c r="B11" i="15"/>
  <c r="C11" i="15"/>
  <c r="D11" i="15"/>
  <c r="E11" i="15"/>
  <c r="F11" i="15"/>
  <c r="G11" i="15"/>
  <c r="B12" i="15"/>
  <c r="C12" i="15"/>
  <c r="D12" i="15"/>
  <c r="E12" i="15"/>
  <c r="F12" i="15"/>
  <c r="G12" i="15"/>
  <c r="D11" i="17" l="1"/>
  <c r="H12" i="19"/>
  <c r="F9" i="21"/>
  <c r="G13" i="15"/>
  <c r="F5" i="17"/>
  <c r="H8" i="19"/>
  <c r="F7" i="21"/>
  <c r="F10" i="17"/>
  <c r="F8" i="17"/>
  <c r="F6" i="17"/>
  <c r="H10" i="15"/>
  <c r="F12" i="16"/>
  <c r="F10" i="16"/>
  <c r="F6" i="16"/>
  <c r="F5" i="21"/>
  <c r="H9" i="19"/>
  <c r="C13" i="19"/>
  <c r="D13" i="15"/>
  <c r="H11" i="19"/>
  <c r="G13" i="19"/>
  <c r="E13" i="15"/>
  <c r="E13" i="16"/>
  <c r="F9" i="17"/>
  <c r="F7" i="17"/>
  <c r="E13" i="19"/>
  <c r="H12" i="15"/>
  <c r="H8" i="15"/>
  <c r="F13" i="15"/>
  <c r="B13" i="15"/>
  <c r="H13" i="15" s="1"/>
  <c r="F8" i="16"/>
  <c r="D13" i="16"/>
  <c r="E11" i="17"/>
  <c r="B11" i="17"/>
  <c r="F13" i="19"/>
  <c r="H11" i="15"/>
  <c r="H9" i="15"/>
  <c r="H7" i="15"/>
  <c r="H5" i="15"/>
  <c r="F11" i="16"/>
  <c r="F9" i="16"/>
  <c r="F7" i="16"/>
  <c r="F5" i="16"/>
  <c r="B13" i="16"/>
  <c r="C11" i="17"/>
  <c r="F11" i="17" s="1"/>
  <c r="H7" i="19"/>
  <c r="H6" i="15"/>
  <c r="E11" i="21"/>
  <c r="F11" i="21" s="1"/>
  <c r="B13" i="19"/>
  <c r="H13" i="19" l="1"/>
  <c r="F13" i="16"/>
</calcChain>
</file>

<file path=xl/sharedStrings.xml><?xml version="1.0" encoding="utf-8"?>
<sst xmlns="http://schemas.openxmlformats.org/spreadsheetml/2006/main" count="83" uniqueCount="55">
  <si>
    <t>바인더</t>
  </si>
  <si>
    <t>펜</t>
  </si>
  <si>
    <t>클립</t>
  </si>
  <si>
    <t>작업노트</t>
  </si>
  <si>
    <t>보드마커</t>
  </si>
  <si>
    <t>폴더</t>
  </si>
  <si>
    <t>부일문구</t>
  </si>
  <si>
    <t>동일미디어</t>
  </si>
  <si>
    <t>경인문구</t>
  </si>
  <si>
    <t>서진상사</t>
  </si>
  <si>
    <t>구일오피스</t>
  </si>
  <si>
    <t>상일오피스</t>
  </si>
  <si>
    <t>대림물산</t>
  </si>
  <si>
    <t>신일미디어</t>
  </si>
  <si>
    <t>금액</t>
  </si>
  <si>
    <t>수량</t>
    <phoneticPr fontId="2" type="noConversion"/>
  </si>
  <si>
    <t>단가</t>
    <phoneticPr fontId="2" type="noConversion"/>
  </si>
  <si>
    <t>거래처</t>
    <phoneticPr fontId="2" type="noConversion"/>
  </si>
  <si>
    <t>영업사원</t>
    <phoneticPr fontId="2" type="noConversion"/>
  </si>
  <si>
    <t>날짜</t>
    <phoneticPr fontId="2" type="noConversion"/>
  </si>
  <si>
    <t>제품</t>
    <phoneticPr fontId="2" type="noConversion"/>
  </si>
  <si>
    <t>주문집계장</t>
    <phoneticPr fontId="2" type="noConversion"/>
  </si>
  <si>
    <t>바인더</t>
    <phoneticPr fontId="2" type="noConversion"/>
  </si>
  <si>
    <t>펜</t>
    <phoneticPr fontId="2" type="noConversion"/>
  </si>
  <si>
    <t>클립</t>
    <phoneticPr fontId="2" type="noConversion"/>
  </si>
  <si>
    <t>작업노트</t>
    <phoneticPr fontId="2" type="noConversion"/>
  </si>
  <si>
    <t>보드마커</t>
    <phoneticPr fontId="2" type="noConversion"/>
  </si>
  <si>
    <t>폴더</t>
    <phoneticPr fontId="2" type="noConversion"/>
  </si>
  <si>
    <t>합계</t>
    <phoneticPr fontId="2" type="noConversion"/>
  </si>
  <si>
    <t>성만길</t>
    <phoneticPr fontId="2" type="noConversion"/>
  </si>
  <si>
    <t>이성철</t>
    <phoneticPr fontId="2" type="noConversion"/>
  </si>
  <si>
    <t>차현옥</t>
    <phoneticPr fontId="2" type="noConversion"/>
  </si>
  <si>
    <t>구본성</t>
    <phoneticPr fontId="2" type="noConversion"/>
  </si>
  <si>
    <t>구본성</t>
    <phoneticPr fontId="2" type="noConversion"/>
  </si>
  <si>
    <t>이성철</t>
    <phoneticPr fontId="2" type="noConversion"/>
  </si>
  <si>
    <t>성만길</t>
    <phoneticPr fontId="2" type="noConversion"/>
  </si>
  <si>
    <t>차현옥</t>
    <phoneticPr fontId="2" type="noConversion"/>
  </si>
  <si>
    <t>합계</t>
    <phoneticPr fontId="2" type="noConversion"/>
  </si>
  <si>
    <t xml:space="preserve"> 거래처별 제품별 매출 현황 </t>
    <phoneticPr fontId="2" type="noConversion"/>
  </si>
  <si>
    <t xml:space="preserve">  거래처별 영업사원별 매출 현황 </t>
    <phoneticPr fontId="2" type="noConversion"/>
  </si>
  <si>
    <t>바인더</t>
    <phoneticPr fontId="2" type="noConversion"/>
  </si>
  <si>
    <t>펜</t>
    <phoneticPr fontId="2" type="noConversion"/>
  </si>
  <si>
    <t>클립</t>
    <phoneticPr fontId="2" type="noConversion"/>
  </si>
  <si>
    <t>작업노트</t>
    <phoneticPr fontId="2" type="noConversion"/>
  </si>
  <si>
    <t>보드마커</t>
    <phoneticPr fontId="2" type="noConversion"/>
  </si>
  <si>
    <t>폴더</t>
    <phoneticPr fontId="2" type="noConversion"/>
  </si>
  <si>
    <t>합계</t>
    <phoneticPr fontId="2" type="noConversion"/>
  </si>
  <si>
    <t>구본성</t>
    <phoneticPr fontId="2" type="noConversion"/>
  </si>
  <si>
    <t>이성철</t>
    <phoneticPr fontId="2" type="noConversion"/>
  </si>
  <si>
    <t>성만길</t>
    <phoneticPr fontId="2" type="noConversion"/>
  </si>
  <si>
    <t>차현옥</t>
    <phoneticPr fontId="2" type="noConversion"/>
  </si>
  <si>
    <t>합계</t>
    <phoneticPr fontId="2" type="noConversion"/>
  </si>
  <si>
    <t xml:space="preserve"> 거래처별 제품별 매출 현황 (수량)</t>
    <phoneticPr fontId="2" type="noConversion"/>
  </si>
  <si>
    <t xml:space="preserve"> 제품별 영업사원별 매출 현황 </t>
    <phoneticPr fontId="2" type="noConversion"/>
  </si>
  <si>
    <t xml:space="preserve"> 제품별 영업사원별 매출 현황 (수량)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</si>
</sst>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1" formatCode="_-* #,##0_-;\-* #,##0_-;_-* &quot;-&quot;_-;_-@_-"/>
    <numFmt numFmtId="176" formatCode="_(&quot;$&quot;* #,##0.00_);_(&quot;$&quot;* \(#,##0.00\);_(&quot;$&quot;* &quot;-&quot;??_);_(@_)"/>
    <numFmt numFmtId="182" formatCode="#,##0&quot;개&quot;"/>
    <numFmt numFmtId="185" formatCode="#,##0_);[Red]\(#,##0\)"/>
    <numFmt numFmtId="198" formatCode="yyyy&quot;년&quot;\ m&quot;월&quot;\ d&quot;일 매출 원장&quot;"/>
    <numFmt numFmtId="203" formatCode="#,##0_ "/>
  </numFmts>
  <fonts count="12" x14ac:knownFonts="1">
    <font>
      <sz val="10"/>
      <name val="Arial Narrow"/>
      <family val="2"/>
    </font>
    <font>
      <sz val="10"/>
      <name val="Arial Narrow"/>
      <family val="2"/>
    </font>
    <font>
      <sz val="8"/>
      <name val="돋움"/>
      <family val="3"/>
      <charset val="129"/>
    </font>
    <font>
      <sz val="10"/>
      <name val="Arial"/>
      <family val="2"/>
    </font>
    <font>
      <sz val="10"/>
      <name val="굴림"/>
      <family val="3"/>
      <charset val="129"/>
    </font>
    <font>
      <b/>
      <sz val="10"/>
      <name val="굴림"/>
      <family val="3"/>
      <charset val="129"/>
    </font>
    <font>
      <b/>
      <sz val="11"/>
      <name val="굴림"/>
      <family val="3"/>
      <charset val="129"/>
    </font>
    <font>
      <sz val="11"/>
      <name val="굴림"/>
      <family val="3"/>
      <charset val="129"/>
    </font>
    <font>
      <b/>
      <sz val="14"/>
      <name val="굴림체"/>
      <family val="3"/>
      <charset val="129"/>
    </font>
    <font>
      <b/>
      <sz val="11"/>
      <name val="돋움"/>
      <family val="3"/>
      <charset val="129"/>
    </font>
    <font>
      <b/>
      <sz val="11"/>
      <color indexed="12"/>
      <name val="돋움"/>
      <family val="3"/>
      <charset val="129"/>
    </font>
    <font>
      <b/>
      <sz val="12"/>
      <name val="굴림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</fills>
  <borders count="1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/>
    <xf numFmtId="0" fontId="3" fillId="0" borderId="0"/>
    <xf numFmtId="0" fontId="3" fillId="0" borderId="0"/>
  </cellStyleXfs>
  <cellXfs count="50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" fontId="5" fillId="2" borderId="1" xfId="0" applyNumberFormat="1" applyFont="1" applyFill="1" applyBorder="1" applyAlignment="1">
      <alignment horizontal="center" vertical="center"/>
    </xf>
    <xf numFmtId="0" fontId="5" fillId="2" borderId="1" xfId="4" applyFont="1" applyFill="1" applyBorder="1" applyAlignment="1">
      <alignment horizontal="center" vertical="center"/>
    </xf>
    <xf numFmtId="0" fontId="4" fillId="0" borderId="0" xfId="0" applyFont="1" applyAlignment="1">
      <alignment horizontal="left"/>
    </xf>
    <xf numFmtId="182" fontId="4" fillId="0" borderId="0" xfId="0" applyNumberFormat="1" applyFont="1" applyFill="1">
      <alignment vertical="center"/>
    </xf>
    <xf numFmtId="41" fontId="4" fillId="0" borderId="0" xfId="1" applyFont="1" applyAlignment="1">
      <alignment horizontal="center" vertical="center"/>
    </xf>
    <xf numFmtId="41" fontId="4" fillId="0" borderId="0" xfId="1" applyFont="1">
      <alignment vertical="center"/>
    </xf>
    <xf numFmtId="0" fontId="5" fillId="2" borderId="1" xfId="0" applyFont="1" applyFill="1" applyBorder="1" applyAlignment="1">
      <alignment horizontal="center" vertical="center"/>
    </xf>
    <xf numFmtId="176" fontId="5" fillId="2" borderId="1" xfId="2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5" xfId="0" applyFont="1" applyBorder="1" applyAlignment="1">
      <alignment horizontal="left" vertical="center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Border="1">
      <alignment vertical="center"/>
    </xf>
    <xf numFmtId="185" fontId="4" fillId="0" borderId="6" xfId="0" applyNumberFormat="1" applyFont="1" applyBorder="1">
      <alignment vertical="center"/>
    </xf>
    <xf numFmtId="41" fontId="4" fillId="0" borderId="7" xfId="0" applyNumberFormat="1" applyFont="1" applyBorder="1">
      <alignment vertical="center"/>
    </xf>
    <xf numFmtId="0" fontId="4" fillId="0" borderId="0" xfId="0" applyFont="1" applyBorder="1" applyAlignment="1">
      <alignment horizontal="left" vertical="center"/>
    </xf>
    <xf numFmtId="0" fontId="4" fillId="0" borderId="0" xfId="3" applyFont="1" applyFill="1" applyBorder="1" applyAlignment="1">
      <alignment horizontal="center" vertical="center"/>
    </xf>
    <xf numFmtId="14" fontId="4" fillId="0" borderId="0" xfId="0" applyNumberFormat="1" applyFont="1" applyFill="1" applyBorder="1" applyAlignment="1">
      <alignment horizontal="center" vertical="center"/>
    </xf>
    <xf numFmtId="0" fontId="4" fillId="0" borderId="0" xfId="4" applyFont="1" applyFill="1" applyBorder="1" applyAlignment="1">
      <alignment horizontal="center" vertical="center"/>
    </xf>
    <xf numFmtId="41" fontId="4" fillId="0" borderId="0" xfId="0" applyNumberFormat="1" applyFont="1" applyFill="1" applyBorder="1">
      <alignment vertical="center"/>
    </xf>
    <xf numFmtId="41" fontId="4" fillId="0" borderId="0" xfId="1" applyFont="1" applyFill="1" applyBorder="1" applyAlignment="1">
      <alignment horizontal="center" vertical="center"/>
    </xf>
    <xf numFmtId="41" fontId="4" fillId="0" borderId="0" xfId="1" applyFont="1" applyFill="1" applyBorder="1">
      <alignment vertical="center"/>
    </xf>
    <xf numFmtId="14" fontId="5" fillId="0" borderId="0" xfId="0" applyNumberFormat="1" applyFont="1" applyFill="1" applyBorder="1" applyAlignment="1">
      <alignment horizontal="center" vertical="center"/>
    </xf>
    <xf numFmtId="41" fontId="5" fillId="0" borderId="0" xfId="0" applyNumberFormat="1" applyFont="1" applyFill="1" applyBorder="1" applyAlignment="1">
      <alignment horizontal="center" vertical="center"/>
    </xf>
    <xf numFmtId="41" fontId="5" fillId="0" borderId="0" xfId="0" applyNumberFormat="1" applyFont="1" applyFill="1" applyBorder="1">
      <alignment vertical="center"/>
    </xf>
    <xf numFmtId="14" fontId="5" fillId="0" borderId="8" xfId="0" applyNumberFormat="1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41" fontId="5" fillId="0" borderId="9" xfId="0" applyNumberFormat="1" applyFont="1" applyFill="1" applyBorder="1">
      <alignment vertical="center"/>
    </xf>
    <xf numFmtId="0" fontId="7" fillId="0" borderId="0" xfId="0" applyFont="1" applyAlignment="1">
      <alignment horizontal="right" vertical="center" shrinkToFit="1"/>
    </xf>
    <xf numFmtId="0" fontId="7" fillId="0" borderId="0" xfId="0" applyFont="1" applyAlignment="1">
      <alignment vertical="center" shrinkToFit="1"/>
    </xf>
    <xf numFmtId="0" fontId="5" fillId="3" borderId="1" xfId="0" applyFont="1" applyFill="1" applyBorder="1" applyAlignment="1">
      <alignment horizontal="right" vertical="center" shrinkToFit="1"/>
    </xf>
    <xf numFmtId="0" fontId="5" fillId="3" borderId="1" xfId="0" applyFont="1" applyFill="1" applyBorder="1" applyAlignment="1">
      <alignment horizontal="center" vertical="center" shrinkToFit="1"/>
    </xf>
    <xf numFmtId="203" fontId="4" fillId="0" borderId="1" xfId="0" applyNumberFormat="1" applyFont="1" applyFill="1" applyBorder="1" applyAlignment="1">
      <alignment vertical="center" shrinkToFit="1"/>
    </xf>
    <xf numFmtId="203" fontId="5" fillId="3" borderId="1" xfId="0" applyNumberFormat="1" applyFont="1" applyFill="1" applyBorder="1" applyAlignment="1">
      <alignment vertical="center" shrinkToFit="1"/>
    </xf>
    <xf numFmtId="0" fontId="5" fillId="3" borderId="10" xfId="0" applyFont="1" applyFill="1" applyBorder="1" applyAlignment="1">
      <alignment horizontal="right" vertical="center"/>
    </xf>
    <xf numFmtId="198" fontId="8" fillId="2" borderId="11" xfId="0" applyNumberFormat="1" applyFont="1" applyFill="1" applyBorder="1" applyAlignment="1">
      <alignment horizontal="center" vertical="center"/>
    </xf>
    <xf numFmtId="198" fontId="8" fillId="2" borderId="12" xfId="0" applyNumberFormat="1" applyFont="1" applyFill="1" applyBorder="1" applyAlignment="1">
      <alignment horizontal="center" vertical="center"/>
    </xf>
    <xf numFmtId="198" fontId="8" fillId="2" borderId="13" xfId="0" applyNumberFormat="1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11" fillId="2" borderId="11" xfId="0" applyFont="1" applyFill="1" applyBorder="1" applyAlignment="1">
      <alignment horizontal="center" vertical="center" shrinkToFit="1"/>
    </xf>
    <xf numFmtId="0" fontId="11" fillId="2" borderId="12" xfId="0" applyFont="1" applyFill="1" applyBorder="1" applyAlignment="1">
      <alignment horizontal="center" vertical="center" shrinkToFit="1"/>
    </xf>
    <xf numFmtId="0" fontId="11" fillId="2" borderId="13" xfId="0" applyFont="1" applyFill="1" applyBorder="1" applyAlignment="1">
      <alignment horizontal="center" vertical="center" shrinkToFit="1"/>
    </xf>
  </cellXfs>
  <cellStyles count="5">
    <cellStyle name="Currency_TapePivot" xfId="2"/>
    <cellStyle name="Normal_Sheet1" xfId="3"/>
    <cellStyle name="Normal_TapePivot" xfId="4"/>
    <cellStyle name="쉼표 [0]" xfId="1" builtinId="6"/>
    <cellStyle name="표준" xfId="0" builtinId="0"/>
  </cellStyles>
  <dxfs count="1"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1682877473153E-2"/>
          <c:y val="0.11067215035231587"/>
          <c:w val="0.86025296688520958"/>
          <c:h val="0.711463823693459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거래처제품!$B$4</c:f>
              <c:strCache>
                <c:ptCount val="1"/>
                <c:pt idx="0">
                  <c:v>바인더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거래처제품!$A$5:$A$12</c:f>
              <c:strCache>
                <c:ptCount val="8"/>
                <c:pt idx="0">
                  <c:v>부일문구</c:v>
                </c:pt>
                <c:pt idx="1">
                  <c:v>동일미디어</c:v>
                </c:pt>
                <c:pt idx="2">
                  <c:v>경인문구</c:v>
                </c:pt>
                <c:pt idx="3">
                  <c:v>서진상사</c:v>
                </c:pt>
                <c:pt idx="4">
                  <c:v>구일오피스</c:v>
                </c:pt>
                <c:pt idx="5">
                  <c:v>상일오피스</c:v>
                </c:pt>
                <c:pt idx="6">
                  <c:v>대림물산</c:v>
                </c:pt>
                <c:pt idx="7">
                  <c:v>신일미디어</c:v>
                </c:pt>
              </c:strCache>
            </c:strRef>
          </c:cat>
          <c:val>
            <c:numRef>
              <c:f>거래처제품!$B$5:$B$12</c:f>
              <c:numCache>
                <c:formatCode>#,##0_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C4-4986-8C94-C45F6FB55DB9}"/>
            </c:ext>
          </c:extLst>
        </c:ser>
        <c:ser>
          <c:idx val="1"/>
          <c:order val="1"/>
          <c:tx>
            <c:strRef>
              <c:f>거래처제품!$C$4</c:f>
              <c:strCache>
                <c:ptCount val="1"/>
                <c:pt idx="0">
                  <c:v>펜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거래처제품!$A$5:$A$12</c:f>
              <c:strCache>
                <c:ptCount val="8"/>
                <c:pt idx="0">
                  <c:v>부일문구</c:v>
                </c:pt>
                <c:pt idx="1">
                  <c:v>동일미디어</c:v>
                </c:pt>
                <c:pt idx="2">
                  <c:v>경인문구</c:v>
                </c:pt>
                <c:pt idx="3">
                  <c:v>서진상사</c:v>
                </c:pt>
                <c:pt idx="4">
                  <c:v>구일오피스</c:v>
                </c:pt>
                <c:pt idx="5">
                  <c:v>상일오피스</c:v>
                </c:pt>
                <c:pt idx="6">
                  <c:v>대림물산</c:v>
                </c:pt>
                <c:pt idx="7">
                  <c:v>신일미디어</c:v>
                </c:pt>
              </c:strCache>
            </c:strRef>
          </c:cat>
          <c:val>
            <c:numRef>
              <c:f>거래처제품!$C$5:$C$12</c:f>
              <c:numCache>
                <c:formatCode>#,##0_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C4-4986-8C94-C45F6FB55DB9}"/>
            </c:ext>
          </c:extLst>
        </c:ser>
        <c:ser>
          <c:idx val="2"/>
          <c:order val="2"/>
          <c:tx>
            <c:strRef>
              <c:f>거래처제품!$D$4</c:f>
              <c:strCache>
                <c:ptCount val="1"/>
                <c:pt idx="0">
                  <c:v>클립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거래처제품!$A$5:$A$12</c:f>
              <c:strCache>
                <c:ptCount val="8"/>
                <c:pt idx="0">
                  <c:v>부일문구</c:v>
                </c:pt>
                <c:pt idx="1">
                  <c:v>동일미디어</c:v>
                </c:pt>
                <c:pt idx="2">
                  <c:v>경인문구</c:v>
                </c:pt>
                <c:pt idx="3">
                  <c:v>서진상사</c:v>
                </c:pt>
                <c:pt idx="4">
                  <c:v>구일오피스</c:v>
                </c:pt>
                <c:pt idx="5">
                  <c:v>상일오피스</c:v>
                </c:pt>
                <c:pt idx="6">
                  <c:v>대림물산</c:v>
                </c:pt>
                <c:pt idx="7">
                  <c:v>신일미디어</c:v>
                </c:pt>
              </c:strCache>
            </c:strRef>
          </c:cat>
          <c:val>
            <c:numRef>
              <c:f>거래처제품!$D$5:$D$12</c:f>
              <c:numCache>
                <c:formatCode>#,##0_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C4-4986-8C94-C45F6FB55DB9}"/>
            </c:ext>
          </c:extLst>
        </c:ser>
        <c:ser>
          <c:idx val="3"/>
          <c:order val="3"/>
          <c:tx>
            <c:strRef>
              <c:f>거래처제품!$E$4</c:f>
              <c:strCache>
                <c:ptCount val="1"/>
                <c:pt idx="0">
                  <c:v>작업노트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거래처제품!$A$5:$A$12</c:f>
              <c:strCache>
                <c:ptCount val="8"/>
                <c:pt idx="0">
                  <c:v>부일문구</c:v>
                </c:pt>
                <c:pt idx="1">
                  <c:v>동일미디어</c:v>
                </c:pt>
                <c:pt idx="2">
                  <c:v>경인문구</c:v>
                </c:pt>
                <c:pt idx="3">
                  <c:v>서진상사</c:v>
                </c:pt>
                <c:pt idx="4">
                  <c:v>구일오피스</c:v>
                </c:pt>
                <c:pt idx="5">
                  <c:v>상일오피스</c:v>
                </c:pt>
                <c:pt idx="6">
                  <c:v>대림물산</c:v>
                </c:pt>
                <c:pt idx="7">
                  <c:v>신일미디어</c:v>
                </c:pt>
              </c:strCache>
            </c:strRef>
          </c:cat>
          <c:val>
            <c:numRef>
              <c:f>거래처제품!$E$5:$E$12</c:f>
              <c:numCache>
                <c:formatCode>#,##0_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6C4-4986-8C94-C45F6FB55DB9}"/>
            </c:ext>
          </c:extLst>
        </c:ser>
        <c:ser>
          <c:idx val="4"/>
          <c:order val="4"/>
          <c:tx>
            <c:strRef>
              <c:f>거래처제품!$F$4</c:f>
              <c:strCache>
                <c:ptCount val="1"/>
                <c:pt idx="0">
                  <c:v>보드마커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거래처제품!$A$5:$A$12</c:f>
              <c:strCache>
                <c:ptCount val="8"/>
                <c:pt idx="0">
                  <c:v>부일문구</c:v>
                </c:pt>
                <c:pt idx="1">
                  <c:v>동일미디어</c:v>
                </c:pt>
                <c:pt idx="2">
                  <c:v>경인문구</c:v>
                </c:pt>
                <c:pt idx="3">
                  <c:v>서진상사</c:v>
                </c:pt>
                <c:pt idx="4">
                  <c:v>구일오피스</c:v>
                </c:pt>
                <c:pt idx="5">
                  <c:v>상일오피스</c:v>
                </c:pt>
                <c:pt idx="6">
                  <c:v>대림물산</c:v>
                </c:pt>
                <c:pt idx="7">
                  <c:v>신일미디어</c:v>
                </c:pt>
              </c:strCache>
            </c:strRef>
          </c:cat>
          <c:val>
            <c:numRef>
              <c:f>거래처제품!$F$5:$F$12</c:f>
              <c:numCache>
                <c:formatCode>#,##0_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6C4-4986-8C94-C45F6FB55DB9}"/>
            </c:ext>
          </c:extLst>
        </c:ser>
        <c:ser>
          <c:idx val="5"/>
          <c:order val="5"/>
          <c:tx>
            <c:strRef>
              <c:f>거래처제품!$G$4</c:f>
              <c:strCache>
                <c:ptCount val="1"/>
                <c:pt idx="0">
                  <c:v>폴더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거래처제품!$A$5:$A$12</c:f>
              <c:strCache>
                <c:ptCount val="8"/>
                <c:pt idx="0">
                  <c:v>부일문구</c:v>
                </c:pt>
                <c:pt idx="1">
                  <c:v>동일미디어</c:v>
                </c:pt>
                <c:pt idx="2">
                  <c:v>경인문구</c:v>
                </c:pt>
                <c:pt idx="3">
                  <c:v>서진상사</c:v>
                </c:pt>
                <c:pt idx="4">
                  <c:v>구일오피스</c:v>
                </c:pt>
                <c:pt idx="5">
                  <c:v>상일오피스</c:v>
                </c:pt>
                <c:pt idx="6">
                  <c:v>대림물산</c:v>
                </c:pt>
                <c:pt idx="7">
                  <c:v>신일미디어</c:v>
                </c:pt>
              </c:strCache>
            </c:strRef>
          </c:cat>
          <c:val>
            <c:numRef>
              <c:f>거래처제품!$G$5:$G$12</c:f>
              <c:numCache>
                <c:formatCode>#,##0_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6C4-4986-8C94-C45F6FB55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5474912"/>
        <c:axId val="1"/>
      </c:barChart>
      <c:catAx>
        <c:axId val="34547491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ko-K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ko-KR"/>
          </a:p>
        </c:txPr>
        <c:crossAx val="34547491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294489295274572"/>
          <c:y val="0.22924945430122573"/>
          <c:w val="7.7892412447662124E-2"/>
          <c:h val="0.4782617925939364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Narrow"/>
              <a:ea typeface="Arial Narrow"/>
              <a:cs typeface="Arial Narrow"/>
            </a:defRPr>
          </a:pPr>
          <a:endParaRPr lang="ko-KR"/>
        </a:p>
      </c:txPr>
    </c:legend>
    <c:plotVisOnly val="1"/>
    <c:dispBlanksAs val="gap"/>
    <c:showDLblsOverMax val="0"/>
  </c:chart>
  <c:spPr>
    <a:blipFill dpi="0" rotWithShape="0">
      <a:blip xmlns:r="http://schemas.openxmlformats.org/officeDocument/2006/relationships" r:embed="rId1"/>
      <a:srcRect/>
      <a:tile tx="0" ty="0" sx="100000" sy="100000" flip="none" algn="tl"/>
    </a:blip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556199304750871E-2"/>
          <c:y val="0.11067215035231587"/>
          <c:w val="0.87253765932792582"/>
          <c:h val="0.711463823693459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거래처사원!$B$4</c:f>
              <c:strCache>
                <c:ptCount val="1"/>
                <c:pt idx="0">
                  <c:v>구본성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거래처사원!$A$5:$A$12</c:f>
              <c:strCache>
                <c:ptCount val="8"/>
                <c:pt idx="0">
                  <c:v>부일문구</c:v>
                </c:pt>
                <c:pt idx="1">
                  <c:v>동일미디어</c:v>
                </c:pt>
                <c:pt idx="2">
                  <c:v>경인문구</c:v>
                </c:pt>
                <c:pt idx="3">
                  <c:v>서진상사</c:v>
                </c:pt>
                <c:pt idx="4">
                  <c:v>구일오피스</c:v>
                </c:pt>
                <c:pt idx="5">
                  <c:v>상일오피스</c:v>
                </c:pt>
                <c:pt idx="6">
                  <c:v>대림물산</c:v>
                </c:pt>
                <c:pt idx="7">
                  <c:v>신일미디어</c:v>
                </c:pt>
              </c:strCache>
            </c:strRef>
          </c:cat>
          <c:val>
            <c:numRef>
              <c:f>거래처사원!$B$5:$B$12</c:f>
              <c:numCache>
                <c:formatCode>#,##0_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13-4EFD-9859-00010DB5D0FF}"/>
            </c:ext>
          </c:extLst>
        </c:ser>
        <c:ser>
          <c:idx val="1"/>
          <c:order val="1"/>
          <c:tx>
            <c:strRef>
              <c:f>거래처사원!$C$4</c:f>
              <c:strCache>
                <c:ptCount val="1"/>
                <c:pt idx="0">
                  <c:v>이성철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거래처사원!$A$5:$A$12</c:f>
              <c:strCache>
                <c:ptCount val="8"/>
                <c:pt idx="0">
                  <c:v>부일문구</c:v>
                </c:pt>
                <c:pt idx="1">
                  <c:v>동일미디어</c:v>
                </c:pt>
                <c:pt idx="2">
                  <c:v>경인문구</c:v>
                </c:pt>
                <c:pt idx="3">
                  <c:v>서진상사</c:v>
                </c:pt>
                <c:pt idx="4">
                  <c:v>구일오피스</c:v>
                </c:pt>
                <c:pt idx="5">
                  <c:v>상일오피스</c:v>
                </c:pt>
                <c:pt idx="6">
                  <c:v>대림물산</c:v>
                </c:pt>
                <c:pt idx="7">
                  <c:v>신일미디어</c:v>
                </c:pt>
              </c:strCache>
            </c:strRef>
          </c:cat>
          <c:val>
            <c:numRef>
              <c:f>거래처사원!$C$5:$C$12</c:f>
              <c:numCache>
                <c:formatCode>#,##0_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13-4EFD-9859-00010DB5D0FF}"/>
            </c:ext>
          </c:extLst>
        </c:ser>
        <c:ser>
          <c:idx val="2"/>
          <c:order val="2"/>
          <c:tx>
            <c:strRef>
              <c:f>거래처사원!$D$4</c:f>
              <c:strCache>
                <c:ptCount val="1"/>
                <c:pt idx="0">
                  <c:v>성만길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거래처사원!$A$5:$A$12</c:f>
              <c:strCache>
                <c:ptCount val="8"/>
                <c:pt idx="0">
                  <c:v>부일문구</c:v>
                </c:pt>
                <c:pt idx="1">
                  <c:v>동일미디어</c:v>
                </c:pt>
                <c:pt idx="2">
                  <c:v>경인문구</c:v>
                </c:pt>
                <c:pt idx="3">
                  <c:v>서진상사</c:v>
                </c:pt>
                <c:pt idx="4">
                  <c:v>구일오피스</c:v>
                </c:pt>
                <c:pt idx="5">
                  <c:v>상일오피스</c:v>
                </c:pt>
                <c:pt idx="6">
                  <c:v>대림물산</c:v>
                </c:pt>
                <c:pt idx="7">
                  <c:v>신일미디어</c:v>
                </c:pt>
              </c:strCache>
            </c:strRef>
          </c:cat>
          <c:val>
            <c:numRef>
              <c:f>거래처사원!$D$5:$D$12</c:f>
              <c:numCache>
                <c:formatCode>#,##0_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13-4EFD-9859-00010DB5D0FF}"/>
            </c:ext>
          </c:extLst>
        </c:ser>
        <c:ser>
          <c:idx val="3"/>
          <c:order val="3"/>
          <c:tx>
            <c:strRef>
              <c:f>거래처사원!$E$4</c:f>
              <c:strCache>
                <c:ptCount val="1"/>
                <c:pt idx="0">
                  <c:v>차현옥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거래처사원!$A$5:$A$12</c:f>
              <c:strCache>
                <c:ptCount val="8"/>
                <c:pt idx="0">
                  <c:v>부일문구</c:v>
                </c:pt>
                <c:pt idx="1">
                  <c:v>동일미디어</c:v>
                </c:pt>
                <c:pt idx="2">
                  <c:v>경인문구</c:v>
                </c:pt>
                <c:pt idx="3">
                  <c:v>서진상사</c:v>
                </c:pt>
                <c:pt idx="4">
                  <c:v>구일오피스</c:v>
                </c:pt>
                <c:pt idx="5">
                  <c:v>상일오피스</c:v>
                </c:pt>
                <c:pt idx="6">
                  <c:v>대림물산</c:v>
                </c:pt>
                <c:pt idx="7">
                  <c:v>신일미디어</c:v>
                </c:pt>
              </c:strCache>
            </c:strRef>
          </c:cat>
          <c:val>
            <c:numRef>
              <c:f>거래처사원!$E$5:$E$12</c:f>
              <c:numCache>
                <c:formatCode>#,##0_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13-4EFD-9859-00010DB5D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085336"/>
        <c:axId val="1"/>
      </c:barChart>
      <c:catAx>
        <c:axId val="34408533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ko-K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ko-KR"/>
          </a:p>
        </c:txPr>
        <c:crossAx val="34408533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58400926998841"/>
          <c:y val="0.30830099026716562"/>
          <c:w val="6.4889918887601386E-2"/>
          <c:h val="0.3201587206620566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Narrow"/>
              <a:ea typeface="Arial Narrow"/>
              <a:cs typeface="Arial Narrow"/>
            </a:defRPr>
          </a:pPr>
          <a:endParaRPr lang="ko-KR"/>
        </a:p>
      </c:txPr>
    </c:legend>
    <c:plotVisOnly val="1"/>
    <c:dispBlanksAs val="gap"/>
    <c:showDLblsOverMax val="0"/>
  </c:chart>
  <c:spPr>
    <a:blipFill dpi="0" rotWithShape="0">
      <a:blip xmlns:r="http://schemas.openxmlformats.org/officeDocument/2006/relationships" r:embed="rId1"/>
      <a:srcRect/>
      <a:tile tx="0" ty="0" sx="100000" sy="100000" flip="none" algn="tl"/>
    </a:blip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556199304750871E-2"/>
          <c:y val="0.11067215035231587"/>
          <c:w val="0.87253765932792582"/>
          <c:h val="0.711463823693459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제품사원!$B$4</c:f>
              <c:strCache>
                <c:ptCount val="1"/>
                <c:pt idx="0">
                  <c:v>구본성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제품사원!$A$5:$A$10</c:f>
              <c:strCache>
                <c:ptCount val="6"/>
                <c:pt idx="0">
                  <c:v>바인더</c:v>
                </c:pt>
                <c:pt idx="1">
                  <c:v>펜</c:v>
                </c:pt>
                <c:pt idx="2">
                  <c:v>클립</c:v>
                </c:pt>
                <c:pt idx="3">
                  <c:v>작업노트</c:v>
                </c:pt>
                <c:pt idx="4">
                  <c:v>보드마커</c:v>
                </c:pt>
                <c:pt idx="5">
                  <c:v>폴더</c:v>
                </c:pt>
              </c:strCache>
            </c:strRef>
          </c:cat>
          <c:val>
            <c:numRef>
              <c:f>제품사원!$B$5:$B$10</c:f>
              <c:numCache>
                <c:formatCode>#,##0_ 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41-4FA9-90A1-8CD020A03D86}"/>
            </c:ext>
          </c:extLst>
        </c:ser>
        <c:ser>
          <c:idx val="1"/>
          <c:order val="1"/>
          <c:tx>
            <c:strRef>
              <c:f>제품사원!$C$4</c:f>
              <c:strCache>
                <c:ptCount val="1"/>
                <c:pt idx="0">
                  <c:v>이성철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제품사원!$A$5:$A$10</c:f>
              <c:strCache>
                <c:ptCount val="6"/>
                <c:pt idx="0">
                  <c:v>바인더</c:v>
                </c:pt>
                <c:pt idx="1">
                  <c:v>펜</c:v>
                </c:pt>
                <c:pt idx="2">
                  <c:v>클립</c:v>
                </c:pt>
                <c:pt idx="3">
                  <c:v>작업노트</c:v>
                </c:pt>
                <c:pt idx="4">
                  <c:v>보드마커</c:v>
                </c:pt>
                <c:pt idx="5">
                  <c:v>폴더</c:v>
                </c:pt>
              </c:strCache>
            </c:strRef>
          </c:cat>
          <c:val>
            <c:numRef>
              <c:f>제품사원!$C$5:$C$10</c:f>
              <c:numCache>
                <c:formatCode>#,##0_ 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41-4FA9-90A1-8CD020A03D86}"/>
            </c:ext>
          </c:extLst>
        </c:ser>
        <c:ser>
          <c:idx val="2"/>
          <c:order val="2"/>
          <c:tx>
            <c:strRef>
              <c:f>제품사원!$D$4</c:f>
              <c:strCache>
                <c:ptCount val="1"/>
                <c:pt idx="0">
                  <c:v>성만길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제품사원!$A$5:$A$10</c:f>
              <c:strCache>
                <c:ptCount val="6"/>
                <c:pt idx="0">
                  <c:v>바인더</c:v>
                </c:pt>
                <c:pt idx="1">
                  <c:v>펜</c:v>
                </c:pt>
                <c:pt idx="2">
                  <c:v>클립</c:v>
                </c:pt>
                <c:pt idx="3">
                  <c:v>작업노트</c:v>
                </c:pt>
                <c:pt idx="4">
                  <c:v>보드마커</c:v>
                </c:pt>
                <c:pt idx="5">
                  <c:v>폴더</c:v>
                </c:pt>
              </c:strCache>
            </c:strRef>
          </c:cat>
          <c:val>
            <c:numRef>
              <c:f>제품사원!$D$5:$D$10</c:f>
              <c:numCache>
                <c:formatCode>#,##0_ 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41-4FA9-90A1-8CD020A03D86}"/>
            </c:ext>
          </c:extLst>
        </c:ser>
        <c:ser>
          <c:idx val="3"/>
          <c:order val="3"/>
          <c:tx>
            <c:strRef>
              <c:f>제품사원!$E$4</c:f>
              <c:strCache>
                <c:ptCount val="1"/>
                <c:pt idx="0">
                  <c:v>차현옥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제품사원!$A$5:$A$10</c:f>
              <c:strCache>
                <c:ptCount val="6"/>
                <c:pt idx="0">
                  <c:v>바인더</c:v>
                </c:pt>
                <c:pt idx="1">
                  <c:v>펜</c:v>
                </c:pt>
                <c:pt idx="2">
                  <c:v>클립</c:v>
                </c:pt>
                <c:pt idx="3">
                  <c:v>작업노트</c:v>
                </c:pt>
                <c:pt idx="4">
                  <c:v>보드마커</c:v>
                </c:pt>
                <c:pt idx="5">
                  <c:v>폴더</c:v>
                </c:pt>
              </c:strCache>
            </c:strRef>
          </c:cat>
          <c:val>
            <c:numRef>
              <c:f>제품사원!$E$5:$E$10</c:f>
              <c:numCache>
                <c:formatCode>#,##0_ 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41-4FA9-90A1-8CD020A03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5469008"/>
        <c:axId val="1"/>
      </c:barChart>
      <c:catAx>
        <c:axId val="34546900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ko-K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ko-KR"/>
          </a:p>
        </c:txPr>
        <c:crossAx val="34546900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58400926998841"/>
          <c:y val="0.30830099026716562"/>
          <c:w val="6.4889918887601386E-2"/>
          <c:h val="0.3201587206620566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Narrow"/>
              <a:ea typeface="Arial Narrow"/>
              <a:cs typeface="Arial Narrow"/>
            </a:defRPr>
          </a:pPr>
          <a:endParaRPr lang="ko-KR"/>
        </a:p>
      </c:txPr>
    </c:legend>
    <c:plotVisOnly val="1"/>
    <c:dispBlanksAs val="gap"/>
    <c:showDLblsOverMax val="0"/>
  </c:chart>
  <c:spPr>
    <a:blipFill dpi="0" rotWithShape="0">
      <a:blip xmlns:r="http://schemas.openxmlformats.org/officeDocument/2006/relationships" r:embed="rId1"/>
      <a:srcRect/>
      <a:tile tx="0" ty="0" sx="100000" sy="100000" flip="none" algn="tl"/>
    </a:blip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1682877473153E-2"/>
          <c:y val="0.11067215035231587"/>
          <c:w val="0.86025296688520958"/>
          <c:h val="0.711463823693459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'거래처제품 (2)'!$B$4</c:f>
              <c:strCache>
                <c:ptCount val="1"/>
                <c:pt idx="0">
                  <c:v>바인더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'거래처제품 (2)'!$A$5:$A$12</c:f>
              <c:strCache>
                <c:ptCount val="8"/>
                <c:pt idx="0">
                  <c:v>부일문구</c:v>
                </c:pt>
                <c:pt idx="1">
                  <c:v>동일미디어</c:v>
                </c:pt>
                <c:pt idx="2">
                  <c:v>경인문구</c:v>
                </c:pt>
                <c:pt idx="3">
                  <c:v>서진상사</c:v>
                </c:pt>
                <c:pt idx="4">
                  <c:v>구일오피스</c:v>
                </c:pt>
                <c:pt idx="5">
                  <c:v>상일오피스</c:v>
                </c:pt>
                <c:pt idx="6">
                  <c:v>대림물산</c:v>
                </c:pt>
                <c:pt idx="7">
                  <c:v>신일미디어</c:v>
                </c:pt>
              </c:strCache>
            </c:strRef>
          </c:cat>
          <c:val>
            <c:numRef>
              <c:f>'거래처제품 (2)'!$B$5:$B$12</c:f>
              <c:numCache>
                <c:formatCode>#,##0_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0C-4174-A56A-607258E27B48}"/>
            </c:ext>
          </c:extLst>
        </c:ser>
        <c:ser>
          <c:idx val="1"/>
          <c:order val="1"/>
          <c:tx>
            <c:strRef>
              <c:f>'거래처제품 (2)'!$C$4</c:f>
              <c:strCache>
                <c:ptCount val="1"/>
                <c:pt idx="0">
                  <c:v>펜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'거래처제품 (2)'!$A$5:$A$12</c:f>
              <c:strCache>
                <c:ptCount val="8"/>
                <c:pt idx="0">
                  <c:v>부일문구</c:v>
                </c:pt>
                <c:pt idx="1">
                  <c:v>동일미디어</c:v>
                </c:pt>
                <c:pt idx="2">
                  <c:v>경인문구</c:v>
                </c:pt>
                <c:pt idx="3">
                  <c:v>서진상사</c:v>
                </c:pt>
                <c:pt idx="4">
                  <c:v>구일오피스</c:v>
                </c:pt>
                <c:pt idx="5">
                  <c:v>상일오피스</c:v>
                </c:pt>
                <c:pt idx="6">
                  <c:v>대림물산</c:v>
                </c:pt>
                <c:pt idx="7">
                  <c:v>신일미디어</c:v>
                </c:pt>
              </c:strCache>
            </c:strRef>
          </c:cat>
          <c:val>
            <c:numRef>
              <c:f>'거래처제품 (2)'!$C$5:$C$12</c:f>
              <c:numCache>
                <c:formatCode>#,##0_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0C-4174-A56A-607258E27B48}"/>
            </c:ext>
          </c:extLst>
        </c:ser>
        <c:ser>
          <c:idx val="2"/>
          <c:order val="2"/>
          <c:tx>
            <c:strRef>
              <c:f>'거래처제품 (2)'!$D$4</c:f>
              <c:strCache>
                <c:ptCount val="1"/>
                <c:pt idx="0">
                  <c:v>클립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'거래처제품 (2)'!$A$5:$A$12</c:f>
              <c:strCache>
                <c:ptCount val="8"/>
                <c:pt idx="0">
                  <c:v>부일문구</c:v>
                </c:pt>
                <c:pt idx="1">
                  <c:v>동일미디어</c:v>
                </c:pt>
                <c:pt idx="2">
                  <c:v>경인문구</c:v>
                </c:pt>
                <c:pt idx="3">
                  <c:v>서진상사</c:v>
                </c:pt>
                <c:pt idx="4">
                  <c:v>구일오피스</c:v>
                </c:pt>
                <c:pt idx="5">
                  <c:v>상일오피스</c:v>
                </c:pt>
                <c:pt idx="6">
                  <c:v>대림물산</c:v>
                </c:pt>
                <c:pt idx="7">
                  <c:v>신일미디어</c:v>
                </c:pt>
              </c:strCache>
            </c:strRef>
          </c:cat>
          <c:val>
            <c:numRef>
              <c:f>'거래처제품 (2)'!$D$5:$D$12</c:f>
              <c:numCache>
                <c:formatCode>#,##0_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0C-4174-A56A-607258E27B48}"/>
            </c:ext>
          </c:extLst>
        </c:ser>
        <c:ser>
          <c:idx val="3"/>
          <c:order val="3"/>
          <c:tx>
            <c:strRef>
              <c:f>'거래처제품 (2)'!$E$4</c:f>
              <c:strCache>
                <c:ptCount val="1"/>
                <c:pt idx="0">
                  <c:v>작업노트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'거래처제품 (2)'!$A$5:$A$12</c:f>
              <c:strCache>
                <c:ptCount val="8"/>
                <c:pt idx="0">
                  <c:v>부일문구</c:v>
                </c:pt>
                <c:pt idx="1">
                  <c:v>동일미디어</c:v>
                </c:pt>
                <c:pt idx="2">
                  <c:v>경인문구</c:v>
                </c:pt>
                <c:pt idx="3">
                  <c:v>서진상사</c:v>
                </c:pt>
                <c:pt idx="4">
                  <c:v>구일오피스</c:v>
                </c:pt>
                <c:pt idx="5">
                  <c:v>상일오피스</c:v>
                </c:pt>
                <c:pt idx="6">
                  <c:v>대림물산</c:v>
                </c:pt>
                <c:pt idx="7">
                  <c:v>신일미디어</c:v>
                </c:pt>
              </c:strCache>
            </c:strRef>
          </c:cat>
          <c:val>
            <c:numRef>
              <c:f>'거래처제품 (2)'!$E$5:$E$12</c:f>
              <c:numCache>
                <c:formatCode>#,##0_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F0C-4174-A56A-607258E27B48}"/>
            </c:ext>
          </c:extLst>
        </c:ser>
        <c:ser>
          <c:idx val="4"/>
          <c:order val="4"/>
          <c:tx>
            <c:strRef>
              <c:f>'거래처제품 (2)'!$F$4</c:f>
              <c:strCache>
                <c:ptCount val="1"/>
                <c:pt idx="0">
                  <c:v>보드마커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'거래처제품 (2)'!$A$5:$A$12</c:f>
              <c:strCache>
                <c:ptCount val="8"/>
                <c:pt idx="0">
                  <c:v>부일문구</c:v>
                </c:pt>
                <c:pt idx="1">
                  <c:v>동일미디어</c:v>
                </c:pt>
                <c:pt idx="2">
                  <c:v>경인문구</c:v>
                </c:pt>
                <c:pt idx="3">
                  <c:v>서진상사</c:v>
                </c:pt>
                <c:pt idx="4">
                  <c:v>구일오피스</c:v>
                </c:pt>
                <c:pt idx="5">
                  <c:v>상일오피스</c:v>
                </c:pt>
                <c:pt idx="6">
                  <c:v>대림물산</c:v>
                </c:pt>
                <c:pt idx="7">
                  <c:v>신일미디어</c:v>
                </c:pt>
              </c:strCache>
            </c:strRef>
          </c:cat>
          <c:val>
            <c:numRef>
              <c:f>'거래처제품 (2)'!$F$5:$F$12</c:f>
              <c:numCache>
                <c:formatCode>#,##0_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0C-4174-A56A-607258E27B48}"/>
            </c:ext>
          </c:extLst>
        </c:ser>
        <c:ser>
          <c:idx val="5"/>
          <c:order val="5"/>
          <c:tx>
            <c:strRef>
              <c:f>'거래처제품 (2)'!$G$4</c:f>
              <c:strCache>
                <c:ptCount val="1"/>
                <c:pt idx="0">
                  <c:v>폴더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'거래처제품 (2)'!$A$5:$A$12</c:f>
              <c:strCache>
                <c:ptCount val="8"/>
                <c:pt idx="0">
                  <c:v>부일문구</c:v>
                </c:pt>
                <c:pt idx="1">
                  <c:v>동일미디어</c:v>
                </c:pt>
                <c:pt idx="2">
                  <c:v>경인문구</c:v>
                </c:pt>
                <c:pt idx="3">
                  <c:v>서진상사</c:v>
                </c:pt>
                <c:pt idx="4">
                  <c:v>구일오피스</c:v>
                </c:pt>
                <c:pt idx="5">
                  <c:v>상일오피스</c:v>
                </c:pt>
                <c:pt idx="6">
                  <c:v>대림물산</c:v>
                </c:pt>
                <c:pt idx="7">
                  <c:v>신일미디어</c:v>
                </c:pt>
              </c:strCache>
            </c:strRef>
          </c:cat>
          <c:val>
            <c:numRef>
              <c:f>'거래처제품 (2)'!$G$5:$G$12</c:f>
              <c:numCache>
                <c:formatCode>#,##0_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0C-4174-A56A-607258E27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5470648"/>
        <c:axId val="1"/>
      </c:barChart>
      <c:catAx>
        <c:axId val="34547064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ko-K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ko-KR"/>
          </a:p>
        </c:txPr>
        <c:crossAx val="34547064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294489295274572"/>
          <c:y val="0.22924945430122573"/>
          <c:w val="7.7892412447662124E-2"/>
          <c:h val="0.4782617925939364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Narrow"/>
              <a:ea typeface="Arial Narrow"/>
              <a:cs typeface="Arial Narrow"/>
            </a:defRPr>
          </a:pPr>
          <a:endParaRPr lang="ko-KR"/>
        </a:p>
      </c:txPr>
    </c:legend>
    <c:plotVisOnly val="1"/>
    <c:dispBlanksAs val="gap"/>
    <c:showDLblsOverMax val="0"/>
  </c:chart>
  <c:spPr>
    <a:blipFill dpi="0" rotWithShape="0">
      <a:blip xmlns:r="http://schemas.openxmlformats.org/officeDocument/2006/relationships" r:embed="rId1"/>
      <a:srcRect/>
      <a:tile tx="0" ty="0" sx="100000" sy="100000" flip="none" algn="tl"/>
    </a:blip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556199304750871E-2"/>
          <c:y val="0.11067215035231587"/>
          <c:w val="0.87253765932792582"/>
          <c:h val="0.711463823693459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'제품사원 (2)'!$B$4</c:f>
              <c:strCache>
                <c:ptCount val="1"/>
                <c:pt idx="0">
                  <c:v>구본성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'제품사원 (2)'!$A$5:$A$10</c:f>
              <c:strCache>
                <c:ptCount val="6"/>
                <c:pt idx="0">
                  <c:v>바인더</c:v>
                </c:pt>
                <c:pt idx="1">
                  <c:v>펜</c:v>
                </c:pt>
                <c:pt idx="2">
                  <c:v>클립</c:v>
                </c:pt>
                <c:pt idx="3">
                  <c:v>작업노트</c:v>
                </c:pt>
                <c:pt idx="4">
                  <c:v>보드마커</c:v>
                </c:pt>
                <c:pt idx="5">
                  <c:v>폴더</c:v>
                </c:pt>
              </c:strCache>
            </c:strRef>
          </c:cat>
          <c:val>
            <c:numRef>
              <c:f>'제품사원 (2)'!$B$5:$B$10</c:f>
              <c:numCache>
                <c:formatCode>#,##0_ 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FF-45CF-AEDC-8959F8040D07}"/>
            </c:ext>
          </c:extLst>
        </c:ser>
        <c:ser>
          <c:idx val="1"/>
          <c:order val="1"/>
          <c:tx>
            <c:strRef>
              <c:f>'제품사원 (2)'!$C$4</c:f>
              <c:strCache>
                <c:ptCount val="1"/>
                <c:pt idx="0">
                  <c:v>이성철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'제품사원 (2)'!$A$5:$A$10</c:f>
              <c:strCache>
                <c:ptCount val="6"/>
                <c:pt idx="0">
                  <c:v>바인더</c:v>
                </c:pt>
                <c:pt idx="1">
                  <c:v>펜</c:v>
                </c:pt>
                <c:pt idx="2">
                  <c:v>클립</c:v>
                </c:pt>
                <c:pt idx="3">
                  <c:v>작업노트</c:v>
                </c:pt>
                <c:pt idx="4">
                  <c:v>보드마커</c:v>
                </c:pt>
                <c:pt idx="5">
                  <c:v>폴더</c:v>
                </c:pt>
              </c:strCache>
            </c:strRef>
          </c:cat>
          <c:val>
            <c:numRef>
              <c:f>'제품사원 (2)'!$C$5:$C$10</c:f>
              <c:numCache>
                <c:formatCode>#,##0_ 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FF-45CF-AEDC-8959F8040D07}"/>
            </c:ext>
          </c:extLst>
        </c:ser>
        <c:ser>
          <c:idx val="2"/>
          <c:order val="2"/>
          <c:tx>
            <c:strRef>
              <c:f>'제품사원 (2)'!$D$4</c:f>
              <c:strCache>
                <c:ptCount val="1"/>
                <c:pt idx="0">
                  <c:v>성만길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'제품사원 (2)'!$A$5:$A$10</c:f>
              <c:strCache>
                <c:ptCount val="6"/>
                <c:pt idx="0">
                  <c:v>바인더</c:v>
                </c:pt>
                <c:pt idx="1">
                  <c:v>펜</c:v>
                </c:pt>
                <c:pt idx="2">
                  <c:v>클립</c:v>
                </c:pt>
                <c:pt idx="3">
                  <c:v>작업노트</c:v>
                </c:pt>
                <c:pt idx="4">
                  <c:v>보드마커</c:v>
                </c:pt>
                <c:pt idx="5">
                  <c:v>폴더</c:v>
                </c:pt>
              </c:strCache>
            </c:strRef>
          </c:cat>
          <c:val>
            <c:numRef>
              <c:f>'제품사원 (2)'!$D$5:$D$10</c:f>
              <c:numCache>
                <c:formatCode>#,##0_ 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FF-45CF-AEDC-8959F8040D07}"/>
            </c:ext>
          </c:extLst>
        </c:ser>
        <c:ser>
          <c:idx val="3"/>
          <c:order val="3"/>
          <c:tx>
            <c:strRef>
              <c:f>'제품사원 (2)'!$E$4</c:f>
              <c:strCache>
                <c:ptCount val="1"/>
                <c:pt idx="0">
                  <c:v>차현옥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'제품사원 (2)'!$A$5:$A$10</c:f>
              <c:strCache>
                <c:ptCount val="6"/>
                <c:pt idx="0">
                  <c:v>바인더</c:v>
                </c:pt>
                <c:pt idx="1">
                  <c:v>펜</c:v>
                </c:pt>
                <c:pt idx="2">
                  <c:v>클립</c:v>
                </c:pt>
                <c:pt idx="3">
                  <c:v>작업노트</c:v>
                </c:pt>
                <c:pt idx="4">
                  <c:v>보드마커</c:v>
                </c:pt>
                <c:pt idx="5">
                  <c:v>폴더</c:v>
                </c:pt>
              </c:strCache>
            </c:strRef>
          </c:cat>
          <c:val>
            <c:numRef>
              <c:f>'제품사원 (2)'!$E$5:$E$10</c:f>
              <c:numCache>
                <c:formatCode>#,##0_ 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FF-45CF-AEDC-8959F804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5468352"/>
        <c:axId val="1"/>
      </c:barChart>
      <c:catAx>
        <c:axId val="34546835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ko-K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ko-KR"/>
          </a:p>
        </c:txPr>
        <c:crossAx val="34546835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58400926998841"/>
          <c:y val="0.30830099026716562"/>
          <c:w val="6.4889918887601386E-2"/>
          <c:h val="0.3201587206620566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Narrow"/>
              <a:ea typeface="Arial Narrow"/>
              <a:cs typeface="Arial Narrow"/>
            </a:defRPr>
          </a:pPr>
          <a:endParaRPr lang="ko-KR"/>
        </a:p>
      </c:txPr>
    </c:legend>
    <c:plotVisOnly val="1"/>
    <c:dispBlanksAs val="gap"/>
    <c:showDLblsOverMax val="0"/>
  </c:chart>
  <c:spPr>
    <a:blipFill dpi="0" rotWithShape="0">
      <a:blip xmlns:r="http://schemas.openxmlformats.org/officeDocument/2006/relationships" r:embed="rId1"/>
      <a:srcRect/>
      <a:tile tx="0" ty="0" sx="100000" sy="100000" flip="none" algn="tl"/>
    </a:blip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3</xdr:row>
          <xdr:rowOff>47625</xdr:rowOff>
        </xdr:from>
        <xdr:to>
          <xdr:col>1</xdr:col>
          <xdr:colOff>142875</xdr:colOff>
          <xdr:row>4</xdr:row>
          <xdr:rowOff>152400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367E8A12-97BD-4767-982D-454F0B2B23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거래처별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3</xdr:row>
          <xdr:rowOff>47625</xdr:rowOff>
        </xdr:from>
        <xdr:to>
          <xdr:col>2</xdr:col>
          <xdr:colOff>419100</xdr:colOff>
          <xdr:row>4</xdr:row>
          <xdr:rowOff>152400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C0F44CA-4979-4BCA-84AE-957B8551C6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영업사원별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3</xdr:row>
          <xdr:rowOff>57150</xdr:rowOff>
        </xdr:from>
        <xdr:to>
          <xdr:col>5</xdr:col>
          <xdr:colOff>428625</xdr:colOff>
          <xdr:row>4</xdr:row>
          <xdr:rowOff>161925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3555790-FBB1-4206-883C-B4EE75D8F7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제품별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3</xdr:row>
          <xdr:rowOff>47625</xdr:rowOff>
        </xdr:from>
        <xdr:to>
          <xdr:col>6</xdr:col>
          <xdr:colOff>771525</xdr:colOff>
          <xdr:row>4</xdr:row>
          <xdr:rowOff>152400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F2337A12-CCFB-4AB7-8C57-CF303A96BE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원래대로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657225</xdr:colOff>
          <xdr:row>3</xdr:row>
          <xdr:rowOff>57150</xdr:rowOff>
        </xdr:from>
        <xdr:to>
          <xdr:col>3</xdr:col>
          <xdr:colOff>781050</xdr:colOff>
          <xdr:row>4</xdr:row>
          <xdr:rowOff>161925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1B80A1F2-B571-4BD7-B8C0-CBEB8D08D8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날짜별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13</xdr:row>
      <xdr:rowOff>190500</xdr:rowOff>
    </xdr:from>
    <xdr:to>
      <xdr:col>7</xdr:col>
      <xdr:colOff>933450</xdr:colOff>
      <xdr:row>26</xdr:row>
      <xdr:rowOff>0</xdr:rowOff>
    </xdr:to>
    <xdr:graphicFrame macro="">
      <xdr:nvGraphicFramePr>
        <xdr:cNvPr id="14337" name="차트 1">
          <a:extLst>
            <a:ext uri="{FF2B5EF4-FFF2-40B4-BE49-F238E27FC236}">
              <a16:creationId xmlns:a16="http://schemas.microsoft.com/office/drawing/2014/main" id="{C7059F93-EB17-4ADC-A715-E7BA72F5AA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13</xdr:row>
      <xdr:rowOff>190500</xdr:rowOff>
    </xdr:from>
    <xdr:to>
      <xdr:col>6</xdr:col>
      <xdr:colOff>0</xdr:colOff>
      <xdr:row>26</xdr:row>
      <xdr:rowOff>0</xdr:rowOff>
    </xdr:to>
    <xdr:graphicFrame macro="">
      <xdr:nvGraphicFramePr>
        <xdr:cNvPr id="16385" name="차트 1">
          <a:extLst>
            <a:ext uri="{FF2B5EF4-FFF2-40B4-BE49-F238E27FC236}">
              <a16:creationId xmlns:a16="http://schemas.microsoft.com/office/drawing/2014/main" id="{A1BE6462-2D4A-48B3-A340-58485DF91E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11</xdr:row>
      <xdr:rowOff>190500</xdr:rowOff>
    </xdr:from>
    <xdr:to>
      <xdr:col>6</xdr:col>
      <xdr:colOff>0</xdr:colOff>
      <xdr:row>24</xdr:row>
      <xdr:rowOff>0</xdr:rowOff>
    </xdr:to>
    <xdr:graphicFrame macro="">
      <xdr:nvGraphicFramePr>
        <xdr:cNvPr id="18433" name="차트 1">
          <a:extLst>
            <a:ext uri="{FF2B5EF4-FFF2-40B4-BE49-F238E27FC236}">
              <a16:creationId xmlns:a16="http://schemas.microsoft.com/office/drawing/2014/main" id="{2B370C8E-7519-423A-8C67-E84B6199D7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13</xdr:row>
      <xdr:rowOff>190500</xdr:rowOff>
    </xdr:from>
    <xdr:to>
      <xdr:col>7</xdr:col>
      <xdr:colOff>933450</xdr:colOff>
      <xdr:row>26</xdr:row>
      <xdr:rowOff>0</xdr:rowOff>
    </xdr:to>
    <xdr:graphicFrame macro="">
      <xdr:nvGraphicFramePr>
        <xdr:cNvPr id="22529" name="차트 1">
          <a:extLst>
            <a:ext uri="{FF2B5EF4-FFF2-40B4-BE49-F238E27FC236}">
              <a16:creationId xmlns:a16="http://schemas.microsoft.com/office/drawing/2014/main" id="{67906D78-6D4B-4DBE-861F-15C71FE121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11</xdr:row>
      <xdr:rowOff>190500</xdr:rowOff>
    </xdr:from>
    <xdr:to>
      <xdr:col>6</xdr:col>
      <xdr:colOff>0</xdr:colOff>
      <xdr:row>24</xdr:row>
      <xdr:rowOff>0</xdr:rowOff>
    </xdr:to>
    <xdr:graphicFrame macro="">
      <xdr:nvGraphicFramePr>
        <xdr:cNvPr id="26625" name="차트 1">
          <a:extLst>
            <a:ext uri="{FF2B5EF4-FFF2-40B4-BE49-F238E27FC236}">
              <a16:creationId xmlns:a16="http://schemas.microsoft.com/office/drawing/2014/main" id="{A2C390BB-B257-48F4-9F2A-CDC2EF7DD2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indexed="42"/>
  </sheetPr>
  <dimension ref="A1:K21"/>
  <sheetViews>
    <sheetView showGridLines="0" tabSelected="1" zoomScaleNormal="100" workbookViewId="0">
      <pane ySplit="7" topLeftCell="A8" activePane="bottomLeft" state="frozen"/>
      <selection pane="bottomLeft" activeCell="A8" sqref="A8"/>
    </sheetView>
  </sheetViews>
  <sheetFormatPr defaultRowHeight="16.5" customHeight="1" x14ac:dyDescent="0.2"/>
  <cols>
    <col min="1" max="1" width="16.1640625" style="2" customWidth="1"/>
    <col min="2" max="2" width="14.1640625" style="3" customWidth="1"/>
    <col min="3" max="3" width="15.5" style="1" customWidth="1"/>
    <col min="4" max="4" width="15.5" style="3" customWidth="1"/>
    <col min="5" max="5" width="12" style="1" customWidth="1"/>
    <col min="6" max="6" width="14" style="8" customWidth="1"/>
    <col min="7" max="7" width="16.6640625" style="9" customWidth="1"/>
    <col min="8" max="8" width="5.1640625" style="1" customWidth="1"/>
    <col min="9" max="16384" width="9.33203125" style="1"/>
  </cols>
  <sheetData>
    <row r="1" spans="1:11" ht="9.75" customHeight="1" x14ac:dyDescent="0.2"/>
    <row r="2" spans="1:11" ht="25.5" customHeight="1" x14ac:dyDescent="0.2">
      <c r="A2" s="42" t="s">
        <v>21</v>
      </c>
      <c r="B2" s="43"/>
      <c r="C2" s="43"/>
      <c r="D2" s="43"/>
      <c r="E2" s="43"/>
      <c r="F2" s="43"/>
      <c r="G2" s="44"/>
    </row>
    <row r="3" spans="1:11" ht="18" customHeight="1" x14ac:dyDescent="0.2">
      <c r="A3" s="13"/>
      <c r="B3" s="14"/>
      <c r="C3" s="14"/>
      <c r="D3" s="14"/>
      <c r="E3" s="14"/>
      <c r="F3" s="14"/>
      <c r="G3" s="15"/>
    </row>
    <row r="4" spans="1:11" ht="18" customHeight="1" x14ac:dyDescent="0.2">
      <c r="A4" s="45"/>
      <c r="B4" s="46"/>
      <c r="C4" s="12"/>
      <c r="D4" s="12"/>
      <c r="E4" s="12"/>
      <c r="F4" s="12"/>
      <c r="G4" s="33"/>
    </row>
    <row r="5" spans="1:11" ht="19.5" customHeight="1" x14ac:dyDescent="0.2">
      <c r="A5" s="32"/>
      <c r="B5" s="29"/>
      <c r="C5" s="30"/>
      <c r="D5" s="16"/>
      <c r="E5" s="31"/>
      <c r="F5" s="16"/>
      <c r="G5" s="34"/>
    </row>
    <row r="6" spans="1:11" ht="17.25" customHeight="1" x14ac:dyDescent="0.2">
      <c r="A6" s="17"/>
      <c r="B6" s="18"/>
      <c r="C6" s="19"/>
      <c r="D6" s="18"/>
      <c r="E6" s="20"/>
      <c r="F6" s="18"/>
      <c r="G6" s="21"/>
    </row>
    <row r="7" spans="1:11" ht="18.75" customHeight="1" x14ac:dyDescent="0.2">
      <c r="A7" s="4" t="s">
        <v>17</v>
      </c>
      <c r="B7" s="4" t="s">
        <v>18</v>
      </c>
      <c r="C7" s="10" t="s">
        <v>19</v>
      </c>
      <c r="D7" s="5" t="s">
        <v>20</v>
      </c>
      <c r="E7" s="5" t="s">
        <v>15</v>
      </c>
      <c r="F7" s="5" t="s">
        <v>16</v>
      </c>
      <c r="G7" s="11" t="s">
        <v>14</v>
      </c>
    </row>
    <row r="8" spans="1:11" ht="16.5" customHeight="1" x14ac:dyDescent="0.2">
      <c r="A8" s="22"/>
      <c r="B8" s="23"/>
      <c r="C8" s="24"/>
      <c r="D8" s="25"/>
      <c r="E8" s="26"/>
      <c r="F8" s="27"/>
      <c r="G8" s="28"/>
    </row>
    <row r="9" spans="1:11" ht="16.5" customHeight="1" x14ac:dyDescent="0.2">
      <c r="A9" s="22"/>
      <c r="B9" s="23"/>
      <c r="C9" s="24"/>
      <c r="D9" s="25"/>
      <c r="E9" s="26"/>
      <c r="F9" s="27"/>
      <c r="G9" s="28"/>
    </row>
    <row r="10" spans="1:11" ht="16.5" customHeight="1" x14ac:dyDescent="0.2">
      <c r="A10" s="22"/>
      <c r="B10" s="23"/>
      <c r="C10" s="24"/>
      <c r="D10" s="25"/>
      <c r="E10" s="26"/>
      <c r="F10" s="27"/>
      <c r="G10" s="28"/>
    </row>
    <row r="11" spans="1:11" ht="16.5" customHeight="1" x14ac:dyDescent="0.2">
      <c r="A11" s="22"/>
      <c r="B11" s="23"/>
      <c r="C11" s="24"/>
      <c r="D11" s="25"/>
      <c r="E11" s="26"/>
      <c r="F11" s="27"/>
      <c r="G11" s="28"/>
    </row>
    <row r="12" spans="1:11" ht="16.5" customHeight="1" x14ac:dyDescent="0.2">
      <c r="A12" s="22"/>
      <c r="B12" s="23"/>
      <c r="C12" s="24"/>
      <c r="D12" s="25"/>
      <c r="E12" s="26"/>
      <c r="F12" s="27"/>
      <c r="G12" s="28"/>
    </row>
    <row r="13" spans="1:11" ht="16.5" customHeight="1" x14ac:dyDescent="0.2">
      <c r="A13" s="22"/>
      <c r="B13" s="23"/>
      <c r="C13" s="24"/>
      <c r="D13" s="25"/>
      <c r="E13" s="26"/>
      <c r="F13" s="27"/>
      <c r="G13" s="28"/>
    </row>
    <row r="14" spans="1:11" ht="16.5" customHeight="1" x14ac:dyDescent="0.2">
      <c r="A14" s="22"/>
      <c r="B14" s="23"/>
      <c r="C14" s="24"/>
      <c r="D14" s="25"/>
      <c r="E14" s="26"/>
      <c r="F14" s="27"/>
      <c r="G14" s="28"/>
    </row>
    <row r="15" spans="1:11" ht="16.5" customHeight="1" x14ac:dyDescent="0.2">
      <c r="A15" s="22"/>
      <c r="B15" s="23"/>
      <c r="C15" s="24"/>
      <c r="D15" s="25"/>
      <c r="E15" s="26"/>
      <c r="F15" s="27"/>
      <c r="G15" s="28"/>
    </row>
    <row r="16" spans="1:11" ht="16.5" customHeight="1" x14ac:dyDescent="0.15">
      <c r="A16" s="22"/>
      <c r="B16" s="23"/>
      <c r="C16" s="24"/>
      <c r="D16" s="25"/>
      <c r="E16" s="26"/>
      <c r="F16" s="27"/>
      <c r="G16" s="28"/>
      <c r="K16" s="6"/>
    </row>
    <row r="17" spans="1:11" ht="16.5" customHeight="1" x14ac:dyDescent="0.15">
      <c r="A17" s="22"/>
      <c r="B17" s="23"/>
      <c r="C17" s="24"/>
      <c r="D17" s="25"/>
      <c r="E17" s="26"/>
      <c r="F17" s="27"/>
      <c r="G17" s="28"/>
      <c r="K17" s="6"/>
    </row>
    <row r="18" spans="1:11" ht="16.5" customHeight="1" x14ac:dyDescent="0.15">
      <c r="A18" s="22"/>
      <c r="B18" s="23"/>
      <c r="C18" s="24"/>
      <c r="D18" s="25"/>
      <c r="E18" s="26"/>
      <c r="F18" s="27"/>
      <c r="G18" s="28"/>
      <c r="K18" s="6"/>
    </row>
    <row r="19" spans="1:11" ht="16.5" customHeight="1" x14ac:dyDescent="0.15">
      <c r="A19" s="22"/>
      <c r="B19" s="23"/>
      <c r="C19" s="24"/>
      <c r="D19" s="25"/>
      <c r="E19" s="26"/>
      <c r="F19" s="27"/>
      <c r="G19" s="28"/>
      <c r="K19" s="6"/>
    </row>
    <row r="20" spans="1:11" ht="16.5" customHeight="1" x14ac:dyDescent="0.2">
      <c r="A20" s="22"/>
      <c r="B20" s="23"/>
      <c r="C20" s="24"/>
      <c r="D20" s="25"/>
      <c r="E20" s="26"/>
      <c r="F20" s="27"/>
      <c r="G20" s="28"/>
      <c r="K20" s="3"/>
    </row>
    <row r="21" spans="1:11" ht="16.5" customHeight="1" x14ac:dyDescent="0.2">
      <c r="A21" s="22"/>
      <c r="B21" s="23"/>
      <c r="C21" s="24"/>
      <c r="D21" s="25"/>
      <c r="E21" s="26"/>
      <c r="F21" s="27"/>
      <c r="G21" s="28"/>
      <c r="I21" s="7"/>
    </row>
  </sheetData>
  <mergeCells count="2">
    <mergeCell ref="A2:G2"/>
    <mergeCell ref="A4:B4"/>
  </mergeCells>
  <phoneticPr fontId="2" type="noConversion"/>
  <conditionalFormatting sqref="A8:G414">
    <cfRule type="expression" dxfId="0" priority="1" stopIfTrue="1">
      <formula>$A8&lt;&gt;""</formula>
    </cfRule>
  </conditionalFormatting>
  <printOptions horizontalCentered="1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autoFill="0" autoPict="0" macro="[0]!거래처별">
                <anchor moveWithCells="1" sizeWithCells="1">
                  <from>
                    <xdr:col>0</xdr:col>
                    <xdr:colOff>95250</xdr:colOff>
                    <xdr:row>3</xdr:row>
                    <xdr:rowOff>47625</xdr:rowOff>
                  </from>
                  <to>
                    <xdr:col>1</xdr:col>
                    <xdr:colOff>142875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Button 11">
              <controlPr defaultSize="0" autoFill="0" autoPict="0" macro="[0]!영업사원별">
                <anchor moveWithCells="1" sizeWithCells="1">
                  <from>
                    <xdr:col>1</xdr:col>
                    <xdr:colOff>304800</xdr:colOff>
                    <xdr:row>3</xdr:row>
                    <xdr:rowOff>47625</xdr:rowOff>
                  </from>
                  <to>
                    <xdr:col>2</xdr:col>
                    <xdr:colOff>419100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Button 12">
              <controlPr defaultSize="0" autoFill="0" autoPict="0" macro="[0]!제품별">
                <anchor moveWithCells="1" sizeWithCells="1">
                  <from>
                    <xdr:col>4</xdr:col>
                    <xdr:colOff>104775</xdr:colOff>
                    <xdr:row>3</xdr:row>
                    <xdr:rowOff>57150</xdr:rowOff>
                  </from>
                  <to>
                    <xdr:col>5</xdr:col>
                    <xdr:colOff>428625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" name="Button 13">
              <controlPr defaultSize="0" autoFill="0" autoPict="0" macro="[0]!원래대로">
                <anchor moveWithCells="1" sizeWithCells="1">
                  <from>
                    <xdr:col>5</xdr:col>
                    <xdr:colOff>600075</xdr:colOff>
                    <xdr:row>3</xdr:row>
                    <xdr:rowOff>47625</xdr:rowOff>
                  </from>
                  <to>
                    <xdr:col>6</xdr:col>
                    <xdr:colOff>771525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8" name="Button 14">
              <controlPr defaultSize="0" autoFill="0" autoPict="0" macro="[0]!날짜별">
                <anchor moveWithCells="1" sizeWithCells="1">
                  <from>
                    <xdr:col>2</xdr:col>
                    <xdr:colOff>657225</xdr:colOff>
                    <xdr:row>3</xdr:row>
                    <xdr:rowOff>57150</xdr:rowOff>
                  </from>
                  <to>
                    <xdr:col>3</xdr:col>
                    <xdr:colOff>781050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41"/>
  </sheetPr>
  <dimension ref="A1:H13"/>
  <sheetViews>
    <sheetView showGridLines="0" workbookViewId="0">
      <selection activeCell="B5" sqref="B5"/>
    </sheetView>
  </sheetViews>
  <sheetFormatPr defaultColWidth="16.6640625" defaultRowHeight="15.75" customHeight="1" x14ac:dyDescent="0.2"/>
  <cols>
    <col min="1" max="1" width="17.83203125" style="35" customWidth="1"/>
    <col min="2" max="7" width="18.6640625" style="36" customWidth="1"/>
    <col min="8" max="16384" width="16.6640625" style="36"/>
  </cols>
  <sheetData>
    <row r="1" spans="1:8" ht="8.25" customHeight="1" x14ac:dyDescent="0.2"/>
    <row r="2" spans="1:8" ht="26.25" customHeight="1" x14ac:dyDescent="0.2">
      <c r="A2" s="47" t="s">
        <v>38</v>
      </c>
      <c r="B2" s="48"/>
      <c r="C2" s="48"/>
      <c r="D2" s="48"/>
      <c r="E2" s="48"/>
      <c r="F2" s="48"/>
      <c r="G2" s="48"/>
      <c r="H2" s="49"/>
    </row>
    <row r="3" spans="1:8" ht="10.5" customHeight="1" x14ac:dyDescent="0.2"/>
    <row r="4" spans="1:8" ht="15.75" customHeight="1" x14ac:dyDescent="0.2">
      <c r="A4" s="37"/>
      <c r="B4" s="38" t="s">
        <v>22</v>
      </c>
      <c r="C4" s="38" t="s">
        <v>23</v>
      </c>
      <c r="D4" s="38" t="s">
        <v>24</v>
      </c>
      <c r="E4" s="38" t="s">
        <v>25</v>
      </c>
      <c r="F4" s="38" t="s">
        <v>26</v>
      </c>
      <c r="G4" s="38" t="s">
        <v>27</v>
      </c>
      <c r="H4" s="38" t="s">
        <v>28</v>
      </c>
    </row>
    <row r="5" spans="1:8" ht="15.75" customHeight="1" x14ac:dyDescent="0.2">
      <c r="A5" s="37" t="s">
        <v>6</v>
      </c>
      <c r="B5" s="39" t="str">
        <f t="shared" ref="B5:G12" ca="1" si="0">IF(ISERROR(SUMPRODUCT((거래처=$A5)*(제품=B$4)*금액)),"",SUMPRODUCT((거래처=$A5)*(제품=B$4)*금액))</f>
        <v/>
      </c>
      <c r="C5" s="39" t="str">
        <f t="shared" ca="1" si="0"/>
        <v/>
      </c>
      <c r="D5" s="39" t="str">
        <f t="shared" ca="1" si="0"/>
        <v/>
      </c>
      <c r="E5" s="39" t="str">
        <f t="shared" ca="1" si="0"/>
        <v/>
      </c>
      <c r="F5" s="39" t="str">
        <f t="shared" ca="1" si="0"/>
        <v/>
      </c>
      <c r="G5" s="39" t="str">
        <f t="shared" ca="1" si="0"/>
        <v/>
      </c>
      <c r="H5" s="40">
        <f t="shared" ref="H5:H13" ca="1" si="1">SUM(B5:G5)</f>
        <v>0</v>
      </c>
    </row>
    <row r="6" spans="1:8" ht="15.75" customHeight="1" x14ac:dyDescent="0.2">
      <c r="A6" s="37" t="s">
        <v>7</v>
      </c>
      <c r="B6" s="39" t="str">
        <f t="shared" ca="1" si="0"/>
        <v/>
      </c>
      <c r="C6" s="39" t="str">
        <f t="shared" ca="1" si="0"/>
        <v/>
      </c>
      <c r="D6" s="39" t="str">
        <f t="shared" ca="1" si="0"/>
        <v/>
      </c>
      <c r="E6" s="39" t="str">
        <f t="shared" ca="1" si="0"/>
        <v/>
      </c>
      <c r="F6" s="39" t="str">
        <f t="shared" ca="1" si="0"/>
        <v/>
      </c>
      <c r="G6" s="39" t="str">
        <f t="shared" ca="1" si="0"/>
        <v/>
      </c>
      <c r="H6" s="40">
        <f t="shared" ca="1" si="1"/>
        <v>0</v>
      </c>
    </row>
    <row r="7" spans="1:8" ht="15.75" customHeight="1" x14ac:dyDescent="0.2">
      <c r="A7" s="37" t="s">
        <v>8</v>
      </c>
      <c r="B7" s="39" t="str">
        <f t="shared" ca="1" si="0"/>
        <v/>
      </c>
      <c r="C7" s="39" t="str">
        <f t="shared" ca="1" si="0"/>
        <v/>
      </c>
      <c r="D7" s="39" t="str">
        <f t="shared" ca="1" si="0"/>
        <v/>
      </c>
      <c r="E7" s="39" t="str">
        <f t="shared" ca="1" si="0"/>
        <v/>
      </c>
      <c r="F7" s="39" t="str">
        <f t="shared" ca="1" si="0"/>
        <v/>
      </c>
      <c r="G7" s="39" t="str">
        <f t="shared" ca="1" si="0"/>
        <v/>
      </c>
      <c r="H7" s="40">
        <f t="shared" ca="1" si="1"/>
        <v>0</v>
      </c>
    </row>
    <row r="8" spans="1:8" ht="15.75" customHeight="1" x14ac:dyDescent="0.2">
      <c r="A8" s="37" t="s">
        <v>9</v>
      </c>
      <c r="B8" s="39" t="str">
        <f t="shared" ca="1" si="0"/>
        <v/>
      </c>
      <c r="C8" s="39" t="str">
        <f t="shared" ca="1" si="0"/>
        <v/>
      </c>
      <c r="D8" s="39" t="str">
        <f t="shared" ca="1" si="0"/>
        <v/>
      </c>
      <c r="E8" s="39" t="str">
        <f t="shared" ca="1" si="0"/>
        <v/>
      </c>
      <c r="F8" s="39" t="str">
        <f t="shared" ca="1" si="0"/>
        <v/>
      </c>
      <c r="G8" s="39" t="str">
        <f t="shared" ca="1" si="0"/>
        <v/>
      </c>
      <c r="H8" s="40">
        <f t="shared" ca="1" si="1"/>
        <v>0</v>
      </c>
    </row>
    <row r="9" spans="1:8" ht="15.75" customHeight="1" x14ac:dyDescent="0.2">
      <c r="A9" s="37" t="s">
        <v>10</v>
      </c>
      <c r="B9" s="39" t="str">
        <f t="shared" ca="1" si="0"/>
        <v/>
      </c>
      <c r="C9" s="39" t="str">
        <f t="shared" ca="1" si="0"/>
        <v/>
      </c>
      <c r="D9" s="39" t="str">
        <f t="shared" ca="1" si="0"/>
        <v/>
      </c>
      <c r="E9" s="39" t="str">
        <f t="shared" ca="1" si="0"/>
        <v/>
      </c>
      <c r="F9" s="39" t="str">
        <f t="shared" ca="1" si="0"/>
        <v/>
      </c>
      <c r="G9" s="39" t="str">
        <f t="shared" ca="1" si="0"/>
        <v/>
      </c>
      <c r="H9" s="40">
        <f t="shared" ca="1" si="1"/>
        <v>0</v>
      </c>
    </row>
    <row r="10" spans="1:8" ht="15.75" customHeight="1" x14ac:dyDescent="0.2">
      <c r="A10" s="37" t="s">
        <v>11</v>
      </c>
      <c r="B10" s="39" t="str">
        <f t="shared" ca="1" si="0"/>
        <v/>
      </c>
      <c r="C10" s="39" t="str">
        <f t="shared" ca="1" si="0"/>
        <v/>
      </c>
      <c r="D10" s="39" t="str">
        <f t="shared" ca="1" si="0"/>
        <v/>
      </c>
      <c r="E10" s="39" t="str">
        <f t="shared" ca="1" si="0"/>
        <v/>
      </c>
      <c r="F10" s="39" t="str">
        <f t="shared" ca="1" si="0"/>
        <v/>
      </c>
      <c r="G10" s="39" t="str">
        <f t="shared" ca="1" si="0"/>
        <v/>
      </c>
      <c r="H10" s="40">
        <f t="shared" ca="1" si="1"/>
        <v>0</v>
      </c>
    </row>
    <row r="11" spans="1:8" ht="15.75" customHeight="1" x14ac:dyDescent="0.2">
      <c r="A11" s="37" t="s">
        <v>12</v>
      </c>
      <c r="B11" s="39" t="str">
        <f t="shared" ca="1" si="0"/>
        <v/>
      </c>
      <c r="C11" s="39" t="str">
        <f t="shared" ca="1" si="0"/>
        <v/>
      </c>
      <c r="D11" s="39" t="str">
        <f t="shared" ca="1" si="0"/>
        <v/>
      </c>
      <c r="E11" s="39" t="str">
        <f t="shared" ca="1" si="0"/>
        <v/>
      </c>
      <c r="F11" s="39" t="str">
        <f t="shared" ca="1" si="0"/>
        <v/>
      </c>
      <c r="G11" s="39" t="str">
        <f t="shared" ca="1" si="0"/>
        <v/>
      </c>
      <c r="H11" s="40">
        <f t="shared" ca="1" si="1"/>
        <v>0</v>
      </c>
    </row>
    <row r="12" spans="1:8" ht="15.75" customHeight="1" x14ac:dyDescent="0.2">
      <c r="A12" s="37" t="s">
        <v>13</v>
      </c>
      <c r="B12" s="39" t="str">
        <f t="shared" ca="1" si="0"/>
        <v/>
      </c>
      <c r="C12" s="39" t="str">
        <f t="shared" ca="1" si="0"/>
        <v/>
      </c>
      <c r="D12" s="39" t="str">
        <f t="shared" ca="1" si="0"/>
        <v/>
      </c>
      <c r="E12" s="39" t="str">
        <f t="shared" ca="1" si="0"/>
        <v/>
      </c>
      <c r="F12" s="39" t="str">
        <f t="shared" ca="1" si="0"/>
        <v/>
      </c>
      <c r="G12" s="39" t="str">
        <f t="shared" ca="1" si="0"/>
        <v/>
      </c>
      <c r="H12" s="40">
        <f t="shared" ca="1" si="1"/>
        <v>0</v>
      </c>
    </row>
    <row r="13" spans="1:8" ht="15.75" customHeight="1" x14ac:dyDescent="0.2">
      <c r="A13" s="37" t="s">
        <v>28</v>
      </c>
      <c r="B13" s="40">
        <f t="shared" ref="B13:G13" ca="1" si="2">SUM(B5:B12)</f>
        <v>0</v>
      </c>
      <c r="C13" s="40">
        <f t="shared" ca="1" si="2"/>
        <v>0</v>
      </c>
      <c r="D13" s="40">
        <f t="shared" ca="1" si="2"/>
        <v>0</v>
      </c>
      <c r="E13" s="40">
        <f t="shared" ca="1" si="2"/>
        <v>0</v>
      </c>
      <c r="F13" s="40">
        <f t="shared" ca="1" si="2"/>
        <v>0</v>
      </c>
      <c r="G13" s="40">
        <f t="shared" ca="1" si="2"/>
        <v>0</v>
      </c>
      <c r="H13" s="40">
        <f t="shared" ca="1" si="1"/>
        <v>0</v>
      </c>
    </row>
  </sheetData>
  <mergeCells count="1">
    <mergeCell ref="A2:H2"/>
  </mergeCells>
  <phoneticPr fontId="2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41"/>
  </sheetPr>
  <dimension ref="A1:F13"/>
  <sheetViews>
    <sheetView showGridLines="0" workbookViewId="0">
      <selection activeCell="B5" sqref="B5"/>
    </sheetView>
  </sheetViews>
  <sheetFormatPr defaultColWidth="16.6640625" defaultRowHeight="15.75" customHeight="1" x14ac:dyDescent="0.2"/>
  <cols>
    <col min="1" max="1" width="22" style="35" customWidth="1"/>
    <col min="2" max="6" width="24.5" style="36" customWidth="1"/>
    <col min="7" max="16384" width="16.6640625" style="36"/>
  </cols>
  <sheetData>
    <row r="1" spans="1:6" ht="8.25" customHeight="1" x14ac:dyDescent="0.2"/>
    <row r="2" spans="1:6" ht="26.25" customHeight="1" x14ac:dyDescent="0.2">
      <c r="A2" s="47" t="s">
        <v>39</v>
      </c>
      <c r="B2" s="48"/>
      <c r="C2" s="48"/>
      <c r="D2" s="48"/>
      <c r="E2" s="48"/>
      <c r="F2" s="49"/>
    </row>
    <row r="3" spans="1:6" ht="10.5" customHeight="1" x14ac:dyDescent="0.2"/>
    <row r="4" spans="1:6" ht="15.75" customHeight="1" x14ac:dyDescent="0.2">
      <c r="A4" s="37"/>
      <c r="B4" s="38" t="s">
        <v>32</v>
      </c>
      <c r="C4" s="38" t="s">
        <v>30</v>
      </c>
      <c r="D4" s="38" t="s">
        <v>29</v>
      </c>
      <c r="E4" s="38" t="s">
        <v>31</v>
      </c>
      <c r="F4" s="38" t="s">
        <v>28</v>
      </c>
    </row>
    <row r="5" spans="1:6" ht="15.75" customHeight="1" x14ac:dyDescent="0.2">
      <c r="A5" s="37" t="s">
        <v>6</v>
      </c>
      <c r="B5" s="39" t="str">
        <f t="shared" ref="B5:E12" ca="1" si="0">IF(ISERROR(SUMPRODUCT((거래처=$A5)*(영업사원=B$4)*금액)),"",SUMPRODUCT((거래처=$A5)*(영업사원=B$4)*금액))</f>
        <v/>
      </c>
      <c r="C5" s="39" t="str">
        <f t="shared" ca="1" si="0"/>
        <v/>
      </c>
      <c r="D5" s="39" t="str">
        <f t="shared" ca="1" si="0"/>
        <v/>
      </c>
      <c r="E5" s="39" t="str">
        <f t="shared" ca="1" si="0"/>
        <v/>
      </c>
      <c r="F5" s="40">
        <f t="shared" ref="F5:F13" ca="1" si="1">SUM(B5:E5)</f>
        <v>0</v>
      </c>
    </row>
    <row r="6" spans="1:6" ht="15.75" customHeight="1" x14ac:dyDescent="0.2">
      <c r="A6" s="37" t="s">
        <v>7</v>
      </c>
      <c r="B6" s="39" t="str">
        <f t="shared" ca="1" si="0"/>
        <v/>
      </c>
      <c r="C6" s="39" t="str">
        <f t="shared" ca="1" si="0"/>
        <v/>
      </c>
      <c r="D6" s="39" t="str">
        <f t="shared" ca="1" si="0"/>
        <v/>
      </c>
      <c r="E6" s="39" t="str">
        <f t="shared" ca="1" si="0"/>
        <v/>
      </c>
      <c r="F6" s="40">
        <f t="shared" ca="1" si="1"/>
        <v>0</v>
      </c>
    </row>
    <row r="7" spans="1:6" ht="15.75" customHeight="1" x14ac:dyDescent="0.2">
      <c r="A7" s="37" t="s">
        <v>8</v>
      </c>
      <c r="B7" s="39" t="str">
        <f t="shared" ca="1" si="0"/>
        <v/>
      </c>
      <c r="C7" s="39" t="str">
        <f t="shared" ca="1" si="0"/>
        <v/>
      </c>
      <c r="D7" s="39" t="str">
        <f t="shared" ca="1" si="0"/>
        <v/>
      </c>
      <c r="E7" s="39" t="str">
        <f t="shared" ca="1" si="0"/>
        <v/>
      </c>
      <c r="F7" s="40">
        <f t="shared" ca="1" si="1"/>
        <v>0</v>
      </c>
    </row>
    <row r="8" spans="1:6" ht="15.75" customHeight="1" x14ac:dyDescent="0.2">
      <c r="A8" s="37" t="s">
        <v>9</v>
      </c>
      <c r="B8" s="39" t="str">
        <f t="shared" ca="1" si="0"/>
        <v/>
      </c>
      <c r="C8" s="39" t="str">
        <f t="shared" ca="1" si="0"/>
        <v/>
      </c>
      <c r="D8" s="39" t="str">
        <f t="shared" ca="1" si="0"/>
        <v/>
      </c>
      <c r="E8" s="39" t="str">
        <f t="shared" ca="1" si="0"/>
        <v/>
      </c>
      <c r="F8" s="40">
        <f t="shared" ca="1" si="1"/>
        <v>0</v>
      </c>
    </row>
    <row r="9" spans="1:6" ht="15.75" customHeight="1" x14ac:dyDescent="0.2">
      <c r="A9" s="37" t="s">
        <v>10</v>
      </c>
      <c r="B9" s="39" t="str">
        <f t="shared" ca="1" si="0"/>
        <v/>
      </c>
      <c r="C9" s="39" t="str">
        <f t="shared" ca="1" si="0"/>
        <v/>
      </c>
      <c r="D9" s="39" t="str">
        <f t="shared" ca="1" si="0"/>
        <v/>
      </c>
      <c r="E9" s="39" t="str">
        <f t="shared" ca="1" si="0"/>
        <v/>
      </c>
      <c r="F9" s="40">
        <f t="shared" ca="1" si="1"/>
        <v>0</v>
      </c>
    </row>
    <row r="10" spans="1:6" ht="15.75" customHeight="1" x14ac:dyDescent="0.2">
      <c r="A10" s="37" t="s">
        <v>11</v>
      </c>
      <c r="B10" s="39" t="str">
        <f t="shared" ca="1" si="0"/>
        <v/>
      </c>
      <c r="C10" s="39" t="str">
        <f t="shared" ca="1" si="0"/>
        <v/>
      </c>
      <c r="D10" s="39" t="str">
        <f t="shared" ca="1" si="0"/>
        <v/>
      </c>
      <c r="E10" s="39" t="str">
        <f t="shared" ca="1" si="0"/>
        <v/>
      </c>
      <c r="F10" s="40">
        <f t="shared" ca="1" si="1"/>
        <v>0</v>
      </c>
    </row>
    <row r="11" spans="1:6" ht="15.75" customHeight="1" x14ac:dyDescent="0.2">
      <c r="A11" s="37" t="s">
        <v>12</v>
      </c>
      <c r="B11" s="39" t="str">
        <f t="shared" ca="1" si="0"/>
        <v/>
      </c>
      <c r="C11" s="39" t="str">
        <f t="shared" ca="1" si="0"/>
        <v/>
      </c>
      <c r="D11" s="39" t="str">
        <f t="shared" ca="1" si="0"/>
        <v/>
      </c>
      <c r="E11" s="39" t="str">
        <f t="shared" ca="1" si="0"/>
        <v/>
      </c>
      <c r="F11" s="40">
        <f t="shared" ca="1" si="1"/>
        <v>0</v>
      </c>
    </row>
    <row r="12" spans="1:6" ht="15.75" customHeight="1" x14ac:dyDescent="0.2">
      <c r="A12" s="37" t="s">
        <v>13</v>
      </c>
      <c r="B12" s="39" t="str">
        <f t="shared" ca="1" si="0"/>
        <v/>
      </c>
      <c r="C12" s="39" t="str">
        <f t="shared" ca="1" si="0"/>
        <v/>
      </c>
      <c r="D12" s="39" t="str">
        <f t="shared" ca="1" si="0"/>
        <v/>
      </c>
      <c r="E12" s="39" t="str">
        <f t="shared" ca="1" si="0"/>
        <v/>
      </c>
      <c r="F12" s="40">
        <f t="shared" ca="1" si="1"/>
        <v>0</v>
      </c>
    </row>
    <row r="13" spans="1:6" ht="15.75" customHeight="1" x14ac:dyDescent="0.2">
      <c r="A13" s="37" t="s">
        <v>28</v>
      </c>
      <c r="B13" s="40">
        <f ca="1">SUM(B5:B12)</f>
        <v>0</v>
      </c>
      <c r="C13" s="40">
        <f ca="1">SUM(C5:C12)</f>
        <v>0</v>
      </c>
      <c r="D13" s="40">
        <f ca="1">SUM(D5:D12)</f>
        <v>0</v>
      </c>
      <c r="E13" s="40">
        <f ca="1">SUM(E5:E12)</f>
        <v>0</v>
      </c>
      <c r="F13" s="40">
        <f t="shared" ca="1" si="1"/>
        <v>0</v>
      </c>
    </row>
  </sheetData>
  <mergeCells count="1">
    <mergeCell ref="A2:F2"/>
  </mergeCells>
  <phoneticPr fontId="2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41"/>
  </sheetPr>
  <dimension ref="A1:F11"/>
  <sheetViews>
    <sheetView showGridLines="0" topLeftCell="A4" workbookViewId="0">
      <selection activeCell="A8" sqref="A8"/>
    </sheetView>
  </sheetViews>
  <sheetFormatPr defaultColWidth="16.6640625" defaultRowHeight="15.75" customHeight="1" x14ac:dyDescent="0.2"/>
  <cols>
    <col min="1" max="1" width="22" style="35" customWidth="1"/>
    <col min="2" max="6" width="24.5" style="36" customWidth="1"/>
    <col min="7" max="16384" width="16.6640625" style="36"/>
  </cols>
  <sheetData>
    <row r="1" spans="1:6" ht="8.25" customHeight="1" x14ac:dyDescent="0.2"/>
    <row r="2" spans="1:6" ht="26.25" customHeight="1" x14ac:dyDescent="0.2">
      <c r="A2" s="47" t="s">
        <v>53</v>
      </c>
      <c r="B2" s="48"/>
      <c r="C2" s="48"/>
      <c r="D2" s="48"/>
      <c r="E2" s="48"/>
      <c r="F2" s="49"/>
    </row>
    <row r="3" spans="1:6" ht="10.5" customHeight="1" x14ac:dyDescent="0.2"/>
    <row r="4" spans="1:6" ht="15.75" customHeight="1" x14ac:dyDescent="0.2">
      <c r="A4" s="37"/>
      <c r="B4" s="38" t="s">
        <v>33</v>
      </c>
      <c r="C4" s="38" t="s">
        <v>34</v>
      </c>
      <c r="D4" s="38" t="s">
        <v>35</v>
      </c>
      <c r="E4" s="38" t="s">
        <v>36</v>
      </c>
      <c r="F4" s="38" t="s">
        <v>37</v>
      </c>
    </row>
    <row r="5" spans="1:6" ht="15.75" customHeight="1" x14ac:dyDescent="0.2">
      <c r="A5" s="41" t="s">
        <v>0</v>
      </c>
      <c r="B5" s="39" t="str">
        <f t="shared" ref="B5:E10" ca="1" si="0">IF(ISERROR(SUMPRODUCT((제품=$A5)*(영업사원=B$4)*금액)),"",SUMPRODUCT((제품=$A5)*(영업사원=B$4)*금액))</f>
        <v/>
      </c>
      <c r="C5" s="39" t="str">
        <f t="shared" ca="1" si="0"/>
        <v/>
      </c>
      <c r="D5" s="39" t="str">
        <f t="shared" ca="1" si="0"/>
        <v/>
      </c>
      <c r="E5" s="39" t="str">
        <f t="shared" ca="1" si="0"/>
        <v/>
      </c>
      <c r="F5" s="40">
        <f t="shared" ref="F5:F11" ca="1" si="1">SUM(B5:E5)</f>
        <v>0</v>
      </c>
    </row>
    <row r="6" spans="1:6" ht="15.75" customHeight="1" x14ac:dyDescent="0.2">
      <c r="A6" s="41" t="s">
        <v>1</v>
      </c>
      <c r="B6" s="39" t="str">
        <f t="shared" ca="1" si="0"/>
        <v/>
      </c>
      <c r="C6" s="39" t="str">
        <f t="shared" ca="1" si="0"/>
        <v/>
      </c>
      <c r="D6" s="39" t="str">
        <f t="shared" ca="1" si="0"/>
        <v/>
      </c>
      <c r="E6" s="39" t="str">
        <f t="shared" ca="1" si="0"/>
        <v/>
      </c>
      <c r="F6" s="40">
        <f t="shared" ca="1" si="1"/>
        <v>0</v>
      </c>
    </row>
    <row r="7" spans="1:6" ht="15.75" customHeight="1" x14ac:dyDescent="0.2">
      <c r="A7" s="41" t="s">
        <v>2</v>
      </c>
      <c r="B7" s="39" t="str">
        <f t="shared" ca="1" si="0"/>
        <v/>
      </c>
      <c r="C7" s="39" t="str">
        <f t="shared" ca="1" si="0"/>
        <v/>
      </c>
      <c r="D7" s="39" t="str">
        <f t="shared" ca="1" si="0"/>
        <v/>
      </c>
      <c r="E7" s="39" t="str">
        <f t="shared" ca="1" si="0"/>
        <v/>
      </c>
      <c r="F7" s="40">
        <f t="shared" ca="1" si="1"/>
        <v>0</v>
      </c>
    </row>
    <row r="8" spans="1:6" ht="15.75" customHeight="1" x14ac:dyDescent="0.2">
      <c r="A8" s="41" t="s">
        <v>3</v>
      </c>
      <c r="B8" s="39" t="str">
        <f t="shared" ca="1" si="0"/>
        <v/>
      </c>
      <c r="C8" s="39" t="str">
        <f t="shared" ca="1" si="0"/>
        <v/>
      </c>
      <c r="D8" s="39" t="str">
        <f t="shared" ca="1" si="0"/>
        <v/>
      </c>
      <c r="E8" s="39" t="str">
        <f t="shared" ca="1" si="0"/>
        <v/>
      </c>
      <c r="F8" s="40">
        <f t="shared" ca="1" si="1"/>
        <v>0</v>
      </c>
    </row>
    <row r="9" spans="1:6" ht="15.75" customHeight="1" x14ac:dyDescent="0.2">
      <c r="A9" s="41" t="s">
        <v>4</v>
      </c>
      <c r="B9" s="39" t="str">
        <f t="shared" ca="1" si="0"/>
        <v/>
      </c>
      <c r="C9" s="39" t="str">
        <f t="shared" ca="1" si="0"/>
        <v/>
      </c>
      <c r="D9" s="39" t="str">
        <f t="shared" ca="1" si="0"/>
        <v/>
      </c>
      <c r="E9" s="39" t="str">
        <f t="shared" ca="1" si="0"/>
        <v/>
      </c>
      <c r="F9" s="40">
        <f t="shared" ca="1" si="1"/>
        <v>0</v>
      </c>
    </row>
    <row r="10" spans="1:6" ht="15.75" customHeight="1" x14ac:dyDescent="0.2">
      <c r="A10" s="41" t="s">
        <v>5</v>
      </c>
      <c r="B10" s="39" t="str">
        <f t="shared" ca="1" si="0"/>
        <v/>
      </c>
      <c r="C10" s="39" t="str">
        <f t="shared" ca="1" si="0"/>
        <v/>
      </c>
      <c r="D10" s="39" t="str">
        <f t="shared" ca="1" si="0"/>
        <v/>
      </c>
      <c r="E10" s="39" t="str">
        <f t="shared" ca="1" si="0"/>
        <v/>
      </c>
      <c r="F10" s="40">
        <f t="shared" ca="1" si="1"/>
        <v>0</v>
      </c>
    </row>
    <row r="11" spans="1:6" ht="15.75" customHeight="1" x14ac:dyDescent="0.2">
      <c r="A11" s="37" t="s">
        <v>37</v>
      </c>
      <c r="B11" s="40">
        <f ca="1">SUM(B5:B10)</f>
        <v>0</v>
      </c>
      <c r="C11" s="40">
        <f ca="1">SUM(C5:C10)</f>
        <v>0</v>
      </c>
      <c r="D11" s="40">
        <f ca="1">SUM(D5:D10)</f>
        <v>0</v>
      </c>
      <c r="E11" s="40">
        <f ca="1">SUM(E5:E10)</f>
        <v>0</v>
      </c>
      <c r="F11" s="40">
        <f t="shared" ca="1" si="1"/>
        <v>0</v>
      </c>
    </row>
  </sheetData>
  <mergeCells count="1">
    <mergeCell ref="A2:F2"/>
  </mergeCells>
  <phoneticPr fontId="2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indexed="47"/>
  </sheetPr>
  <dimension ref="A1:H13"/>
  <sheetViews>
    <sheetView showGridLines="0" workbookViewId="0">
      <selection activeCell="B5" sqref="B5"/>
    </sheetView>
  </sheetViews>
  <sheetFormatPr defaultColWidth="16.6640625" defaultRowHeight="15.75" customHeight="1" x14ac:dyDescent="0.2"/>
  <cols>
    <col min="1" max="1" width="17.83203125" style="35" customWidth="1"/>
    <col min="2" max="7" width="18.6640625" style="36" customWidth="1"/>
    <col min="8" max="16384" width="16.6640625" style="36"/>
  </cols>
  <sheetData>
    <row r="1" spans="1:8" ht="8.25" customHeight="1" x14ac:dyDescent="0.2"/>
    <row r="2" spans="1:8" ht="26.25" customHeight="1" x14ac:dyDescent="0.2">
      <c r="A2" s="47" t="s">
        <v>52</v>
      </c>
      <c r="B2" s="48"/>
      <c r="C2" s="48"/>
      <c r="D2" s="48"/>
      <c r="E2" s="48"/>
      <c r="F2" s="48"/>
      <c r="G2" s="48"/>
      <c r="H2" s="49"/>
    </row>
    <row r="3" spans="1:8" ht="10.5" customHeight="1" x14ac:dyDescent="0.2"/>
    <row r="4" spans="1:8" ht="15.75" customHeight="1" x14ac:dyDescent="0.2">
      <c r="A4" s="37"/>
      <c r="B4" s="38" t="s">
        <v>40</v>
      </c>
      <c r="C4" s="38" t="s">
        <v>41</v>
      </c>
      <c r="D4" s="38" t="s">
        <v>42</v>
      </c>
      <c r="E4" s="38" t="s">
        <v>43</v>
      </c>
      <c r="F4" s="38" t="s">
        <v>44</v>
      </c>
      <c r="G4" s="38" t="s">
        <v>45</v>
      </c>
      <c r="H4" s="38" t="s">
        <v>46</v>
      </c>
    </row>
    <row r="5" spans="1:8" ht="15.75" customHeight="1" x14ac:dyDescent="0.2">
      <c r="A5" s="37" t="s">
        <v>6</v>
      </c>
      <c r="B5" s="39" t="str">
        <f t="shared" ref="B5:G12" ca="1" si="0">IF(ISERROR(SUMPRODUCT((거래처=$A5)*(제품=B$4)*수량)),"",SUMPRODUCT((거래처=$A5)*(제품=B$4)*수량))</f>
        <v/>
      </c>
      <c r="C5" s="39" t="str">
        <f t="shared" ca="1" si="0"/>
        <v/>
      </c>
      <c r="D5" s="39" t="str">
        <f t="shared" ca="1" si="0"/>
        <v/>
      </c>
      <c r="E5" s="39" t="str">
        <f t="shared" ca="1" si="0"/>
        <v/>
      </c>
      <c r="F5" s="39" t="str">
        <f t="shared" ca="1" si="0"/>
        <v/>
      </c>
      <c r="G5" s="39" t="str">
        <f t="shared" ca="1" si="0"/>
        <v/>
      </c>
      <c r="H5" s="40">
        <f t="shared" ref="H5:H13" ca="1" si="1">SUM(B5:G5)</f>
        <v>0</v>
      </c>
    </row>
    <row r="6" spans="1:8" ht="15.75" customHeight="1" x14ac:dyDescent="0.2">
      <c r="A6" s="37" t="s">
        <v>7</v>
      </c>
      <c r="B6" s="39" t="str">
        <f t="shared" ca="1" si="0"/>
        <v/>
      </c>
      <c r="C6" s="39" t="str">
        <f t="shared" ca="1" si="0"/>
        <v/>
      </c>
      <c r="D6" s="39" t="str">
        <f t="shared" ca="1" si="0"/>
        <v/>
      </c>
      <c r="E6" s="39" t="str">
        <f t="shared" ca="1" si="0"/>
        <v/>
      </c>
      <c r="F6" s="39" t="str">
        <f t="shared" ca="1" si="0"/>
        <v/>
      </c>
      <c r="G6" s="39" t="str">
        <f t="shared" ca="1" si="0"/>
        <v/>
      </c>
      <c r="H6" s="40">
        <f t="shared" ca="1" si="1"/>
        <v>0</v>
      </c>
    </row>
    <row r="7" spans="1:8" ht="15.75" customHeight="1" x14ac:dyDescent="0.2">
      <c r="A7" s="37" t="s">
        <v>8</v>
      </c>
      <c r="B7" s="39" t="str">
        <f t="shared" ca="1" si="0"/>
        <v/>
      </c>
      <c r="C7" s="39" t="str">
        <f t="shared" ca="1" si="0"/>
        <v/>
      </c>
      <c r="D7" s="39" t="str">
        <f t="shared" ca="1" si="0"/>
        <v/>
      </c>
      <c r="E7" s="39" t="str">
        <f t="shared" ca="1" si="0"/>
        <v/>
      </c>
      <c r="F7" s="39" t="str">
        <f t="shared" ca="1" si="0"/>
        <v/>
      </c>
      <c r="G7" s="39" t="str">
        <f t="shared" ca="1" si="0"/>
        <v/>
      </c>
      <c r="H7" s="40">
        <f t="shared" ca="1" si="1"/>
        <v>0</v>
      </c>
    </row>
    <row r="8" spans="1:8" ht="15.75" customHeight="1" x14ac:dyDescent="0.2">
      <c r="A8" s="37" t="s">
        <v>9</v>
      </c>
      <c r="B8" s="39" t="str">
        <f t="shared" ca="1" si="0"/>
        <v/>
      </c>
      <c r="C8" s="39" t="str">
        <f t="shared" ca="1" si="0"/>
        <v/>
      </c>
      <c r="D8" s="39" t="str">
        <f t="shared" ca="1" si="0"/>
        <v/>
      </c>
      <c r="E8" s="39" t="str">
        <f t="shared" ca="1" si="0"/>
        <v/>
      </c>
      <c r="F8" s="39" t="str">
        <f t="shared" ca="1" si="0"/>
        <v/>
      </c>
      <c r="G8" s="39" t="str">
        <f t="shared" ca="1" si="0"/>
        <v/>
      </c>
      <c r="H8" s="40">
        <f t="shared" ca="1" si="1"/>
        <v>0</v>
      </c>
    </row>
    <row r="9" spans="1:8" ht="15.75" customHeight="1" x14ac:dyDescent="0.2">
      <c r="A9" s="37" t="s">
        <v>10</v>
      </c>
      <c r="B9" s="39" t="str">
        <f t="shared" ca="1" si="0"/>
        <v/>
      </c>
      <c r="C9" s="39" t="str">
        <f t="shared" ca="1" si="0"/>
        <v/>
      </c>
      <c r="D9" s="39" t="str">
        <f t="shared" ca="1" si="0"/>
        <v/>
      </c>
      <c r="E9" s="39" t="str">
        <f t="shared" ca="1" si="0"/>
        <v/>
      </c>
      <c r="F9" s="39" t="str">
        <f t="shared" ca="1" si="0"/>
        <v/>
      </c>
      <c r="G9" s="39" t="str">
        <f t="shared" ca="1" si="0"/>
        <v/>
      </c>
      <c r="H9" s="40">
        <f t="shared" ca="1" si="1"/>
        <v>0</v>
      </c>
    </row>
    <row r="10" spans="1:8" ht="15.75" customHeight="1" x14ac:dyDescent="0.2">
      <c r="A10" s="37" t="s">
        <v>11</v>
      </c>
      <c r="B10" s="39" t="str">
        <f t="shared" ca="1" si="0"/>
        <v/>
      </c>
      <c r="C10" s="39" t="str">
        <f t="shared" ca="1" si="0"/>
        <v/>
      </c>
      <c r="D10" s="39" t="str">
        <f t="shared" ca="1" si="0"/>
        <v/>
      </c>
      <c r="E10" s="39" t="str">
        <f t="shared" ca="1" si="0"/>
        <v/>
      </c>
      <c r="F10" s="39" t="str">
        <f t="shared" ca="1" si="0"/>
        <v/>
      </c>
      <c r="G10" s="39" t="str">
        <f t="shared" ca="1" si="0"/>
        <v/>
      </c>
      <c r="H10" s="40">
        <f t="shared" ca="1" si="1"/>
        <v>0</v>
      </c>
    </row>
    <row r="11" spans="1:8" ht="15.75" customHeight="1" x14ac:dyDescent="0.2">
      <c r="A11" s="37" t="s">
        <v>12</v>
      </c>
      <c r="B11" s="39" t="str">
        <f t="shared" ca="1" si="0"/>
        <v/>
      </c>
      <c r="C11" s="39" t="str">
        <f t="shared" ca="1" si="0"/>
        <v/>
      </c>
      <c r="D11" s="39" t="str">
        <f t="shared" ca="1" si="0"/>
        <v/>
      </c>
      <c r="E11" s="39" t="str">
        <f t="shared" ca="1" si="0"/>
        <v/>
      </c>
      <c r="F11" s="39" t="str">
        <f t="shared" ca="1" si="0"/>
        <v/>
      </c>
      <c r="G11" s="39" t="str">
        <f t="shared" ca="1" si="0"/>
        <v/>
      </c>
      <c r="H11" s="40">
        <f t="shared" ca="1" si="1"/>
        <v>0</v>
      </c>
    </row>
    <row r="12" spans="1:8" ht="15.75" customHeight="1" x14ac:dyDescent="0.2">
      <c r="A12" s="37" t="s">
        <v>13</v>
      </c>
      <c r="B12" s="39" t="str">
        <f t="shared" ca="1" si="0"/>
        <v/>
      </c>
      <c r="C12" s="39" t="str">
        <f t="shared" ca="1" si="0"/>
        <v/>
      </c>
      <c r="D12" s="39" t="str">
        <f t="shared" ca="1" si="0"/>
        <v/>
      </c>
      <c r="E12" s="39" t="str">
        <f t="shared" ca="1" si="0"/>
        <v/>
      </c>
      <c r="F12" s="39" t="str">
        <f t="shared" ca="1" si="0"/>
        <v/>
      </c>
      <c r="G12" s="39" t="str">
        <f t="shared" ca="1" si="0"/>
        <v/>
      </c>
      <c r="H12" s="40">
        <f t="shared" ca="1" si="1"/>
        <v>0</v>
      </c>
    </row>
    <row r="13" spans="1:8" ht="15.75" customHeight="1" x14ac:dyDescent="0.2">
      <c r="A13" s="37" t="s">
        <v>46</v>
      </c>
      <c r="B13" s="40">
        <f t="shared" ref="B13:G13" ca="1" si="2">SUM(B5:B12)</f>
        <v>0</v>
      </c>
      <c r="C13" s="40">
        <f t="shared" ca="1" si="2"/>
        <v>0</v>
      </c>
      <c r="D13" s="40">
        <f t="shared" ca="1" si="2"/>
        <v>0</v>
      </c>
      <c r="E13" s="40">
        <f t="shared" ca="1" si="2"/>
        <v>0</v>
      </c>
      <c r="F13" s="40">
        <f t="shared" ca="1" si="2"/>
        <v>0</v>
      </c>
      <c r="G13" s="40">
        <f t="shared" ca="1" si="2"/>
        <v>0</v>
      </c>
      <c r="H13" s="40">
        <f t="shared" ca="1" si="1"/>
        <v>0</v>
      </c>
    </row>
  </sheetData>
  <mergeCells count="1">
    <mergeCell ref="A2:H2"/>
  </mergeCells>
  <phoneticPr fontId="2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indexed="47"/>
  </sheetPr>
  <dimension ref="A1:F11"/>
  <sheetViews>
    <sheetView showGridLines="0" workbookViewId="0">
      <selection activeCell="C30" sqref="C30"/>
    </sheetView>
  </sheetViews>
  <sheetFormatPr defaultColWidth="16.6640625" defaultRowHeight="15.75" customHeight="1" x14ac:dyDescent="0.2"/>
  <cols>
    <col min="1" max="1" width="22" style="35" customWidth="1"/>
    <col min="2" max="6" width="24.5" style="36" customWidth="1"/>
    <col min="7" max="16384" width="16.6640625" style="36"/>
  </cols>
  <sheetData>
    <row r="1" spans="1:6" ht="8.25" customHeight="1" x14ac:dyDescent="0.2"/>
    <row r="2" spans="1:6" ht="26.25" customHeight="1" x14ac:dyDescent="0.2">
      <c r="A2" s="47" t="s">
        <v>54</v>
      </c>
      <c r="B2" s="48"/>
      <c r="C2" s="48"/>
      <c r="D2" s="48"/>
      <c r="E2" s="48"/>
      <c r="F2" s="49"/>
    </row>
    <row r="3" spans="1:6" ht="10.5" customHeight="1" x14ac:dyDescent="0.2"/>
    <row r="4" spans="1:6" ht="15.75" customHeight="1" x14ac:dyDescent="0.2">
      <c r="A4" s="37"/>
      <c r="B4" s="38" t="s">
        <v>47</v>
      </c>
      <c r="C4" s="38" t="s">
        <v>48</v>
      </c>
      <c r="D4" s="38" t="s">
        <v>49</v>
      </c>
      <c r="E4" s="38" t="s">
        <v>50</v>
      </c>
      <c r="F4" s="38" t="s">
        <v>51</v>
      </c>
    </row>
    <row r="5" spans="1:6" ht="15.75" customHeight="1" x14ac:dyDescent="0.2">
      <c r="A5" s="41" t="s">
        <v>0</v>
      </c>
      <c r="B5" s="39" t="str">
        <f t="shared" ref="B5:E10" ca="1" si="0">IF(ISERROR(SUMPRODUCT((제품=$A5)*(영업사원=B$4)*수량)),"",SUMPRODUCT((제품=$A5)*(영업사원=B$4)*수량))</f>
        <v/>
      </c>
      <c r="C5" s="39" t="str">
        <f t="shared" ca="1" si="0"/>
        <v/>
      </c>
      <c r="D5" s="39" t="str">
        <f t="shared" ca="1" si="0"/>
        <v/>
      </c>
      <c r="E5" s="39" t="str">
        <f t="shared" ca="1" si="0"/>
        <v/>
      </c>
      <c r="F5" s="40">
        <f t="shared" ref="F5:F11" ca="1" si="1">SUM(B5:E5)</f>
        <v>0</v>
      </c>
    </row>
    <row r="6" spans="1:6" ht="15.75" customHeight="1" x14ac:dyDescent="0.2">
      <c r="A6" s="41" t="s">
        <v>1</v>
      </c>
      <c r="B6" s="39" t="str">
        <f t="shared" ca="1" si="0"/>
        <v/>
      </c>
      <c r="C6" s="39" t="str">
        <f t="shared" ca="1" si="0"/>
        <v/>
      </c>
      <c r="D6" s="39" t="str">
        <f t="shared" ca="1" si="0"/>
        <v/>
      </c>
      <c r="E6" s="39" t="str">
        <f t="shared" ca="1" si="0"/>
        <v/>
      </c>
      <c r="F6" s="40">
        <f t="shared" ca="1" si="1"/>
        <v>0</v>
      </c>
    </row>
    <row r="7" spans="1:6" ht="15.75" customHeight="1" x14ac:dyDescent="0.2">
      <c r="A7" s="41" t="s">
        <v>2</v>
      </c>
      <c r="B7" s="39" t="str">
        <f t="shared" ca="1" si="0"/>
        <v/>
      </c>
      <c r="C7" s="39" t="str">
        <f t="shared" ca="1" si="0"/>
        <v/>
      </c>
      <c r="D7" s="39" t="str">
        <f t="shared" ca="1" si="0"/>
        <v/>
      </c>
      <c r="E7" s="39" t="str">
        <f t="shared" ca="1" si="0"/>
        <v/>
      </c>
      <c r="F7" s="40">
        <f t="shared" ca="1" si="1"/>
        <v>0</v>
      </c>
    </row>
    <row r="8" spans="1:6" ht="15.75" customHeight="1" x14ac:dyDescent="0.2">
      <c r="A8" s="41" t="s">
        <v>3</v>
      </c>
      <c r="B8" s="39" t="str">
        <f t="shared" ca="1" si="0"/>
        <v/>
      </c>
      <c r="C8" s="39" t="str">
        <f t="shared" ca="1" si="0"/>
        <v/>
      </c>
      <c r="D8" s="39" t="str">
        <f t="shared" ca="1" si="0"/>
        <v/>
      </c>
      <c r="E8" s="39" t="str">
        <f t="shared" ca="1" si="0"/>
        <v/>
      </c>
      <c r="F8" s="40">
        <f t="shared" ca="1" si="1"/>
        <v>0</v>
      </c>
    </row>
    <row r="9" spans="1:6" ht="15.75" customHeight="1" x14ac:dyDescent="0.2">
      <c r="A9" s="41" t="s">
        <v>4</v>
      </c>
      <c r="B9" s="39" t="str">
        <f t="shared" ca="1" si="0"/>
        <v/>
      </c>
      <c r="C9" s="39" t="str">
        <f t="shared" ca="1" si="0"/>
        <v/>
      </c>
      <c r="D9" s="39" t="str">
        <f t="shared" ca="1" si="0"/>
        <v/>
      </c>
      <c r="E9" s="39" t="str">
        <f t="shared" ca="1" si="0"/>
        <v/>
      </c>
      <c r="F9" s="40">
        <f t="shared" ca="1" si="1"/>
        <v>0</v>
      </c>
    </row>
    <row r="10" spans="1:6" ht="15.75" customHeight="1" x14ac:dyDescent="0.2">
      <c r="A10" s="41" t="s">
        <v>5</v>
      </c>
      <c r="B10" s="39" t="str">
        <f t="shared" ca="1" si="0"/>
        <v/>
      </c>
      <c r="C10" s="39" t="str">
        <f t="shared" ca="1" si="0"/>
        <v/>
      </c>
      <c r="D10" s="39" t="str">
        <f t="shared" ca="1" si="0"/>
        <v/>
      </c>
      <c r="E10" s="39" t="str">
        <f t="shared" ca="1" si="0"/>
        <v/>
      </c>
      <c r="F10" s="40">
        <f t="shared" ca="1" si="1"/>
        <v>0</v>
      </c>
    </row>
    <row r="11" spans="1:6" ht="15.75" customHeight="1" x14ac:dyDescent="0.2">
      <c r="A11" s="37" t="s">
        <v>51</v>
      </c>
      <c r="B11" s="40">
        <f ca="1">SUM(B5:B10)</f>
        <v>0</v>
      </c>
      <c r="C11" s="40">
        <f ca="1">SUM(C5:C10)</f>
        <v>0</v>
      </c>
      <c r="D11" s="40">
        <f ca="1">SUM(D5:D10)</f>
        <v>0</v>
      </c>
      <c r="E11" s="40">
        <f ca="1">SUM(E5:E10)</f>
        <v>0</v>
      </c>
      <c r="F11" s="40">
        <f t="shared" ca="1" si="1"/>
        <v>0</v>
      </c>
    </row>
  </sheetData>
  <mergeCells count="1">
    <mergeCell ref="A2:F2"/>
  </mergeCells>
  <phoneticPr fontId="2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주문집계장</vt:lpstr>
      <vt:lpstr>거래처제품</vt:lpstr>
      <vt:lpstr>거래처사원</vt:lpstr>
      <vt:lpstr>제품사원</vt:lpstr>
      <vt:lpstr>거래처제품 (2)</vt:lpstr>
      <vt:lpstr>제품사원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이병재</dc:creator>
  <cp:lastModifiedBy>user</cp:lastModifiedBy>
  <cp:lastPrinted>2006-11-14T01:21:42Z</cp:lastPrinted>
  <dcterms:created xsi:type="dcterms:W3CDTF">2006-01-22T01:16:15Z</dcterms:created>
  <dcterms:modified xsi:type="dcterms:W3CDTF">2020-03-30T23:03:12Z</dcterms:modified>
</cp:coreProperties>
</file>