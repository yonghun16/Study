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.kwon\OneDrive - Thermo Fisher Scientific\Private\Excel training\"/>
    </mc:Choice>
  </mc:AlternateContent>
  <xr:revisionPtr revIDLastSave="0" documentId="13_ncr:1_{62FD185B-FDD2-469F-B62C-0EB248696FD4}" xr6:coauthVersionLast="45" xr6:coauthVersionMax="45" xr10:uidLastSave="{00000000-0000-0000-0000-000000000000}"/>
  <bookViews>
    <workbookView minimized="1" xWindow="3072" yWindow="180" windowWidth="13836" windowHeight="9888" firstSheet="1" activeTab="1" xr2:uid="{00000000-000D-0000-FFFF-FFFF00000000}"/>
  </bookViews>
  <sheets>
    <sheet name="Only GSDCSD" sheetId="22" state="hidden" r:id="rId1"/>
    <sheet name="영업부" sheetId="21" r:id="rId2"/>
    <sheet name="Before" sheetId="1" state="hidden" r:id="rId3"/>
    <sheet name="요약" sheetId="2" r:id="rId4"/>
    <sheet name="Scorecard" sheetId="3" state="hidden" r:id="rId5"/>
    <sheet name="지급액" sheetId="7" r:id="rId6"/>
    <sheet name="month" sheetId="20" r:id="rId7"/>
    <sheet name="ACT검산" sheetId="25" r:id="rId8"/>
    <sheet name="AOT 검산" sheetId="26" r:id="rId9"/>
    <sheet name="SC_Template" sheetId="4" state="hidden" r:id="rId10"/>
    <sheet name="SC_Generate" sheetId="5" state="hidden" r:id="rId11"/>
    <sheet name="PayCurve" sheetId="6" r:id="rId12"/>
  </sheets>
  <externalReferences>
    <externalReference r:id="rId13"/>
    <externalReference r:id="rId14"/>
  </externalReferences>
  <definedNames>
    <definedName name="_xlnm._FilterDatabase" localSheetId="2" hidden="1">Before!$A$5:$GY$207</definedName>
    <definedName name="_xlnm._FilterDatabase" localSheetId="0" hidden="1">'Only GSDCSD'!$A$5:$GY$193</definedName>
    <definedName name="_xlnm._FilterDatabase" localSheetId="11" hidden="1">PayCurve!$A$1:$F$52</definedName>
    <definedName name="_xlnm._FilterDatabase" localSheetId="10" hidden="1">SC_Generate!$A$1:$A$31</definedName>
    <definedName name="_xlnm._FilterDatabase" localSheetId="9" hidden="1">SC_Template!$A$1:$A$37</definedName>
    <definedName name="_xlnm._FilterDatabase" localSheetId="4" hidden="1">Scorecard!$A$1:$A$37</definedName>
    <definedName name="_xlnm._FilterDatabase" localSheetId="1" hidden="1">영업부!$A$6:$GR$9</definedName>
    <definedName name="_xlnm._FilterDatabase" localSheetId="3" hidden="1">요약!$A$5:$AD$8</definedName>
    <definedName name="_xlnm._FilterDatabase" localSheetId="5" hidden="1">지급액!$A$2:$F$2</definedName>
    <definedName name="Access_Button" hidden="1">"Grants_Summary_by_Employee_List"</definedName>
    <definedName name="AccessDatabase" hidden="1">"I:\hr\options\Grants.mdb"</definedName>
    <definedName name="Cummulative" localSheetId="9">OFFSET([1]PayCurve!#REF!,0,0,COUNTA([1]PayCurve!$A:$A)-1,1)</definedName>
    <definedName name="Curve">OFFSET(PayCurve!$A$2,0,0,COUNTA(PayCurve!$A:$A)-1,1)</definedName>
    <definedName name="Lower_Attain">OFFSET(PayCurve!$B$2,0,0,COUNTA(PayCurve!$A:$A)-1,1)</definedName>
    <definedName name="Lower_Payout">OFFSET(PayCurve!$D$2,0,0,COUNTA(PayCurve!$A:$A)-1,1)</definedName>
    <definedName name="_xlnm.Print_Area" localSheetId="9">SC_Template!$D$2:$N$36</definedName>
    <definedName name="_xlnm.Print_Area" localSheetId="4">Scorecard!$D$2:$N$36</definedName>
    <definedName name="Sequence" localSheetId="9">OFFSET([1]PayCurve!#REF!,0,0,COUNTA([1]PayCurve!$A:$A)-1,1)</definedName>
    <definedName name="Slope">OFFSET(PayCurve!$F$2,0,0,COUNTA(PayCurve!$A:$A)-1,1)</definedName>
    <definedName name="Upper_Attain">OFFSET(PayCurve!$C$2,0,0,COUNTA(PayCurve!$A:$A)-1,1)</definedName>
    <definedName name="wrn.Planning._.Review." localSheetId="11" hidden="1">{#N/A,#N/A,FALSE,"Invoice";#N/A,#N/A,FALSE," Orders Breakdown";#N/A,#N/A,FALSE,"Revenue";#N/A,#N/A,FALSE,"ANN SUMMARY";#N/A,#N/A,FALSE,"Revenue Breakdown";#N/A,#N/A,FALSE,"Revenue Component FY02";#N/A,#N/A,FALSE,"Consortium Renewals";#N/A,#N/A,FALSE,"Summary Data"}</definedName>
    <definedName name="wrn.Planning._.Review." localSheetId="5" hidden="1">{#N/A,#N/A,FALSE,"Invoice";#N/A,#N/A,FALSE," Orders Breakdown";#N/A,#N/A,FALSE,"Revenue";#N/A,#N/A,FALSE,"ANN SUMMARY";#N/A,#N/A,FALSE,"Revenue Breakdown";#N/A,#N/A,FALSE,"Revenue Component FY02";#N/A,#N/A,FALSE,"Consortium Renewals";#N/A,#N/A,FALSE,"Summary Data"}</definedName>
    <definedName name="wrn.Planning._.Review." hidden="1">{#N/A,#N/A,FALSE,"Invoice";#N/A,#N/A,FALSE," Orders Breakdown";#N/A,#N/A,FALSE,"Revenue";#N/A,#N/A,FALSE,"ANN SUMMARY";#N/A,#N/A,FALSE,"Revenue Breakdown";#N/A,#N/A,FALSE,"Revenue Component FY02";#N/A,#N/A,FALSE,"Consortium Renewals";#N/A,#N/A,FALSE,"Summary Data"}</definedName>
    <definedName name="wrn.REVIEW." localSheetId="11" hidden="1">{#N/A,#N/A,FALSE,"Quarterly P&amp;L Summary";#N/A,#N/A,FALSE,"Quarterly P&amp;L Intermediate";#N/A,#N/A,FALSE,"Quarterly P&amp;L Intermediate (2)";#N/A,#N/A,FALSE,"Product Line P&amp;LWHAT-IF";#N/A,#N/A,FALSE,"W&amp;I AS % OF REVENUE"}</definedName>
    <definedName name="wrn.REVIEW." localSheetId="5" hidden="1">{#N/A,#N/A,FALSE,"Quarterly P&amp;L Summary";#N/A,#N/A,FALSE,"Quarterly P&amp;L Intermediate";#N/A,#N/A,FALSE,"Quarterly P&amp;L Intermediate (2)";#N/A,#N/A,FALSE,"Product Line P&amp;LWHAT-IF";#N/A,#N/A,FALSE,"W&amp;I AS % OF REVENUE"}</definedName>
    <definedName name="wrn.REVIEW." hidden="1">{#N/A,#N/A,FALSE,"Quarterly P&amp;L Summary";#N/A,#N/A,FALSE,"Quarterly P&amp;L Intermediate";#N/A,#N/A,FALSE,"Quarterly P&amp;L Intermediate (2)";#N/A,#N/A,FALSE,"Product Line P&amp;LWHAT-IF";#N/A,#N/A,FALSE,"W&amp;I AS % OF REVENUE"}</definedName>
    <definedName name="ZFRINGE">0.2225</definedName>
    <definedName name="ZMATCH">0.045</definedName>
    <definedName name="ZRAISE">0.04</definedName>
    <definedName name="ZRAISE2">0.04</definedName>
    <definedName name="ZRETIREMENT">0.03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5" l="1"/>
  <c r="D4" i="25" s="1"/>
  <c r="C3" i="25"/>
  <c r="D3" i="25" s="1"/>
  <c r="C2" i="25"/>
  <c r="D2" i="25" s="1"/>
  <c r="D4" i="26"/>
  <c r="D3" i="26"/>
  <c r="D2" i="26"/>
  <c r="C4" i="26"/>
  <c r="C3" i="26"/>
  <c r="C2" i="26"/>
  <c r="AG9" i="21" l="1"/>
  <c r="AG8" i="21"/>
  <c r="AF9" i="21"/>
  <c r="AF8" i="21"/>
  <c r="EO9" i="21" l="1"/>
  <c r="EO8" i="21"/>
  <c r="EO7" i="21"/>
  <c r="DM9" i="21"/>
  <c r="DM8" i="21"/>
  <c r="DM7" i="21"/>
  <c r="CK9" i="21"/>
  <c r="CK8" i="21"/>
  <c r="CK7" i="21"/>
  <c r="BI9" i="21"/>
  <c r="BI8" i="21"/>
  <c r="BI7" i="21"/>
  <c r="BC7" i="21" l="1"/>
  <c r="BB7" i="21"/>
  <c r="BA7" i="21"/>
  <c r="AZ7" i="21"/>
  <c r="AY7" i="21"/>
  <c r="AF7" i="21" l="1"/>
  <c r="EK9" i="21" l="1"/>
  <c r="EJ9" i="21"/>
  <c r="EH9" i="21"/>
  <c r="EG9" i="21"/>
  <c r="EF9" i="21"/>
  <c r="EE9" i="21"/>
  <c r="EK8" i="21"/>
  <c r="EJ8" i="21"/>
  <c r="EH8" i="21"/>
  <c r="EG8" i="21"/>
  <c r="EF8" i="21"/>
  <c r="EE8" i="21"/>
  <c r="EK7" i="21"/>
  <c r="EJ7" i="21"/>
  <c r="EH7" i="21"/>
  <c r="EG7" i="21"/>
  <c r="EF7" i="21"/>
  <c r="EE7" i="21"/>
  <c r="EI7" i="21" l="1"/>
  <c r="EL7" i="21" s="1"/>
  <c r="EM7" i="21" s="1" a="1"/>
  <c r="EM7" i="21" s="1"/>
  <c r="EI8" i="21"/>
  <c r="EL8" i="21" s="1"/>
  <c r="EM8" i="21" s="1" a="1"/>
  <c r="EM8" i="21" s="1"/>
  <c r="EI9" i="21"/>
  <c r="EL9" i="21" s="1"/>
  <c r="EM9" i="21" s="1" a="1"/>
  <c r="EM9" i="21" s="1"/>
  <c r="ES9" i="21"/>
  <c r="ES8" i="21"/>
  <c r="AH9" i="21" l="1"/>
  <c r="AH8" i="21"/>
  <c r="AH7" i="21"/>
  <c r="E8" i="2" l="1"/>
  <c r="D8" i="2"/>
  <c r="C8" i="2"/>
  <c r="B8" i="2"/>
  <c r="A8" i="2"/>
  <c r="E7" i="2"/>
  <c r="D7" i="2"/>
  <c r="C7" i="2"/>
  <c r="B7" i="2"/>
  <c r="A7" i="2"/>
  <c r="C5" i="7" l="1"/>
  <c r="B5" i="7"/>
  <c r="C4" i="7"/>
  <c r="B4" i="7"/>
  <c r="ES7" i="21" l="1"/>
  <c r="C3" i="7" l="1"/>
  <c r="B3" i="7"/>
  <c r="GI9" i="21" l="1"/>
  <c r="GH9" i="21"/>
  <c r="GG9" i="21"/>
  <c r="GF9" i="21"/>
  <c r="FY9" i="21"/>
  <c r="FX9" i="21"/>
  <c r="FW9" i="21"/>
  <c r="FV9" i="21"/>
  <c r="FT9" i="21"/>
  <c r="FS9" i="21"/>
  <c r="FR9" i="21"/>
  <c r="FQ9" i="21"/>
  <c r="FY8" i="21"/>
  <c r="FX8" i="21"/>
  <c r="FW8" i="21"/>
  <c r="FV8" i="21"/>
  <c r="FT8" i="21"/>
  <c r="FS8" i="21"/>
  <c r="FR8" i="21"/>
  <c r="FQ8" i="21"/>
  <c r="GA9" i="21" l="1"/>
  <c r="GJ9" i="21"/>
  <c r="GA8" i="21"/>
  <c r="GB8" i="21"/>
  <c r="GB9" i="21"/>
  <c r="GC9" i="21"/>
  <c r="FZ8" i="21"/>
  <c r="FU9" i="21"/>
  <c r="FZ9" i="21"/>
  <c r="GC8" i="21"/>
  <c r="GK9" i="21"/>
  <c r="FU8" i="21"/>
  <c r="AE4" i="21"/>
  <c r="AD4" i="21"/>
  <c r="AC4" i="21"/>
  <c r="AB4" i="21"/>
  <c r="AA4" i="21"/>
  <c r="Z4" i="21"/>
  <c r="Y4" i="21"/>
  <c r="X4" i="21"/>
  <c r="W4" i="21"/>
  <c r="V4" i="21"/>
  <c r="U4" i="21"/>
  <c r="T4" i="21"/>
  <c r="GD9" i="21" l="1"/>
  <c r="GD8" i="21"/>
  <c r="GI8" i="21"/>
  <c r="GH8" i="21"/>
  <c r="GG8" i="21"/>
  <c r="GF8" i="21"/>
  <c r="GE8" i="21"/>
  <c r="GE9" i="21"/>
  <c r="GJ8" i="21" l="1"/>
  <c r="GK8" i="21"/>
  <c r="A4" i="7"/>
  <c r="A5" i="7" s="1"/>
  <c r="BE9" i="21" l="1"/>
  <c r="AY8" i="21"/>
  <c r="AZ8" i="21"/>
  <c r="BB8" i="21"/>
  <c r="BD8" i="21"/>
  <c r="G7" i="2" s="1"/>
  <c r="BE8" i="21"/>
  <c r="AY9" i="21"/>
  <c r="AZ9" i="21"/>
  <c r="BB9" i="21"/>
  <c r="BD9" i="21"/>
  <c r="G8" i="2" s="1"/>
  <c r="GT8" i="21"/>
  <c r="GT9" i="21"/>
  <c r="FN8" i="21"/>
  <c r="Y7" i="2" s="1"/>
  <c r="FN9" i="21"/>
  <c r="Y8" i="2" s="1"/>
  <c r="EX8" i="21"/>
  <c r="EY8" i="21"/>
  <c r="EX9" i="21"/>
  <c r="EY9" i="21"/>
  <c r="M8" i="21" l="1"/>
  <c r="M9" i="21"/>
  <c r="J7" i="21"/>
  <c r="J8" i="21"/>
  <c r="K8" i="21" s="1"/>
  <c r="J9" i="21"/>
  <c r="K9" i="21" s="1"/>
  <c r="BJ8" i="21" l="1"/>
  <c r="A6" i="2" l="1"/>
  <c r="E6" i="2"/>
  <c r="D6" i="2"/>
  <c r="C6" i="2"/>
  <c r="B6" i="2"/>
  <c r="B3" i="2"/>
  <c r="X5" i="2" s="1"/>
  <c r="FM3" i="21"/>
  <c r="FL3" i="21"/>
  <c r="FK3" i="21"/>
  <c r="U1" i="21" l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GT7" i="21" l="1"/>
  <c r="GO193" i="22" l="1"/>
  <c r="GN193" i="22"/>
  <c r="GM193" i="22"/>
  <c r="GL193" i="22"/>
  <c r="GE193" i="22"/>
  <c r="GD193" i="22"/>
  <c r="GC193" i="22"/>
  <c r="GB193" i="22"/>
  <c r="FZ193" i="22"/>
  <c r="FY193" i="22"/>
  <c r="FX193" i="22"/>
  <c r="FW193" i="22"/>
  <c r="FT193" i="22"/>
  <c r="FP193" i="22"/>
  <c r="FK193" i="22"/>
  <c r="FJ193" i="22"/>
  <c r="FE193" i="22"/>
  <c r="FD193" i="22"/>
  <c r="ER193" i="22"/>
  <c r="EQ193" i="22"/>
  <c r="EO193" i="22"/>
  <c r="EN193" i="22"/>
  <c r="EM193" i="22"/>
  <c r="EL193" i="22"/>
  <c r="DP193" i="22"/>
  <c r="DO193" i="22"/>
  <c r="DM193" i="22"/>
  <c r="DL193" i="22"/>
  <c r="DK193" i="22"/>
  <c r="DJ193" i="22"/>
  <c r="CN193" i="22"/>
  <c r="CM193" i="22"/>
  <c r="CK193" i="22"/>
  <c r="CJ193" i="22"/>
  <c r="CI193" i="22"/>
  <c r="CH193" i="22"/>
  <c r="BL193" i="22"/>
  <c r="BK193" i="22"/>
  <c r="GT193" i="22" s="1"/>
  <c r="BJ193" i="22"/>
  <c r="BI193" i="22"/>
  <c r="BH193" i="22"/>
  <c r="BG193" i="22"/>
  <c r="BF193" i="22"/>
  <c r="AN193" i="22"/>
  <c r="AM193" i="22"/>
  <c r="T193" i="22"/>
  <c r="DT193" i="22" s="1"/>
  <c r="Q193" i="22"/>
  <c r="R193" i="22" s="1"/>
  <c r="GO192" i="22"/>
  <c r="GN192" i="22"/>
  <c r="GM192" i="22"/>
  <c r="GL192" i="22"/>
  <c r="GE192" i="22"/>
  <c r="GD192" i="22"/>
  <c r="GC192" i="22"/>
  <c r="GB192" i="22"/>
  <c r="GF192" i="22" s="1"/>
  <c r="FZ192" i="22"/>
  <c r="FY192" i="22"/>
  <c r="FX192" i="22"/>
  <c r="GG192" i="22" s="1"/>
  <c r="FW192" i="22"/>
  <c r="FT192" i="22"/>
  <c r="FP192" i="22"/>
  <c r="FK192" i="22"/>
  <c r="FJ192" i="22"/>
  <c r="FE192" i="22"/>
  <c r="FD192" i="22"/>
  <c r="ER192" i="22"/>
  <c r="EQ192" i="22"/>
  <c r="EO192" i="22"/>
  <c r="EN192" i="22"/>
  <c r="EM192" i="22"/>
  <c r="EL192" i="22"/>
  <c r="DP192" i="22"/>
  <c r="DO192" i="22"/>
  <c r="DM192" i="22"/>
  <c r="DL192" i="22"/>
  <c r="DK192" i="22"/>
  <c r="DJ192" i="22"/>
  <c r="CN192" i="22"/>
  <c r="CM192" i="22"/>
  <c r="CK192" i="22"/>
  <c r="CJ192" i="22"/>
  <c r="CI192" i="22"/>
  <c r="CH192" i="22"/>
  <c r="BL192" i="22"/>
  <c r="BK192" i="22"/>
  <c r="BI192" i="22"/>
  <c r="BJ192" i="22" s="1"/>
  <c r="BH192" i="22"/>
  <c r="BG192" i="22"/>
  <c r="BF192" i="22"/>
  <c r="AN192" i="22"/>
  <c r="AM192" i="22"/>
  <c r="T192" i="22"/>
  <c r="Q192" i="22"/>
  <c r="R192" i="22" s="1"/>
  <c r="GO191" i="22"/>
  <c r="GN191" i="22"/>
  <c r="GM191" i="22"/>
  <c r="GL191" i="22"/>
  <c r="GP191" i="22" s="1"/>
  <c r="GE191" i="22"/>
  <c r="GD191" i="22"/>
  <c r="GC191" i="22"/>
  <c r="GB191" i="22"/>
  <c r="FZ191" i="22"/>
  <c r="GI191" i="22" s="1"/>
  <c r="FY191" i="22"/>
  <c r="FX191" i="22"/>
  <c r="FW191" i="22"/>
  <c r="FT191" i="22"/>
  <c r="FP191" i="22"/>
  <c r="FK191" i="22"/>
  <c r="FJ191" i="22"/>
  <c r="FE191" i="22"/>
  <c r="FD191" i="22"/>
  <c r="ER191" i="22"/>
  <c r="EQ191" i="22"/>
  <c r="EO191" i="22"/>
  <c r="EN191" i="22"/>
  <c r="EM191" i="22"/>
  <c r="EL191" i="22"/>
  <c r="DP191" i="22"/>
  <c r="DO191" i="22"/>
  <c r="DM191" i="22"/>
  <c r="DL191" i="22"/>
  <c r="DK191" i="22"/>
  <c r="DJ191" i="22"/>
  <c r="CN191" i="22"/>
  <c r="CM191" i="22"/>
  <c r="CK191" i="22"/>
  <c r="CJ191" i="22"/>
  <c r="CI191" i="22"/>
  <c r="CH191" i="22"/>
  <c r="BL191" i="22"/>
  <c r="BK191" i="22"/>
  <c r="BI191" i="22"/>
  <c r="BH191" i="22"/>
  <c r="BG191" i="22"/>
  <c r="BF191" i="22"/>
  <c r="AN191" i="22"/>
  <c r="AM191" i="22"/>
  <c r="T191" i="22"/>
  <c r="Q191" i="22"/>
  <c r="R191" i="22" s="1"/>
  <c r="GO190" i="22"/>
  <c r="GN190" i="22"/>
  <c r="GM190" i="22"/>
  <c r="GL190" i="22"/>
  <c r="GH190" i="22"/>
  <c r="GE190" i="22"/>
  <c r="GD190" i="22"/>
  <c r="GC190" i="22"/>
  <c r="GB190" i="22"/>
  <c r="FZ190" i="22"/>
  <c r="FY190" i="22"/>
  <c r="FX190" i="22"/>
  <c r="FW190" i="22"/>
  <c r="FT190" i="22"/>
  <c r="FP190" i="22"/>
  <c r="FK190" i="22"/>
  <c r="FJ190" i="22"/>
  <c r="FE190" i="22"/>
  <c r="FD190" i="22"/>
  <c r="ER190" i="22"/>
  <c r="EQ190" i="22"/>
  <c r="EO190" i="22"/>
  <c r="EN190" i="22"/>
  <c r="EM190" i="22"/>
  <c r="EL190" i="22"/>
  <c r="DP190" i="22"/>
  <c r="DO190" i="22"/>
  <c r="DM190" i="22"/>
  <c r="DL190" i="22"/>
  <c r="DK190" i="22"/>
  <c r="DJ190" i="22"/>
  <c r="CN190" i="22"/>
  <c r="CM190" i="22"/>
  <c r="CK190" i="22"/>
  <c r="CJ190" i="22"/>
  <c r="CI190" i="22"/>
  <c r="CH190" i="22"/>
  <c r="BL190" i="22"/>
  <c r="BK190" i="22"/>
  <c r="BI190" i="22"/>
  <c r="BH190" i="22"/>
  <c r="BG190" i="22"/>
  <c r="BF190" i="22"/>
  <c r="AN190" i="22"/>
  <c r="AM190" i="22"/>
  <c r="T190" i="22"/>
  <c r="Q190" i="22"/>
  <c r="R190" i="22" s="1"/>
  <c r="GO189" i="22"/>
  <c r="GN189" i="22"/>
  <c r="GM189" i="22"/>
  <c r="GL189" i="22"/>
  <c r="GQ189" i="22" s="1"/>
  <c r="GI189" i="22"/>
  <c r="GE189" i="22"/>
  <c r="GD189" i="22"/>
  <c r="GC189" i="22"/>
  <c r="GB189" i="22"/>
  <c r="FZ189" i="22"/>
  <c r="FY189" i="22"/>
  <c r="FX189" i="22"/>
  <c r="FW189" i="22"/>
  <c r="FT189" i="22"/>
  <c r="FP189" i="22"/>
  <c r="FK189" i="22"/>
  <c r="FJ189" i="22"/>
  <c r="FE189" i="22"/>
  <c r="FD189" i="22"/>
  <c r="EV189" i="22"/>
  <c r="ER189" i="22"/>
  <c r="EQ189" i="22"/>
  <c r="EP189" i="22"/>
  <c r="ES189" i="22" s="1"/>
  <c r="EO189" i="22"/>
  <c r="EN189" i="22"/>
  <c r="EM189" i="22"/>
  <c r="EL189" i="22"/>
  <c r="DP189" i="22"/>
  <c r="DO189" i="22"/>
  <c r="DM189" i="22"/>
  <c r="DL189" i="22"/>
  <c r="DK189" i="22"/>
  <c r="DJ189" i="22"/>
  <c r="CN189" i="22"/>
  <c r="CM189" i="22"/>
  <c r="CK189" i="22"/>
  <c r="CJ189" i="22"/>
  <c r="CI189" i="22"/>
  <c r="CH189" i="22"/>
  <c r="CL189" i="22" s="1"/>
  <c r="CO189" i="22" s="1"/>
  <c r="BL189" i="22"/>
  <c r="BK189" i="22"/>
  <c r="BI189" i="22"/>
  <c r="BH189" i="22"/>
  <c r="BG189" i="22"/>
  <c r="BF189" i="22"/>
  <c r="AN189" i="22"/>
  <c r="AM189" i="22"/>
  <c r="T189" i="22"/>
  <c r="DT189" i="22" s="1"/>
  <c r="Q189" i="22"/>
  <c r="R189" i="22" s="1"/>
  <c r="GO188" i="22"/>
  <c r="GN188" i="22"/>
  <c r="GM188" i="22"/>
  <c r="GL188" i="22"/>
  <c r="GE188" i="22"/>
  <c r="GI188" i="22" s="1"/>
  <c r="GD188" i="22"/>
  <c r="GC188" i="22"/>
  <c r="GB188" i="22"/>
  <c r="FZ188" i="22"/>
  <c r="FY188" i="22"/>
  <c r="FX188" i="22"/>
  <c r="FW188" i="22"/>
  <c r="FT188" i="22"/>
  <c r="FP188" i="22"/>
  <c r="FK188" i="22"/>
  <c r="FJ188" i="22"/>
  <c r="FE188" i="22"/>
  <c r="FD188" i="22"/>
  <c r="ER188" i="22"/>
  <c r="EQ188" i="22"/>
  <c r="EO188" i="22"/>
  <c r="EN188" i="22"/>
  <c r="EM188" i="22"/>
  <c r="EL188" i="22"/>
  <c r="DP188" i="22"/>
  <c r="DO188" i="22"/>
  <c r="DM188" i="22"/>
  <c r="DL188" i="22"/>
  <c r="DK188" i="22"/>
  <c r="DJ188" i="22"/>
  <c r="CN188" i="22"/>
  <c r="CM188" i="22"/>
  <c r="CK188" i="22"/>
  <c r="CJ188" i="22"/>
  <c r="CI188" i="22"/>
  <c r="CH188" i="22"/>
  <c r="BL188" i="22"/>
  <c r="BK188" i="22"/>
  <c r="BI188" i="22"/>
  <c r="BH188" i="22"/>
  <c r="BG188" i="22"/>
  <c r="BF188" i="22"/>
  <c r="AN188" i="22"/>
  <c r="AM188" i="22"/>
  <c r="T188" i="22"/>
  <c r="EV188" i="22" s="1"/>
  <c r="R188" i="22"/>
  <c r="Q188" i="22"/>
  <c r="GO187" i="22"/>
  <c r="GN187" i="22"/>
  <c r="GM187" i="22"/>
  <c r="GL187" i="22"/>
  <c r="GE187" i="22"/>
  <c r="GD187" i="22"/>
  <c r="GC187" i="22"/>
  <c r="GB187" i="22"/>
  <c r="FZ187" i="22"/>
  <c r="FY187" i="22"/>
  <c r="FX187" i="22"/>
  <c r="FW187" i="22"/>
  <c r="FT187" i="22"/>
  <c r="FP187" i="22"/>
  <c r="FK187" i="22"/>
  <c r="FJ187" i="22"/>
  <c r="FE187" i="22"/>
  <c r="FD187" i="22"/>
  <c r="ER187" i="22"/>
  <c r="EQ187" i="22"/>
  <c r="EO187" i="22"/>
  <c r="EN187" i="22"/>
  <c r="EM187" i="22"/>
  <c r="EL187" i="22"/>
  <c r="DP187" i="22"/>
  <c r="DO187" i="22"/>
  <c r="DM187" i="22"/>
  <c r="DL187" i="22"/>
  <c r="DK187" i="22"/>
  <c r="DJ187" i="22"/>
  <c r="CN187" i="22"/>
  <c r="CM187" i="22"/>
  <c r="CK187" i="22"/>
  <c r="CJ187" i="22"/>
  <c r="CI187" i="22"/>
  <c r="CH187" i="22"/>
  <c r="BL187" i="22"/>
  <c r="BK187" i="22"/>
  <c r="BI187" i="22"/>
  <c r="BH187" i="22"/>
  <c r="BG187" i="22"/>
  <c r="BF187" i="22"/>
  <c r="AN187" i="22"/>
  <c r="AM187" i="22"/>
  <c r="T187" i="22"/>
  <c r="CR187" i="22" s="1"/>
  <c r="Q187" i="22"/>
  <c r="R187" i="22" s="1"/>
  <c r="GO186" i="22"/>
  <c r="GN186" i="22"/>
  <c r="GM186" i="22"/>
  <c r="GL186" i="22"/>
  <c r="GE186" i="22"/>
  <c r="GI186" i="22" s="1"/>
  <c r="GD186" i="22"/>
  <c r="GC186" i="22"/>
  <c r="GB186" i="22"/>
  <c r="FZ186" i="22"/>
  <c r="FY186" i="22"/>
  <c r="FX186" i="22"/>
  <c r="FW186" i="22"/>
  <c r="FT186" i="22"/>
  <c r="FP186" i="22"/>
  <c r="FK186" i="22"/>
  <c r="FJ186" i="22"/>
  <c r="FE186" i="22"/>
  <c r="FD186" i="22"/>
  <c r="ER186" i="22"/>
  <c r="EQ186" i="22"/>
  <c r="EO186" i="22"/>
  <c r="EN186" i="22"/>
  <c r="EM186" i="22"/>
  <c r="EL186" i="22"/>
  <c r="DP186" i="22"/>
  <c r="DO186" i="22"/>
  <c r="DM186" i="22"/>
  <c r="DL186" i="22"/>
  <c r="DK186" i="22"/>
  <c r="DJ186" i="22"/>
  <c r="CN186" i="22"/>
  <c r="CM186" i="22"/>
  <c r="CK186" i="22"/>
  <c r="CJ186" i="22"/>
  <c r="CI186" i="22"/>
  <c r="CH186" i="22"/>
  <c r="BL186" i="22"/>
  <c r="BK186" i="22"/>
  <c r="BI186" i="22"/>
  <c r="BH186" i="22"/>
  <c r="BG186" i="22"/>
  <c r="BF186" i="22"/>
  <c r="AN186" i="22"/>
  <c r="AM186" i="22"/>
  <c r="T186" i="22"/>
  <c r="DT186" i="22" s="1"/>
  <c r="Q186" i="22"/>
  <c r="R186" i="22" s="1"/>
  <c r="GO185" i="22"/>
  <c r="GN185" i="22"/>
  <c r="GM185" i="22"/>
  <c r="GL185" i="22"/>
  <c r="GE185" i="22"/>
  <c r="GD185" i="22"/>
  <c r="GC185" i="22"/>
  <c r="GB185" i="22"/>
  <c r="FZ185" i="22"/>
  <c r="FY185" i="22"/>
  <c r="FX185" i="22"/>
  <c r="FW185" i="22"/>
  <c r="FT185" i="22"/>
  <c r="FP185" i="22"/>
  <c r="FK185" i="22"/>
  <c r="FJ185" i="22"/>
  <c r="FE185" i="22"/>
  <c r="FD185" i="22"/>
  <c r="ER185" i="22"/>
  <c r="EQ185" i="22"/>
  <c r="EO185" i="22"/>
  <c r="EN185" i="22"/>
  <c r="EM185" i="22"/>
  <c r="EL185" i="22"/>
  <c r="DP185" i="22"/>
  <c r="DO185" i="22"/>
  <c r="DM185" i="22"/>
  <c r="DL185" i="22"/>
  <c r="DK185" i="22"/>
  <c r="DJ185" i="22"/>
  <c r="CN185" i="22"/>
  <c r="CM185" i="22"/>
  <c r="CK185" i="22"/>
  <c r="CJ185" i="22"/>
  <c r="CI185" i="22"/>
  <c r="CH185" i="22"/>
  <c r="BL185" i="22"/>
  <c r="BK185" i="22"/>
  <c r="BI185" i="22"/>
  <c r="BH185" i="22"/>
  <c r="BG185" i="22"/>
  <c r="BF185" i="22"/>
  <c r="AN185" i="22"/>
  <c r="AM185" i="22"/>
  <c r="T185" i="22"/>
  <c r="DT185" i="22" s="1"/>
  <c r="Q185" i="22"/>
  <c r="R185" i="22" s="1"/>
  <c r="GO184" i="22"/>
  <c r="GN184" i="22"/>
  <c r="GM184" i="22"/>
  <c r="GL184" i="22"/>
  <c r="GQ184" i="22" s="1"/>
  <c r="GE184" i="22"/>
  <c r="GD184" i="22"/>
  <c r="GC184" i="22"/>
  <c r="GB184" i="22"/>
  <c r="FZ184" i="22"/>
  <c r="FY184" i="22"/>
  <c r="FX184" i="22"/>
  <c r="FW184" i="22"/>
  <c r="FT184" i="22"/>
  <c r="FP184" i="22"/>
  <c r="FK184" i="22"/>
  <c r="FJ184" i="22"/>
  <c r="FE184" i="22"/>
  <c r="FD184" i="22"/>
  <c r="ER184" i="22"/>
  <c r="EQ184" i="22"/>
  <c r="EO184" i="22"/>
  <c r="EN184" i="22"/>
  <c r="EM184" i="22"/>
  <c r="EL184" i="22"/>
  <c r="DP184" i="22"/>
  <c r="DO184" i="22"/>
  <c r="DM184" i="22"/>
  <c r="DL184" i="22"/>
  <c r="DK184" i="22"/>
  <c r="DJ184" i="22"/>
  <c r="CN184" i="22"/>
  <c r="CM184" i="22"/>
  <c r="CK184" i="22"/>
  <c r="CJ184" i="22"/>
  <c r="CI184" i="22"/>
  <c r="CH184" i="22"/>
  <c r="BL184" i="22"/>
  <c r="BK184" i="22"/>
  <c r="BI184" i="22"/>
  <c r="BH184" i="22"/>
  <c r="BG184" i="22"/>
  <c r="BF184" i="22"/>
  <c r="AN184" i="22"/>
  <c r="AM184" i="22"/>
  <c r="T184" i="22"/>
  <c r="R184" i="22"/>
  <c r="Q184" i="22"/>
  <c r="GO183" i="22"/>
  <c r="GN183" i="22"/>
  <c r="GM183" i="22"/>
  <c r="GL183" i="22"/>
  <c r="GE183" i="22"/>
  <c r="GD183" i="22"/>
  <c r="GC183" i="22"/>
  <c r="GB183" i="22"/>
  <c r="FZ183" i="22"/>
  <c r="GI183" i="22" s="1"/>
  <c r="FY183" i="22"/>
  <c r="FX183" i="22"/>
  <c r="FW183" i="22"/>
  <c r="FT183" i="22"/>
  <c r="FP183" i="22"/>
  <c r="FK183" i="22"/>
  <c r="FJ183" i="22"/>
  <c r="FE183" i="22"/>
  <c r="FD183" i="22"/>
  <c r="ER183" i="22"/>
  <c r="EQ183" i="22"/>
  <c r="EO183" i="22"/>
  <c r="EN183" i="22"/>
  <c r="EM183" i="22"/>
  <c r="EL183" i="22"/>
  <c r="DP183" i="22"/>
  <c r="DO183" i="22"/>
  <c r="DM183" i="22"/>
  <c r="DL183" i="22"/>
  <c r="DK183" i="22"/>
  <c r="DJ183" i="22"/>
  <c r="CN183" i="22"/>
  <c r="CM183" i="22"/>
  <c r="CK183" i="22"/>
  <c r="CJ183" i="22"/>
  <c r="CI183" i="22"/>
  <c r="CH183" i="22"/>
  <c r="BL183" i="22"/>
  <c r="BK183" i="22"/>
  <c r="BI183" i="22"/>
  <c r="BH183" i="22"/>
  <c r="BG183" i="22"/>
  <c r="BF183" i="22"/>
  <c r="AN183" i="22"/>
  <c r="AM183" i="22"/>
  <c r="T183" i="22"/>
  <c r="EV183" i="22" s="1"/>
  <c r="Q183" i="22"/>
  <c r="R183" i="22" s="1"/>
  <c r="GO182" i="22"/>
  <c r="GN182" i="22"/>
  <c r="GM182" i="22"/>
  <c r="GL182" i="22"/>
  <c r="GE182" i="22"/>
  <c r="GD182" i="22"/>
  <c r="GC182" i="22"/>
  <c r="GB182" i="22"/>
  <c r="FZ182" i="22"/>
  <c r="GI182" i="22" s="1"/>
  <c r="FY182" i="22"/>
  <c r="FX182" i="22"/>
  <c r="GG182" i="22" s="1"/>
  <c r="FW182" i="22"/>
  <c r="FT182" i="22"/>
  <c r="FP182" i="22"/>
  <c r="FK182" i="22"/>
  <c r="FJ182" i="22"/>
  <c r="FE182" i="22"/>
  <c r="FD182" i="22"/>
  <c r="EV182" i="22"/>
  <c r="ER182" i="22"/>
  <c r="EQ182" i="22"/>
  <c r="EO182" i="22"/>
  <c r="EN182" i="22"/>
  <c r="EM182" i="22"/>
  <c r="EL182" i="22"/>
  <c r="DT182" i="22"/>
  <c r="DP182" i="22"/>
  <c r="DO182" i="22"/>
  <c r="DM182" i="22"/>
  <c r="DL182" i="22"/>
  <c r="DK182" i="22"/>
  <c r="DJ182" i="22"/>
  <c r="Q182" i="22"/>
  <c r="R182" i="22" s="1"/>
  <c r="GO181" i="22"/>
  <c r="GN181" i="22"/>
  <c r="GM181" i="22"/>
  <c r="GL181" i="22"/>
  <c r="GE181" i="22"/>
  <c r="GD181" i="22"/>
  <c r="GC181" i="22"/>
  <c r="GB181" i="22"/>
  <c r="FZ181" i="22"/>
  <c r="FY181" i="22"/>
  <c r="GH181" i="22" s="1"/>
  <c r="FX181" i="22"/>
  <c r="FW181" i="22"/>
  <c r="FT181" i="22"/>
  <c r="FP181" i="22"/>
  <c r="FK181" i="22"/>
  <c r="FJ181" i="22"/>
  <c r="FE181" i="22"/>
  <c r="FD181" i="22"/>
  <c r="ER181" i="22"/>
  <c r="EQ181" i="22"/>
  <c r="EO181" i="22"/>
  <c r="EN181" i="22"/>
  <c r="EM181" i="22"/>
  <c r="EL181" i="22"/>
  <c r="DP181" i="22"/>
  <c r="DO181" i="22"/>
  <c r="DM181" i="22"/>
  <c r="DL181" i="22"/>
  <c r="DK181" i="22"/>
  <c r="DJ181" i="22"/>
  <c r="CN181" i="22"/>
  <c r="CM181" i="22"/>
  <c r="CK181" i="22"/>
  <c r="CJ181" i="22"/>
  <c r="CI181" i="22"/>
  <c r="CH181" i="22"/>
  <c r="BL181" i="22"/>
  <c r="BK181" i="22"/>
  <c r="BI181" i="22"/>
  <c r="BH181" i="22"/>
  <c r="BG181" i="22"/>
  <c r="BF181" i="22"/>
  <c r="AO181" i="22"/>
  <c r="AN181" i="22"/>
  <c r="AM181" i="22"/>
  <c r="T181" i="22"/>
  <c r="GO180" i="22"/>
  <c r="GN180" i="22"/>
  <c r="GM180" i="22"/>
  <c r="GL180" i="22"/>
  <c r="GE180" i="22"/>
  <c r="GD180" i="22"/>
  <c r="GC180" i="22"/>
  <c r="GB180" i="22"/>
  <c r="FZ180" i="22"/>
  <c r="FY180" i="22"/>
  <c r="GH180" i="22" s="1"/>
  <c r="FX180" i="22"/>
  <c r="FW180" i="22"/>
  <c r="GF180" i="22" s="1"/>
  <c r="FT180" i="22"/>
  <c r="FP180" i="22"/>
  <c r="FK180" i="22"/>
  <c r="FJ180" i="22"/>
  <c r="FE180" i="22"/>
  <c r="FD180" i="22"/>
  <c r="EV180" i="22"/>
  <c r="ER180" i="22"/>
  <c r="EQ180" i="22"/>
  <c r="EO180" i="22"/>
  <c r="EN180" i="22"/>
  <c r="EM180" i="22"/>
  <c r="EL180" i="22"/>
  <c r="DT180" i="22"/>
  <c r="DP180" i="22"/>
  <c r="DO180" i="22"/>
  <c r="DM180" i="22"/>
  <c r="DL180" i="22"/>
  <c r="DK180" i="22"/>
  <c r="DJ180" i="22"/>
  <c r="CR180" i="22"/>
  <c r="CN180" i="22"/>
  <c r="CM180" i="22"/>
  <c r="CK180" i="22"/>
  <c r="CJ180" i="22"/>
  <c r="CI180" i="22"/>
  <c r="CH180" i="22"/>
  <c r="BP180" i="22"/>
  <c r="BL180" i="22"/>
  <c r="BK180" i="22"/>
  <c r="BI180" i="22"/>
  <c r="BH180" i="22"/>
  <c r="BG180" i="22"/>
  <c r="BF180" i="22"/>
  <c r="GO179" i="22"/>
  <c r="GN179" i="22"/>
  <c r="GM179" i="22"/>
  <c r="GL179" i="22"/>
  <c r="GE179" i="22"/>
  <c r="GI179" i="22" s="1"/>
  <c r="GD179" i="22"/>
  <c r="GC179" i="22"/>
  <c r="GB179" i="22"/>
  <c r="FZ179" i="22"/>
  <c r="FY179" i="22"/>
  <c r="FX179" i="22"/>
  <c r="FW179" i="22"/>
  <c r="FT179" i="22"/>
  <c r="FP179" i="22"/>
  <c r="FK179" i="22"/>
  <c r="FJ179" i="22"/>
  <c r="FE179" i="22"/>
  <c r="FD179" i="22"/>
  <c r="EV179" i="22"/>
  <c r="ER179" i="22"/>
  <c r="EQ179" i="22"/>
  <c r="EO179" i="22"/>
  <c r="EN179" i="22"/>
  <c r="EM179" i="22"/>
  <c r="EL179" i="22"/>
  <c r="DT179" i="22"/>
  <c r="DP179" i="22"/>
  <c r="DO179" i="22"/>
  <c r="DM179" i="22"/>
  <c r="DL179" i="22"/>
  <c r="DK179" i="22"/>
  <c r="DJ179" i="22"/>
  <c r="CR179" i="22"/>
  <c r="CN179" i="22"/>
  <c r="CM179" i="22"/>
  <c r="CK179" i="22"/>
  <c r="CJ179" i="22"/>
  <c r="CI179" i="22"/>
  <c r="CH179" i="22"/>
  <c r="BP179" i="22"/>
  <c r="BL179" i="22"/>
  <c r="BK179" i="22"/>
  <c r="BI179" i="22"/>
  <c r="BH179" i="22"/>
  <c r="BG179" i="22"/>
  <c r="BF179" i="22"/>
  <c r="GO178" i="22"/>
  <c r="GN178" i="22"/>
  <c r="GM178" i="22"/>
  <c r="GL178" i="22"/>
  <c r="GE178" i="22"/>
  <c r="GD178" i="22"/>
  <c r="GC178" i="22"/>
  <c r="GG178" i="22" s="1"/>
  <c r="GB178" i="22"/>
  <c r="FZ178" i="22"/>
  <c r="FY178" i="22"/>
  <c r="FX178" i="22"/>
  <c r="FW178" i="22"/>
  <c r="FT178" i="22"/>
  <c r="FP178" i="22"/>
  <c r="FK178" i="22"/>
  <c r="FJ178" i="22"/>
  <c r="FE178" i="22"/>
  <c r="FD178" i="22"/>
  <c r="EV178" i="22"/>
  <c r="ER178" i="22"/>
  <c r="EQ178" i="22"/>
  <c r="EO178" i="22"/>
  <c r="EN178" i="22"/>
  <c r="EP178" i="22" s="1"/>
  <c r="EM178" i="22"/>
  <c r="EL178" i="22"/>
  <c r="DT178" i="22"/>
  <c r="DP178" i="22"/>
  <c r="DO178" i="22"/>
  <c r="DM178" i="22"/>
  <c r="DL178" i="22"/>
  <c r="DK178" i="22"/>
  <c r="DJ178" i="22"/>
  <c r="CR178" i="22"/>
  <c r="CN178" i="22"/>
  <c r="CM178" i="22"/>
  <c r="CK178" i="22"/>
  <c r="CJ178" i="22"/>
  <c r="CI178" i="22"/>
  <c r="CH178" i="22"/>
  <c r="BP178" i="22"/>
  <c r="BL178" i="22"/>
  <c r="BK178" i="22"/>
  <c r="BI178" i="22"/>
  <c r="BH178" i="22"/>
  <c r="BG178" i="22"/>
  <c r="BF178" i="22"/>
  <c r="AO178" i="22"/>
  <c r="AN178" i="22"/>
  <c r="AM178" i="22"/>
  <c r="GO177" i="22"/>
  <c r="GN177" i="22"/>
  <c r="GM177" i="22"/>
  <c r="GL177" i="22"/>
  <c r="GE177" i="22"/>
  <c r="GD177" i="22"/>
  <c r="GC177" i="22"/>
  <c r="GB177" i="22"/>
  <c r="FZ177" i="22"/>
  <c r="FY177" i="22"/>
  <c r="FX177" i="22"/>
  <c r="FW177" i="22"/>
  <c r="FT177" i="22"/>
  <c r="FP177" i="22"/>
  <c r="FK177" i="22"/>
  <c r="FJ177" i="22"/>
  <c r="FE177" i="22"/>
  <c r="FD177" i="22"/>
  <c r="EV177" i="22"/>
  <c r="ER177" i="22"/>
  <c r="EQ177" i="22"/>
  <c r="EO177" i="22"/>
  <c r="EN177" i="22"/>
  <c r="EM177" i="22"/>
  <c r="EL177" i="22"/>
  <c r="DT177" i="22"/>
  <c r="DP177" i="22"/>
  <c r="DO177" i="22"/>
  <c r="DM177" i="22"/>
  <c r="DL177" i="22"/>
  <c r="DK177" i="22"/>
  <c r="DJ177" i="22"/>
  <c r="CR177" i="22"/>
  <c r="CN177" i="22"/>
  <c r="CM177" i="22"/>
  <c r="CK177" i="22"/>
  <c r="CJ177" i="22"/>
  <c r="CI177" i="22"/>
  <c r="CH177" i="22"/>
  <c r="BP177" i="22"/>
  <c r="BL177" i="22"/>
  <c r="BK177" i="22"/>
  <c r="BI177" i="22"/>
  <c r="BH177" i="22"/>
  <c r="BG177" i="22"/>
  <c r="BF177" i="22"/>
  <c r="AO177" i="22"/>
  <c r="AN177" i="22"/>
  <c r="AM177" i="22"/>
  <c r="GO176" i="22"/>
  <c r="GN176" i="22"/>
  <c r="GM176" i="22"/>
  <c r="GL176" i="22"/>
  <c r="GE176" i="22"/>
  <c r="GI176" i="22" s="1"/>
  <c r="GD176" i="22"/>
  <c r="GH176" i="22" s="1"/>
  <c r="GC176" i="22"/>
  <c r="GB176" i="22"/>
  <c r="FZ176" i="22"/>
  <c r="FY176" i="22"/>
  <c r="FX176" i="22"/>
  <c r="FW176" i="22"/>
  <c r="GF176" i="22" s="1"/>
  <c r="FT176" i="22"/>
  <c r="FP176" i="22"/>
  <c r="FK176" i="22"/>
  <c r="FJ176" i="22"/>
  <c r="FE176" i="22"/>
  <c r="FD176" i="22"/>
  <c r="EV176" i="22"/>
  <c r="ER176" i="22"/>
  <c r="EQ176" i="22"/>
  <c r="EO176" i="22"/>
  <c r="EN176" i="22"/>
  <c r="EM176" i="22"/>
  <c r="EL176" i="22"/>
  <c r="DT176" i="22"/>
  <c r="DP176" i="22"/>
  <c r="DO176" i="22"/>
  <c r="DM176" i="22"/>
  <c r="DL176" i="22"/>
  <c r="DK176" i="22"/>
  <c r="DJ176" i="22"/>
  <c r="CR176" i="22"/>
  <c r="CN176" i="22"/>
  <c r="CM176" i="22"/>
  <c r="CK176" i="22"/>
  <c r="CJ176" i="22"/>
  <c r="CI176" i="22"/>
  <c r="CH176" i="22"/>
  <c r="BP176" i="22"/>
  <c r="BL176" i="22"/>
  <c r="BK176" i="22"/>
  <c r="BI176" i="22"/>
  <c r="BH176" i="22"/>
  <c r="BG176" i="22"/>
  <c r="BF176" i="22"/>
  <c r="AO176" i="22"/>
  <c r="AN176" i="22"/>
  <c r="AM176" i="22"/>
  <c r="GO175" i="22"/>
  <c r="GN175" i="22"/>
  <c r="GM175" i="22"/>
  <c r="GL175" i="22"/>
  <c r="GE175" i="22"/>
  <c r="GI175" i="22" s="1"/>
  <c r="GD175" i="22"/>
  <c r="GH175" i="22" s="1"/>
  <c r="GC175" i="22"/>
  <c r="GB175" i="22"/>
  <c r="FZ175" i="22"/>
  <c r="FY175" i="22"/>
  <c r="FX175" i="22"/>
  <c r="FW175" i="22"/>
  <c r="FT175" i="22"/>
  <c r="FP175" i="22"/>
  <c r="FK175" i="22"/>
  <c r="FJ175" i="22"/>
  <c r="FE175" i="22"/>
  <c r="FD175" i="22"/>
  <c r="EV175" i="22"/>
  <c r="ER175" i="22"/>
  <c r="EQ175" i="22"/>
  <c r="EO175" i="22"/>
  <c r="EN175" i="22"/>
  <c r="EM175" i="22"/>
  <c r="EL175" i="22"/>
  <c r="DT175" i="22"/>
  <c r="DP175" i="22"/>
  <c r="DO175" i="22"/>
  <c r="DM175" i="22"/>
  <c r="DL175" i="22"/>
  <c r="DK175" i="22"/>
  <c r="DJ175" i="22"/>
  <c r="CR175" i="22"/>
  <c r="CN175" i="22"/>
  <c r="CM175" i="22"/>
  <c r="CK175" i="22"/>
  <c r="CJ175" i="22"/>
  <c r="CI175" i="22"/>
  <c r="CH175" i="22"/>
  <c r="BP175" i="22"/>
  <c r="BL175" i="22"/>
  <c r="BK175" i="22"/>
  <c r="BI175" i="22"/>
  <c r="BH175" i="22"/>
  <c r="BG175" i="22"/>
  <c r="BF175" i="22"/>
  <c r="AO175" i="22"/>
  <c r="AN175" i="22"/>
  <c r="AM175" i="22"/>
  <c r="GO174" i="22"/>
  <c r="GN174" i="22"/>
  <c r="GM174" i="22"/>
  <c r="GL174" i="22"/>
  <c r="GE174" i="22"/>
  <c r="GD174" i="22"/>
  <c r="GH174" i="22" s="1"/>
  <c r="GC174" i="22"/>
  <c r="GB174" i="22"/>
  <c r="FZ174" i="22"/>
  <c r="FY174" i="22"/>
  <c r="FX174" i="22"/>
  <c r="FW174" i="22"/>
  <c r="FT174" i="22"/>
  <c r="FP174" i="22"/>
  <c r="FK174" i="22"/>
  <c r="FJ174" i="22"/>
  <c r="FE174" i="22"/>
  <c r="FD174" i="22"/>
  <c r="EV174" i="22"/>
  <c r="ER174" i="22"/>
  <c r="EQ174" i="22"/>
  <c r="EO174" i="22"/>
  <c r="EN174" i="22"/>
  <c r="EM174" i="22"/>
  <c r="EL174" i="22"/>
  <c r="DT174" i="22"/>
  <c r="DP174" i="22"/>
  <c r="DO174" i="22"/>
  <c r="DM174" i="22"/>
  <c r="DL174" i="22"/>
  <c r="DK174" i="22"/>
  <c r="DJ174" i="22"/>
  <c r="CR174" i="22"/>
  <c r="CN174" i="22"/>
  <c r="CM174" i="22"/>
  <c r="CK174" i="22"/>
  <c r="CJ174" i="22"/>
  <c r="CI174" i="22"/>
  <c r="CH174" i="22"/>
  <c r="BP174" i="22"/>
  <c r="BL174" i="22"/>
  <c r="BK174" i="22"/>
  <c r="BI174" i="22"/>
  <c r="BH174" i="22"/>
  <c r="BG174" i="22"/>
  <c r="BF174" i="22"/>
  <c r="AO174" i="22"/>
  <c r="AN174" i="22"/>
  <c r="AM174" i="22"/>
  <c r="GO173" i="22"/>
  <c r="GN173" i="22"/>
  <c r="GM173" i="22"/>
  <c r="GL173" i="22"/>
  <c r="GE173" i="22"/>
  <c r="GI173" i="22" s="1"/>
  <c r="GD173" i="22"/>
  <c r="GC173" i="22"/>
  <c r="GB173" i="22"/>
  <c r="FZ173" i="22"/>
  <c r="FY173" i="22"/>
  <c r="FX173" i="22"/>
  <c r="FW173" i="22"/>
  <c r="FT173" i="22"/>
  <c r="FP173" i="22"/>
  <c r="FK173" i="22"/>
  <c r="FJ173" i="22"/>
  <c r="FE173" i="22"/>
  <c r="FD173" i="22"/>
  <c r="EV173" i="22"/>
  <c r="ER173" i="22"/>
  <c r="EQ173" i="22"/>
  <c r="EO173" i="22"/>
  <c r="EN173" i="22"/>
  <c r="EM173" i="22"/>
  <c r="EL173" i="22"/>
  <c r="DT173" i="22"/>
  <c r="DP173" i="22"/>
  <c r="DO173" i="22"/>
  <c r="DM173" i="22"/>
  <c r="DL173" i="22"/>
  <c r="DK173" i="22"/>
  <c r="DJ173" i="22"/>
  <c r="CR173" i="22"/>
  <c r="CN173" i="22"/>
  <c r="CM173" i="22"/>
  <c r="CK173" i="22"/>
  <c r="CJ173" i="22"/>
  <c r="CI173" i="22"/>
  <c r="CH173" i="22"/>
  <c r="BP173" i="22"/>
  <c r="BL173" i="22"/>
  <c r="BK173" i="22"/>
  <c r="BI173" i="22"/>
  <c r="BH173" i="22"/>
  <c r="BG173" i="22"/>
  <c r="BF173" i="22"/>
  <c r="AO173" i="22"/>
  <c r="AN173" i="22"/>
  <c r="AM173" i="22"/>
  <c r="GO172" i="22"/>
  <c r="GN172" i="22"/>
  <c r="GM172" i="22"/>
  <c r="GL172" i="22"/>
  <c r="GE172" i="22"/>
  <c r="GI172" i="22" s="1"/>
  <c r="GD172" i="22"/>
  <c r="GC172" i="22"/>
  <c r="GB172" i="22"/>
  <c r="FZ172" i="22"/>
  <c r="FY172" i="22"/>
  <c r="GH172" i="22" s="1"/>
  <c r="FX172" i="22"/>
  <c r="FW172" i="22"/>
  <c r="GA172" i="22" s="1"/>
  <c r="FT172" i="22"/>
  <c r="FP172" i="22"/>
  <c r="FK172" i="22"/>
  <c r="FJ172" i="22"/>
  <c r="FE172" i="22"/>
  <c r="FD172" i="22"/>
  <c r="EV172" i="22"/>
  <c r="ER172" i="22"/>
  <c r="EQ172" i="22"/>
  <c r="EO172" i="22"/>
  <c r="EN172" i="22"/>
  <c r="EM172" i="22"/>
  <c r="EL172" i="22"/>
  <c r="DT172" i="22"/>
  <c r="DP172" i="22"/>
  <c r="DO172" i="22"/>
  <c r="DM172" i="22"/>
  <c r="DL172" i="22"/>
  <c r="DK172" i="22"/>
  <c r="DJ172" i="22"/>
  <c r="CR172" i="22"/>
  <c r="CN172" i="22"/>
  <c r="CM172" i="22"/>
  <c r="CK172" i="22"/>
  <c r="CJ172" i="22"/>
  <c r="CI172" i="22"/>
  <c r="CL172" i="22" s="1"/>
  <c r="CH172" i="22"/>
  <c r="BP172" i="22"/>
  <c r="BL172" i="22"/>
  <c r="BK172" i="22"/>
  <c r="BI172" i="22"/>
  <c r="BH172" i="22"/>
  <c r="BG172" i="22"/>
  <c r="BF172" i="22"/>
  <c r="AO172" i="22"/>
  <c r="AN172" i="22"/>
  <c r="AM172" i="22"/>
  <c r="GO171" i="22"/>
  <c r="GN171" i="22"/>
  <c r="GM171" i="22"/>
  <c r="GL171" i="22"/>
  <c r="GE171" i="22"/>
  <c r="GD171" i="22"/>
  <c r="GC171" i="22"/>
  <c r="GB171" i="22"/>
  <c r="FZ171" i="22"/>
  <c r="FY171" i="22"/>
  <c r="FX171" i="22"/>
  <c r="FW171" i="22"/>
  <c r="FT171" i="22"/>
  <c r="FP171" i="22"/>
  <c r="FK171" i="22"/>
  <c r="FJ171" i="22"/>
  <c r="FE171" i="22"/>
  <c r="FD171" i="22"/>
  <c r="EV171" i="22"/>
  <c r="ER171" i="22"/>
  <c r="EQ171" i="22"/>
  <c r="EO171" i="22"/>
  <c r="EN171" i="22"/>
  <c r="EM171" i="22"/>
  <c r="EL171" i="22"/>
  <c r="DT171" i="22"/>
  <c r="DP171" i="22"/>
  <c r="DO171" i="22"/>
  <c r="DM171" i="22"/>
  <c r="DL171" i="22"/>
  <c r="DK171" i="22"/>
  <c r="DJ171" i="22"/>
  <c r="CR171" i="22"/>
  <c r="CN171" i="22"/>
  <c r="CM171" i="22"/>
  <c r="CK171" i="22"/>
  <c r="CJ171" i="22"/>
  <c r="CI171" i="22"/>
  <c r="CH171" i="22"/>
  <c r="BP171" i="22"/>
  <c r="BL171" i="22"/>
  <c r="BK171" i="22"/>
  <c r="BI171" i="22"/>
  <c r="BH171" i="22"/>
  <c r="BG171" i="22"/>
  <c r="BF171" i="22"/>
  <c r="AO171" i="22"/>
  <c r="AN171" i="22"/>
  <c r="AM171" i="22"/>
  <c r="GO170" i="22"/>
  <c r="GN170" i="22"/>
  <c r="GQ170" i="22" s="1"/>
  <c r="GM170" i="22"/>
  <c r="GL170" i="22"/>
  <c r="GE170" i="22"/>
  <c r="GD170" i="22"/>
  <c r="GC170" i="22"/>
  <c r="GB170" i="22"/>
  <c r="FZ170" i="22"/>
  <c r="FY170" i="22"/>
  <c r="FX170" i="22"/>
  <c r="FW170" i="22"/>
  <c r="GF170" i="22" s="1"/>
  <c r="FT170" i="22"/>
  <c r="FP170" i="22"/>
  <c r="FK170" i="22"/>
  <c r="FJ170" i="22"/>
  <c r="FE170" i="22"/>
  <c r="FD170" i="22"/>
  <c r="EV170" i="22"/>
  <c r="ER170" i="22"/>
  <c r="EQ170" i="22"/>
  <c r="EO170" i="22"/>
  <c r="EN170" i="22"/>
  <c r="EM170" i="22"/>
  <c r="EL170" i="22"/>
  <c r="EP170" i="22" s="1"/>
  <c r="DT170" i="22"/>
  <c r="DP170" i="22"/>
  <c r="DO170" i="22"/>
  <c r="DM170" i="22"/>
  <c r="DL170" i="22"/>
  <c r="DK170" i="22"/>
  <c r="DJ170" i="22"/>
  <c r="CR170" i="22"/>
  <c r="CN170" i="22"/>
  <c r="CM170" i="22"/>
  <c r="CK170" i="22"/>
  <c r="CJ170" i="22"/>
  <c r="CI170" i="22"/>
  <c r="CH170" i="22"/>
  <c r="BP170" i="22"/>
  <c r="BL170" i="22"/>
  <c r="BK170" i="22"/>
  <c r="BI170" i="22"/>
  <c r="BH170" i="22"/>
  <c r="BG170" i="22"/>
  <c r="BF170" i="22"/>
  <c r="AO170" i="22"/>
  <c r="AN170" i="22"/>
  <c r="AM170" i="22"/>
  <c r="GO169" i="22"/>
  <c r="GN169" i="22"/>
  <c r="GM169" i="22"/>
  <c r="GL169" i="22"/>
  <c r="GE169" i="22"/>
  <c r="GD169" i="22"/>
  <c r="GC169" i="22"/>
  <c r="GG169" i="22" s="1"/>
  <c r="GB169" i="22"/>
  <c r="FZ169" i="22"/>
  <c r="FY169" i="22"/>
  <c r="FX169" i="22"/>
  <c r="FW169" i="22"/>
  <c r="FT169" i="22"/>
  <c r="FP169" i="22"/>
  <c r="FK169" i="22"/>
  <c r="FJ169" i="22"/>
  <c r="FE169" i="22"/>
  <c r="FD169" i="22"/>
  <c r="EV169" i="22"/>
  <c r="ER169" i="22"/>
  <c r="EQ169" i="22"/>
  <c r="EO169" i="22"/>
  <c r="EN169" i="22"/>
  <c r="EM169" i="22"/>
  <c r="EL169" i="22"/>
  <c r="DT169" i="22"/>
  <c r="DP169" i="22"/>
  <c r="DO169" i="22"/>
  <c r="DM169" i="22"/>
  <c r="DL169" i="22"/>
  <c r="DK169" i="22"/>
  <c r="DJ169" i="22"/>
  <c r="CR169" i="22"/>
  <c r="CN169" i="22"/>
  <c r="CM169" i="22"/>
  <c r="CK169" i="22"/>
  <c r="CJ169" i="22"/>
  <c r="CI169" i="22"/>
  <c r="CH169" i="22"/>
  <c r="BP169" i="22"/>
  <c r="BL169" i="22"/>
  <c r="BK169" i="22"/>
  <c r="BI169" i="22"/>
  <c r="BH169" i="22"/>
  <c r="BG169" i="22"/>
  <c r="BF169" i="22"/>
  <c r="AO169" i="22"/>
  <c r="AN169" i="22"/>
  <c r="AM169" i="22"/>
  <c r="GO168" i="22"/>
  <c r="GN168" i="22"/>
  <c r="GQ168" i="22" s="1"/>
  <c r="GM168" i="22"/>
  <c r="GL168" i="22"/>
  <c r="GE168" i="22"/>
  <c r="GD168" i="22"/>
  <c r="GC168" i="22"/>
  <c r="GB168" i="22"/>
  <c r="FZ168" i="22"/>
  <c r="FY168" i="22"/>
  <c r="FX168" i="22"/>
  <c r="FW168" i="22"/>
  <c r="FT168" i="22"/>
  <c r="FP168" i="22"/>
  <c r="FK168" i="22"/>
  <c r="FJ168" i="22"/>
  <c r="FE168" i="22"/>
  <c r="FD168" i="22"/>
  <c r="EV168" i="22"/>
  <c r="ER168" i="22"/>
  <c r="EQ168" i="22"/>
  <c r="EO168" i="22"/>
  <c r="EN168" i="22"/>
  <c r="EM168" i="22"/>
  <c r="EL168" i="22"/>
  <c r="DT168" i="22"/>
  <c r="DP168" i="22"/>
  <c r="DO168" i="22"/>
  <c r="DM168" i="22"/>
  <c r="DL168" i="22"/>
  <c r="DK168" i="22"/>
  <c r="DJ168" i="22"/>
  <c r="CR168" i="22"/>
  <c r="CN168" i="22"/>
  <c r="CM168" i="22"/>
  <c r="CK168" i="22"/>
  <c r="CJ168" i="22"/>
  <c r="CI168" i="22"/>
  <c r="CH168" i="22"/>
  <c r="BP168" i="22"/>
  <c r="BL168" i="22"/>
  <c r="BK168" i="22"/>
  <c r="BI168" i="22"/>
  <c r="BH168" i="22"/>
  <c r="BG168" i="22"/>
  <c r="BF168" i="22"/>
  <c r="AO168" i="22"/>
  <c r="AN168" i="22"/>
  <c r="AM168" i="22"/>
  <c r="GQ167" i="22"/>
  <c r="GO167" i="22"/>
  <c r="GN167" i="22"/>
  <c r="GM167" i="22"/>
  <c r="GL167" i="22"/>
  <c r="GE167" i="22"/>
  <c r="GD167" i="22"/>
  <c r="GC167" i="22"/>
  <c r="GB167" i="22"/>
  <c r="FZ167" i="22"/>
  <c r="FY167" i="22"/>
  <c r="FX167" i="22"/>
  <c r="FW167" i="22"/>
  <c r="FT167" i="22"/>
  <c r="FP167" i="22"/>
  <c r="FK167" i="22"/>
  <c r="FJ167" i="22"/>
  <c r="FE167" i="22"/>
  <c r="FD167" i="22"/>
  <c r="EV167" i="22"/>
  <c r="ER167" i="22"/>
  <c r="EQ167" i="22"/>
  <c r="EO167" i="22"/>
  <c r="EN167" i="22"/>
  <c r="EM167" i="22"/>
  <c r="EL167" i="22"/>
  <c r="DT167" i="22"/>
  <c r="DP167" i="22"/>
  <c r="DO167" i="22"/>
  <c r="DM167" i="22"/>
  <c r="DL167" i="22"/>
  <c r="DK167" i="22"/>
  <c r="DJ167" i="22"/>
  <c r="CR167" i="22"/>
  <c r="CN167" i="22"/>
  <c r="CM167" i="22"/>
  <c r="CK167" i="22"/>
  <c r="CJ167" i="22"/>
  <c r="CI167" i="22"/>
  <c r="CH167" i="22"/>
  <c r="BP167" i="22"/>
  <c r="BL167" i="22"/>
  <c r="BK167" i="22"/>
  <c r="BI167" i="22"/>
  <c r="BH167" i="22"/>
  <c r="BG167" i="22"/>
  <c r="BF167" i="22"/>
  <c r="AO167" i="22"/>
  <c r="AN167" i="22"/>
  <c r="AM167" i="22"/>
  <c r="GO166" i="22"/>
  <c r="GN166" i="22"/>
  <c r="GM166" i="22"/>
  <c r="GL166" i="22"/>
  <c r="GE166" i="22"/>
  <c r="GI166" i="22" s="1"/>
  <c r="GD166" i="22"/>
  <c r="GC166" i="22"/>
  <c r="GB166" i="22"/>
  <c r="FZ166" i="22"/>
  <c r="FY166" i="22"/>
  <c r="FX166" i="22"/>
  <c r="FW166" i="22"/>
  <c r="FT166" i="22"/>
  <c r="FP166" i="22"/>
  <c r="FK166" i="22"/>
  <c r="FJ166" i="22"/>
  <c r="FE166" i="22"/>
  <c r="FD166" i="22"/>
  <c r="EV166" i="22"/>
  <c r="ER166" i="22"/>
  <c r="EQ166" i="22"/>
  <c r="EO166" i="22"/>
  <c r="EN166" i="22"/>
  <c r="EM166" i="22"/>
  <c r="EL166" i="22"/>
  <c r="DT166" i="22"/>
  <c r="DP166" i="22"/>
  <c r="DO166" i="22"/>
  <c r="DM166" i="22"/>
  <c r="DL166" i="22"/>
  <c r="DK166" i="22"/>
  <c r="DJ166" i="22"/>
  <c r="CR166" i="22"/>
  <c r="CN166" i="22"/>
  <c r="CM166" i="22"/>
  <c r="CK166" i="22"/>
  <c r="CJ166" i="22"/>
  <c r="CI166" i="22"/>
  <c r="CH166" i="22"/>
  <c r="BP166" i="22"/>
  <c r="BL166" i="22"/>
  <c r="BK166" i="22"/>
  <c r="BI166" i="22"/>
  <c r="BH166" i="22"/>
  <c r="BG166" i="22"/>
  <c r="BF166" i="22"/>
  <c r="AO166" i="22"/>
  <c r="AN166" i="22"/>
  <c r="AM166" i="22"/>
  <c r="GE165" i="22"/>
  <c r="GD165" i="22"/>
  <c r="GH165" i="22" s="1"/>
  <c r="GC165" i="22"/>
  <c r="GB165" i="22"/>
  <c r="FZ165" i="22"/>
  <c r="FY165" i="22"/>
  <c r="FX165" i="22"/>
  <c r="FW165" i="22"/>
  <c r="FT165" i="22"/>
  <c r="FP165" i="22"/>
  <c r="FK165" i="22"/>
  <c r="FJ165" i="22"/>
  <c r="FE165" i="22"/>
  <c r="FD165" i="22"/>
  <c r="ER165" i="22"/>
  <c r="EQ165" i="22"/>
  <c r="EO165" i="22"/>
  <c r="EN165" i="22"/>
  <c r="EM165" i="22"/>
  <c r="EL165" i="22"/>
  <c r="DP165" i="22"/>
  <c r="DO165" i="22"/>
  <c r="DM165" i="22"/>
  <c r="DL165" i="22"/>
  <c r="DK165" i="22"/>
  <c r="DJ165" i="22"/>
  <c r="CN165" i="22"/>
  <c r="CM165" i="22"/>
  <c r="CK165" i="22"/>
  <c r="CJ165" i="22"/>
  <c r="CI165" i="22"/>
  <c r="CH165" i="22"/>
  <c r="BL165" i="22"/>
  <c r="BK165" i="22"/>
  <c r="BI165" i="22"/>
  <c r="BH165" i="22"/>
  <c r="BG165" i="22"/>
  <c r="BF165" i="22"/>
  <c r="AO165" i="22"/>
  <c r="GO165" i="22" s="1"/>
  <c r="AN165" i="22"/>
  <c r="AM165" i="22"/>
  <c r="T165" i="22"/>
  <c r="Q165" i="22"/>
  <c r="R165" i="22" s="1"/>
  <c r="GE164" i="22"/>
  <c r="GD164" i="22"/>
  <c r="GC164" i="22"/>
  <c r="GB164" i="22"/>
  <c r="FZ164" i="22"/>
  <c r="FY164" i="22"/>
  <c r="FX164" i="22"/>
  <c r="FW164" i="22"/>
  <c r="FT164" i="22"/>
  <c r="FP164" i="22"/>
  <c r="FK164" i="22"/>
  <c r="FJ164" i="22"/>
  <c r="FE164" i="22"/>
  <c r="FD164" i="22"/>
  <c r="ER164" i="22"/>
  <c r="EQ164" i="22"/>
  <c r="EO164" i="22"/>
  <c r="EN164" i="22"/>
  <c r="EM164" i="22"/>
  <c r="EL164" i="22"/>
  <c r="DP164" i="22"/>
  <c r="DO164" i="22"/>
  <c r="DM164" i="22"/>
  <c r="DL164" i="22"/>
  <c r="DK164" i="22"/>
  <c r="DJ164" i="22"/>
  <c r="CN164" i="22"/>
  <c r="CM164" i="22"/>
  <c r="CK164" i="22"/>
  <c r="CJ164" i="22"/>
  <c r="CI164" i="22"/>
  <c r="CH164" i="22"/>
  <c r="BP164" i="22"/>
  <c r="BL164" i="22"/>
  <c r="BK164" i="22"/>
  <c r="BI164" i="22"/>
  <c r="BH164" i="22"/>
  <c r="BG164" i="22"/>
  <c r="BF164" i="22"/>
  <c r="AO164" i="22"/>
  <c r="GO164" i="22" s="1"/>
  <c r="AN164" i="22"/>
  <c r="AM164" i="22"/>
  <c r="T164" i="22"/>
  <c r="DT164" i="22" s="1"/>
  <c r="Q164" i="22"/>
  <c r="R164" i="22" s="1"/>
  <c r="GE163" i="22"/>
  <c r="GD163" i="22"/>
  <c r="GC163" i="22"/>
  <c r="GB163" i="22"/>
  <c r="FZ163" i="22"/>
  <c r="GI163" i="22" s="1"/>
  <c r="FY163" i="22"/>
  <c r="FX163" i="22"/>
  <c r="FW163" i="22"/>
  <c r="GF163" i="22" s="1"/>
  <c r="FT163" i="22"/>
  <c r="FP163" i="22"/>
  <c r="FK163" i="22"/>
  <c r="FJ163" i="22"/>
  <c r="FE163" i="22"/>
  <c r="FD163" i="22"/>
  <c r="ER163" i="22"/>
  <c r="EQ163" i="22"/>
  <c r="EO163" i="22"/>
  <c r="EN163" i="22"/>
  <c r="EM163" i="22"/>
  <c r="EL163" i="22"/>
  <c r="DP163" i="22"/>
  <c r="DO163" i="22"/>
  <c r="DM163" i="22"/>
  <c r="DL163" i="22"/>
  <c r="DK163" i="22"/>
  <c r="DJ163" i="22"/>
  <c r="CN163" i="22"/>
  <c r="CM163" i="22"/>
  <c r="CK163" i="22"/>
  <c r="CI163" i="22"/>
  <c r="CH163" i="22"/>
  <c r="CB163" i="22"/>
  <c r="CJ163" i="22" s="1"/>
  <c r="BL163" i="22"/>
  <c r="BK163" i="22"/>
  <c r="BI163" i="22"/>
  <c r="BH163" i="22"/>
  <c r="BG163" i="22"/>
  <c r="BF163" i="22"/>
  <c r="AO163" i="22"/>
  <c r="GO163" i="22" s="1"/>
  <c r="AN163" i="22"/>
  <c r="AM163" i="22"/>
  <c r="T163" i="22"/>
  <c r="Q163" i="22"/>
  <c r="R163" i="22" s="1"/>
  <c r="GL162" i="22"/>
  <c r="GE162" i="22"/>
  <c r="GI162" i="22" s="1"/>
  <c r="GD162" i="22"/>
  <c r="GC162" i="22"/>
  <c r="GB162" i="22"/>
  <c r="FZ162" i="22"/>
  <c r="FY162" i="22"/>
  <c r="FX162" i="22"/>
  <c r="FW162" i="22"/>
  <c r="FT162" i="22"/>
  <c r="FP162" i="22"/>
  <c r="FK162" i="22"/>
  <c r="FJ162" i="22"/>
  <c r="FE162" i="22"/>
  <c r="FD162" i="22"/>
  <c r="ER162" i="22"/>
  <c r="EQ162" i="22"/>
  <c r="EO162" i="22"/>
  <c r="EN162" i="22"/>
  <c r="EP162" i="22" s="1"/>
  <c r="EM162" i="22"/>
  <c r="EL162" i="22"/>
  <c r="DP162" i="22"/>
  <c r="DO162" i="22"/>
  <c r="DM162" i="22"/>
  <c r="DL162" i="22"/>
  <c r="DK162" i="22"/>
  <c r="DJ162" i="22"/>
  <c r="CN162" i="22"/>
  <c r="CM162" i="22"/>
  <c r="CK162" i="22"/>
  <c r="CJ162" i="22"/>
  <c r="CI162" i="22"/>
  <c r="CH162" i="22"/>
  <c r="BL162" i="22"/>
  <c r="BK162" i="22"/>
  <c r="BI162" i="22"/>
  <c r="BH162" i="22"/>
  <c r="BG162" i="22"/>
  <c r="BF162" i="22"/>
  <c r="AO162" i="22"/>
  <c r="AN162" i="22"/>
  <c r="AM162" i="22"/>
  <c r="T162" i="22"/>
  <c r="DT162" i="22" s="1"/>
  <c r="Q162" i="22"/>
  <c r="R162" i="22" s="1"/>
  <c r="GE161" i="22"/>
  <c r="GD161" i="22"/>
  <c r="GC161" i="22"/>
  <c r="GB161" i="22"/>
  <c r="FZ161" i="22"/>
  <c r="FY161" i="22"/>
  <c r="FX161" i="22"/>
  <c r="FW161" i="22"/>
  <c r="FT161" i="22"/>
  <c r="FP161" i="22"/>
  <c r="FK161" i="22"/>
  <c r="FJ161" i="22"/>
  <c r="FE161" i="22"/>
  <c r="FD161" i="22"/>
  <c r="ER161" i="22"/>
  <c r="EQ161" i="22"/>
  <c r="EO161" i="22"/>
  <c r="EN161" i="22"/>
  <c r="EM161" i="22"/>
  <c r="EL161" i="22"/>
  <c r="DP161" i="22"/>
  <c r="DO161" i="22"/>
  <c r="DM161" i="22"/>
  <c r="DL161" i="22"/>
  <c r="DK161" i="22"/>
  <c r="DJ161" i="22"/>
  <c r="CN161" i="22"/>
  <c r="CM161" i="22"/>
  <c r="CK161" i="22"/>
  <c r="CJ161" i="22"/>
  <c r="CI161" i="22"/>
  <c r="CH161" i="22"/>
  <c r="BL161" i="22"/>
  <c r="BK161" i="22"/>
  <c r="BI161" i="22"/>
  <c r="BH161" i="22"/>
  <c r="BG161" i="22"/>
  <c r="BF161" i="22"/>
  <c r="AO161" i="22"/>
  <c r="AN161" i="22"/>
  <c r="AM161" i="22"/>
  <c r="T161" i="22"/>
  <c r="DT161" i="22" s="1"/>
  <c r="Q161" i="22"/>
  <c r="R161" i="22" s="1"/>
  <c r="GE160" i="22"/>
  <c r="GD160" i="22"/>
  <c r="GC160" i="22"/>
  <c r="GB160" i="22"/>
  <c r="FZ160" i="22"/>
  <c r="FY160" i="22"/>
  <c r="FX160" i="22"/>
  <c r="GG160" i="22" s="1"/>
  <c r="FW160" i="22"/>
  <c r="FT160" i="22"/>
  <c r="FP160" i="22"/>
  <c r="FK160" i="22"/>
  <c r="FJ160" i="22"/>
  <c r="FE160" i="22"/>
  <c r="FD160" i="22"/>
  <c r="ER160" i="22"/>
  <c r="EQ160" i="22"/>
  <c r="EO160" i="22"/>
  <c r="EN160" i="22"/>
  <c r="EM160" i="22"/>
  <c r="EL160" i="22"/>
  <c r="DP160" i="22"/>
  <c r="DO160" i="22"/>
  <c r="DM160" i="22"/>
  <c r="DL160" i="22"/>
  <c r="DK160" i="22"/>
  <c r="DJ160" i="22"/>
  <c r="CN160" i="22"/>
  <c r="CM160" i="22"/>
  <c r="CK160" i="22"/>
  <c r="CJ160" i="22"/>
  <c r="CI160" i="22"/>
  <c r="CH160" i="22"/>
  <c r="BL160" i="22"/>
  <c r="BK160" i="22"/>
  <c r="BI160" i="22"/>
  <c r="BH160" i="22"/>
  <c r="BG160" i="22"/>
  <c r="BF160" i="22"/>
  <c r="AO160" i="22"/>
  <c r="AN160" i="22"/>
  <c r="AM160" i="22"/>
  <c r="T160" i="22"/>
  <c r="BP160" i="22" s="1"/>
  <c r="Q160" i="22"/>
  <c r="R160" i="22" s="1"/>
  <c r="GO159" i="22"/>
  <c r="GN159" i="22"/>
  <c r="GM159" i="22"/>
  <c r="GL159" i="22"/>
  <c r="GE159" i="22"/>
  <c r="GD159" i="22"/>
  <c r="GC159" i="22"/>
  <c r="GB159" i="22"/>
  <c r="FZ159" i="22"/>
  <c r="FY159" i="22"/>
  <c r="FX159" i="22"/>
  <c r="FW159" i="22"/>
  <c r="FT159" i="22"/>
  <c r="FP159" i="22"/>
  <c r="FK159" i="22"/>
  <c r="FJ159" i="22"/>
  <c r="FE159" i="22"/>
  <c r="FD159" i="22"/>
  <c r="ER159" i="22"/>
  <c r="EQ159" i="22"/>
  <c r="EO159" i="22"/>
  <c r="EN159" i="22"/>
  <c r="EM159" i="22"/>
  <c r="EL159" i="22"/>
  <c r="DP159" i="22"/>
  <c r="DO159" i="22"/>
  <c r="DM159" i="22"/>
  <c r="DL159" i="22"/>
  <c r="DK159" i="22"/>
  <c r="DJ159" i="22"/>
  <c r="CN159" i="22"/>
  <c r="CM159" i="22"/>
  <c r="CK159" i="22"/>
  <c r="CJ159" i="22"/>
  <c r="CI159" i="22"/>
  <c r="CH159" i="22"/>
  <c r="BL159" i="22"/>
  <c r="BK159" i="22"/>
  <c r="BI159" i="22"/>
  <c r="BH159" i="22"/>
  <c r="BG159" i="22"/>
  <c r="BF159" i="22"/>
  <c r="AO159" i="22"/>
  <c r="AN159" i="22"/>
  <c r="AM159" i="22"/>
  <c r="T159" i="22"/>
  <c r="BP159" i="22" s="1"/>
  <c r="Q159" i="22"/>
  <c r="R159" i="22" s="1"/>
  <c r="GE158" i="22"/>
  <c r="GD158" i="22"/>
  <c r="GC158" i="22"/>
  <c r="GG158" i="22" s="1"/>
  <c r="GB158" i="22"/>
  <c r="FZ158" i="22"/>
  <c r="FY158" i="22"/>
  <c r="FX158" i="22"/>
  <c r="FW158" i="22"/>
  <c r="FT158" i="22"/>
  <c r="FP158" i="22"/>
  <c r="FK158" i="22"/>
  <c r="FJ158" i="22"/>
  <c r="FE158" i="22"/>
  <c r="FD158" i="22"/>
  <c r="ER158" i="22"/>
  <c r="EQ158" i="22"/>
  <c r="EO158" i="22"/>
  <c r="EN158" i="22"/>
  <c r="EM158" i="22"/>
  <c r="EL158" i="22"/>
  <c r="DP158" i="22"/>
  <c r="DO158" i="22"/>
  <c r="DM158" i="22"/>
  <c r="DL158" i="22"/>
  <c r="DK158" i="22"/>
  <c r="DJ158" i="22"/>
  <c r="CN158" i="22"/>
  <c r="CM158" i="22"/>
  <c r="CK158" i="22"/>
  <c r="CJ158" i="22"/>
  <c r="CI158" i="22"/>
  <c r="CH158" i="22"/>
  <c r="BL158" i="22"/>
  <c r="BK158" i="22"/>
  <c r="BI158" i="22"/>
  <c r="BH158" i="22"/>
  <c r="BG158" i="22"/>
  <c r="BF158" i="22"/>
  <c r="AO158" i="22"/>
  <c r="GO158" i="22" s="1"/>
  <c r="AN158" i="22"/>
  <c r="AM158" i="22"/>
  <c r="T158" i="22"/>
  <c r="EV158" i="22" s="1"/>
  <c r="Q158" i="22"/>
  <c r="R158" i="22" s="1"/>
  <c r="GN157" i="22"/>
  <c r="GE157" i="22"/>
  <c r="GD157" i="22"/>
  <c r="GC157" i="22"/>
  <c r="GB157" i="22"/>
  <c r="FZ157" i="22"/>
  <c r="FY157" i="22"/>
  <c r="FX157" i="22"/>
  <c r="FW157" i="22"/>
  <c r="FT157" i="22"/>
  <c r="FP157" i="22"/>
  <c r="FK157" i="22"/>
  <c r="FJ157" i="22"/>
  <c r="FE157" i="22"/>
  <c r="FD157" i="22"/>
  <c r="ER157" i="22"/>
  <c r="EQ157" i="22"/>
  <c r="EP157" i="22"/>
  <c r="EO157" i="22"/>
  <c r="EN157" i="22"/>
  <c r="EM157" i="22"/>
  <c r="EL157" i="22"/>
  <c r="DP157" i="22"/>
  <c r="DO157" i="22"/>
  <c r="DM157" i="22"/>
  <c r="DL157" i="22"/>
  <c r="DK157" i="22"/>
  <c r="DJ157" i="22"/>
  <c r="CN157" i="22"/>
  <c r="CM157" i="22"/>
  <c r="CK157" i="22"/>
  <c r="CJ157" i="22"/>
  <c r="CI157" i="22"/>
  <c r="CH157" i="22"/>
  <c r="BL157" i="22"/>
  <c r="BK157" i="22"/>
  <c r="BI157" i="22"/>
  <c r="BH157" i="22"/>
  <c r="BG157" i="22"/>
  <c r="BF157" i="22"/>
  <c r="AO157" i="22"/>
  <c r="GL157" i="22" s="1"/>
  <c r="AN157" i="22"/>
  <c r="AM157" i="22"/>
  <c r="T157" i="22"/>
  <c r="EV157" i="22" s="1"/>
  <c r="Q157" i="22"/>
  <c r="R157" i="22" s="1"/>
  <c r="GO156" i="22"/>
  <c r="GN156" i="22"/>
  <c r="GM156" i="22"/>
  <c r="GL156" i="22"/>
  <c r="GI156" i="22"/>
  <c r="GE156" i="22"/>
  <c r="GD156" i="22"/>
  <c r="GC156" i="22"/>
  <c r="GG156" i="22" s="1"/>
  <c r="GB156" i="22"/>
  <c r="FZ156" i="22"/>
  <c r="FY156" i="22"/>
  <c r="GH156" i="22" s="1"/>
  <c r="FX156" i="22"/>
  <c r="FW156" i="22"/>
  <c r="FT156" i="22"/>
  <c r="FP156" i="22"/>
  <c r="FK156" i="22"/>
  <c r="FJ156" i="22"/>
  <c r="FE156" i="22"/>
  <c r="FD156" i="22"/>
  <c r="ER156" i="22"/>
  <c r="EQ156" i="22"/>
  <c r="EO156" i="22"/>
  <c r="EN156" i="22"/>
  <c r="EM156" i="22"/>
  <c r="EL156" i="22"/>
  <c r="DP156" i="22"/>
  <c r="DO156" i="22"/>
  <c r="DM156" i="22"/>
  <c r="DL156" i="22"/>
  <c r="DK156" i="22"/>
  <c r="DJ156" i="22"/>
  <c r="CN156" i="22"/>
  <c r="CM156" i="22"/>
  <c r="CK156" i="22"/>
  <c r="CJ156" i="22"/>
  <c r="CI156" i="22"/>
  <c r="CH156" i="22"/>
  <c r="BL156" i="22"/>
  <c r="BK156" i="22"/>
  <c r="BI156" i="22"/>
  <c r="BH156" i="22"/>
  <c r="BG156" i="22"/>
  <c r="BF156" i="22"/>
  <c r="AO156" i="22"/>
  <c r="AN156" i="22"/>
  <c r="AM156" i="22"/>
  <c r="T156" i="22"/>
  <c r="BP156" i="22" s="1"/>
  <c r="Q156" i="22"/>
  <c r="R156" i="22" s="1"/>
  <c r="GO155" i="22"/>
  <c r="GN155" i="22"/>
  <c r="GM155" i="22"/>
  <c r="GL155" i="22"/>
  <c r="GE155" i="22"/>
  <c r="GD155" i="22"/>
  <c r="GC155" i="22"/>
  <c r="GB155" i="22"/>
  <c r="FZ155" i="22"/>
  <c r="FY155" i="22"/>
  <c r="FX155" i="22"/>
  <c r="FW155" i="22"/>
  <c r="FT155" i="22"/>
  <c r="FP155" i="22"/>
  <c r="FK155" i="22"/>
  <c r="FJ155" i="22"/>
  <c r="FE155" i="22"/>
  <c r="FD155" i="22"/>
  <c r="ER155" i="22"/>
  <c r="EQ155" i="22"/>
  <c r="EO155" i="22"/>
  <c r="EN155" i="22"/>
  <c r="EM155" i="22"/>
  <c r="EL155" i="22"/>
  <c r="DP155" i="22"/>
  <c r="DO155" i="22"/>
  <c r="DM155" i="22"/>
  <c r="DL155" i="22"/>
  <c r="DK155" i="22"/>
  <c r="DJ155" i="22"/>
  <c r="CN155" i="22"/>
  <c r="CM155" i="22"/>
  <c r="CK155" i="22"/>
  <c r="CJ155" i="22"/>
  <c r="CI155" i="22"/>
  <c r="CH155" i="22"/>
  <c r="BL155" i="22"/>
  <c r="BK155" i="22"/>
  <c r="BI155" i="22"/>
  <c r="BH155" i="22"/>
  <c r="BG155" i="22"/>
  <c r="BF155" i="22"/>
  <c r="AO155" i="22"/>
  <c r="AN155" i="22"/>
  <c r="AM155" i="22"/>
  <c r="T155" i="22"/>
  <c r="Q155" i="22"/>
  <c r="R155" i="22" s="1"/>
  <c r="GO154" i="22"/>
  <c r="GN154" i="22"/>
  <c r="GM154" i="22"/>
  <c r="GL154" i="22"/>
  <c r="GE154" i="22"/>
  <c r="GI154" i="22" s="1"/>
  <c r="GD154" i="22"/>
  <c r="GC154" i="22"/>
  <c r="GG154" i="22" s="1"/>
  <c r="GB154" i="22"/>
  <c r="FZ154" i="22"/>
  <c r="FY154" i="22"/>
  <c r="FX154" i="22"/>
  <c r="FW154" i="22"/>
  <c r="FT154" i="22"/>
  <c r="FP154" i="22"/>
  <c r="FK154" i="22"/>
  <c r="FJ154" i="22"/>
  <c r="FE154" i="22"/>
  <c r="FD154" i="22"/>
  <c r="ER154" i="22"/>
  <c r="EQ154" i="22"/>
  <c r="EO154" i="22"/>
  <c r="EN154" i="22"/>
  <c r="EM154" i="22"/>
  <c r="EL154" i="22"/>
  <c r="DP154" i="22"/>
  <c r="DO154" i="22"/>
  <c r="DM154" i="22"/>
  <c r="DL154" i="22"/>
  <c r="DK154" i="22"/>
  <c r="DJ154" i="22"/>
  <c r="CN154" i="22"/>
  <c r="CM154" i="22"/>
  <c r="CK154" i="22"/>
  <c r="CJ154" i="22"/>
  <c r="CI154" i="22"/>
  <c r="CH154" i="22"/>
  <c r="BL154" i="22"/>
  <c r="BK154" i="22"/>
  <c r="BI154" i="22"/>
  <c r="BH154" i="22"/>
  <c r="BJ154" i="22" s="1"/>
  <c r="BG154" i="22"/>
  <c r="BF154" i="22"/>
  <c r="AO154" i="22"/>
  <c r="AN154" i="22"/>
  <c r="AM154" i="22"/>
  <c r="T154" i="22"/>
  <c r="Q154" i="22"/>
  <c r="R154" i="22" s="1"/>
  <c r="GE153" i="22"/>
  <c r="GD153" i="22"/>
  <c r="GC153" i="22"/>
  <c r="GB153" i="22"/>
  <c r="FZ153" i="22"/>
  <c r="FY153" i="22"/>
  <c r="FX153" i="22"/>
  <c r="FW153" i="22"/>
  <c r="FT153" i="22"/>
  <c r="FP153" i="22"/>
  <c r="FK153" i="22"/>
  <c r="FJ153" i="22"/>
  <c r="FE153" i="22"/>
  <c r="FD153" i="22"/>
  <c r="ER153" i="22"/>
  <c r="EQ153" i="22"/>
  <c r="EO153" i="22"/>
  <c r="EN153" i="22"/>
  <c r="EM153" i="22"/>
  <c r="EL153" i="22"/>
  <c r="DP153" i="22"/>
  <c r="DO153" i="22"/>
  <c r="DM153" i="22"/>
  <c r="DL153" i="22"/>
  <c r="DK153" i="22"/>
  <c r="DJ153" i="22"/>
  <c r="CN153" i="22"/>
  <c r="CM153" i="22"/>
  <c r="CK153" i="22"/>
  <c r="CJ153" i="22"/>
  <c r="CI153" i="22"/>
  <c r="CH153" i="22"/>
  <c r="BL153" i="22"/>
  <c r="BK153" i="22"/>
  <c r="BI153" i="22"/>
  <c r="BH153" i="22"/>
  <c r="BG153" i="22"/>
  <c r="BF153" i="22"/>
  <c r="AO153" i="22"/>
  <c r="GL153" i="22" s="1"/>
  <c r="AN153" i="22"/>
  <c r="AM153" i="22"/>
  <c r="T153" i="22"/>
  <c r="CR153" i="22" s="1"/>
  <c r="Q153" i="22"/>
  <c r="R153" i="22" s="1"/>
  <c r="GO152" i="22"/>
  <c r="GN152" i="22"/>
  <c r="GM152" i="22"/>
  <c r="GL152" i="22"/>
  <c r="GP152" i="22" s="1"/>
  <c r="GE152" i="22"/>
  <c r="GD152" i="22"/>
  <c r="GH152" i="22" s="1"/>
  <c r="GC152" i="22"/>
  <c r="GB152" i="22"/>
  <c r="FZ152" i="22"/>
  <c r="FY152" i="22"/>
  <c r="FX152" i="22"/>
  <c r="FW152" i="22"/>
  <c r="FT152" i="22"/>
  <c r="FP152" i="22"/>
  <c r="FK152" i="22"/>
  <c r="FJ152" i="22"/>
  <c r="FE152" i="22"/>
  <c r="FD152" i="22"/>
  <c r="ER152" i="22"/>
  <c r="EQ152" i="22"/>
  <c r="EO152" i="22"/>
  <c r="EN152" i="22"/>
  <c r="EM152" i="22"/>
  <c r="EL152" i="22"/>
  <c r="DP152" i="22"/>
  <c r="DO152" i="22"/>
  <c r="DM152" i="22"/>
  <c r="DL152" i="22"/>
  <c r="DK152" i="22"/>
  <c r="DJ152" i="22"/>
  <c r="CN152" i="22"/>
  <c r="CM152" i="22"/>
  <c r="CK152" i="22"/>
  <c r="CJ152" i="22"/>
  <c r="CI152" i="22"/>
  <c r="CH152" i="22"/>
  <c r="BL152" i="22"/>
  <c r="BK152" i="22"/>
  <c r="BI152" i="22"/>
  <c r="BH152" i="22"/>
  <c r="BG152" i="22"/>
  <c r="BF152" i="22"/>
  <c r="AO152" i="22"/>
  <c r="AN152" i="22"/>
  <c r="AM152" i="22"/>
  <c r="T152" i="22"/>
  <c r="Q152" i="22"/>
  <c r="R152" i="22" s="1"/>
  <c r="GO151" i="22"/>
  <c r="GN151" i="22"/>
  <c r="GM151" i="22"/>
  <c r="GL151" i="22"/>
  <c r="GE151" i="22"/>
  <c r="GD151" i="22"/>
  <c r="GC151" i="22"/>
  <c r="GB151" i="22"/>
  <c r="FZ151" i="22"/>
  <c r="FY151" i="22"/>
  <c r="FX151" i="22"/>
  <c r="FW151" i="22"/>
  <c r="FT151" i="22"/>
  <c r="FP151" i="22"/>
  <c r="FK151" i="22"/>
  <c r="FJ151" i="22"/>
  <c r="FE151" i="22"/>
  <c r="FD151" i="22"/>
  <c r="ER151" i="22"/>
  <c r="EQ151" i="22"/>
  <c r="EO151" i="22"/>
  <c r="EN151" i="22"/>
  <c r="EM151" i="22"/>
  <c r="EL151" i="22"/>
  <c r="DP151" i="22"/>
  <c r="DO151" i="22"/>
  <c r="DM151" i="22"/>
  <c r="DL151" i="22"/>
  <c r="DK151" i="22"/>
  <c r="DJ151" i="22"/>
  <c r="CN151" i="22"/>
  <c r="CM151" i="22"/>
  <c r="CK151" i="22"/>
  <c r="CJ151" i="22"/>
  <c r="CI151" i="22"/>
  <c r="CH151" i="22"/>
  <c r="BL151" i="22"/>
  <c r="BK151" i="22"/>
  <c r="BI151" i="22"/>
  <c r="BH151" i="22"/>
  <c r="BG151" i="22"/>
  <c r="BF151" i="22"/>
  <c r="AO151" i="22"/>
  <c r="AN151" i="22"/>
  <c r="AM151" i="22"/>
  <c r="T151" i="22"/>
  <c r="BP151" i="22" s="1"/>
  <c r="Q151" i="22"/>
  <c r="R151" i="22" s="1"/>
  <c r="GO150" i="22"/>
  <c r="GN150" i="22"/>
  <c r="GM150" i="22"/>
  <c r="GL150" i="22"/>
  <c r="GE150" i="22"/>
  <c r="GI150" i="22" s="1"/>
  <c r="GD150" i="22"/>
  <c r="GC150" i="22"/>
  <c r="GB150" i="22"/>
  <c r="GF150" i="22" s="1"/>
  <c r="FZ150" i="22"/>
  <c r="FY150" i="22"/>
  <c r="FX150" i="22"/>
  <c r="FW150" i="22"/>
  <c r="FT150" i="22"/>
  <c r="FP150" i="22"/>
  <c r="FK150" i="22"/>
  <c r="FJ150" i="22"/>
  <c r="FE150" i="22"/>
  <c r="FD150" i="22"/>
  <c r="ER150" i="22"/>
  <c r="EQ150" i="22"/>
  <c r="EO150" i="22"/>
  <c r="EN150" i="22"/>
  <c r="EM150" i="22"/>
  <c r="EL150" i="22"/>
  <c r="DP150" i="22"/>
  <c r="DO150" i="22"/>
  <c r="DM150" i="22"/>
  <c r="DL150" i="22"/>
  <c r="DK150" i="22"/>
  <c r="DJ150" i="22"/>
  <c r="CN150" i="22"/>
  <c r="CM150" i="22"/>
  <c r="CK150" i="22"/>
  <c r="CJ150" i="22"/>
  <c r="CI150" i="22"/>
  <c r="CH150" i="22"/>
  <c r="BL150" i="22"/>
  <c r="BK150" i="22"/>
  <c r="BI150" i="22"/>
  <c r="BH150" i="22"/>
  <c r="BG150" i="22"/>
  <c r="BF150" i="22"/>
  <c r="AO150" i="22"/>
  <c r="AN150" i="22"/>
  <c r="AM150" i="22"/>
  <c r="T150" i="22"/>
  <c r="Q150" i="22"/>
  <c r="R150" i="22" s="1"/>
  <c r="GE149" i="22"/>
  <c r="GD149" i="22"/>
  <c r="GC149" i="22"/>
  <c r="GB149" i="22"/>
  <c r="FZ149" i="22"/>
  <c r="FY149" i="22"/>
  <c r="FX149" i="22"/>
  <c r="GG149" i="22" s="1"/>
  <c r="FW149" i="22"/>
  <c r="FT149" i="22"/>
  <c r="FP149" i="22"/>
  <c r="FK149" i="22"/>
  <c r="FJ149" i="22"/>
  <c r="FE149" i="22"/>
  <c r="FD149" i="22"/>
  <c r="ER149" i="22"/>
  <c r="EQ149" i="22"/>
  <c r="EO149" i="22"/>
  <c r="EN149" i="22"/>
  <c r="EM149" i="22"/>
  <c r="EL149" i="22"/>
  <c r="DP149" i="22"/>
  <c r="DO149" i="22"/>
  <c r="DM149" i="22"/>
  <c r="DL149" i="22"/>
  <c r="DK149" i="22"/>
  <c r="DJ149" i="22"/>
  <c r="CN149" i="22"/>
  <c r="CM149" i="22"/>
  <c r="CK149" i="22"/>
  <c r="CJ149" i="22"/>
  <c r="CI149" i="22"/>
  <c r="CH149" i="22"/>
  <c r="BL149" i="22"/>
  <c r="BK149" i="22"/>
  <c r="BI149" i="22"/>
  <c r="BH149" i="22"/>
  <c r="BG149" i="22"/>
  <c r="BF149" i="22"/>
  <c r="AO149" i="22"/>
  <c r="AN149" i="22"/>
  <c r="AM149" i="22"/>
  <c r="T149" i="22"/>
  <c r="DT149" i="22" s="1"/>
  <c r="Q149" i="22"/>
  <c r="R149" i="22" s="1"/>
  <c r="GO148" i="22"/>
  <c r="GN148" i="22"/>
  <c r="GM148" i="22"/>
  <c r="GL148" i="22"/>
  <c r="GE148" i="22"/>
  <c r="GD148" i="22"/>
  <c r="GC148" i="22"/>
  <c r="GB148" i="22"/>
  <c r="FZ148" i="22"/>
  <c r="GI148" i="22" s="1"/>
  <c r="FY148" i="22"/>
  <c r="FX148" i="22"/>
  <c r="FW148" i="22"/>
  <c r="FT148" i="22"/>
  <c r="FP148" i="22"/>
  <c r="FK148" i="22"/>
  <c r="FJ148" i="22"/>
  <c r="FE148" i="22"/>
  <c r="FD148" i="22"/>
  <c r="ER148" i="22"/>
  <c r="EQ148" i="22"/>
  <c r="EO148" i="22"/>
  <c r="EN148" i="22"/>
  <c r="EM148" i="22"/>
  <c r="EL148" i="22"/>
  <c r="DP148" i="22"/>
  <c r="DO148" i="22"/>
  <c r="DM148" i="22"/>
  <c r="DL148" i="22"/>
  <c r="DK148" i="22"/>
  <c r="DJ148" i="22"/>
  <c r="CN148" i="22"/>
  <c r="CM148" i="22"/>
  <c r="CK148" i="22"/>
  <c r="CJ148" i="22"/>
  <c r="CI148" i="22"/>
  <c r="CH148" i="22"/>
  <c r="BL148" i="22"/>
  <c r="BK148" i="22"/>
  <c r="BI148" i="22"/>
  <c r="BH148" i="22"/>
  <c r="BG148" i="22"/>
  <c r="BF148" i="22"/>
  <c r="AO148" i="22"/>
  <c r="AN148" i="22"/>
  <c r="AM148" i="22"/>
  <c r="T148" i="22"/>
  <c r="R148" i="22"/>
  <c r="Q148" i="22"/>
  <c r="GO147" i="22"/>
  <c r="GN147" i="22"/>
  <c r="GM147" i="22"/>
  <c r="GL147" i="22"/>
  <c r="GE147" i="22"/>
  <c r="GD147" i="22"/>
  <c r="GC147" i="22"/>
  <c r="GB147" i="22"/>
  <c r="FZ147" i="22"/>
  <c r="FY147" i="22"/>
  <c r="FX147" i="22"/>
  <c r="FW147" i="22"/>
  <c r="FT147" i="22"/>
  <c r="FP147" i="22"/>
  <c r="FK147" i="22"/>
  <c r="FJ147" i="22"/>
  <c r="FE147" i="22"/>
  <c r="FD147" i="22"/>
  <c r="ER147" i="22"/>
  <c r="EQ147" i="22"/>
  <c r="EO147" i="22"/>
  <c r="EN147" i="22"/>
  <c r="EM147" i="22"/>
  <c r="EL147" i="22"/>
  <c r="DP147" i="22"/>
  <c r="DO147" i="22"/>
  <c r="DM147" i="22"/>
  <c r="DL147" i="22"/>
  <c r="DK147" i="22"/>
  <c r="DJ147" i="22"/>
  <c r="CN147" i="22"/>
  <c r="CM147" i="22"/>
  <c r="CK147" i="22"/>
  <c r="CJ147" i="22"/>
  <c r="CI147" i="22"/>
  <c r="CH147" i="22"/>
  <c r="BL147" i="22"/>
  <c r="BK147" i="22"/>
  <c r="BI147" i="22"/>
  <c r="BH147" i="22"/>
  <c r="BG147" i="22"/>
  <c r="BF147" i="22"/>
  <c r="AO147" i="22"/>
  <c r="AN147" i="22"/>
  <c r="AM147" i="22"/>
  <c r="T147" i="22"/>
  <c r="DT147" i="22" s="1"/>
  <c r="Q147" i="22"/>
  <c r="R147" i="22" s="1"/>
  <c r="GO146" i="22"/>
  <c r="GN146" i="22"/>
  <c r="GM146" i="22"/>
  <c r="GL146" i="22"/>
  <c r="GE146" i="22"/>
  <c r="GD146" i="22"/>
  <c r="GC146" i="22"/>
  <c r="GB146" i="22"/>
  <c r="FZ146" i="22"/>
  <c r="FY146" i="22"/>
  <c r="FX146" i="22"/>
  <c r="FW146" i="22"/>
  <c r="FT146" i="22"/>
  <c r="FP146" i="22"/>
  <c r="FK146" i="22"/>
  <c r="FJ146" i="22"/>
  <c r="FE146" i="22"/>
  <c r="FD146" i="22"/>
  <c r="ER146" i="22"/>
  <c r="EQ146" i="22"/>
  <c r="EO146" i="22"/>
  <c r="EN146" i="22"/>
  <c r="EM146" i="22"/>
  <c r="EL146" i="22"/>
  <c r="DP146" i="22"/>
  <c r="DO146" i="22"/>
  <c r="DM146" i="22"/>
  <c r="DL146" i="22"/>
  <c r="DK146" i="22"/>
  <c r="DJ146" i="22"/>
  <c r="CN146" i="22"/>
  <c r="CM146" i="22"/>
  <c r="CK146" i="22"/>
  <c r="CJ146" i="22"/>
  <c r="CI146" i="22"/>
  <c r="CH146" i="22"/>
  <c r="BP146" i="22"/>
  <c r="BL146" i="22"/>
  <c r="BK146" i="22"/>
  <c r="BI146" i="22"/>
  <c r="BH146" i="22"/>
  <c r="BG146" i="22"/>
  <c r="BF146" i="22"/>
  <c r="AO146" i="22"/>
  <c r="AN146" i="22"/>
  <c r="AM146" i="22"/>
  <c r="T146" i="22"/>
  <c r="EV146" i="22" s="1"/>
  <c r="Q146" i="22"/>
  <c r="R146" i="22" s="1"/>
  <c r="GO145" i="22"/>
  <c r="GN145" i="22"/>
  <c r="GM145" i="22"/>
  <c r="GL145" i="22"/>
  <c r="GG145" i="22"/>
  <c r="GE145" i="22"/>
  <c r="GD145" i="22"/>
  <c r="GC145" i="22"/>
  <c r="GB145" i="22"/>
  <c r="FZ145" i="22"/>
  <c r="FY145" i="22"/>
  <c r="FX145" i="22"/>
  <c r="FW145" i="22"/>
  <c r="FT145" i="22"/>
  <c r="FP145" i="22"/>
  <c r="FK145" i="22"/>
  <c r="FJ145" i="22"/>
  <c r="FE145" i="22"/>
  <c r="FD145" i="22"/>
  <c r="ER145" i="22"/>
  <c r="EQ145" i="22"/>
  <c r="EO145" i="22"/>
  <c r="EN145" i="22"/>
  <c r="EM145" i="22"/>
  <c r="EL145" i="22"/>
  <c r="DP145" i="22"/>
  <c r="DO145" i="22"/>
  <c r="DM145" i="22"/>
  <c r="DL145" i="22"/>
  <c r="DK145" i="22"/>
  <c r="DJ145" i="22"/>
  <c r="CN145" i="22"/>
  <c r="CM145" i="22"/>
  <c r="CK145" i="22"/>
  <c r="CB145" i="22"/>
  <c r="CJ145" i="22" s="1"/>
  <c r="CA145" i="22"/>
  <c r="CI145" i="22" s="1"/>
  <c r="BZ145" i="22"/>
  <c r="CH145" i="22" s="1"/>
  <c r="BL145" i="22"/>
  <c r="BK145" i="22"/>
  <c r="BI145" i="22"/>
  <c r="BH145" i="22"/>
  <c r="BG145" i="22"/>
  <c r="AX145" i="22"/>
  <c r="BF145" i="22" s="1"/>
  <c r="AO145" i="22"/>
  <c r="AN145" i="22"/>
  <c r="AM145" i="22"/>
  <c r="T145" i="22"/>
  <c r="EV145" i="22" s="1"/>
  <c r="Q145" i="22"/>
  <c r="R145" i="22" s="1"/>
  <c r="GO144" i="22"/>
  <c r="GN144" i="22"/>
  <c r="GM144" i="22"/>
  <c r="GL144" i="22"/>
  <c r="GE144" i="22"/>
  <c r="GD144" i="22"/>
  <c r="GC144" i="22"/>
  <c r="GB144" i="22"/>
  <c r="FZ144" i="22"/>
  <c r="FY144" i="22"/>
  <c r="FX144" i="22"/>
  <c r="FW144" i="22"/>
  <c r="FT144" i="22"/>
  <c r="FP144" i="22"/>
  <c r="FK144" i="22"/>
  <c r="FJ144" i="22"/>
  <c r="FE144" i="22"/>
  <c r="FD144" i="22"/>
  <c r="ER144" i="22"/>
  <c r="EQ144" i="22"/>
  <c r="EO144" i="22"/>
  <c r="EN144" i="22"/>
  <c r="EM144" i="22"/>
  <c r="EL144" i="22"/>
  <c r="DP144" i="22"/>
  <c r="DO144" i="22"/>
  <c r="DM144" i="22"/>
  <c r="DL144" i="22"/>
  <c r="DK144" i="22"/>
  <c r="DJ144" i="22"/>
  <c r="CN144" i="22"/>
  <c r="CM144" i="22"/>
  <c r="CK144" i="22"/>
  <c r="CJ144" i="22"/>
  <c r="CI144" i="22"/>
  <c r="CH144" i="22"/>
  <c r="BL144" i="22"/>
  <c r="BK144" i="22"/>
  <c r="BI144" i="22"/>
  <c r="BH144" i="22"/>
  <c r="BG144" i="22"/>
  <c r="BF144" i="22"/>
  <c r="AO144" i="22"/>
  <c r="AN144" i="22"/>
  <c r="AM144" i="22"/>
  <c r="T144" i="22"/>
  <c r="DT144" i="22" s="1"/>
  <c r="Q144" i="22"/>
  <c r="R144" i="22" s="1"/>
  <c r="GO143" i="22"/>
  <c r="GN143" i="22"/>
  <c r="GM143" i="22"/>
  <c r="GL143" i="22"/>
  <c r="GE143" i="22"/>
  <c r="GD143" i="22"/>
  <c r="GC143" i="22"/>
  <c r="GB143" i="22"/>
  <c r="FZ143" i="22"/>
  <c r="FY143" i="22"/>
  <c r="FX143" i="22"/>
  <c r="FW143" i="22"/>
  <c r="FT143" i="22"/>
  <c r="FP143" i="22"/>
  <c r="FK143" i="22"/>
  <c r="FJ143" i="22"/>
  <c r="FE143" i="22"/>
  <c r="FD143" i="22"/>
  <c r="ER143" i="22"/>
  <c r="EQ143" i="22"/>
  <c r="EO143" i="22"/>
  <c r="EN143" i="22"/>
  <c r="EM143" i="22"/>
  <c r="EL143" i="22"/>
  <c r="DP143" i="22"/>
  <c r="DO143" i="22"/>
  <c r="DM143" i="22"/>
  <c r="DL143" i="22"/>
  <c r="DK143" i="22"/>
  <c r="DJ143" i="22"/>
  <c r="CN143" i="22"/>
  <c r="CM143" i="22"/>
  <c r="CK143" i="22"/>
  <c r="CJ143" i="22"/>
  <c r="CI143" i="22"/>
  <c r="CH143" i="22"/>
  <c r="BL143" i="22"/>
  <c r="BK143" i="22"/>
  <c r="BI143" i="22"/>
  <c r="BH143" i="22"/>
  <c r="BG143" i="22"/>
  <c r="BF143" i="22"/>
  <c r="AO143" i="22"/>
  <c r="AN143" i="22"/>
  <c r="AM143" i="22"/>
  <c r="T143" i="22"/>
  <c r="R143" i="22"/>
  <c r="Q143" i="22"/>
  <c r="GO142" i="22"/>
  <c r="GN142" i="22"/>
  <c r="GM142" i="22"/>
  <c r="GL142" i="22"/>
  <c r="GE142" i="22"/>
  <c r="GD142" i="22"/>
  <c r="GC142" i="22"/>
  <c r="GB142" i="22"/>
  <c r="FZ142" i="22"/>
  <c r="FY142" i="22"/>
  <c r="FX142" i="22"/>
  <c r="FW142" i="22"/>
  <c r="FT142" i="22"/>
  <c r="FP142" i="22"/>
  <c r="FK142" i="22"/>
  <c r="FJ142" i="22"/>
  <c r="FE142" i="22"/>
  <c r="FD142" i="22"/>
  <c r="ER142" i="22"/>
  <c r="EQ142" i="22"/>
  <c r="EO142" i="22"/>
  <c r="EN142" i="22"/>
  <c r="EM142" i="22"/>
  <c r="EL142" i="22"/>
  <c r="DP142" i="22"/>
  <c r="DO142" i="22"/>
  <c r="DM142" i="22"/>
  <c r="DL142" i="22"/>
  <c r="DK142" i="22"/>
  <c r="DJ142" i="22"/>
  <c r="CN142" i="22"/>
  <c r="CM142" i="22"/>
  <c r="CK142" i="22"/>
  <c r="CJ142" i="22"/>
  <c r="CI142" i="22"/>
  <c r="CH142" i="22"/>
  <c r="BL142" i="22"/>
  <c r="BK142" i="22"/>
  <c r="BI142" i="22"/>
  <c r="BH142" i="22"/>
  <c r="BG142" i="22"/>
  <c r="BF142" i="22"/>
  <c r="AO142" i="22"/>
  <c r="AN142" i="22"/>
  <c r="AM142" i="22"/>
  <c r="T142" i="22"/>
  <c r="DT142" i="22" s="1"/>
  <c r="Q142" i="22"/>
  <c r="R142" i="22" s="1"/>
  <c r="GO141" i="22"/>
  <c r="GN141" i="22"/>
  <c r="GM141" i="22"/>
  <c r="GL141" i="22"/>
  <c r="GE141" i="22"/>
  <c r="GD141" i="22"/>
  <c r="GH141" i="22" s="1"/>
  <c r="GC141" i="22"/>
  <c r="GB141" i="22"/>
  <c r="FZ141" i="22"/>
  <c r="FY141" i="22"/>
  <c r="FX141" i="22"/>
  <c r="FW141" i="22"/>
  <c r="FT141" i="22"/>
  <c r="FP141" i="22"/>
  <c r="FK141" i="22"/>
  <c r="FJ141" i="22"/>
  <c r="FE141" i="22"/>
  <c r="FD141" i="22"/>
  <c r="ER141" i="22"/>
  <c r="EQ141" i="22"/>
  <c r="EO141" i="22"/>
  <c r="EN141" i="22"/>
  <c r="EM141" i="22"/>
  <c r="EL141" i="22"/>
  <c r="DP141" i="22"/>
  <c r="DO141" i="22"/>
  <c r="DM141" i="22"/>
  <c r="DL141" i="22"/>
  <c r="DK141" i="22"/>
  <c r="DJ141" i="22"/>
  <c r="CN141" i="22"/>
  <c r="CM141" i="22"/>
  <c r="CK141" i="22"/>
  <c r="CI141" i="22"/>
  <c r="CH141" i="22"/>
  <c r="CB141" i="22"/>
  <c r="CJ141" i="22" s="1"/>
  <c r="BL141" i="22"/>
  <c r="BK141" i="22"/>
  <c r="BI141" i="22"/>
  <c r="BH141" i="22"/>
  <c r="BG141" i="22"/>
  <c r="BF141" i="22"/>
  <c r="AO141" i="22"/>
  <c r="AN141" i="22"/>
  <c r="AM141" i="22"/>
  <c r="T141" i="22"/>
  <c r="Q141" i="22"/>
  <c r="R141" i="22" s="1"/>
  <c r="GO140" i="22"/>
  <c r="GN140" i="22"/>
  <c r="GM140" i="22"/>
  <c r="GL140" i="22"/>
  <c r="GE140" i="22"/>
  <c r="GD140" i="22"/>
  <c r="GC140" i="22"/>
  <c r="GB140" i="22"/>
  <c r="FZ140" i="22"/>
  <c r="FY140" i="22"/>
  <c r="FX140" i="22"/>
  <c r="FW140" i="22"/>
  <c r="FT140" i="22"/>
  <c r="FP140" i="22"/>
  <c r="FK140" i="22"/>
  <c r="FJ140" i="22"/>
  <c r="FE140" i="22"/>
  <c r="FD140" i="22"/>
  <c r="ER140" i="22"/>
  <c r="EQ140" i="22"/>
  <c r="EO140" i="22"/>
  <c r="EN140" i="22"/>
  <c r="EM140" i="22"/>
  <c r="EL140" i="22"/>
  <c r="DP140" i="22"/>
  <c r="DO140" i="22"/>
  <c r="DM140" i="22"/>
  <c r="DL140" i="22"/>
  <c r="DK140" i="22"/>
  <c r="DJ140" i="22"/>
  <c r="CN140" i="22"/>
  <c r="CM140" i="22"/>
  <c r="CK140" i="22"/>
  <c r="CJ140" i="22"/>
  <c r="CI140" i="22"/>
  <c r="CH140" i="22"/>
  <c r="BL140" i="22"/>
  <c r="BK140" i="22"/>
  <c r="GT140" i="22" s="1"/>
  <c r="BI140" i="22"/>
  <c r="BF140" i="22"/>
  <c r="AZ140" i="22"/>
  <c r="BH140" i="22" s="1"/>
  <c r="AY140" i="22"/>
  <c r="BG140" i="22" s="1"/>
  <c r="AX140" i="22"/>
  <c r="AO140" i="22"/>
  <c r="AN140" i="22"/>
  <c r="AM140" i="22"/>
  <c r="T140" i="22"/>
  <c r="BP140" i="22" s="1"/>
  <c r="R140" i="22"/>
  <c r="Q140" i="22"/>
  <c r="GO139" i="22"/>
  <c r="GN139" i="22"/>
  <c r="GM139" i="22"/>
  <c r="GL139" i="22"/>
  <c r="GE139" i="22"/>
  <c r="GD139" i="22"/>
  <c r="GC139" i="22"/>
  <c r="GB139" i="22"/>
  <c r="FZ139" i="22"/>
  <c r="FY139" i="22"/>
  <c r="FX139" i="22"/>
  <c r="FW139" i="22"/>
  <c r="FT139" i="22"/>
  <c r="FP139" i="22"/>
  <c r="FK139" i="22"/>
  <c r="FJ139" i="22"/>
  <c r="FE139" i="22"/>
  <c r="FD139" i="22"/>
  <c r="ER139" i="22"/>
  <c r="EQ139" i="22"/>
  <c r="EO139" i="22"/>
  <c r="EN139" i="22"/>
  <c r="EM139" i="22"/>
  <c r="EL139" i="22"/>
  <c r="DP139" i="22"/>
  <c r="DO139" i="22"/>
  <c r="DM139" i="22"/>
  <c r="DL139" i="22"/>
  <c r="DK139" i="22"/>
  <c r="DJ139" i="22"/>
  <c r="CN139" i="22"/>
  <c r="CM139" i="22"/>
  <c r="CK139" i="22"/>
  <c r="CJ139" i="22"/>
  <c r="CI139" i="22"/>
  <c r="CH139" i="22"/>
  <c r="BL139" i="22"/>
  <c r="BK139" i="22"/>
  <c r="BI139" i="22"/>
  <c r="BH139" i="22"/>
  <c r="BG139" i="22"/>
  <c r="BF139" i="22"/>
  <c r="AO139" i="22"/>
  <c r="AN139" i="22"/>
  <c r="AM139" i="22"/>
  <c r="T139" i="22"/>
  <c r="R139" i="22"/>
  <c r="Q139" i="22"/>
  <c r="GO138" i="22"/>
  <c r="GN138" i="22"/>
  <c r="GM138" i="22"/>
  <c r="GL138" i="22"/>
  <c r="GE138" i="22"/>
  <c r="GD138" i="22"/>
  <c r="GH138" i="22" s="1"/>
  <c r="GC138" i="22"/>
  <c r="GB138" i="22"/>
  <c r="FZ138" i="22"/>
  <c r="FY138" i="22"/>
  <c r="FX138" i="22"/>
  <c r="GG138" i="22" s="1"/>
  <c r="FW138" i="22"/>
  <c r="FT138" i="22"/>
  <c r="FP138" i="22"/>
  <c r="FK138" i="22"/>
  <c r="FJ138" i="22"/>
  <c r="FE138" i="22"/>
  <c r="FD138" i="22"/>
  <c r="ER138" i="22"/>
  <c r="EQ138" i="22"/>
  <c r="EO138" i="22"/>
  <c r="EN138" i="22"/>
  <c r="EM138" i="22"/>
  <c r="EL138" i="22"/>
  <c r="DP138" i="22"/>
  <c r="DO138" i="22"/>
  <c r="DM138" i="22"/>
  <c r="DL138" i="22"/>
  <c r="DK138" i="22"/>
  <c r="DJ138" i="22"/>
  <c r="CN138" i="22"/>
  <c r="CM138" i="22"/>
  <c r="CK138" i="22"/>
  <c r="CJ138" i="22"/>
  <c r="CI138" i="22"/>
  <c r="CH138" i="22"/>
  <c r="BL138" i="22"/>
  <c r="BK138" i="22"/>
  <c r="BI138" i="22"/>
  <c r="AZ138" i="22"/>
  <c r="BH138" i="22" s="1"/>
  <c r="AY138" i="22"/>
  <c r="BG138" i="22" s="1"/>
  <c r="AX138" i="22"/>
  <c r="BF138" i="22" s="1"/>
  <c r="AO138" i="22"/>
  <c r="AN138" i="22"/>
  <c r="AM138" i="22"/>
  <c r="T138" i="22"/>
  <c r="CR138" i="22" s="1"/>
  <c r="Q138" i="22"/>
  <c r="R138" i="22" s="1"/>
  <c r="GO137" i="22"/>
  <c r="GN137" i="22"/>
  <c r="GM137" i="22"/>
  <c r="GL137" i="22"/>
  <c r="GE137" i="22"/>
  <c r="GD137" i="22"/>
  <c r="GC137" i="22"/>
  <c r="GB137" i="22"/>
  <c r="FZ137" i="22"/>
  <c r="FY137" i="22"/>
  <c r="FX137" i="22"/>
  <c r="FW137" i="22"/>
  <c r="FT137" i="22"/>
  <c r="FP137" i="22"/>
  <c r="FK137" i="22"/>
  <c r="FJ137" i="22"/>
  <c r="FE137" i="22"/>
  <c r="FD137" i="22"/>
  <c r="ER137" i="22"/>
  <c r="EQ137" i="22"/>
  <c r="EO137" i="22"/>
  <c r="EN137" i="22"/>
  <c r="EM137" i="22"/>
  <c r="EL137" i="22"/>
  <c r="DP137" i="22"/>
  <c r="DO137" i="22"/>
  <c r="DM137" i="22"/>
  <c r="DL137" i="22"/>
  <c r="DK137" i="22"/>
  <c r="DJ137" i="22"/>
  <c r="CN137" i="22"/>
  <c r="CM137" i="22"/>
  <c r="CK137" i="22"/>
  <c r="CJ137" i="22"/>
  <c r="CI137" i="22"/>
  <c r="CH137" i="22"/>
  <c r="BP137" i="22"/>
  <c r="BL137" i="22"/>
  <c r="BK137" i="22"/>
  <c r="BI137" i="22"/>
  <c r="BH137" i="22"/>
  <c r="BG137" i="22"/>
  <c r="BF137" i="22"/>
  <c r="AO137" i="22"/>
  <c r="AN137" i="22"/>
  <c r="AM137" i="22"/>
  <c r="T137" i="22"/>
  <c r="DT137" i="22" s="1"/>
  <c r="Q137" i="22"/>
  <c r="R137" i="22" s="1"/>
  <c r="GO136" i="22"/>
  <c r="GN136" i="22"/>
  <c r="GM136" i="22"/>
  <c r="GL136" i="22"/>
  <c r="GE136" i="22"/>
  <c r="GD136" i="22"/>
  <c r="GC136" i="22"/>
  <c r="GG136" i="22" s="1"/>
  <c r="GB136" i="22"/>
  <c r="FZ136" i="22"/>
  <c r="FY136" i="22"/>
  <c r="FX136" i="22"/>
  <c r="FW136" i="22"/>
  <c r="FT136" i="22"/>
  <c r="FP136" i="22"/>
  <c r="FK136" i="22"/>
  <c r="FJ136" i="22"/>
  <c r="FE136" i="22"/>
  <c r="FD136" i="22"/>
  <c r="ER136" i="22"/>
  <c r="EQ136" i="22"/>
  <c r="EO136" i="22"/>
  <c r="EN136" i="22"/>
  <c r="EM136" i="22"/>
  <c r="EL136" i="22"/>
  <c r="DP136" i="22"/>
  <c r="DO136" i="22"/>
  <c r="DM136" i="22"/>
  <c r="DL136" i="22"/>
  <c r="DK136" i="22"/>
  <c r="DJ136" i="22"/>
  <c r="CN136" i="22"/>
  <c r="CM136" i="22"/>
  <c r="CK136" i="22"/>
  <c r="CJ136" i="22"/>
  <c r="CI136" i="22"/>
  <c r="CH136" i="22"/>
  <c r="BL136" i="22"/>
  <c r="BK136" i="22"/>
  <c r="BI136" i="22"/>
  <c r="BH136" i="22"/>
  <c r="BG136" i="22"/>
  <c r="BF136" i="22"/>
  <c r="AO136" i="22"/>
  <c r="AN136" i="22"/>
  <c r="AM136" i="22"/>
  <c r="T136" i="22"/>
  <c r="EV136" i="22" s="1"/>
  <c r="Q136" i="22"/>
  <c r="R136" i="22" s="1"/>
  <c r="GO135" i="22"/>
  <c r="GN135" i="22"/>
  <c r="GM135" i="22"/>
  <c r="GL135" i="22"/>
  <c r="GE135" i="22"/>
  <c r="GD135" i="22"/>
  <c r="GC135" i="22"/>
  <c r="GB135" i="22"/>
  <c r="FZ135" i="22"/>
  <c r="GI135" i="22" s="1"/>
  <c r="FY135" i="22"/>
  <c r="FX135" i="22"/>
  <c r="FW135" i="22"/>
  <c r="FT135" i="22"/>
  <c r="FP135" i="22"/>
  <c r="FK135" i="22"/>
  <c r="FJ135" i="22"/>
  <c r="FE135" i="22"/>
  <c r="FD135" i="22"/>
  <c r="ER135" i="22"/>
  <c r="EQ135" i="22"/>
  <c r="EO135" i="22"/>
  <c r="EN135" i="22"/>
  <c r="EM135" i="22"/>
  <c r="EL135" i="22"/>
  <c r="DP135" i="22"/>
  <c r="DO135" i="22"/>
  <c r="DM135" i="22"/>
  <c r="DL135" i="22"/>
  <c r="DK135" i="22"/>
  <c r="DJ135" i="22"/>
  <c r="CN135" i="22"/>
  <c r="CM135" i="22"/>
  <c r="CK135" i="22"/>
  <c r="CJ135" i="22"/>
  <c r="CI135" i="22"/>
  <c r="CH135" i="22"/>
  <c r="BL135" i="22"/>
  <c r="BK135" i="22"/>
  <c r="BI135" i="22"/>
  <c r="BH135" i="22"/>
  <c r="BG135" i="22"/>
  <c r="BF135" i="22"/>
  <c r="AO135" i="22"/>
  <c r="AN135" i="22"/>
  <c r="AM135" i="22"/>
  <c r="T135" i="22"/>
  <c r="EV135" i="22" s="1"/>
  <c r="Q135" i="22"/>
  <c r="R135" i="22" s="1"/>
  <c r="GO134" i="22"/>
  <c r="GN134" i="22"/>
  <c r="GM134" i="22"/>
  <c r="GL134" i="22"/>
  <c r="GE134" i="22"/>
  <c r="GD134" i="22"/>
  <c r="GC134" i="22"/>
  <c r="GB134" i="22"/>
  <c r="FZ134" i="22"/>
  <c r="FY134" i="22"/>
  <c r="FX134" i="22"/>
  <c r="FW134" i="22"/>
  <c r="FT134" i="22"/>
  <c r="FP134" i="22"/>
  <c r="FK134" i="22"/>
  <c r="FJ134" i="22"/>
  <c r="FE134" i="22"/>
  <c r="FD134" i="22"/>
  <c r="ER134" i="22"/>
  <c r="EQ134" i="22"/>
  <c r="EO134" i="22"/>
  <c r="EN134" i="22"/>
  <c r="EM134" i="22"/>
  <c r="EL134" i="22"/>
  <c r="DP134" i="22"/>
  <c r="DO134" i="22"/>
  <c r="DM134" i="22"/>
  <c r="DL134" i="22"/>
  <c r="DK134" i="22"/>
  <c r="DJ134" i="22"/>
  <c r="CN134" i="22"/>
  <c r="CM134" i="22"/>
  <c r="CK134" i="22"/>
  <c r="CJ134" i="22"/>
  <c r="CI134" i="22"/>
  <c r="CH134" i="22"/>
  <c r="CB134" i="22"/>
  <c r="BL134" i="22"/>
  <c r="BK134" i="22"/>
  <c r="GT134" i="22" s="1"/>
  <c r="BI134" i="22"/>
  <c r="BH134" i="22"/>
  <c r="BG134" i="22"/>
  <c r="BF134" i="22"/>
  <c r="AO134" i="22"/>
  <c r="AN134" i="22"/>
  <c r="AM134" i="22"/>
  <c r="T134" i="22"/>
  <c r="CR134" i="22" s="1"/>
  <c r="Q134" i="22"/>
  <c r="R134" i="22" s="1"/>
  <c r="GO133" i="22"/>
  <c r="GN133" i="22"/>
  <c r="GM133" i="22"/>
  <c r="GL133" i="22"/>
  <c r="GE133" i="22"/>
  <c r="GD133" i="22"/>
  <c r="GC133" i="22"/>
  <c r="GB133" i="22"/>
  <c r="FZ133" i="22"/>
  <c r="FY133" i="22"/>
  <c r="FX133" i="22"/>
  <c r="FW133" i="22"/>
  <c r="FT133" i="22"/>
  <c r="FP133" i="22"/>
  <c r="FK133" i="22"/>
  <c r="FJ133" i="22"/>
  <c r="FE133" i="22"/>
  <c r="FD133" i="22"/>
  <c r="ER133" i="22"/>
  <c r="EQ133" i="22"/>
  <c r="EO133" i="22"/>
  <c r="EN133" i="22"/>
  <c r="EM133" i="22"/>
  <c r="EL133" i="22"/>
  <c r="DP133" i="22"/>
  <c r="DO133" i="22"/>
  <c r="DM133" i="22"/>
  <c r="DL133" i="22"/>
  <c r="DK133" i="22"/>
  <c r="DJ133" i="22"/>
  <c r="CN133" i="22"/>
  <c r="CM133" i="22"/>
  <c r="CK133" i="22"/>
  <c r="CI133" i="22"/>
  <c r="CH133" i="22"/>
  <c r="CB133" i="22"/>
  <c r="CJ133" i="22" s="1"/>
  <c r="BL133" i="22"/>
  <c r="BK133" i="22"/>
  <c r="BI133" i="22"/>
  <c r="BH133" i="22"/>
  <c r="BG133" i="22"/>
  <c r="BF133" i="22"/>
  <c r="AO133" i="22"/>
  <c r="AN133" i="22"/>
  <c r="AM133" i="22"/>
  <c r="T133" i="22"/>
  <c r="DT133" i="22" s="1"/>
  <c r="Q133" i="22"/>
  <c r="R133" i="22" s="1"/>
  <c r="GE132" i="22"/>
  <c r="GD132" i="22"/>
  <c r="GH132" i="22" s="1"/>
  <c r="GC132" i="22"/>
  <c r="GB132" i="22"/>
  <c r="FZ132" i="22"/>
  <c r="FY132" i="22"/>
  <c r="FX132" i="22"/>
  <c r="FW132" i="22"/>
  <c r="FT132" i="22"/>
  <c r="FP132" i="22"/>
  <c r="FK132" i="22"/>
  <c r="FJ132" i="22"/>
  <c r="FE132" i="22"/>
  <c r="FD132" i="22"/>
  <c r="ER132" i="22"/>
  <c r="EQ132" i="22"/>
  <c r="EO132" i="22"/>
  <c r="EN132" i="22"/>
  <c r="EM132" i="22"/>
  <c r="EL132" i="22"/>
  <c r="DP132" i="22"/>
  <c r="DO132" i="22"/>
  <c r="DM132" i="22"/>
  <c r="DL132" i="22"/>
  <c r="DK132" i="22"/>
  <c r="DJ132" i="22"/>
  <c r="CN132" i="22"/>
  <c r="CM132" i="22"/>
  <c r="CK132" i="22"/>
  <c r="CJ132" i="22"/>
  <c r="CI132" i="22"/>
  <c r="CL132" i="22" s="1"/>
  <c r="CH132" i="22"/>
  <c r="BL132" i="22"/>
  <c r="BK132" i="22"/>
  <c r="BI132" i="22"/>
  <c r="BH132" i="22"/>
  <c r="BG132" i="22"/>
  <c r="BF132" i="22"/>
  <c r="AO132" i="22"/>
  <c r="GN132" i="22" s="1"/>
  <c r="AN132" i="22"/>
  <c r="AM132" i="22"/>
  <c r="T132" i="22"/>
  <c r="Q132" i="22"/>
  <c r="R132" i="22" s="1"/>
  <c r="GE131" i="22"/>
  <c r="GD131" i="22"/>
  <c r="GC131" i="22"/>
  <c r="GB131" i="22"/>
  <c r="FZ131" i="22"/>
  <c r="FY131" i="22"/>
  <c r="GH131" i="22" s="1"/>
  <c r="FX131" i="22"/>
  <c r="FW131" i="22"/>
  <c r="FT131" i="22"/>
  <c r="FP131" i="22"/>
  <c r="FK131" i="22"/>
  <c r="FJ131" i="22"/>
  <c r="FE131" i="22"/>
  <c r="FD131" i="22"/>
  <c r="ER131" i="22"/>
  <c r="EQ131" i="22"/>
  <c r="EO131" i="22"/>
  <c r="EN131" i="22"/>
  <c r="EM131" i="22"/>
  <c r="EL131" i="22"/>
  <c r="DP131" i="22"/>
  <c r="DO131" i="22"/>
  <c r="DM131" i="22"/>
  <c r="DL131" i="22"/>
  <c r="DK131" i="22"/>
  <c r="DJ131" i="22"/>
  <c r="CN131" i="22"/>
  <c r="CM131" i="22"/>
  <c r="CK131" i="22"/>
  <c r="CJ131" i="22"/>
  <c r="CI131" i="22"/>
  <c r="CH131" i="22"/>
  <c r="BI131" i="22"/>
  <c r="BH131" i="22"/>
  <c r="BG131" i="22"/>
  <c r="BF131" i="22"/>
  <c r="AT131" i="22"/>
  <c r="BL131" i="22" s="1"/>
  <c r="AO131" i="22"/>
  <c r="GL131" i="22" s="1"/>
  <c r="AN131" i="22"/>
  <c r="AM131" i="22"/>
  <c r="T131" i="22"/>
  <c r="Q131" i="22"/>
  <c r="R131" i="22" s="1"/>
  <c r="GO130" i="22"/>
  <c r="GN130" i="22"/>
  <c r="GM130" i="22"/>
  <c r="GL130" i="22"/>
  <c r="GE130" i="22"/>
  <c r="GD130" i="22"/>
  <c r="GC130" i="22"/>
  <c r="GB130" i="22"/>
  <c r="FZ130" i="22"/>
  <c r="FY130" i="22"/>
  <c r="FX130" i="22"/>
  <c r="FW130" i="22"/>
  <c r="FT130" i="22"/>
  <c r="FP130" i="22"/>
  <c r="FK130" i="22"/>
  <c r="FJ130" i="22"/>
  <c r="FE130" i="22"/>
  <c r="FD130" i="22"/>
  <c r="ER130" i="22"/>
  <c r="EQ130" i="22"/>
  <c r="EO130" i="22"/>
  <c r="EN130" i="22"/>
  <c r="EM130" i="22"/>
  <c r="EL130" i="22"/>
  <c r="DP130" i="22"/>
  <c r="DO130" i="22"/>
  <c r="DM130" i="22"/>
  <c r="DL130" i="22"/>
  <c r="DK130" i="22"/>
  <c r="DJ130" i="22"/>
  <c r="CN130" i="22"/>
  <c r="CM130" i="22"/>
  <c r="CK130" i="22"/>
  <c r="CI130" i="22"/>
  <c r="CH130" i="22"/>
  <c r="CB130" i="22"/>
  <c r="CJ130" i="22" s="1"/>
  <c r="BL130" i="22"/>
  <c r="BK130" i="22"/>
  <c r="BI130" i="22"/>
  <c r="BH130" i="22"/>
  <c r="BG130" i="22"/>
  <c r="BF130" i="22"/>
  <c r="AO130" i="22"/>
  <c r="AN130" i="22"/>
  <c r="AM130" i="22"/>
  <c r="T130" i="22"/>
  <c r="Q130" i="22"/>
  <c r="R130" i="22" s="1"/>
  <c r="GO129" i="22"/>
  <c r="GN129" i="22"/>
  <c r="GM129" i="22"/>
  <c r="GL129" i="22"/>
  <c r="GE129" i="22"/>
  <c r="GD129" i="22"/>
  <c r="GC129" i="22"/>
  <c r="GB129" i="22"/>
  <c r="FZ129" i="22"/>
  <c r="FY129" i="22"/>
  <c r="FX129" i="22"/>
  <c r="FW129" i="22"/>
  <c r="FT129" i="22"/>
  <c r="FP129" i="22"/>
  <c r="FK129" i="22"/>
  <c r="FJ129" i="22"/>
  <c r="FE129" i="22"/>
  <c r="FD129" i="22"/>
  <c r="ER129" i="22"/>
  <c r="EQ129" i="22"/>
  <c r="EO129" i="22"/>
  <c r="EN129" i="22"/>
  <c r="EM129" i="22"/>
  <c r="EL129" i="22"/>
  <c r="DP129" i="22"/>
  <c r="DO129" i="22"/>
  <c r="DM129" i="22"/>
  <c r="DL129" i="22"/>
  <c r="DK129" i="22"/>
  <c r="DJ129" i="22"/>
  <c r="CN129" i="22"/>
  <c r="CM129" i="22"/>
  <c r="CK129" i="22"/>
  <c r="CI129" i="22"/>
  <c r="CH129" i="22"/>
  <c r="CB129" i="22"/>
  <c r="CJ129" i="22" s="1"/>
  <c r="BL129" i="22"/>
  <c r="BK129" i="22"/>
  <c r="BI129" i="22"/>
  <c r="BH129" i="22"/>
  <c r="BG129" i="22"/>
  <c r="BF129" i="22"/>
  <c r="AO129" i="22"/>
  <c r="AN129" i="22"/>
  <c r="AM129" i="22"/>
  <c r="T129" i="22"/>
  <c r="Q129" i="22"/>
  <c r="R129" i="22" s="1"/>
  <c r="GO128" i="22"/>
  <c r="GN128" i="22"/>
  <c r="GM128" i="22"/>
  <c r="GP128" i="22" s="1"/>
  <c r="GL128" i="22"/>
  <c r="GE128" i="22"/>
  <c r="GD128" i="22"/>
  <c r="GC128" i="22"/>
  <c r="GB128" i="22"/>
  <c r="FZ128" i="22"/>
  <c r="FY128" i="22"/>
  <c r="FX128" i="22"/>
  <c r="FW128" i="22"/>
  <c r="FT128" i="22"/>
  <c r="FP128" i="22"/>
  <c r="FK128" i="22"/>
  <c r="FJ128" i="22"/>
  <c r="FE128" i="22"/>
  <c r="FD128" i="22"/>
  <c r="ER128" i="22"/>
  <c r="EQ128" i="22"/>
  <c r="EO128" i="22"/>
  <c r="EN128" i="22"/>
  <c r="EM128" i="22"/>
  <c r="EL128" i="22"/>
  <c r="DP128" i="22"/>
  <c r="DO128" i="22"/>
  <c r="DM128" i="22"/>
  <c r="DL128" i="22"/>
  <c r="DK128" i="22"/>
  <c r="DJ128" i="22"/>
  <c r="CN128" i="22"/>
  <c r="CM128" i="22"/>
  <c r="CK128" i="22"/>
  <c r="CJ128" i="22"/>
  <c r="CI128" i="22"/>
  <c r="CH128" i="22"/>
  <c r="BL128" i="22"/>
  <c r="BK128" i="22"/>
  <c r="BI128" i="22"/>
  <c r="BH128" i="22"/>
  <c r="BG128" i="22"/>
  <c r="BF128" i="22"/>
  <c r="AO128" i="22"/>
  <c r="AN128" i="22"/>
  <c r="AM128" i="22"/>
  <c r="T128" i="22"/>
  <c r="Q128" i="22"/>
  <c r="R128" i="22" s="1"/>
  <c r="GO127" i="22"/>
  <c r="GN127" i="22"/>
  <c r="GM127" i="22"/>
  <c r="GL127" i="22"/>
  <c r="GE127" i="22"/>
  <c r="GD127" i="22"/>
  <c r="GH127" i="22" s="1"/>
  <c r="GC127" i="22"/>
  <c r="GB127" i="22"/>
  <c r="FZ127" i="22"/>
  <c r="FY127" i="22"/>
  <c r="FX127" i="22"/>
  <c r="FW127" i="22"/>
  <c r="GA127" i="22" s="1"/>
  <c r="FT127" i="22"/>
  <c r="FP127" i="22"/>
  <c r="FK127" i="22"/>
  <c r="FJ127" i="22"/>
  <c r="FE127" i="22"/>
  <c r="FD127" i="22"/>
  <c r="ER127" i="22"/>
  <c r="EQ127" i="22"/>
  <c r="EO127" i="22"/>
  <c r="EN127" i="22"/>
  <c r="EM127" i="22"/>
  <c r="EL127" i="22"/>
  <c r="DP127" i="22"/>
  <c r="DO127" i="22"/>
  <c r="DM127" i="22"/>
  <c r="DL127" i="22"/>
  <c r="DK127" i="22"/>
  <c r="DJ127" i="22"/>
  <c r="CN127" i="22"/>
  <c r="CM127" i="22"/>
  <c r="CK127" i="22"/>
  <c r="CJ127" i="22"/>
  <c r="CI127" i="22"/>
  <c r="CH127" i="22"/>
  <c r="BL127" i="22"/>
  <c r="BK127" i="22"/>
  <c r="BI127" i="22"/>
  <c r="BH127" i="22"/>
  <c r="BG127" i="22"/>
  <c r="BF127" i="22"/>
  <c r="AO127" i="22"/>
  <c r="AN127" i="22"/>
  <c r="AM127" i="22"/>
  <c r="T127" i="22"/>
  <c r="DT127" i="22" s="1"/>
  <c r="Q127" i="22"/>
  <c r="R127" i="22" s="1"/>
  <c r="GO126" i="22"/>
  <c r="GN126" i="22"/>
  <c r="GM126" i="22"/>
  <c r="GL126" i="22"/>
  <c r="GE126" i="22"/>
  <c r="GI126" i="22" s="1"/>
  <c r="GD126" i="22"/>
  <c r="GC126" i="22"/>
  <c r="GB126" i="22"/>
  <c r="FZ126" i="22"/>
  <c r="FY126" i="22"/>
  <c r="FX126" i="22"/>
  <c r="FW126" i="22"/>
  <c r="FT126" i="22"/>
  <c r="FP126" i="22"/>
  <c r="FK126" i="22"/>
  <c r="FJ126" i="22"/>
  <c r="FE126" i="22"/>
  <c r="FD126" i="22"/>
  <c r="ER126" i="22"/>
  <c r="EQ126" i="22"/>
  <c r="EO126" i="22"/>
  <c r="EN126" i="22"/>
  <c r="EM126" i="22"/>
  <c r="EL126" i="22"/>
  <c r="DP126" i="22"/>
  <c r="DO126" i="22"/>
  <c r="DM126" i="22"/>
  <c r="DL126" i="22"/>
  <c r="DK126" i="22"/>
  <c r="DJ126" i="22"/>
  <c r="CN126" i="22"/>
  <c r="CM126" i="22"/>
  <c r="CK126" i="22"/>
  <c r="CJ126" i="22"/>
  <c r="CI126" i="22"/>
  <c r="CH126" i="22"/>
  <c r="BL126" i="22"/>
  <c r="BK126" i="22"/>
  <c r="GT126" i="22" s="1"/>
  <c r="BI126" i="22"/>
  <c r="BH126" i="22"/>
  <c r="BG126" i="22"/>
  <c r="BF126" i="22"/>
  <c r="AO126" i="22"/>
  <c r="AN126" i="22"/>
  <c r="AM126" i="22"/>
  <c r="T126" i="22"/>
  <c r="Q126" i="22"/>
  <c r="R126" i="22" s="1"/>
  <c r="GO125" i="22"/>
  <c r="GN125" i="22"/>
  <c r="GM125" i="22"/>
  <c r="GL125" i="22"/>
  <c r="GE125" i="22"/>
  <c r="GD125" i="22"/>
  <c r="GH125" i="22" s="1"/>
  <c r="GC125" i="22"/>
  <c r="GB125" i="22"/>
  <c r="FZ125" i="22"/>
  <c r="FY125" i="22"/>
  <c r="FX125" i="22"/>
  <c r="FW125" i="22"/>
  <c r="FT125" i="22"/>
  <c r="FP125" i="22"/>
  <c r="FK125" i="22"/>
  <c r="FJ125" i="22"/>
  <c r="FE125" i="22"/>
  <c r="FD125" i="22"/>
  <c r="ER125" i="22"/>
  <c r="EQ125" i="22"/>
  <c r="EO125" i="22"/>
  <c r="EN125" i="22"/>
  <c r="EM125" i="22"/>
  <c r="EL125" i="22"/>
  <c r="DP125" i="22"/>
  <c r="DO125" i="22"/>
  <c r="DM125" i="22"/>
  <c r="DL125" i="22"/>
  <c r="DK125" i="22"/>
  <c r="DJ125" i="22"/>
  <c r="CN125" i="22"/>
  <c r="CM125" i="22"/>
  <c r="CK125" i="22"/>
  <c r="CJ125" i="22"/>
  <c r="CI125" i="22"/>
  <c r="CH125" i="22"/>
  <c r="BL125" i="22"/>
  <c r="BK125" i="22"/>
  <c r="BI125" i="22"/>
  <c r="BH125" i="22"/>
  <c r="BG125" i="22"/>
  <c r="BF125" i="22"/>
  <c r="AO125" i="22"/>
  <c r="AN125" i="22"/>
  <c r="AM125" i="22"/>
  <c r="T125" i="22"/>
  <c r="BP125" i="22" s="1"/>
  <c r="Q125" i="22"/>
  <c r="R125" i="22" s="1"/>
  <c r="GO124" i="22"/>
  <c r="GN124" i="22"/>
  <c r="GM124" i="22"/>
  <c r="GL124" i="22"/>
  <c r="GE124" i="22"/>
  <c r="GD124" i="22"/>
  <c r="GC124" i="22"/>
  <c r="GB124" i="22"/>
  <c r="FZ124" i="22"/>
  <c r="FY124" i="22"/>
  <c r="FX124" i="22"/>
  <c r="FW124" i="22"/>
  <c r="FT124" i="22"/>
  <c r="FP124" i="22"/>
  <c r="FK124" i="22"/>
  <c r="FJ124" i="22"/>
  <c r="FE124" i="22"/>
  <c r="FD124" i="22"/>
  <c r="ER124" i="22"/>
  <c r="EQ124" i="22"/>
  <c r="EO124" i="22"/>
  <c r="EN124" i="22"/>
  <c r="EM124" i="22"/>
  <c r="EL124" i="22"/>
  <c r="DP124" i="22"/>
  <c r="DO124" i="22"/>
  <c r="DM124" i="22"/>
  <c r="DL124" i="22"/>
  <c r="DK124" i="22"/>
  <c r="DJ124" i="22"/>
  <c r="CN124" i="22"/>
  <c r="CM124" i="22"/>
  <c r="CK124" i="22"/>
  <c r="CJ124" i="22"/>
  <c r="CI124" i="22"/>
  <c r="CH124" i="22"/>
  <c r="BL124" i="22"/>
  <c r="BK124" i="22"/>
  <c r="BI124" i="22"/>
  <c r="BH124" i="22"/>
  <c r="BG124" i="22"/>
  <c r="BF124" i="22"/>
  <c r="AO124" i="22"/>
  <c r="AN124" i="22"/>
  <c r="AM124" i="22"/>
  <c r="T124" i="22"/>
  <c r="Q124" i="22"/>
  <c r="R124" i="22" s="1"/>
  <c r="GO123" i="22"/>
  <c r="GN123" i="22"/>
  <c r="GM123" i="22"/>
  <c r="GL123" i="22"/>
  <c r="GE123" i="22"/>
  <c r="GD123" i="22"/>
  <c r="GC123" i="22"/>
  <c r="GB123" i="22"/>
  <c r="GF123" i="22" s="1"/>
  <c r="FZ123" i="22"/>
  <c r="FY123" i="22"/>
  <c r="FX123" i="22"/>
  <c r="FW123" i="22"/>
  <c r="FT123" i="22"/>
  <c r="FP123" i="22"/>
  <c r="FK123" i="22"/>
  <c r="FJ123" i="22"/>
  <c r="FE123" i="22"/>
  <c r="FD123" i="22"/>
  <c r="EV123" i="22"/>
  <c r="ER123" i="22"/>
  <c r="EQ123" i="22"/>
  <c r="EO123" i="22"/>
  <c r="EN123" i="22"/>
  <c r="EM123" i="22"/>
  <c r="EL123" i="22"/>
  <c r="DP123" i="22"/>
  <c r="DO123" i="22"/>
  <c r="DM123" i="22"/>
  <c r="DL123" i="22"/>
  <c r="DK123" i="22"/>
  <c r="DJ123" i="22"/>
  <c r="CN123" i="22"/>
  <c r="CM123" i="22"/>
  <c r="CK123" i="22"/>
  <c r="CJ123" i="22"/>
  <c r="CI123" i="22"/>
  <c r="CH123" i="22"/>
  <c r="BL123" i="22"/>
  <c r="BK123" i="22"/>
  <c r="BI123" i="22"/>
  <c r="BH123" i="22"/>
  <c r="BG123" i="22"/>
  <c r="BF123" i="22"/>
  <c r="AO123" i="22"/>
  <c r="AN123" i="22"/>
  <c r="AM123" i="22"/>
  <c r="T123" i="22"/>
  <c r="DT123" i="22" s="1"/>
  <c r="Q123" i="22"/>
  <c r="R123" i="22" s="1"/>
  <c r="GO122" i="22"/>
  <c r="GN122" i="22"/>
  <c r="GM122" i="22"/>
  <c r="GL122" i="22"/>
  <c r="GE122" i="22"/>
  <c r="GD122" i="22"/>
  <c r="GC122" i="22"/>
  <c r="GB122" i="22"/>
  <c r="FZ122" i="22"/>
  <c r="FY122" i="22"/>
  <c r="FX122" i="22"/>
  <c r="FW122" i="22"/>
  <c r="FT122" i="22"/>
  <c r="FP122" i="22"/>
  <c r="FK122" i="22"/>
  <c r="FJ122" i="22"/>
  <c r="FE122" i="22"/>
  <c r="FD122" i="22"/>
  <c r="ER122" i="22"/>
  <c r="EQ122" i="22"/>
  <c r="EO122" i="22"/>
  <c r="EN122" i="22"/>
  <c r="EM122" i="22"/>
  <c r="EL122" i="22"/>
  <c r="DP122" i="22"/>
  <c r="DO122" i="22"/>
  <c r="DM122" i="22"/>
  <c r="DL122" i="22"/>
  <c r="DK122" i="22"/>
  <c r="DJ122" i="22"/>
  <c r="CN122" i="22"/>
  <c r="CM122" i="22"/>
  <c r="CK122" i="22"/>
  <c r="CI122" i="22"/>
  <c r="CH122" i="22"/>
  <c r="CB122" i="22"/>
  <c r="CJ122" i="22" s="1"/>
  <c r="BL122" i="22"/>
  <c r="BK122" i="22"/>
  <c r="BI122" i="22"/>
  <c r="BH122" i="22"/>
  <c r="BG122" i="22"/>
  <c r="BF122" i="22"/>
  <c r="AO122" i="22"/>
  <c r="AN122" i="22"/>
  <c r="AM122" i="22"/>
  <c r="T122" i="22"/>
  <c r="BP122" i="22" s="1"/>
  <c r="Q122" i="22"/>
  <c r="R122" i="22" s="1"/>
  <c r="GO121" i="22"/>
  <c r="GN121" i="22"/>
  <c r="GM121" i="22"/>
  <c r="GL121" i="22"/>
  <c r="GE121" i="22"/>
  <c r="GI121" i="22" s="1"/>
  <c r="GD121" i="22"/>
  <c r="GC121" i="22"/>
  <c r="GG121" i="22" s="1"/>
  <c r="GB121" i="22"/>
  <c r="FZ121" i="22"/>
  <c r="FY121" i="22"/>
  <c r="FX121" i="22"/>
  <c r="FW121" i="22"/>
  <c r="FT121" i="22"/>
  <c r="FP121" i="22"/>
  <c r="FK121" i="22"/>
  <c r="FJ121" i="22"/>
  <c r="FE121" i="22"/>
  <c r="FD121" i="22"/>
  <c r="ER121" i="22"/>
  <c r="EQ121" i="22"/>
  <c r="EO121" i="22"/>
  <c r="EN121" i="22"/>
  <c r="EM121" i="22"/>
  <c r="EL121" i="22"/>
  <c r="DP121" i="22"/>
  <c r="DO121" i="22"/>
  <c r="DM121" i="22"/>
  <c r="DL121" i="22"/>
  <c r="DK121" i="22"/>
  <c r="DJ121" i="22"/>
  <c r="CN121" i="22"/>
  <c r="CM121" i="22"/>
  <c r="CK121" i="22"/>
  <c r="CJ121" i="22"/>
  <c r="CI121" i="22"/>
  <c r="CH121" i="22"/>
  <c r="BL121" i="22"/>
  <c r="BK121" i="22"/>
  <c r="BI121" i="22"/>
  <c r="BH121" i="22"/>
  <c r="BG121" i="22"/>
  <c r="BF121" i="22"/>
  <c r="AO121" i="22"/>
  <c r="AN121" i="22"/>
  <c r="AM121" i="22"/>
  <c r="T121" i="22"/>
  <c r="Q121" i="22"/>
  <c r="R121" i="22" s="1"/>
  <c r="GO120" i="22"/>
  <c r="GN120" i="22"/>
  <c r="GM120" i="22"/>
  <c r="GL120" i="22"/>
  <c r="GE120" i="22"/>
  <c r="GD120" i="22"/>
  <c r="GC120" i="22"/>
  <c r="GB120" i="22"/>
  <c r="GF120" i="22" s="1"/>
  <c r="FZ120" i="22"/>
  <c r="FY120" i="22"/>
  <c r="FX120" i="22"/>
  <c r="FW120" i="22"/>
  <c r="FT120" i="22"/>
  <c r="FP120" i="22"/>
  <c r="FK120" i="22"/>
  <c r="FJ120" i="22"/>
  <c r="FE120" i="22"/>
  <c r="FD120" i="22"/>
  <c r="ER120" i="22"/>
  <c r="EQ120" i="22"/>
  <c r="EO120" i="22"/>
  <c r="EN120" i="22"/>
  <c r="EM120" i="22"/>
  <c r="EL120" i="22"/>
  <c r="DP120" i="22"/>
  <c r="DO120" i="22"/>
  <c r="DM120" i="22"/>
  <c r="DL120" i="22"/>
  <c r="DK120" i="22"/>
  <c r="DJ120" i="22"/>
  <c r="CN120" i="22"/>
  <c r="CM120" i="22"/>
  <c r="CK120" i="22"/>
  <c r="CJ120" i="22"/>
  <c r="CI120" i="22"/>
  <c r="CH120" i="22"/>
  <c r="BL120" i="22"/>
  <c r="BK120" i="22"/>
  <c r="BI120" i="22"/>
  <c r="BH120" i="22"/>
  <c r="BG120" i="22"/>
  <c r="BF120" i="22"/>
  <c r="AO120" i="22"/>
  <c r="AN120" i="22"/>
  <c r="AM120" i="22"/>
  <c r="T120" i="22"/>
  <c r="Q120" i="22"/>
  <c r="R120" i="22" s="1"/>
  <c r="GO119" i="22"/>
  <c r="GN119" i="22"/>
  <c r="GM119" i="22"/>
  <c r="GL119" i="22"/>
  <c r="GE119" i="22"/>
  <c r="GD119" i="22"/>
  <c r="GH119" i="22" s="1"/>
  <c r="GC119" i="22"/>
  <c r="GG119" i="22" s="1"/>
  <c r="GB119" i="22"/>
  <c r="FZ119" i="22"/>
  <c r="GI119" i="22" s="1"/>
  <c r="FY119" i="22"/>
  <c r="FX119" i="22"/>
  <c r="FW119" i="22"/>
  <c r="FT119" i="22"/>
  <c r="FP119" i="22"/>
  <c r="FK119" i="22"/>
  <c r="FJ119" i="22"/>
  <c r="FE119" i="22"/>
  <c r="FD119" i="22"/>
  <c r="ER119" i="22"/>
  <c r="EQ119" i="22"/>
  <c r="EO119" i="22"/>
  <c r="EN119" i="22"/>
  <c r="EM119" i="22"/>
  <c r="EL119" i="22"/>
  <c r="DP119" i="22"/>
  <c r="DO119" i="22"/>
  <c r="DM119" i="22"/>
  <c r="DL119" i="22"/>
  <c r="DK119" i="22"/>
  <c r="DJ119" i="22"/>
  <c r="CR119" i="22"/>
  <c r="CN119" i="22"/>
  <c r="CM119" i="22"/>
  <c r="CK119" i="22"/>
  <c r="CB119" i="22"/>
  <c r="CJ119" i="22" s="1"/>
  <c r="CA119" i="22"/>
  <c r="CI119" i="22" s="1"/>
  <c r="BZ119" i="22"/>
  <c r="CH119" i="22" s="1"/>
  <c r="BP119" i="22"/>
  <c r="BL119" i="22"/>
  <c r="BK119" i="22"/>
  <c r="BI119" i="22"/>
  <c r="BH119" i="22"/>
  <c r="BG119" i="22"/>
  <c r="AX119" i="22"/>
  <c r="BF119" i="22" s="1"/>
  <c r="AO119" i="22"/>
  <c r="AN119" i="22"/>
  <c r="AM119" i="22"/>
  <c r="T119" i="22"/>
  <c r="EV119" i="22" s="1"/>
  <c r="Q119" i="22"/>
  <c r="R119" i="22" s="1"/>
  <c r="GO118" i="22"/>
  <c r="GN118" i="22"/>
  <c r="GM118" i="22"/>
  <c r="GL118" i="22"/>
  <c r="GE118" i="22"/>
  <c r="GD118" i="22"/>
  <c r="GC118" i="22"/>
  <c r="GB118" i="22"/>
  <c r="FZ118" i="22"/>
  <c r="FY118" i="22"/>
  <c r="FX118" i="22"/>
  <c r="FW118" i="22"/>
  <c r="FT118" i="22"/>
  <c r="FP118" i="22"/>
  <c r="FK118" i="22"/>
  <c r="FJ118" i="22"/>
  <c r="FE118" i="22"/>
  <c r="FD118" i="22"/>
  <c r="ER118" i="22"/>
  <c r="EQ118" i="22"/>
  <c r="EO118" i="22"/>
  <c r="EN118" i="22"/>
  <c r="EM118" i="22"/>
  <c r="EL118" i="22"/>
  <c r="DP118" i="22"/>
  <c r="DO118" i="22"/>
  <c r="DM118" i="22"/>
  <c r="DL118" i="22"/>
  <c r="DK118" i="22"/>
  <c r="DJ118" i="22"/>
  <c r="CN118" i="22"/>
  <c r="CM118" i="22"/>
  <c r="CK118" i="22"/>
  <c r="CJ118" i="22"/>
  <c r="CI118" i="22"/>
  <c r="CH118" i="22"/>
  <c r="BL118" i="22"/>
  <c r="BK118" i="22"/>
  <c r="BI118" i="22"/>
  <c r="BH118" i="22"/>
  <c r="BG118" i="22"/>
  <c r="BJ118" i="22" s="1"/>
  <c r="BF118" i="22"/>
  <c r="AO118" i="22"/>
  <c r="AN118" i="22"/>
  <c r="AM118" i="22"/>
  <c r="T118" i="22"/>
  <c r="Q118" i="22"/>
  <c r="R118" i="22" s="1"/>
  <c r="GO117" i="22"/>
  <c r="GN117" i="22"/>
  <c r="GM117" i="22"/>
  <c r="GL117" i="22"/>
  <c r="GE117" i="22"/>
  <c r="GD117" i="22"/>
  <c r="GC117" i="22"/>
  <c r="GB117" i="22"/>
  <c r="FZ117" i="22"/>
  <c r="FY117" i="22"/>
  <c r="FX117" i="22"/>
  <c r="FW117" i="22"/>
  <c r="FT117" i="22"/>
  <c r="FP117" i="22"/>
  <c r="FK117" i="22"/>
  <c r="FJ117" i="22"/>
  <c r="FE117" i="22"/>
  <c r="FD117" i="22"/>
  <c r="ER117" i="22"/>
  <c r="EQ117" i="22"/>
  <c r="EO117" i="22"/>
  <c r="EN117" i="22"/>
  <c r="EM117" i="22"/>
  <c r="EL117" i="22"/>
  <c r="DP117" i="22"/>
  <c r="DO117" i="22"/>
  <c r="DM117" i="22"/>
  <c r="DL117" i="22"/>
  <c r="DK117" i="22"/>
  <c r="DJ117" i="22"/>
  <c r="CN117" i="22"/>
  <c r="CM117" i="22"/>
  <c r="CL117" i="22"/>
  <c r="CK117" i="22"/>
  <c r="CJ117" i="22"/>
  <c r="CI117" i="22"/>
  <c r="CH117" i="22"/>
  <c r="BL117" i="22"/>
  <c r="BK117" i="22"/>
  <c r="BI117" i="22"/>
  <c r="BH117" i="22"/>
  <c r="BG117" i="22"/>
  <c r="BF117" i="22"/>
  <c r="AO117" i="22"/>
  <c r="AN117" i="22"/>
  <c r="AM117" i="22"/>
  <c r="T117" i="22"/>
  <c r="Q117" i="22"/>
  <c r="R117" i="22" s="1"/>
  <c r="GO116" i="22"/>
  <c r="GN116" i="22"/>
  <c r="GM116" i="22"/>
  <c r="GL116" i="22"/>
  <c r="GE116" i="22"/>
  <c r="GD116" i="22"/>
  <c r="GH116" i="22" s="1"/>
  <c r="GC116" i="22"/>
  <c r="GG116" i="22" s="1"/>
  <c r="GB116" i="22"/>
  <c r="GF116" i="22" s="1"/>
  <c r="FZ116" i="22"/>
  <c r="FY116" i="22"/>
  <c r="FX116" i="22"/>
  <c r="FW116" i="22"/>
  <c r="FT116" i="22"/>
  <c r="FP116" i="22"/>
  <c r="FK116" i="22"/>
  <c r="FJ116" i="22"/>
  <c r="FE116" i="22"/>
  <c r="FD116" i="22"/>
  <c r="ER116" i="22"/>
  <c r="EQ116" i="22"/>
  <c r="EO116" i="22"/>
  <c r="EN116" i="22"/>
  <c r="EM116" i="22"/>
  <c r="EL116" i="22"/>
  <c r="DP116" i="22"/>
  <c r="DO116" i="22"/>
  <c r="DM116" i="22"/>
  <c r="DL116" i="22"/>
  <c r="DK116" i="22"/>
  <c r="DJ116" i="22"/>
  <c r="CN116" i="22"/>
  <c r="CM116" i="22"/>
  <c r="CK116" i="22"/>
  <c r="CJ116" i="22"/>
  <c r="CI116" i="22"/>
  <c r="CH116" i="22"/>
  <c r="BL116" i="22"/>
  <c r="BK116" i="22"/>
  <c r="BI116" i="22"/>
  <c r="BH116" i="22"/>
  <c r="BG116" i="22"/>
  <c r="BF116" i="22"/>
  <c r="AO116" i="22"/>
  <c r="AN116" i="22"/>
  <c r="AM116" i="22"/>
  <c r="T116" i="22"/>
  <c r="DT116" i="22" s="1"/>
  <c r="Q116" i="22"/>
  <c r="R116" i="22" s="1"/>
  <c r="GO115" i="22"/>
  <c r="GN115" i="22"/>
  <c r="GM115" i="22"/>
  <c r="GL115" i="22"/>
  <c r="GE115" i="22"/>
  <c r="GD115" i="22"/>
  <c r="GC115" i="22"/>
  <c r="GB115" i="22"/>
  <c r="FZ115" i="22"/>
  <c r="FY115" i="22"/>
  <c r="FX115" i="22"/>
  <c r="FW115" i="22"/>
  <c r="FT115" i="22"/>
  <c r="FP115" i="22"/>
  <c r="FK115" i="22"/>
  <c r="FJ115" i="22"/>
  <c r="FE115" i="22"/>
  <c r="FD115" i="22"/>
  <c r="ER115" i="22"/>
  <c r="EQ115" i="22"/>
  <c r="EO115" i="22"/>
  <c r="EN115" i="22"/>
  <c r="EM115" i="22"/>
  <c r="EL115" i="22"/>
  <c r="DP115" i="22"/>
  <c r="DO115" i="22"/>
  <c r="DM115" i="22"/>
  <c r="DL115" i="22"/>
  <c r="DK115" i="22"/>
  <c r="DJ115" i="22"/>
  <c r="CN115" i="22"/>
  <c r="CM115" i="22"/>
  <c r="CK115" i="22"/>
  <c r="CJ115" i="22"/>
  <c r="CI115" i="22"/>
  <c r="CH115" i="22"/>
  <c r="BL115" i="22"/>
  <c r="BK115" i="22"/>
  <c r="BI115" i="22"/>
  <c r="BH115" i="22"/>
  <c r="BG115" i="22"/>
  <c r="BF115" i="22"/>
  <c r="AO115" i="22"/>
  <c r="AN115" i="22"/>
  <c r="AM115" i="22"/>
  <c r="T115" i="22"/>
  <c r="DT115" i="22" s="1"/>
  <c r="Q115" i="22"/>
  <c r="R115" i="22" s="1"/>
  <c r="GO114" i="22"/>
  <c r="GN114" i="22"/>
  <c r="GM114" i="22"/>
  <c r="GL114" i="22"/>
  <c r="GE114" i="22"/>
  <c r="GD114" i="22"/>
  <c r="GC114" i="22"/>
  <c r="GG114" i="22" s="1"/>
  <c r="GB114" i="22"/>
  <c r="FZ114" i="22"/>
  <c r="FY114" i="22"/>
  <c r="FX114" i="22"/>
  <c r="FW114" i="22"/>
  <c r="FT114" i="22"/>
  <c r="FP114" i="22"/>
  <c r="FK114" i="22"/>
  <c r="FJ114" i="22"/>
  <c r="FE114" i="22"/>
  <c r="FD114" i="22"/>
  <c r="ER114" i="22"/>
  <c r="EQ114" i="22"/>
  <c r="EO114" i="22"/>
  <c r="EN114" i="22"/>
  <c r="EM114" i="22"/>
  <c r="EL114" i="22"/>
  <c r="DP114" i="22"/>
  <c r="DO114" i="22"/>
  <c r="DM114" i="22"/>
  <c r="DL114" i="22"/>
  <c r="DK114" i="22"/>
  <c r="DJ114" i="22"/>
  <c r="CN114" i="22"/>
  <c r="CM114" i="22"/>
  <c r="CK114" i="22"/>
  <c r="CJ114" i="22"/>
  <c r="CI114" i="22"/>
  <c r="CH114" i="22"/>
  <c r="BL114" i="22"/>
  <c r="BK114" i="22"/>
  <c r="BI114" i="22"/>
  <c r="BH114" i="22"/>
  <c r="BG114" i="22"/>
  <c r="BF114" i="22"/>
  <c r="AO114" i="22"/>
  <c r="AN114" i="22"/>
  <c r="AM114" i="22"/>
  <c r="T114" i="22"/>
  <c r="R114" i="22"/>
  <c r="Q114" i="22"/>
  <c r="GE113" i="22"/>
  <c r="GD113" i="22"/>
  <c r="GC113" i="22"/>
  <c r="GB113" i="22"/>
  <c r="FZ113" i="22"/>
  <c r="FY113" i="22"/>
  <c r="FX113" i="22"/>
  <c r="FW113" i="22"/>
  <c r="FT113" i="22"/>
  <c r="FP113" i="22"/>
  <c r="FK113" i="22"/>
  <c r="FJ113" i="22"/>
  <c r="FE113" i="22"/>
  <c r="FD113" i="22"/>
  <c r="ER113" i="22"/>
  <c r="EQ113" i="22"/>
  <c r="EO113" i="22"/>
  <c r="EN113" i="22"/>
  <c r="EM113" i="22"/>
  <c r="EL113" i="22"/>
  <c r="DP113" i="22"/>
  <c r="DO113" i="22"/>
  <c r="DL113" i="22"/>
  <c r="DK113" i="22"/>
  <c r="DJ113" i="22"/>
  <c r="DE113" i="22"/>
  <c r="DM113" i="22" s="1"/>
  <c r="CN113" i="22"/>
  <c r="CM113" i="22"/>
  <c r="CK113" i="22"/>
  <c r="CJ113" i="22"/>
  <c r="CI113" i="22"/>
  <c r="CH113" i="22"/>
  <c r="BL113" i="22"/>
  <c r="BK113" i="22"/>
  <c r="BI113" i="22"/>
  <c r="BH113" i="22"/>
  <c r="BG113" i="22"/>
  <c r="BF113" i="22"/>
  <c r="AO113" i="22"/>
  <c r="GO113" i="22" s="1"/>
  <c r="AN113" i="22"/>
  <c r="AM113" i="22"/>
  <c r="T113" i="22"/>
  <c r="EV113" i="22" s="1"/>
  <c r="Q113" i="22"/>
  <c r="R113" i="22" s="1"/>
  <c r="GO112" i="22"/>
  <c r="GN112" i="22"/>
  <c r="GM112" i="22"/>
  <c r="GL112" i="22"/>
  <c r="GE112" i="22"/>
  <c r="GD112" i="22"/>
  <c r="GC112" i="22"/>
  <c r="GB112" i="22"/>
  <c r="FZ112" i="22"/>
  <c r="FY112" i="22"/>
  <c r="FX112" i="22"/>
  <c r="FW112" i="22"/>
  <c r="FT112" i="22"/>
  <c r="FP112" i="22"/>
  <c r="FK112" i="22"/>
  <c r="FJ112" i="22"/>
  <c r="FE112" i="22"/>
  <c r="FD112" i="22"/>
  <c r="ER112" i="22"/>
  <c r="EQ112" i="22"/>
  <c r="EO112" i="22"/>
  <c r="EN112" i="22"/>
  <c r="EM112" i="22"/>
  <c r="EL112" i="22"/>
  <c r="DP112" i="22"/>
  <c r="DO112" i="22"/>
  <c r="DL112" i="22"/>
  <c r="DK112" i="22"/>
  <c r="DJ112" i="22"/>
  <c r="DE112" i="22"/>
  <c r="DM112" i="22" s="1"/>
  <c r="CN112" i="22"/>
  <c r="CM112" i="22"/>
  <c r="CK112" i="22"/>
  <c r="CJ112" i="22"/>
  <c r="CI112" i="22"/>
  <c r="CH112" i="22"/>
  <c r="BL112" i="22"/>
  <c r="BK112" i="22"/>
  <c r="BI112" i="22"/>
  <c r="BH112" i="22"/>
  <c r="BG112" i="22"/>
  <c r="BF112" i="22"/>
  <c r="AO112" i="22"/>
  <c r="AN112" i="22"/>
  <c r="AM112" i="22"/>
  <c r="T112" i="22"/>
  <c r="BP112" i="22" s="1"/>
  <c r="Q112" i="22"/>
  <c r="R112" i="22" s="1"/>
  <c r="GO111" i="22"/>
  <c r="GN111" i="22"/>
  <c r="GM111" i="22"/>
  <c r="GL111" i="22"/>
  <c r="GE111" i="22"/>
  <c r="GD111" i="22"/>
  <c r="GC111" i="22"/>
  <c r="GB111" i="22"/>
  <c r="GF111" i="22" s="1"/>
  <c r="FZ111" i="22"/>
  <c r="FY111" i="22"/>
  <c r="FX111" i="22"/>
  <c r="FW111" i="22"/>
  <c r="FT111" i="22"/>
  <c r="FP111" i="22"/>
  <c r="FK111" i="22"/>
  <c r="FJ111" i="22"/>
  <c r="FE111" i="22"/>
  <c r="FD111" i="22"/>
  <c r="ER111" i="22"/>
  <c r="EQ111" i="22"/>
  <c r="EO111" i="22"/>
  <c r="EN111" i="22"/>
  <c r="EM111" i="22"/>
  <c r="EL111" i="22"/>
  <c r="DP111" i="22"/>
  <c r="DO111" i="22"/>
  <c r="DL111" i="22"/>
  <c r="DK111" i="22"/>
  <c r="DJ111" i="22"/>
  <c r="DE111" i="22"/>
  <c r="DM111" i="22" s="1"/>
  <c r="CR111" i="22"/>
  <c r="CN111" i="22"/>
  <c r="CM111" i="22"/>
  <c r="CK111" i="22"/>
  <c r="CJ111" i="22"/>
  <c r="CI111" i="22"/>
  <c r="CH111" i="22"/>
  <c r="BP111" i="22"/>
  <c r="BL111" i="22"/>
  <c r="BK111" i="22"/>
  <c r="BI111" i="22"/>
  <c r="BH111" i="22"/>
  <c r="BG111" i="22"/>
  <c r="BF111" i="22"/>
  <c r="AO111" i="22"/>
  <c r="AN111" i="22"/>
  <c r="AM111" i="22"/>
  <c r="T111" i="22"/>
  <c r="Q111" i="22"/>
  <c r="R111" i="22" s="1"/>
  <c r="GO110" i="22"/>
  <c r="GN110" i="22"/>
  <c r="GM110" i="22"/>
  <c r="GL110" i="22"/>
  <c r="GH110" i="22"/>
  <c r="GE110" i="22"/>
  <c r="GD110" i="22"/>
  <c r="GC110" i="22"/>
  <c r="GB110" i="22"/>
  <c r="FZ110" i="22"/>
  <c r="FY110" i="22"/>
  <c r="FX110" i="22"/>
  <c r="FW110" i="22"/>
  <c r="FT110" i="22"/>
  <c r="FP110" i="22"/>
  <c r="FK110" i="22"/>
  <c r="FJ110" i="22"/>
  <c r="FE110" i="22"/>
  <c r="FD110" i="22"/>
  <c r="ER110" i="22"/>
  <c r="EQ110" i="22"/>
  <c r="EO110" i="22"/>
  <c r="EN110" i="22"/>
  <c r="EM110" i="22"/>
  <c r="EL110" i="22"/>
  <c r="DP110" i="22"/>
  <c r="DO110" i="22"/>
  <c r="DM110" i="22"/>
  <c r="DL110" i="22"/>
  <c r="DK110" i="22"/>
  <c r="DJ110" i="22"/>
  <c r="CN110" i="22"/>
  <c r="CM110" i="22"/>
  <c r="CK110" i="22"/>
  <c r="CJ110" i="22"/>
  <c r="CI110" i="22"/>
  <c r="CH110" i="22"/>
  <c r="BL110" i="22"/>
  <c r="BK110" i="22"/>
  <c r="BI110" i="22"/>
  <c r="BH110" i="22"/>
  <c r="BG110" i="22"/>
  <c r="BF110" i="22"/>
  <c r="AO110" i="22"/>
  <c r="AN110" i="22"/>
  <c r="AM110" i="22"/>
  <c r="T110" i="22"/>
  <c r="DT110" i="22" s="1"/>
  <c r="Q110" i="22"/>
  <c r="R110" i="22" s="1"/>
  <c r="GE109" i="22"/>
  <c r="GD109" i="22"/>
  <c r="GH109" i="22" s="1"/>
  <c r="GC109" i="22"/>
  <c r="GB109" i="22"/>
  <c r="GF109" i="22" s="1"/>
  <c r="FZ109" i="22"/>
  <c r="FY109" i="22"/>
  <c r="FX109" i="22"/>
  <c r="FW109" i="22"/>
  <c r="FT109" i="22"/>
  <c r="FP109" i="22"/>
  <c r="FK109" i="22"/>
  <c r="FJ109" i="22"/>
  <c r="FE109" i="22"/>
  <c r="FD109" i="22"/>
  <c r="ER109" i="22"/>
  <c r="EQ109" i="22"/>
  <c r="EO109" i="22"/>
  <c r="EN109" i="22"/>
  <c r="EM109" i="22"/>
  <c r="EL109" i="22"/>
  <c r="DP109" i="22"/>
  <c r="DO109" i="22"/>
  <c r="DM109" i="22"/>
  <c r="DL109" i="22"/>
  <c r="DK109" i="22"/>
  <c r="DJ109" i="22"/>
  <c r="CN109" i="22"/>
  <c r="CM109" i="22"/>
  <c r="CK109" i="22"/>
  <c r="CJ109" i="22"/>
  <c r="CI109" i="22"/>
  <c r="CH109" i="22"/>
  <c r="BL109" i="22"/>
  <c r="BK109" i="22"/>
  <c r="BI109" i="22"/>
  <c r="BH109" i="22"/>
  <c r="BG109" i="22"/>
  <c r="BF109" i="22"/>
  <c r="AO109" i="22"/>
  <c r="AN109" i="22"/>
  <c r="AM109" i="22"/>
  <c r="T109" i="22"/>
  <c r="CR109" i="22" s="1"/>
  <c r="Q109" i="22"/>
  <c r="R109" i="22" s="1"/>
  <c r="GO108" i="22"/>
  <c r="GN108" i="22"/>
  <c r="GM108" i="22"/>
  <c r="GL108" i="22"/>
  <c r="GE108" i="22"/>
  <c r="GI108" i="22" s="1"/>
  <c r="GD108" i="22"/>
  <c r="GC108" i="22"/>
  <c r="GG108" i="22" s="1"/>
  <c r="GB108" i="22"/>
  <c r="FZ108" i="22"/>
  <c r="FY108" i="22"/>
  <c r="FX108" i="22"/>
  <c r="FW108" i="22"/>
  <c r="FT108" i="22"/>
  <c r="FP108" i="22"/>
  <c r="FK108" i="22"/>
  <c r="FJ108" i="22"/>
  <c r="FE108" i="22"/>
  <c r="FD108" i="22"/>
  <c r="ER108" i="22"/>
  <c r="EQ108" i="22"/>
  <c r="EO108" i="22"/>
  <c r="EN108" i="22"/>
  <c r="EM108" i="22"/>
  <c r="EL108" i="22"/>
  <c r="DP108" i="22"/>
  <c r="DO108" i="22"/>
  <c r="DM108" i="22"/>
  <c r="DL108" i="22"/>
  <c r="DK108" i="22"/>
  <c r="DJ108" i="22"/>
  <c r="CN108" i="22"/>
  <c r="CM108" i="22"/>
  <c r="CK108" i="22"/>
  <c r="CJ108" i="22"/>
  <c r="CI108" i="22"/>
  <c r="CH108" i="22"/>
  <c r="BL108" i="22"/>
  <c r="BK108" i="22"/>
  <c r="BI108" i="22"/>
  <c r="BH108" i="22"/>
  <c r="BG108" i="22"/>
  <c r="BF108" i="22"/>
  <c r="AO108" i="22"/>
  <c r="AN108" i="22"/>
  <c r="AM108" i="22"/>
  <c r="T108" i="22"/>
  <c r="Q108" i="22"/>
  <c r="R108" i="22" s="1"/>
  <c r="GO107" i="22"/>
  <c r="GN107" i="22"/>
  <c r="GM107" i="22"/>
  <c r="GL107" i="22"/>
  <c r="GI107" i="22"/>
  <c r="GE107" i="22"/>
  <c r="GD107" i="22"/>
  <c r="GC107" i="22"/>
  <c r="GB107" i="22"/>
  <c r="FZ107" i="22"/>
  <c r="FY107" i="22"/>
  <c r="FX107" i="22"/>
  <c r="FW107" i="22"/>
  <c r="FT107" i="22"/>
  <c r="FP107" i="22"/>
  <c r="FK107" i="22"/>
  <c r="FJ107" i="22"/>
  <c r="FE107" i="22"/>
  <c r="FD107" i="22"/>
  <c r="ER107" i="22"/>
  <c r="EQ107" i="22"/>
  <c r="EO107" i="22"/>
  <c r="EN107" i="22"/>
  <c r="EM107" i="22"/>
  <c r="EL107" i="22"/>
  <c r="DP107" i="22"/>
  <c r="DO107" i="22"/>
  <c r="DM107" i="22"/>
  <c r="DL107" i="22"/>
  <c r="DK107" i="22"/>
  <c r="DJ107" i="22"/>
  <c r="CN107" i="22"/>
  <c r="CM107" i="22"/>
  <c r="CK107" i="22"/>
  <c r="CJ107" i="22"/>
  <c r="CI107" i="22"/>
  <c r="CL107" i="22" s="1"/>
  <c r="CH107" i="22"/>
  <c r="BL107" i="22"/>
  <c r="BK107" i="22"/>
  <c r="BI107" i="22"/>
  <c r="BH107" i="22"/>
  <c r="BG107" i="22"/>
  <c r="BF107" i="22"/>
  <c r="AO107" i="22"/>
  <c r="AN107" i="22"/>
  <c r="AM107" i="22"/>
  <c r="T107" i="22"/>
  <c r="Q107" i="22"/>
  <c r="R107" i="22" s="1"/>
  <c r="GO106" i="22"/>
  <c r="GN106" i="22"/>
  <c r="GM106" i="22"/>
  <c r="GL106" i="22"/>
  <c r="GE106" i="22"/>
  <c r="GD106" i="22"/>
  <c r="GC106" i="22"/>
  <c r="GB106" i="22"/>
  <c r="FZ106" i="22"/>
  <c r="FY106" i="22"/>
  <c r="FX106" i="22"/>
  <c r="FW106" i="22"/>
  <c r="FT106" i="22"/>
  <c r="FP106" i="22"/>
  <c r="FK106" i="22"/>
  <c r="FJ106" i="22"/>
  <c r="FE106" i="22"/>
  <c r="FD106" i="22"/>
  <c r="ER106" i="22"/>
  <c r="EQ106" i="22"/>
  <c r="EO106" i="22"/>
  <c r="EN106" i="22"/>
  <c r="EM106" i="22"/>
  <c r="EL106" i="22"/>
  <c r="DP106" i="22"/>
  <c r="DO106" i="22"/>
  <c r="DM106" i="22"/>
  <c r="DL106" i="22"/>
  <c r="DK106" i="22"/>
  <c r="DJ106" i="22"/>
  <c r="CN106" i="22"/>
  <c r="CM106" i="22"/>
  <c r="CK106" i="22"/>
  <c r="CJ106" i="22"/>
  <c r="CI106" i="22"/>
  <c r="CH106" i="22"/>
  <c r="BL106" i="22"/>
  <c r="BK106" i="22"/>
  <c r="BI106" i="22"/>
  <c r="BH106" i="22"/>
  <c r="BG106" i="22"/>
  <c r="BF106" i="22"/>
  <c r="AO106" i="22"/>
  <c r="AN106" i="22"/>
  <c r="AM106" i="22"/>
  <c r="T106" i="22"/>
  <c r="Q106" i="22"/>
  <c r="R106" i="22" s="1"/>
  <c r="GO105" i="22"/>
  <c r="GN105" i="22"/>
  <c r="GM105" i="22"/>
  <c r="GL105" i="22"/>
  <c r="GQ105" i="22" s="1"/>
  <c r="GE105" i="22"/>
  <c r="GD105" i="22"/>
  <c r="GC105" i="22"/>
  <c r="GB105" i="22"/>
  <c r="FZ105" i="22"/>
  <c r="FY105" i="22"/>
  <c r="FX105" i="22"/>
  <c r="FW105" i="22"/>
  <c r="FT105" i="22"/>
  <c r="FP105" i="22"/>
  <c r="FK105" i="22"/>
  <c r="FJ105" i="22"/>
  <c r="FE105" i="22"/>
  <c r="FD105" i="22"/>
  <c r="ER105" i="22"/>
  <c r="EQ105" i="22"/>
  <c r="EO105" i="22"/>
  <c r="EN105" i="22"/>
  <c r="EM105" i="22"/>
  <c r="EL105" i="22"/>
  <c r="DP105" i="22"/>
  <c r="DO105" i="22"/>
  <c r="DM105" i="22"/>
  <c r="DL105" i="22"/>
  <c r="DK105" i="22"/>
  <c r="DJ105" i="22"/>
  <c r="CR105" i="22"/>
  <c r="CN105" i="22"/>
  <c r="CM105" i="22"/>
  <c r="CK105" i="22"/>
  <c r="CJ105" i="22"/>
  <c r="CI105" i="22"/>
  <c r="CH105" i="22"/>
  <c r="BL105" i="22"/>
  <c r="BK105" i="22"/>
  <c r="BI105" i="22"/>
  <c r="BH105" i="22"/>
  <c r="BG105" i="22"/>
  <c r="BF105" i="22"/>
  <c r="AO105" i="22"/>
  <c r="AN105" i="22"/>
  <c r="AM105" i="22"/>
  <c r="T105" i="22"/>
  <c r="BP105" i="22" s="1"/>
  <c r="Q105" i="22"/>
  <c r="R105" i="22" s="1"/>
  <c r="GO104" i="22"/>
  <c r="GN104" i="22"/>
  <c r="GM104" i="22"/>
  <c r="GL104" i="22"/>
  <c r="GE104" i="22"/>
  <c r="GD104" i="22"/>
  <c r="GH104" i="22" s="1"/>
  <c r="GC104" i="22"/>
  <c r="GG104" i="22" s="1"/>
  <c r="GB104" i="22"/>
  <c r="FZ104" i="22"/>
  <c r="FY104" i="22"/>
  <c r="FX104" i="22"/>
  <c r="FW104" i="22"/>
  <c r="FT104" i="22"/>
  <c r="FP104" i="22"/>
  <c r="FK104" i="22"/>
  <c r="FJ104" i="22"/>
  <c r="FE104" i="22"/>
  <c r="FD104" i="22"/>
  <c r="ER104" i="22"/>
  <c r="EQ104" i="22"/>
  <c r="EO104" i="22"/>
  <c r="EN104" i="22"/>
  <c r="EM104" i="22"/>
  <c r="EL104" i="22"/>
  <c r="DP104" i="22"/>
  <c r="DO104" i="22"/>
  <c r="DM104" i="22"/>
  <c r="DL104" i="22"/>
  <c r="DK104" i="22"/>
  <c r="DJ104" i="22"/>
  <c r="CN104" i="22"/>
  <c r="CM104" i="22"/>
  <c r="CK104" i="22"/>
  <c r="CJ104" i="22"/>
  <c r="CI104" i="22"/>
  <c r="CH104" i="22"/>
  <c r="BL104" i="22"/>
  <c r="BK104" i="22"/>
  <c r="BI104" i="22"/>
  <c r="BH104" i="22"/>
  <c r="BG104" i="22"/>
  <c r="BF104" i="22"/>
  <c r="AO104" i="22"/>
  <c r="AN104" i="22"/>
  <c r="AM104" i="22"/>
  <c r="T104" i="22"/>
  <c r="DT104" i="22" s="1"/>
  <c r="Q104" i="22"/>
  <c r="R104" i="22" s="1"/>
  <c r="GO103" i="22"/>
  <c r="GN103" i="22"/>
  <c r="GM103" i="22"/>
  <c r="GL103" i="22"/>
  <c r="GE103" i="22"/>
  <c r="GD103" i="22"/>
  <c r="GC103" i="22"/>
  <c r="GG103" i="22" s="1"/>
  <c r="GB103" i="22"/>
  <c r="FZ103" i="22"/>
  <c r="FY103" i="22"/>
  <c r="FX103" i="22"/>
  <c r="FW103" i="22"/>
  <c r="FT103" i="22"/>
  <c r="FP103" i="22"/>
  <c r="FK103" i="22"/>
  <c r="FJ103" i="22"/>
  <c r="FE103" i="22"/>
  <c r="FD103" i="22"/>
  <c r="ER103" i="22"/>
  <c r="EQ103" i="22"/>
  <c r="EO103" i="22"/>
  <c r="EN103" i="22"/>
  <c r="EM103" i="22"/>
  <c r="EL103" i="22"/>
  <c r="DP103" i="22"/>
  <c r="DO103" i="22"/>
  <c r="DM103" i="22"/>
  <c r="DL103" i="22"/>
  <c r="DK103" i="22"/>
  <c r="DJ103" i="22"/>
  <c r="CN103" i="22"/>
  <c r="CM103" i="22"/>
  <c r="CK103" i="22"/>
  <c r="CJ103" i="22"/>
  <c r="CI103" i="22"/>
  <c r="CH103" i="22"/>
  <c r="BL103" i="22"/>
  <c r="BK103" i="22"/>
  <c r="BI103" i="22"/>
  <c r="BH103" i="22"/>
  <c r="BG103" i="22"/>
  <c r="BF103" i="22"/>
  <c r="AO103" i="22"/>
  <c r="AN103" i="22"/>
  <c r="AM103" i="22"/>
  <c r="T103" i="22"/>
  <c r="EV103" i="22" s="1"/>
  <c r="Q103" i="22"/>
  <c r="R103" i="22" s="1"/>
  <c r="GO102" i="22"/>
  <c r="GN102" i="22"/>
  <c r="GM102" i="22"/>
  <c r="GL102" i="22"/>
  <c r="GE102" i="22"/>
  <c r="GD102" i="22"/>
  <c r="GC102" i="22"/>
  <c r="GB102" i="22"/>
  <c r="FZ102" i="22"/>
  <c r="FY102" i="22"/>
  <c r="FX102" i="22"/>
  <c r="FW102" i="22"/>
  <c r="FT102" i="22"/>
  <c r="FP102" i="22"/>
  <c r="FK102" i="22"/>
  <c r="FJ102" i="22"/>
  <c r="FE102" i="22"/>
  <c r="FD102" i="22"/>
  <c r="ER102" i="22"/>
  <c r="EQ102" i="22"/>
  <c r="EO102" i="22"/>
  <c r="EN102" i="22"/>
  <c r="EM102" i="22"/>
  <c r="EL102" i="22"/>
  <c r="DP102" i="22"/>
  <c r="DO102" i="22"/>
  <c r="DL102" i="22"/>
  <c r="DK102" i="22"/>
  <c r="DJ102" i="22"/>
  <c r="DE102" i="22"/>
  <c r="DM102" i="22" s="1"/>
  <c r="CN102" i="22"/>
  <c r="CM102" i="22"/>
  <c r="CK102" i="22"/>
  <c r="CJ102" i="22"/>
  <c r="CI102" i="22"/>
  <c r="CH102" i="22"/>
  <c r="BL102" i="22"/>
  <c r="BK102" i="22"/>
  <c r="BI102" i="22"/>
  <c r="BH102" i="22"/>
  <c r="BG102" i="22"/>
  <c r="BF102" i="22"/>
  <c r="AO102" i="22"/>
  <c r="AN102" i="22"/>
  <c r="AM102" i="22"/>
  <c r="T102" i="22"/>
  <c r="Q102" i="22"/>
  <c r="R102" i="22" s="1"/>
  <c r="GO101" i="22"/>
  <c r="GN101" i="22"/>
  <c r="GM101" i="22"/>
  <c r="GL101" i="22"/>
  <c r="GE101" i="22"/>
  <c r="GD101" i="22"/>
  <c r="GH101" i="22" s="1"/>
  <c r="GC101" i="22"/>
  <c r="GB101" i="22"/>
  <c r="FZ101" i="22"/>
  <c r="FY101" i="22"/>
  <c r="FX101" i="22"/>
  <c r="FW101" i="22"/>
  <c r="FT101" i="22"/>
  <c r="FP101" i="22"/>
  <c r="FK101" i="22"/>
  <c r="FJ101" i="22"/>
  <c r="FE101" i="22"/>
  <c r="FD101" i="22"/>
  <c r="ER101" i="22"/>
  <c r="EQ101" i="22"/>
  <c r="EO101" i="22"/>
  <c r="EN101" i="22"/>
  <c r="EM101" i="22"/>
  <c r="EL101" i="22"/>
  <c r="DT101" i="22"/>
  <c r="DP101" i="22"/>
  <c r="DO101" i="22"/>
  <c r="DL101" i="22"/>
  <c r="DK101" i="22"/>
  <c r="DJ101" i="22"/>
  <c r="DE101" i="22"/>
  <c r="DM101" i="22" s="1"/>
  <c r="CN101" i="22"/>
  <c r="CM101" i="22"/>
  <c r="CK101" i="22"/>
  <c r="CJ101" i="22"/>
  <c r="CI101" i="22"/>
  <c r="CH101" i="22"/>
  <c r="BL101" i="22"/>
  <c r="BK101" i="22"/>
  <c r="BI101" i="22"/>
  <c r="BH101" i="22"/>
  <c r="BG101" i="22"/>
  <c r="BF101" i="22"/>
  <c r="AO101" i="22"/>
  <c r="AN101" i="22"/>
  <c r="AM101" i="22"/>
  <c r="T101" i="22"/>
  <c r="Q101" i="22"/>
  <c r="R101" i="22" s="1"/>
  <c r="GE100" i="22"/>
  <c r="GD100" i="22"/>
  <c r="GC100" i="22"/>
  <c r="GB100" i="22"/>
  <c r="FZ100" i="22"/>
  <c r="FY100" i="22"/>
  <c r="FX100" i="22"/>
  <c r="FW100" i="22"/>
  <c r="FT100" i="22"/>
  <c r="FP100" i="22"/>
  <c r="FK100" i="22"/>
  <c r="FJ100" i="22"/>
  <c r="FE100" i="22"/>
  <c r="FD100" i="22"/>
  <c r="ER100" i="22"/>
  <c r="EQ100" i="22"/>
  <c r="EO100" i="22"/>
  <c r="EN100" i="22"/>
  <c r="EM100" i="22"/>
  <c r="EL100" i="22"/>
  <c r="DP100" i="22"/>
  <c r="DO100" i="22"/>
  <c r="DL100" i="22"/>
  <c r="DK100" i="22"/>
  <c r="DJ100" i="22"/>
  <c r="DE100" i="22"/>
  <c r="DM100" i="22" s="1"/>
  <c r="CN100" i="22"/>
  <c r="CM100" i="22"/>
  <c r="CK100" i="22"/>
  <c r="CJ100" i="22"/>
  <c r="CI100" i="22"/>
  <c r="CH100" i="22"/>
  <c r="BL100" i="22"/>
  <c r="BK100" i="22"/>
  <c r="BI100" i="22"/>
  <c r="BH100" i="22"/>
  <c r="BG100" i="22"/>
  <c r="BF100" i="22"/>
  <c r="AO100" i="22"/>
  <c r="AN100" i="22"/>
  <c r="AM100" i="22"/>
  <c r="T100" i="22"/>
  <c r="EV100" i="22" s="1"/>
  <c r="Q100" i="22"/>
  <c r="R100" i="22" s="1"/>
  <c r="GO99" i="22"/>
  <c r="GN99" i="22"/>
  <c r="GQ99" i="22" s="1"/>
  <c r="GM99" i="22"/>
  <c r="GL99" i="22"/>
  <c r="GE99" i="22"/>
  <c r="GD99" i="22"/>
  <c r="GC99" i="22"/>
  <c r="GB99" i="22"/>
  <c r="FZ99" i="22"/>
  <c r="FY99" i="22"/>
  <c r="FX99" i="22"/>
  <c r="FW99" i="22"/>
  <c r="FT99" i="22"/>
  <c r="FP99" i="22"/>
  <c r="FK99" i="22"/>
  <c r="FJ99" i="22"/>
  <c r="FE99" i="22"/>
  <c r="FD99" i="22"/>
  <c r="ER99" i="22"/>
  <c r="EQ99" i="22"/>
  <c r="EO99" i="22"/>
  <c r="EN99" i="22"/>
  <c r="EM99" i="22"/>
  <c r="EL99" i="22"/>
  <c r="DP99" i="22"/>
  <c r="DO99" i="22"/>
  <c r="DL99" i="22"/>
  <c r="DK99" i="22"/>
  <c r="DJ99" i="22"/>
  <c r="DE99" i="22"/>
  <c r="DM99" i="22" s="1"/>
  <c r="CN99" i="22"/>
  <c r="CM99" i="22"/>
  <c r="CK99" i="22"/>
  <c r="CJ99" i="22"/>
  <c r="CI99" i="22"/>
  <c r="CH99" i="22"/>
  <c r="BL99" i="22"/>
  <c r="BK99" i="22"/>
  <c r="BI99" i="22"/>
  <c r="BH99" i="22"/>
  <c r="BG99" i="22"/>
  <c r="BF99" i="22"/>
  <c r="AO99" i="22"/>
  <c r="AN99" i="22"/>
  <c r="AM99" i="22"/>
  <c r="T99" i="22"/>
  <c r="Q99" i="22"/>
  <c r="R99" i="22" s="1"/>
  <c r="GO98" i="22"/>
  <c r="GN98" i="22"/>
  <c r="GM98" i="22"/>
  <c r="GL98" i="22"/>
  <c r="GE98" i="22"/>
  <c r="GD98" i="22"/>
  <c r="GC98" i="22"/>
  <c r="GB98" i="22"/>
  <c r="FZ98" i="22"/>
  <c r="FY98" i="22"/>
  <c r="FX98" i="22"/>
  <c r="FW98" i="22"/>
  <c r="FT98" i="22"/>
  <c r="FP98" i="22"/>
  <c r="FK98" i="22"/>
  <c r="FJ98" i="22"/>
  <c r="FE98" i="22"/>
  <c r="FD98" i="22"/>
  <c r="ER98" i="22"/>
  <c r="EQ98" i="22"/>
  <c r="EO98" i="22"/>
  <c r="EN98" i="22"/>
  <c r="EM98" i="22"/>
  <c r="EL98" i="22"/>
  <c r="DP98" i="22"/>
  <c r="DO98" i="22"/>
  <c r="DL98" i="22"/>
  <c r="DK98" i="22"/>
  <c r="DJ98" i="22"/>
  <c r="DE98" i="22"/>
  <c r="DM98" i="22" s="1"/>
  <c r="CN98" i="22"/>
  <c r="CM98" i="22"/>
  <c r="CK98" i="22"/>
  <c r="CJ98" i="22"/>
  <c r="CI98" i="22"/>
  <c r="CH98" i="22"/>
  <c r="BP98" i="22"/>
  <c r="BL98" i="22"/>
  <c r="BK98" i="22"/>
  <c r="BI98" i="22"/>
  <c r="BH98" i="22"/>
  <c r="BG98" i="22"/>
  <c r="BF98" i="22"/>
  <c r="AO98" i="22"/>
  <c r="AN98" i="22"/>
  <c r="AM98" i="22"/>
  <c r="T98" i="22"/>
  <c r="EV98" i="22" s="1"/>
  <c r="Q98" i="22"/>
  <c r="R98" i="22" s="1"/>
  <c r="GO97" i="22"/>
  <c r="GN97" i="22"/>
  <c r="GM97" i="22"/>
  <c r="GL97" i="22"/>
  <c r="GE97" i="22"/>
  <c r="GD97" i="22"/>
  <c r="GC97" i="22"/>
  <c r="GB97" i="22"/>
  <c r="FZ97" i="22"/>
  <c r="FY97" i="22"/>
  <c r="FX97" i="22"/>
  <c r="FW97" i="22"/>
  <c r="FT97" i="22"/>
  <c r="FP97" i="22"/>
  <c r="FK97" i="22"/>
  <c r="FJ97" i="22"/>
  <c r="FE97" i="22"/>
  <c r="FD97" i="22"/>
  <c r="ER97" i="22"/>
  <c r="EQ97" i="22"/>
  <c r="EO97" i="22"/>
  <c r="EN97" i="22"/>
  <c r="EM97" i="22"/>
  <c r="EL97" i="22"/>
  <c r="DP97" i="22"/>
  <c r="DO97" i="22"/>
  <c r="DL97" i="22"/>
  <c r="DK97" i="22"/>
  <c r="DJ97" i="22"/>
  <c r="DE97" i="22"/>
  <c r="DM97" i="22" s="1"/>
  <c r="CN97" i="22"/>
  <c r="CM97" i="22"/>
  <c r="CK97" i="22"/>
  <c r="CJ97" i="22"/>
  <c r="CI97" i="22"/>
  <c r="CH97" i="22"/>
  <c r="BL97" i="22"/>
  <c r="BK97" i="22"/>
  <c r="BI97" i="22"/>
  <c r="BH97" i="22"/>
  <c r="BG97" i="22"/>
  <c r="BF97" i="22"/>
  <c r="AO97" i="22"/>
  <c r="AN97" i="22"/>
  <c r="AM97" i="22"/>
  <c r="T97" i="22"/>
  <c r="BP97" i="22" s="1"/>
  <c r="Q97" i="22"/>
  <c r="R97" i="22" s="1"/>
  <c r="GO96" i="22"/>
  <c r="GN96" i="22"/>
  <c r="GM96" i="22"/>
  <c r="GL96" i="22"/>
  <c r="GE96" i="22"/>
  <c r="GD96" i="22"/>
  <c r="GC96" i="22"/>
  <c r="GB96" i="22"/>
  <c r="FZ96" i="22"/>
  <c r="GI96" i="22" s="1"/>
  <c r="FY96" i="22"/>
  <c r="FX96" i="22"/>
  <c r="FW96" i="22"/>
  <c r="FT96" i="22"/>
  <c r="FP96" i="22"/>
  <c r="FK96" i="22"/>
  <c r="FJ96" i="22"/>
  <c r="FE96" i="22"/>
  <c r="FD96" i="22"/>
  <c r="ER96" i="22"/>
  <c r="EQ96" i="22"/>
  <c r="EO96" i="22"/>
  <c r="EN96" i="22"/>
  <c r="EM96" i="22"/>
  <c r="EL96" i="22"/>
  <c r="DP96" i="22"/>
  <c r="DO96" i="22"/>
  <c r="DL96" i="22"/>
  <c r="DK96" i="22"/>
  <c r="DJ96" i="22"/>
  <c r="DE96" i="22"/>
  <c r="DM96" i="22" s="1"/>
  <c r="CN96" i="22"/>
  <c r="CM96" i="22"/>
  <c r="CK96" i="22"/>
  <c r="CJ96" i="22"/>
  <c r="CI96" i="22"/>
  <c r="CH96" i="22"/>
  <c r="BL96" i="22"/>
  <c r="BK96" i="22"/>
  <c r="BI96" i="22"/>
  <c r="BH96" i="22"/>
  <c r="BG96" i="22"/>
  <c r="BF96" i="22"/>
  <c r="AO96" i="22"/>
  <c r="AN96" i="22"/>
  <c r="AM96" i="22"/>
  <c r="T96" i="22"/>
  <c r="Q96" i="22"/>
  <c r="R96" i="22" s="1"/>
  <c r="GO95" i="22"/>
  <c r="GN95" i="22"/>
  <c r="GM95" i="22"/>
  <c r="GL95" i="22"/>
  <c r="GE95" i="22"/>
  <c r="GD95" i="22"/>
  <c r="GC95" i="22"/>
  <c r="GB95" i="22"/>
  <c r="FZ95" i="22"/>
  <c r="FY95" i="22"/>
  <c r="FX95" i="22"/>
  <c r="FW95" i="22"/>
  <c r="FT95" i="22"/>
  <c r="FP95" i="22"/>
  <c r="FK95" i="22"/>
  <c r="FJ95" i="22"/>
  <c r="FE95" i="22"/>
  <c r="FD95" i="22"/>
  <c r="ER95" i="22"/>
  <c r="EQ95" i="22"/>
  <c r="EO95" i="22"/>
  <c r="EN95" i="22"/>
  <c r="EM95" i="22"/>
  <c r="EL95" i="22"/>
  <c r="DP95" i="22"/>
  <c r="DO95" i="22"/>
  <c r="DL95" i="22"/>
  <c r="DK95" i="22"/>
  <c r="DJ95" i="22"/>
  <c r="DE95" i="22"/>
  <c r="DM95" i="22" s="1"/>
  <c r="CN95" i="22"/>
  <c r="CM95" i="22"/>
  <c r="CL95" i="22"/>
  <c r="CO95" i="22" s="1"/>
  <c r="CK95" i="22"/>
  <c r="CJ95" i="22"/>
  <c r="CI95" i="22"/>
  <c r="CH95" i="22"/>
  <c r="BL95" i="22"/>
  <c r="BK95" i="22"/>
  <c r="BI95" i="22"/>
  <c r="BH95" i="22"/>
  <c r="BG95" i="22"/>
  <c r="BF95" i="22"/>
  <c r="AO95" i="22"/>
  <c r="AN95" i="22"/>
  <c r="AM95" i="22"/>
  <c r="T95" i="22"/>
  <c r="EV95" i="22" s="1"/>
  <c r="Q95" i="22"/>
  <c r="R95" i="22" s="1"/>
  <c r="GO94" i="22"/>
  <c r="GN94" i="22"/>
  <c r="GM94" i="22"/>
  <c r="GL94" i="22"/>
  <c r="GE94" i="22"/>
  <c r="GD94" i="22"/>
  <c r="GC94" i="22"/>
  <c r="GB94" i="22"/>
  <c r="GF94" i="22" s="1"/>
  <c r="FZ94" i="22"/>
  <c r="FY94" i="22"/>
  <c r="FX94" i="22"/>
  <c r="FW94" i="22"/>
  <c r="FT94" i="22"/>
  <c r="FP94" i="22"/>
  <c r="FK94" i="22"/>
  <c r="FJ94" i="22"/>
  <c r="FE94" i="22"/>
  <c r="FD94" i="22"/>
  <c r="ER94" i="22"/>
  <c r="EQ94" i="22"/>
  <c r="EO94" i="22"/>
  <c r="EN94" i="22"/>
  <c r="EM94" i="22"/>
  <c r="EL94" i="22"/>
  <c r="DP94" i="22"/>
  <c r="DO94" i="22"/>
  <c r="DL94" i="22"/>
  <c r="DK94" i="22"/>
  <c r="DJ94" i="22"/>
  <c r="DE94" i="22"/>
  <c r="DM94" i="22" s="1"/>
  <c r="CR94" i="22"/>
  <c r="CN94" i="22"/>
  <c r="CM94" i="22"/>
  <c r="CK94" i="22"/>
  <c r="CJ94" i="22"/>
  <c r="CI94" i="22"/>
  <c r="CH94" i="22"/>
  <c r="BP94" i="22"/>
  <c r="BL94" i="22"/>
  <c r="BK94" i="22"/>
  <c r="BI94" i="22"/>
  <c r="BH94" i="22"/>
  <c r="BG94" i="22"/>
  <c r="BF94" i="22"/>
  <c r="AO94" i="22"/>
  <c r="AN94" i="22"/>
  <c r="AM94" i="22"/>
  <c r="T94" i="22"/>
  <c r="Q94" i="22"/>
  <c r="R94" i="22" s="1"/>
  <c r="GO93" i="22"/>
  <c r="GN93" i="22"/>
  <c r="GM93" i="22"/>
  <c r="GL93" i="22"/>
  <c r="GE93" i="22"/>
  <c r="GB93" i="22"/>
  <c r="FZ93" i="22"/>
  <c r="FY93" i="22"/>
  <c r="FX93" i="22"/>
  <c r="FW93" i="22"/>
  <c r="FT93" i="22"/>
  <c r="FP93" i="22"/>
  <c r="FK93" i="22"/>
  <c r="FJ93" i="22"/>
  <c r="FE93" i="22"/>
  <c r="FB93" i="22"/>
  <c r="FA93" i="22"/>
  <c r="GC93" i="22" s="1"/>
  <c r="GG93" i="22" s="1"/>
  <c r="ER93" i="22"/>
  <c r="EQ93" i="22"/>
  <c r="EO93" i="22"/>
  <c r="EN93" i="22"/>
  <c r="EM93" i="22"/>
  <c r="EL93" i="22"/>
  <c r="DP93" i="22"/>
  <c r="DO93" i="22"/>
  <c r="DL93" i="22"/>
  <c r="DK93" i="22"/>
  <c r="DJ93" i="22"/>
  <c r="DE93" i="22"/>
  <c r="DM93" i="22" s="1"/>
  <c r="CN93" i="22"/>
  <c r="CM93" i="22"/>
  <c r="CK93" i="22"/>
  <c r="CJ93" i="22"/>
  <c r="CI93" i="22"/>
  <c r="CH93" i="22"/>
  <c r="BL93" i="22"/>
  <c r="BK93" i="22"/>
  <c r="BI93" i="22"/>
  <c r="BH93" i="22"/>
  <c r="BG93" i="22"/>
  <c r="BF93" i="22"/>
  <c r="AO93" i="22"/>
  <c r="AN93" i="22"/>
  <c r="AM93" i="22"/>
  <c r="T93" i="22"/>
  <c r="EV93" i="22" s="1"/>
  <c r="Q93" i="22"/>
  <c r="R93" i="22" s="1"/>
  <c r="GO92" i="22"/>
  <c r="GN92" i="22"/>
  <c r="GM92" i="22"/>
  <c r="GL92" i="22"/>
  <c r="GE92" i="22"/>
  <c r="GD92" i="22"/>
  <c r="GC92" i="22"/>
  <c r="GG92" i="22" s="1"/>
  <c r="GB92" i="22"/>
  <c r="FZ92" i="22"/>
  <c r="FY92" i="22"/>
  <c r="FX92" i="22"/>
  <c r="FW92" i="22"/>
  <c r="FT92" i="22"/>
  <c r="FP92" i="22"/>
  <c r="FK92" i="22"/>
  <c r="FJ92" i="22"/>
  <c r="FE92" i="22"/>
  <c r="FD92" i="22"/>
  <c r="ER92" i="22"/>
  <c r="EQ92" i="22"/>
  <c r="EO92" i="22"/>
  <c r="EN92" i="22"/>
  <c r="EM92" i="22"/>
  <c r="EL92" i="22"/>
  <c r="DP92" i="22"/>
  <c r="DO92" i="22"/>
  <c r="DL92" i="22"/>
  <c r="DK92" i="22"/>
  <c r="DJ92" i="22"/>
  <c r="DE92" i="22"/>
  <c r="DM92" i="22" s="1"/>
  <c r="CN92" i="22"/>
  <c r="CM92" i="22"/>
  <c r="CK92" i="22"/>
  <c r="CJ92" i="22"/>
  <c r="CI92" i="22"/>
  <c r="CH92" i="22"/>
  <c r="BL92" i="22"/>
  <c r="BK92" i="22"/>
  <c r="BI92" i="22"/>
  <c r="BH92" i="22"/>
  <c r="BG92" i="22"/>
  <c r="BF92" i="22"/>
  <c r="AO92" i="22"/>
  <c r="AN92" i="22"/>
  <c r="AM92" i="22"/>
  <c r="T92" i="22"/>
  <c r="DT92" i="22" s="1"/>
  <c r="Q92" i="22"/>
  <c r="R92" i="22" s="1"/>
  <c r="GO91" i="22"/>
  <c r="GN91" i="22"/>
  <c r="GM91" i="22"/>
  <c r="GL91" i="22"/>
  <c r="GE91" i="22"/>
  <c r="GD91" i="22"/>
  <c r="GC91" i="22"/>
  <c r="GB91" i="22"/>
  <c r="FZ91" i="22"/>
  <c r="FY91" i="22"/>
  <c r="FX91" i="22"/>
  <c r="FW91" i="22"/>
  <c r="FT91" i="22"/>
  <c r="FP91" i="22"/>
  <c r="FK91" i="22"/>
  <c r="FJ91" i="22"/>
  <c r="FE91" i="22"/>
  <c r="FD91" i="22"/>
  <c r="ER91" i="22"/>
  <c r="EQ91" i="22"/>
  <c r="EO91" i="22"/>
  <c r="EN91" i="22"/>
  <c r="EM91" i="22"/>
  <c r="EL91" i="22"/>
  <c r="DP91" i="22"/>
  <c r="DO91" i="22"/>
  <c r="DL91" i="22"/>
  <c r="DK91" i="22"/>
  <c r="DJ91" i="22"/>
  <c r="DE91" i="22"/>
  <c r="DM91" i="22" s="1"/>
  <c r="CN91" i="22"/>
  <c r="CM91" i="22"/>
  <c r="CK91" i="22"/>
  <c r="CJ91" i="22"/>
  <c r="CI91" i="22"/>
  <c r="CH91" i="22"/>
  <c r="BL91" i="22"/>
  <c r="BK91" i="22"/>
  <c r="BI91" i="22"/>
  <c r="BH91" i="22"/>
  <c r="BG91" i="22"/>
  <c r="BF91" i="22"/>
  <c r="AO91" i="22"/>
  <c r="AN91" i="22"/>
  <c r="AM91" i="22"/>
  <c r="T91" i="22"/>
  <c r="R91" i="22"/>
  <c r="Q91" i="22"/>
  <c r="GO90" i="22"/>
  <c r="GN90" i="22"/>
  <c r="GM90" i="22"/>
  <c r="GL90" i="22"/>
  <c r="GE90" i="22"/>
  <c r="GD90" i="22"/>
  <c r="GC90" i="22"/>
  <c r="GB90" i="22"/>
  <c r="FZ90" i="22"/>
  <c r="FY90" i="22"/>
  <c r="FX90" i="22"/>
  <c r="FW90" i="22"/>
  <c r="FT90" i="22"/>
  <c r="FP90" i="22"/>
  <c r="FK90" i="22"/>
  <c r="FJ90" i="22"/>
  <c r="FE90" i="22"/>
  <c r="FD90" i="22"/>
  <c r="ER90" i="22"/>
  <c r="EQ90" i="22"/>
  <c r="EO90" i="22"/>
  <c r="EN90" i="22"/>
  <c r="EM90" i="22"/>
  <c r="EL90" i="22"/>
  <c r="DP90" i="22"/>
  <c r="DO90" i="22"/>
  <c r="DL90" i="22"/>
  <c r="DK90" i="22"/>
  <c r="DJ90" i="22"/>
  <c r="DE90" i="22"/>
  <c r="DM90" i="22" s="1"/>
  <c r="CN90" i="22"/>
  <c r="CM90" i="22"/>
  <c r="CK90" i="22"/>
  <c r="CJ90" i="22"/>
  <c r="CI90" i="22"/>
  <c r="CH90" i="22"/>
  <c r="BL90" i="22"/>
  <c r="BK90" i="22"/>
  <c r="BI90" i="22"/>
  <c r="BH90" i="22"/>
  <c r="BG90" i="22"/>
  <c r="BF90" i="22"/>
  <c r="AO90" i="22"/>
  <c r="AN90" i="22"/>
  <c r="AM90" i="22"/>
  <c r="T90" i="22"/>
  <c r="Q90" i="22"/>
  <c r="R90" i="22" s="1"/>
  <c r="GO89" i="22"/>
  <c r="GN89" i="22"/>
  <c r="GM89" i="22"/>
  <c r="GL89" i="22"/>
  <c r="GE89" i="22"/>
  <c r="GD89" i="22"/>
  <c r="GH89" i="22" s="1"/>
  <c r="GC89" i="22"/>
  <c r="GB89" i="22"/>
  <c r="FZ89" i="22"/>
  <c r="FY89" i="22"/>
  <c r="FX89" i="22"/>
  <c r="FW89" i="22"/>
  <c r="FT89" i="22"/>
  <c r="FP89" i="22"/>
  <c r="FK89" i="22"/>
  <c r="FJ89" i="22"/>
  <c r="FE89" i="22"/>
  <c r="FD89" i="22"/>
  <c r="ER89" i="22"/>
  <c r="EQ89" i="22"/>
  <c r="EO89" i="22"/>
  <c r="EN89" i="22"/>
  <c r="EM89" i="22"/>
  <c r="EL89" i="22"/>
  <c r="DP89" i="22"/>
  <c r="DO89" i="22"/>
  <c r="DL89" i="22"/>
  <c r="DK89" i="22"/>
  <c r="DJ89" i="22"/>
  <c r="DE89" i="22"/>
  <c r="DM89" i="22" s="1"/>
  <c r="CR89" i="22"/>
  <c r="CN89" i="22"/>
  <c r="CM89" i="22"/>
  <c r="CK89" i="22"/>
  <c r="CJ89" i="22"/>
  <c r="CI89" i="22"/>
  <c r="CH89" i="22"/>
  <c r="BL89" i="22"/>
  <c r="BK89" i="22"/>
  <c r="BI89" i="22"/>
  <c r="BH89" i="22"/>
  <c r="BG89" i="22"/>
  <c r="BF89" i="22"/>
  <c r="AO89" i="22"/>
  <c r="AN89" i="22"/>
  <c r="AM89" i="22"/>
  <c r="T89" i="22"/>
  <c r="EV89" i="22" s="1"/>
  <c r="Q89" i="22"/>
  <c r="R89" i="22" s="1"/>
  <c r="GO88" i="22"/>
  <c r="GN88" i="22"/>
  <c r="GM88" i="22"/>
  <c r="GL88" i="22"/>
  <c r="GE88" i="22"/>
  <c r="GD88" i="22"/>
  <c r="GC88" i="22"/>
  <c r="GB88" i="22"/>
  <c r="FZ88" i="22"/>
  <c r="FY88" i="22"/>
  <c r="FX88" i="22"/>
  <c r="FW88" i="22"/>
  <c r="FT88" i="22"/>
  <c r="FP88" i="22"/>
  <c r="FK88" i="22"/>
  <c r="FJ88" i="22"/>
  <c r="FE88" i="22"/>
  <c r="FD88" i="22"/>
  <c r="ER88" i="22"/>
  <c r="EQ88" i="22"/>
  <c r="EO88" i="22"/>
  <c r="EN88" i="22"/>
  <c r="EM88" i="22"/>
  <c r="EL88" i="22"/>
  <c r="DP88" i="22"/>
  <c r="DO88" i="22"/>
  <c r="DL88" i="22"/>
  <c r="DK88" i="22"/>
  <c r="DJ88" i="22"/>
  <c r="DE88" i="22"/>
  <c r="DM88" i="22" s="1"/>
  <c r="CN88" i="22"/>
  <c r="CM88" i="22"/>
  <c r="CK88" i="22"/>
  <c r="CJ88" i="22"/>
  <c r="CI88" i="22"/>
  <c r="CH88" i="22"/>
  <c r="BL88" i="22"/>
  <c r="BK88" i="22"/>
  <c r="BI88" i="22"/>
  <c r="BH88" i="22"/>
  <c r="BG88" i="22"/>
  <c r="BF88" i="22"/>
  <c r="AO88" i="22"/>
  <c r="AN88" i="22"/>
  <c r="AM88" i="22"/>
  <c r="T88" i="22"/>
  <c r="Q88" i="22"/>
  <c r="R88" i="22" s="1"/>
  <c r="GO87" i="22"/>
  <c r="GN87" i="22"/>
  <c r="GM87" i="22"/>
  <c r="GL87" i="22"/>
  <c r="GE87" i="22"/>
  <c r="GD87" i="22"/>
  <c r="GC87" i="22"/>
  <c r="GB87" i="22"/>
  <c r="FZ87" i="22"/>
  <c r="FY87" i="22"/>
  <c r="FX87" i="22"/>
  <c r="FW87" i="22"/>
  <c r="FT87" i="22"/>
  <c r="FP87" i="22"/>
  <c r="FK87" i="22"/>
  <c r="FJ87" i="22"/>
  <c r="FE87" i="22"/>
  <c r="FD87" i="22"/>
  <c r="EV87" i="22"/>
  <c r="ER87" i="22"/>
  <c r="EQ87" i="22"/>
  <c r="EO87" i="22"/>
  <c r="EN87" i="22"/>
  <c r="EM87" i="22"/>
  <c r="EL87" i="22"/>
  <c r="DP87" i="22"/>
  <c r="DO87" i="22"/>
  <c r="DL87" i="22"/>
  <c r="DK87" i="22"/>
  <c r="DJ87" i="22"/>
  <c r="DE87" i="22"/>
  <c r="DM87" i="22" s="1"/>
  <c r="CN87" i="22"/>
  <c r="CM87" i="22"/>
  <c r="CK87" i="22"/>
  <c r="CJ87" i="22"/>
  <c r="CI87" i="22"/>
  <c r="CH87" i="22"/>
  <c r="BL87" i="22"/>
  <c r="BK87" i="22"/>
  <c r="BI87" i="22"/>
  <c r="BH87" i="22"/>
  <c r="BG87" i="22"/>
  <c r="BF87" i="22"/>
  <c r="BJ87" i="22" s="1"/>
  <c r="AO87" i="22"/>
  <c r="AN87" i="22"/>
  <c r="AM87" i="22"/>
  <c r="T87" i="22"/>
  <c r="Q87" i="22"/>
  <c r="R87" i="22" s="1"/>
  <c r="GO86" i="22"/>
  <c r="GN86" i="22"/>
  <c r="GM86" i="22"/>
  <c r="GL86" i="22"/>
  <c r="GE86" i="22"/>
  <c r="GD86" i="22"/>
  <c r="GC86" i="22"/>
  <c r="GB86" i="22"/>
  <c r="FZ86" i="22"/>
  <c r="FY86" i="22"/>
  <c r="FX86" i="22"/>
  <c r="FW86" i="22"/>
  <c r="FT86" i="22"/>
  <c r="FP86" i="22"/>
  <c r="FK86" i="22"/>
  <c r="FJ86" i="22"/>
  <c r="FE86" i="22"/>
  <c r="FD86" i="22"/>
  <c r="ER86" i="22"/>
  <c r="EQ86" i="22"/>
  <c r="EO86" i="22"/>
  <c r="EN86" i="22"/>
  <c r="EM86" i="22"/>
  <c r="EL86" i="22"/>
  <c r="DP86" i="22"/>
  <c r="DO86" i="22"/>
  <c r="DL86" i="22"/>
  <c r="DK86" i="22"/>
  <c r="DJ86" i="22"/>
  <c r="DE86" i="22"/>
  <c r="DM86" i="22" s="1"/>
  <c r="CN86" i="22"/>
  <c r="CM86" i="22"/>
  <c r="CK86" i="22"/>
  <c r="CJ86" i="22"/>
  <c r="CI86" i="22"/>
  <c r="CH86" i="22"/>
  <c r="BL86" i="22"/>
  <c r="BK86" i="22"/>
  <c r="BI86" i="22"/>
  <c r="BH86" i="22"/>
  <c r="BG86" i="22"/>
  <c r="BF86" i="22"/>
  <c r="AO86" i="22"/>
  <c r="AN86" i="22"/>
  <c r="AM86" i="22"/>
  <c r="T86" i="22"/>
  <c r="R86" i="22"/>
  <c r="Q86" i="22"/>
  <c r="GO85" i="22"/>
  <c r="GN85" i="22"/>
  <c r="GM85" i="22"/>
  <c r="GL85" i="22"/>
  <c r="GE85" i="22"/>
  <c r="GD85" i="22"/>
  <c r="GC85" i="22"/>
  <c r="GG85" i="22" s="1"/>
  <c r="GB85" i="22"/>
  <c r="FZ85" i="22"/>
  <c r="FY85" i="22"/>
  <c r="FX85" i="22"/>
  <c r="FW85" i="22"/>
  <c r="FT85" i="22"/>
  <c r="FP85" i="22"/>
  <c r="FK85" i="22"/>
  <c r="FJ85" i="22"/>
  <c r="FE85" i="22"/>
  <c r="FD85" i="22"/>
  <c r="ER85" i="22"/>
  <c r="EQ85" i="22"/>
  <c r="EO85" i="22"/>
  <c r="EN85" i="22"/>
  <c r="EM85" i="22"/>
  <c r="EL85" i="22"/>
  <c r="DP85" i="22"/>
  <c r="DO85" i="22"/>
  <c r="DL85" i="22"/>
  <c r="DK85" i="22"/>
  <c r="DJ85" i="22"/>
  <c r="DE85" i="22"/>
  <c r="DM85" i="22" s="1"/>
  <c r="CN85" i="22"/>
  <c r="CM85" i="22"/>
  <c r="CK85" i="22"/>
  <c r="CJ85" i="22"/>
  <c r="CI85" i="22"/>
  <c r="CH85" i="22"/>
  <c r="BL85" i="22"/>
  <c r="BK85" i="22"/>
  <c r="BI85" i="22"/>
  <c r="BH85" i="22"/>
  <c r="BG85" i="22"/>
  <c r="BF85" i="22"/>
  <c r="AO85" i="22"/>
  <c r="AN85" i="22"/>
  <c r="AM85" i="22"/>
  <c r="T85" i="22"/>
  <c r="BP85" i="22" s="1"/>
  <c r="Q85" i="22"/>
  <c r="R85" i="22" s="1"/>
  <c r="GE84" i="22"/>
  <c r="GD84" i="22"/>
  <c r="GC84" i="22"/>
  <c r="GB84" i="22"/>
  <c r="FZ84" i="22"/>
  <c r="FY84" i="22"/>
  <c r="FX84" i="22"/>
  <c r="FW84" i="22"/>
  <c r="FT84" i="22"/>
  <c r="FP84" i="22"/>
  <c r="FK84" i="22"/>
  <c r="FJ84" i="22"/>
  <c r="FE84" i="22"/>
  <c r="FD84" i="22"/>
  <c r="ER84" i="22"/>
  <c r="EQ84" i="22"/>
  <c r="EO84" i="22"/>
  <c r="EN84" i="22"/>
  <c r="EM84" i="22"/>
  <c r="EL84" i="22"/>
  <c r="DP84" i="22"/>
  <c r="DO84" i="22"/>
  <c r="DM84" i="22"/>
  <c r="DL84" i="22"/>
  <c r="DK84" i="22"/>
  <c r="DJ84" i="22"/>
  <c r="CN84" i="22"/>
  <c r="CM84" i="22"/>
  <c r="CK84" i="22"/>
  <c r="CJ84" i="22"/>
  <c r="CI84" i="22"/>
  <c r="CH84" i="22"/>
  <c r="BL84" i="22"/>
  <c r="BK84" i="22"/>
  <c r="BI84" i="22"/>
  <c r="BH84" i="22"/>
  <c r="BG84" i="22"/>
  <c r="BF84" i="22"/>
  <c r="AO84" i="22"/>
  <c r="AN84" i="22"/>
  <c r="AM84" i="22"/>
  <c r="T84" i="22"/>
  <c r="CR84" i="22" s="1"/>
  <c r="Q84" i="22"/>
  <c r="R84" i="22" s="1"/>
  <c r="GO83" i="22"/>
  <c r="GN83" i="22"/>
  <c r="GM83" i="22"/>
  <c r="GL83" i="22"/>
  <c r="GE83" i="22"/>
  <c r="GD83" i="22"/>
  <c r="GC83" i="22"/>
  <c r="GB83" i="22"/>
  <c r="GF83" i="22" s="1"/>
  <c r="FZ83" i="22"/>
  <c r="FY83" i="22"/>
  <c r="FX83" i="22"/>
  <c r="FW83" i="22"/>
  <c r="FT83" i="22"/>
  <c r="FP83" i="22"/>
  <c r="FK83" i="22"/>
  <c r="FJ83" i="22"/>
  <c r="FE83" i="22"/>
  <c r="FD83" i="22"/>
  <c r="ER83" i="22"/>
  <c r="EQ83" i="22"/>
  <c r="EO83" i="22"/>
  <c r="EN83" i="22"/>
  <c r="EM83" i="22"/>
  <c r="EL83" i="22"/>
  <c r="DP83" i="22"/>
  <c r="DO83" i="22"/>
  <c r="DM83" i="22"/>
  <c r="DL83" i="22"/>
  <c r="DK83" i="22"/>
  <c r="DJ83" i="22"/>
  <c r="CN83" i="22"/>
  <c r="CM83" i="22"/>
  <c r="CK83" i="22"/>
  <c r="CJ83" i="22"/>
  <c r="CI83" i="22"/>
  <c r="CH83" i="22"/>
  <c r="BL83" i="22"/>
  <c r="BK83" i="22"/>
  <c r="BI83" i="22"/>
  <c r="BH83" i="22"/>
  <c r="BG83" i="22"/>
  <c r="BF83" i="22"/>
  <c r="AO83" i="22"/>
  <c r="AN83" i="22"/>
  <c r="AM83" i="22"/>
  <c r="T83" i="22"/>
  <c r="Q83" i="22"/>
  <c r="R83" i="22" s="1"/>
  <c r="GO82" i="22"/>
  <c r="GN82" i="22"/>
  <c r="GM82" i="22"/>
  <c r="GL82" i="22"/>
  <c r="GE82" i="22"/>
  <c r="GD82" i="22"/>
  <c r="GC82" i="22"/>
  <c r="GB82" i="22"/>
  <c r="FZ82" i="22"/>
  <c r="FY82" i="22"/>
  <c r="GH82" i="22" s="1"/>
  <c r="FX82" i="22"/>
  <c r="GG82" i="22" s="1"/>
  <c r="FW82" i="22"/>
  <c r="FT82" i="22"/>
  <c r="FP82" i="22"/>
  <c r="FK82" i="22"/>
  <c r="FJ82" i="22"/>
  <c r="FE82" i="22"/>
  <c r="FD82" i="22"/>
  <c r="ER82" i="22"/>
  <c r="EQ82" i="22"/>
  <c r="EO82" i="22"/>
  <c r="EN82" i="22"/>
  <c r="EM82" i="22"/>
  <c r="EL82" i="22"/>
  <c r="DP82" i="22"/>
  <c r="DO82" i="22"/>
  <c r="DL82" i="22"/>
  <c r="DK82" i="22"/>
  <c r="DJ82" i="22"/>
  <c r="DE82" i="22"/>
  <c r="DM82" i="22" s="1"/>
  <c r="CN82" i="22"/>
  <c r="CM82" i="22"/>
  <c r="CK82" i="22"/>
  <c r="CJ82" i="22"/>
  <c r="CI82" i="22"/>
  <c r="CH82" i="22"/>
  <c r="BL82" i="22"/>
  <c r="BK82" i="22"/>
  <c r="BI82" i="22"/>
  <c r="BH82" i="22"/>
  <c r="BG82" i="22"/>
  <c r="BF82" i="22"/>
  <c r="AO82" i="22"/>
  <c r="AN82" i="22"/>
  <c r="AM82" i="22"/>
  <c r="T82" i="22"/>
  <c r="EV82" i="22" s="1"/>
  <c r="Q82" i="22"/>
  <c r="R82" i="22" s="1"/>
  <c r="GO81" i="22"/>
  <c r="GN81" i="22"/>
  <c r="GM81" i="22"/>
  <c r="GL81" i="22"/>
  <c r="GE81" i="22"/>
  <c r="GD81" i="22"/>
  <c r="GC81" i="22"/>
  <c r="GB81" i="22"/>
  <c r="FZ81" i="22"/>
  <c r="FY81" i="22"/>
  <c r="FX81" i="22"/>
  <c r="FW81" i="22"/>
  <c r="FT81" i="22"/>
  <c r="FP81" i="22"/>
  <c r="FK81" i="22"/>
  <c r="FJ81" i="22"/>
  <c r="FE81" i="22"/>
  <c r="FD81" i="22"/>
  <c r="ER81" i="22"/>
  <c r="EQ81" i="22"/>
  <c r="EO81" i="22"/>
  <c r="EN81" i="22"/>
  <c r="EM81" i="22"/>
  <c r="EL81" i="22"/>
  <c r="DP81" i="22"/>
  <c r="DO81" i="22"/>
  <c r="DL81" i="22"/>
  <c r="DK81" i="22"/>
  <c r="DJ81" i="22"/>
  <c r="DE81" i="22"/>
  <c r="DM81" i="22" s="1"/>
  <c r="CN81" i="22"/>
  <c r="CM81" i="22"/>
  <c r="CK81" i="22"/>
  <c r="CJ81" i="22"/>
  <c r="CI81" i="22"/>
  <c r="CH81" i="22"/>
  <c r="BL81" i="22"/>
  <c r="BK81" i="22"/>
  <c r="BI81" i="22"/>
  <c r="BH81" i="22"/>
  <c r="BG81" i="22"/>
  <c r="BF81" i="22"/>
  <c r="AO81" i="22"/>
  <c r="AN81" i="22"/>
  <c r="AM81" i="22"/>
  <c r="T81" i="22"/>
  <c r="EV81" i="22" s="1"/>
  <c r="Q81" i="22"/>
  <c r="R81" i="22" s="1"/>
  <c r="GO80" i="22"/>
  <c r="GN80" i="22"/>
  <c r="GM80" i="22"/>
  <c r="GL80" i="22"/>
  <c r="GE80" i="22"/>
  <c r="GD80" i="22"/>
  <c r="GH80" i="22" s="1"/>
  <c r="GC80" i="22"/>
  <c r="GB80" i="22"/>
  <c r="FZ80" i="22"/>
  <c r="FY80" i="22"/>
  <c r="FX80" i="22"/>
  <c r="FW80" i="22"/>
  <c r="FT80" i="22"/>
  <c r="FP80" i="22"/>
  <c r="FK80" i="22"/>
  <c r="FJ80" i="22"/>
  <c r="FE80" i="22"/>
  <c r="FD80" i="22"/>
  <c r="ER80" i="22"/>
  <c r="EQ80" i="22"/>
  <c r="EO80" i="22"/>
  <c r="EN80" i="22"/>
  <c r="EM80" i="22"/>
  <c r="EL80" i="22"/>
  <c r="DP80" i="22"/>
  <c r="DO80" i="22"/>
  <c r="DL80" i="22"/>
  <c r="DK80" i="22"/>
  <c r="DJ80" i="22"/>
  <c r="DE80" i="22"/>
  <c r="DM80" i="22" s="1"/>
  <c r="CN80" i="22"/>
  <c r="CM80" i="22"/>
  <c r="CK80" i="22"/>
  <c r="CJ80" i="22"/>
  <c r="CI80" i="22"/>
  <c r="CH80" i="22"/>
  <c r="CL80" i="22" s="1"/>
  <c r="BL80" i="22"/>
  <c r="BK80" i="22"/>
  <c r="BI80" i="22"/>
  <c r="BH80" i="22"/>
  <c r="BG80" i="22"/>
  <c r="BF80" i="22"/>
  <c r="AO80" i="22"/>
  <c r="AN80" i="22"/>
  <c r="AM80" i="22"/>
  <c r="T80" i="22"/>
  <c r="EV80" i="22" s="1"/>
  <c r="Q80" i="22"/>
  <c r="R80" i="22" s="1"/>
  <c r="GO79" i="22"/>
  <c r="GN79" i="22"/>
  <c r="GM79" i="22"/>
  <c r="GL79" i="22"/>
  <c r="GQ79" i="22" s="1"/>
  <c r="GE79" i="22"/>
  <c r="GD79" i="22"/>
  <c r="GH79" i="22" s="1"/>
  <c r="GC79" i="22"/>
  <c r="GB79" i="22"/>
  <c r="FZ79" i="22"/>
  <c r="FY79" i="22"/>
  <c r="FX79" i="22"/>
  <c r="FW79" i="22"/>
  <c r="FT79" i="22"/>
  <c r="FP79" i="22"/>
  <c r="FK79" i="22"/>
  <c r="FJ79" i="22"/>
  <c r="FE79" i="22"/>
  <c r="FD79" i="22"/>
  <c r="ER79" i="22"/>
  <c r="EQ79" i="22"/>
  <c r="EO79" i="22"/>
  <c r="EN79" i="22"/>
  <c r="EM79" i="22"/>
  <c r="EL79" i="22"/>
  <c r="DP79" i="22"/>
  <c r="DO79" i="22"/>
  <c r="DL79" i="22"/>
  <c r="DK79" i="22"/>
  <c r="DJ79" i="22"/>
  <c r="DE79" i="22"/>
  <c r="DM79" i="22" s="1"/>
  <c r="CN79" i="22"/>
  <c r="CM79" i="22"/>
  <c r="CK79" i="22"/>
  <c r="CJ79" i="22"/>
  <c r="CI79" i="22"/>
  <c r="CH79" i="22"/>
  <c r="BL79" i="22"/>
  <c r="BK79" i="22"/>
  <c r="BI79" i="22"/>
  <c r="BH79" i="22"/>
  <c r="BG79" i="22"/>
  <c r="BF79" i="22"/>
  <c r="AO79" i="22"/>
  <c r="AN79" i="22"/>
  <c r="AM79" i="22"/>
  <c r="T79" i="22"/>
  <c r="R79" i="22"/>
  <c r="Q79" i="22"/>
  <c r="GO78" i="22"/>
  <c r="GN78" i="22"/>
  <c r="GM78" i="22"/>
  <c r="GL78" i="22"/>
  <c r="GE78" i="22"/>
  <c r="GD78" i="22"/>
  <c r="GC78" i="22"/>
  <c r="GB78" i="22"/>
  <c r="FZ78" i="22"/>
  <c r="FY78" i="22"/>
  <c r="FX78" i="22"/>
  <c r="FW78" i="22"/>
  <c r="FT78" i="22"/>
  <c r="FP78" i="22"/>
  <c r="FK78" i="22"/>
  <c r="FJ78" i="22"/>
  <c r="FE78" i="22"/>
  <c r="FD78" i="22"/>
  <c r="ER78" i="22"/>
  <c r="EQ78" i="22"/>
  <c r="EO78" i="22"/>
  <c r="EN78" i="22"/>
  <c r="EM78" i="22"/>
  <c r="EL78" i="22"/>
  <c r="DP78" i="22"/>
  <c r="DO78" i="22"/>
  <c r="DL78" i="22"/>
  <c r="DK78" i="22"/>
  <c r="DJ78" i="22"/>
  <c r="DE78" i="22"/>
  <c r="DM78" i="22" s="1"/>
  <c r="CN78" i="22"/>
  <c r="CM78" i="22"/>
  <c r="CK78" i="22"/>
  <c r="CJ78" i="22"/>
  <c r="CI78" i="22"/>
  <c r="CH78" i="22"/>
  <c r="BL78" i="22"/>
  <c r="BK78" i="22"/>
  <c r="BI78" i="22"/>
  <c r="BH78" i="22"/>
  <c r="BG78" i="22"/>
  <c r="BF78" i="22"/>
  <c r="AO78" i="22"/>
  <c r="AN78" i="22"/>
  <c r="AM78" i="22"/>
  <c r="T78" i="22"/>
  <c r="Q78" i="22"/>
  <c r="R78" i="22" s="1"/>
  <c r="GO77" i="22"/>
  <c r="GN77" i="22"/>
  <c r="GM77" i="22"/>
  <c r="GL77" i="22"/>
  <c r="GE77" i="22"/>
  <c r="GD77" i="22"/>
  <c r="GH77" i="22" s="1"/>
  <c r="GC77" i="22"/>
  <c r="GG77" i="22" s="1"/>
  <c r="GB77" i="22"/>
  <c r="FZ77" i="22"/>
  <c r="FY77" i="22"/>
  <c r="FX77" i="22"/>
  <c r="FW77" i="22"/>
  <c r="FT77" i="22"/>
  <c r="FP77" i="22"/>
  <c r="FK77" i="22"/>
  <c r="FJ77" i="22"/>
  <c r="FE77" i="22"/>
  <c r="FD77" i="22"/>
  <c r="ER77" i="22"/>
  <c r="EQ77" i="22"/>
  <c r="EO77" i="22"/>
  <c r="EN77" i="22"/>
  <c r="EM77" i="22"/>
  <c r="EL77" i="22"/>
  <c r="DP77" i="22"/>
  <c r="DO77" i="22"/>
  <c r="DL77" i="22"/>
  <c r="DK77" i="22"/>
  <c r="DJ77" i="22"/>
  <c r="DE77" i="22"/>
  <c r="DM77" i="22" s="1"/>
  <c r="CN77" i="22"/>
  <c r="CM77" i="22"/>
  <c r="CK77" i="22"/>
  <c r="CJ77" i="22"/>
  <c r="CI77" i="22"/>
  <c r="CH77" i="22"/>
  <c r="BL77" i="22"/>
  <c r="BK77" i="22"/>
  <c r="BI77" i="22"/>
  <c r="BH77" i="22"/>
  <c r="BG77" i="22"/>
  <c r="BF77" i="22"/>
  <c r="AO77" i="22"/>
  <c r="AN77" i="22"/>
  <c r="AM77" i="22"/>
  <c r="T77" i="22"/>
  <c r="BP77" i="22" s="1"/>
  <c r="Q77" i="22"/>
  <c r="R77" i="22" s="1"/>
  <c r="GO76" i="22"/>
  <c r="GN76" i="22"/>
  <c r="GM76" i="22"/>
  <c r="GL76" i="22"/>
  <c r="GE76" i="22"/>
  <c r="GD76" i="22"/>
  <c r="GH76" i="22" s="1"/>
  <c r="GC76" i="22"/>
  <c r="GB76" i="22"/>
  <c r="FZ76" i="22"/>
  <c r="FY76" i="22"/>
  <c r="FX76" i="22"/>
  <c r="FW76" i="22"/>
  <c r="FT76" i="22"/>
  <c r="FP76" i="22"/>
  <c r="FK76" i="22"/>
  <c r="FJ76" i="22"/>
  <c r="FE76" i="22"/>
  <c r="FD76" i="22"/>
  <c r="ER76" i="22"/>
  <c r="EQ76" i="22"/>
  <c r="EO76" i="22"/>
  <c r="EN76" i="22"/>
  <c r="EM76" i="22"/>
  <c r="EL76" i="22"/>
  <c r="DP76" i="22"/>
  <c r="DO76" i="22"/>
  <c r="DL76" i="22"/>
  <c r="DK76" i="22"/>
  <c r="DJ76" i="22"/>
  <c r="DE76" i="22"/>
  <c r="DM76" i="22" s="1"/>
  <c r="CN76" i="22"/>
  <c r="CM76" i="22"/>
  <c r="CK76" i="22"/>
  <c r="CJ76" i="22"/>
  <c r="CI76" i="22"/>
  <c r="CH76" i="22"/>
  <c r="BL76" i="22"/>
  <c r="BK76" i="22"/>
  <c r="BI76" i="22"/>
  <c r="BH76" i="22"/>
  <c r="BG76" i="22"/>
  <c r="BF76" i="22"/>
  <c r="AO76" i="22"/>
  <c r="AN76" i="22"/>
  <c r="AM76" i="22"/>
  <c r="T76" i="22"/>
  <c r="DT76" i="22" s="1"/>
  <c r="Q76" i="22"/>
  <c r="R76" i="22" s="1"/>
  <c r="GE75" i="22"/>
  <c r="GD75" i="22"/>
  <c r="GC75" i="22"/>
  <c r="GB75" i="22"/>
  <c r="FZ75" i="22"/>
  <c r="FY75" i="22"/>
  <c r="FX75" i="22"/>
  <c r="FW75" i="22"/>
  <c r="FT75" i="22"/>
  <c r="FP75" i="22"/>
  <c r="FK75" i="22"/>
  <c r="FJ75" i="22"/>
  <c r="FE75" i="22"/>
  <c r="FD75" i="22"/>
  <c r="ER75" i="22"/>
  <c r="EQ75" i="22"/>
  <c r="EO75" i="22"/>
  <c r="EN75" i="22"/>
  <c r="EM75" i="22"/>
  <c r="EL75" i="22"/>
  <c r="DP75" i="22"/>
  <c r="DO75" i="22"/>
  <c r="DM75" i="22"/>
  <c r="DL75" i="22"/>
  <c r="DK75" i="22"/>
  <c r="DJ75" i="22"/>
  <c r="CN75" i="22"/>
  <c r="CM75" i="22"/>
  <c r="CK75" i="22"/>
  <c r="CJ75" i="22"/>
  <c r="CI75" i="22"/>
  <c r="CH75" i="22"/>
  <c r="BL75" i="22"/>
  <c r="BK75" i="22"/>
  <c r="BI75" i="22"/>
  <c r="BH75" i="22"/>
  <c r="BG75" i="22"/>
  <c r="BF75" i="22"/>
  <c r="AO75" i="22"/>
  <c r="GO75" i="22" s="1"/>
  <c r="AN75" i="22"/>
  <c r="AM75" i="22"/>
  <c r="T75" i="22"/>
  <c r="BP75" i="22" s="1"/>
  <c r="Q75" i="22"/>
  <c r="R75" i="22" s="1"/>
  <c r="GO74" i="22"/>
  <c r="GN74" i="22"/>
  <c r="GM74" i="22"/>
  <c r="GL74" i="22"/>
  <c r="GE74" i="22"/>
  <c r="GD74" i="22"/>
  <c r="GC74" i="22"/>
  <c r="GB74" i="22"/>
  <c r="FZ74" i="22"/>
  <c r="FY74" i="22"/>
  <c r="FX74" i="22"/>
  <c r="FW74" i="22"/>
  <c r="FT74" i="22"/>
  <c r="FP74" i="22"/>
  <c r="FK74" i="22"/>
  <c r="FJ74" i="22"/>
  <c r="FE74" i="22"/>
  <c r="FD74" i="22"/>
  <c r="EV74" i="22"/>
  <c r="ER74" i="22"/>
  <c r="EQ74" i="22"/>
  <c r="EO74" i="22"/>
  <c r="EN74" i="22"/>
  <c r="EM74" i="22"/>
  <c r="EL74" i="22"/>
  <c r="DP74" i="22"/>
  <c r="DO74" i="22"/>
  <c r="DM74" i="22"/>
  <c r="DL74" i="22"/>
  <c r="DK74" i="22"/>
  <c r="DJ74" i="22"/>
  <c r="CN74" i="22"/>
  <c r="CM74" i="22"/>
  <c r="CK74" i="22"/>
  <c r="CJ74" i="22"/>
  <c r="CI74" i="22"/>
  <c r="CH74" i="22"/>
  <c r="BL74" i="22"/>
  <c r="BK74" i="22"/>
  <c r="BI74" i="22"/>
  <c r="BH74" i="22"/>
  <c r="BG74" i="22"/>
  <c r="BF74" i="22"/>
  <c r="AO74" i="22"/>
  <c r="AN74" i="22"/>
  <c r="AM74" i="22"/>
  <c r="T74" i="22"/>
  <c r="CR74" i="22" s="1"/>
  <c r="Q74" i="22"/>
  <c r="R74" i="22" s="1"/>
  <c r="GO73" i="22"/>
  <c r="GN73" i="22"/>
  <c r="GM73" i="22"/>
  <c r="GL73" i="22"/>
  <c r="GE73" i="22"/>
  <c r="GD73" i="22"/>
  <c r="GC73" i="22"/>
  <c r="GB73" i="22"/>
  <c r="FZ73" i="22"/>
  <c r="FY73" i="22"/>
  <c r="FX73" i="22"/>
  <c r="FW73" i="22"/>
  <c r="FT73" i="22"/>
  <c r="FP73" i="22"/>
  <c r="FK73" i="22"/>
  <c r="FJ73" i="22"/>
  <c r="FE73" i="22"/>
  <c r="FD73" i="22"/>
  <c r="ER73" i="22"/>
  <c r="EQ73" i="22"/>
  <c r="EO73" i="22"/>
  <c r="EN73" i="22"/>
  <c r="EM73" i="22"/>
  <c r="EL73" i="22"/>
  <c r="DP73" i="22"/>
  <c r="DO73" i="22"/>
  <c r="DL73" i="22"/>
  <c r="DK73" i="22"/>
  <c r="DJ73" i="22"/>
  <c r="DE73" i="22"/>
  <c r="DM73" i="22" s="1"/>
  <c r="CN73" i="22"/>
  <c r="CM73" i="22"/>
  <c r="CK73" i="22"/>
  <c r="CJ73" i="22"/>
  <c r="CI73" i="22"/>
  <c r="CH73" i="22"/>
  <c r="BL73" i="22"/>
  <c r="BK73" i="22"/>
  <c r="BI73" i="22"/>
  <c r="BH73" i="22"/>
  <c r="BG73" i="22"/>
  <c r="BF73" i="22"/>
  <c r="AO73" i="22"/>
  <c r="AN73" i="22"/>
  <c r="AM73" i="22"/>
  <c r="T73" i="22"/>
  <c r="EV73" i="22" s="1"/>
  <c r="Q73" i="22"/>
  <c r="R73" i="22" s="1"/>
  <c r="GO72" i="22"/>
  <c r="GN72" i="22"/>
  <c r="GM72" i="22"/>
  <c r="GL72" i="22"/>
  <c r="GE72" i="22"/>
  <c r="GD72" i="22"/>
  <c r="GB72" i="22"/>
  <c r="FZ72" i="22"/>
  <c r="FY72" i="22"/>
  <c r="FX72" i="22"/>
  <c r="FW72" i="22"/>
  <c r="FT72" i="22"/>
  <c r="FP72" i="22"/>
  <c r="FK72" i="22"/>
  <c r="FJ72" i="22"/>
  <c r="FE72" i="22"/>
  <c r="FA72" i="22"/>
  <c r="GC72" i="22" s="1"/>
  <c r="GG72" i="22" s="1"/>
  <c r="EV72" i="22"/>
  <c r="ER72" i="22"/>
  <c r="EQ72" i="22"/>
  <c r="EO72" i="22"/>
  <c r="EN72" i="22"/>
  <c r="EM72" i="22"/>
  <c r="EL72" i="22"/>
  <c r="DP72" i="22"/>
  <c r="DO72" i="22"/>
  <c r="DL72" i="22"/>
  <c r="DK72" i="22"/>
  <c r="DJ72" i="22"/>
  <c r="DE72" i="22"/>
  <c r="DM72" i="22" s="1"/>
  <c r="CN72" i="22"/>
  <c r="CM72" i="22"/>
  <c r="CK72" i="22"/>
  <c r="CJ72" i="22"/>
  <c r="CI72" i="22"/>
  <c r="CH72" i="22"/>
  <c r="BL72" i="22"/>
  <c r="BK72" i="22"/>
  <c r="BI72" i="22"/>
  <c r="BH72" i="22"/>
  <c r="BG72" i="22"/>
  <c r="BF72" i="22"/>
  <c r="AO72" i="22"/>
  <c r="AN72" i="22"/>
  <c r="AM72" i="22"/>
  <c r="T72" i="22"/>
  <c r="Q72" i="22"/>
  <c r="R72" i="22" s="1"/>
  <c r="GO71" i="22"/>
  <c r="GN71" i="22"/>
  <c r="GM71" i="22"/>
  <c r="GL71" i="22"/>
  <c r="GE71" i="22"/>
  <c r="GD71" i="22"/>
  <c r="GH71" i="22" s="1"/>
  <c r="GC71" i="22"/>
  <c r="GB71" i="22"/>
  <c r="FZ71" i="22"/>
  <c r="FY71" i="22"/>
  <c r="FX71" i="22"/>
  <c r="FW71" i="22"/>
  <c r="FT71" i="22"/>
  <c r="FP71" i="22"/>
  <c r="FK71" i="22"/>
  <c r="FJ71" i="22"/>
  <c r="FE71" i="22"/>
  <c r="FD71" i="22"/>
  <c r="ER71" i="22"/>
  <c r="EQ71" i="22"/>
  <c r="EO71" i="22"/>
  <c r="EN71" i="22"/>
  <c r="EM71" i="22"/>
  <c r="EL71" i="22"/>
  <c r="DP71" i="22"/>
  <c r="DO71" i="22"/>
  <c r="DL71" i="22"/>
  <c r="DK71" i="22"/>
  <c r="DJ71" i="22"/>
  <c r="DE71" i="22"/>
  <c r="DM71" i="22" s="1"/>
  <c r="CN71" i="22"/>
  <c r="CM71" i="22"/>
  <c r="CK71" i="22"/>
  <c r="CJ71" i="22"/>
  <c r="CI71" i="22"/>
  <c r="CH71" i="22"/>
  <c r="BL71" i="22"/>
  <c r="BK71" i="22"/>
  <c r="BI71" i="22"/>
  <c r="BH71" i="22"/>
  <c r="BG71" i="22"/>
  <c r="BF71" i="22"/>
  <c r="AO71" i="22"/>
  <c r="AN71" i="22"/>
  <c r="AM71" i="22"/>
  <c r="T71" i="22"/>
  <c r="DT71" i="22" s="1"/>
  <c r="Q71" i="22"/>
  <c r="R71" i="22" s="1"/>
  <c r="GO70" i="22"/>
  <c r="GN70" i="22"/>
  <c r="GM70" i="22"/>
  <c r="GL70" i="22"/>
  <c r="GE70" i="22"/>
  <c r="GD70" i="22"/>
  <c r="GC70" i="22"/>
  <c r="GB70" i="22"/>
  <c r="FZ70" i="22"/>
  <c r="FY70" i="22"/>
  <c r="FX70" i="22"/>
  <c r="FW70" i="22"/>
  <c r="FT70" i="22"/>
  <c r="FP70" i="22"/>
  <c r="FK70" i="22"/>
  <c r="FJ70" i="22"/>
  <c r="FE70" i="22"/>
  <c r="FD70" i="22"/>
  <c r="ER70" i="22"/>
  <c r="EQ70" i="22"/>
  <c r="EO70" i="22"/>
  <c r="EN70" i="22"/>
  <c r="EM70" i="22"/>
  <c r="EL70" i="22"/>
  <c r="DP70" i="22"/>
  <c r="DO70" i="22"/>
  <c r="DL70" i="22"/>
  <c r="DK70" i="22"/>
  <c r="DJ70" i="22"/>
  <c r="DE70" i="22"/>
  <c r="DM70" i="22" s="1"/>
  <c r="CN70" i="22"/>
  <c r="CM70" i="22"/>
  <c r="CK70" i="22"/>
  <c r="CJ70" i="22"/>
  <c r="CI70" i="22"/>
  <c r="CH70" i="22"/>
  <c r="BL70" i="22"/>
  <c r="BK70" i="22"/>
  <c r="BI70" i="22"/>
  <c r="BH70" i="22"/>
  <c r="BG70" i="22"/>
  <c r="BF70" i="22"/>
  <c r="AO70" i="22"/>
  <c r="AN70" i="22"/>
  <c r="AM70" i="22"/>
  <c r="T70" i="22"/>
  <c r="Q70" i="22"/>
  <c r="R70" i="22" s="1"/>
  <c r="GO69" i="22"/>
  <c r="GN69" i="22"/>
  <c r="GM69" i="22"/>
  <c r="GL69" i="22"/>
  <c r="GE69" i="22"/>
  <c r="GD69" i="22"/>
  <c r="GC69" i="22"/>
  <c r="GB69" i="22"/>
  <c r="FZ69" i="22"/>
  <c r="FY69" i="22"/>
  <c r="FX69" i="22"/>
  <c r="FW69" i="22"/>
  <c r="FT69" i="22"/>
  <c r="FP69" i="22"/>
  <c r="FK69" i="22"/>
  <c r="FJ69" i="22"/>
  <c r="FE69" i="22"/>
  <c r="FD69" i="22"/>
  <c r="ER69" i="22"/>
  <c r="EQ69" i="22"/>
  <c r="EO69" i="22"/>
  <c r="EN69" i="22"/>
  <c r="EM69" i="22"/>
  <c r="EL69" i="22"/>
  <c r="DP69" i="22"/>
  <c r="DO69" i="22"/>
  <c r="DM69" i="22"/>
  <c r="DL69" i="22"/>
  <c r="DK69" i="22"/>
  <c r="DJ69" i="22"/>
  <c r="CN69" i="22"/>
  <c r="CM69" i="22"/>
  <c r="CK69" i="22"/>
  <c r="CJ69" i="22"/>
  <c r="CI69" i="22"/>
  <c r="CH69" i="22"/>
  <c r="BL69" i="22"/>
  <c r="BK69" i="22"/>
  <c r="BI69" i="22"/>
  <c r="BH69" i="22"/>
  <c r="BG69" i="22"/>
  <c r="BF69" i="22"/>
  <c r="AO69" i="22"/>
  <c r="AN69" i="22"/>
  <c r="AM69" i="22"/>
  <c r="T69" i="22"/>
  <c r="Q69" i="22"/>
  <c r="R69" i="22" s="1"/>
  <c r="GM68" i="22"/>
  <c r="GL68" i="22"/>
  <c r="GE68" i="22"/>
  <c r="GD68" i="22"/>
  <c r="GC68" i="22"/>
  <c r="GB68" i="22"/>
  <c r="FZ68" i="22"/>
  <c r="FY68" i="22"/>
  <c r="FX68" i="22"/>
  <c r="GG68" i="22" s="1"/>
  <c r="FW68" i="22"/>
  <c r="FT68" i="22"/>
  <c r="FP68" i="22"/>
  <c r="FK68" i="22"/>
  <c r="FJ68" i="22"/>
  <c r="FE68" i="22"/>
  <c r="FD68" i="22"/>
  <c r="ER68" i="22"/>
  <c r="EQ68" i="22"/>
  <c r="EO68" i="22"/>
  <c r="EN68" i="22"/>
  <c r="EM68" i="22"/>
  <c r="EL68" i="22"/>
  <c r="DP68" i="22"/>
  <c r="DO68" i="22"/>
  <c r="DM68" i="22"/>
  <c r="DL68" i="22"/>
  <c r="DK68" i="22"/>
  <c r="DJ68" i="22"/>
  <c r="CN68" i="22"/>
  <c r="CM68" i="22"/>
  <c r="CK68" i="22"/>
  <c r="CJ68" i="22"/>
  <c r="CI68" i="22"/>
  <c r="CH68" i="22"/>
  <c r="BL68" i="22"/>
  <c r="BK68" i="22"/>
  <c r="BI68" i="22"/>
  <c r="BH68" i="22"/>
  <c r="BG68" i="22"/>
  <c r="BF68" i="22"/>
  <c r="AO68" i="22"/>
  <c r="GO68" i="22" s="1"/>
  <c r="AN68" i="22"/>
  <c r="AM68" i="22"/>
  <c r="T68" i="22"/>
  <c r="CR68" i="22" s="1"/>
  <c r="Q68" i="22"/>
  <c r="R68" i="22" s="1"/>
  <c r="GE67" i="22"/>
  <c r="GD67" i="22"/>
  <c r="GC67" i="22"/>
  <c r="GB67" i="22"/>
  <c r="FZ67" i="22"/>
  <c r="FY67" i="22"/>
  <c r="FX67" i="22"/>
  <c r="FW67" i="22"/>
  <c r="FT67" i="22"/>
  <c r="FP67" i="22"/>
  <c r="FK67" i="22"/>
  <c r="FJ67" i="22"/>
  <c r="FE67" i="22"/>
  <c r="FD67" i="22"/>
  <c r="ER67" i="22"/>
  <c r="EQ67" i="22"/>
  <c r="EO67" i="22"/>
  <c r="EN67" i="22"/>
  <c r="EM67" i="22"/>
  <c r="EL67" i="22"/>
  <c r="DP67" i="22"/>
  <c r="DO67" i="22"/>
  <c r="DM67" i="22"/>
  <c r="DL67" i="22"/>
  <c r="DK67" i="22"/>
  <c r="DJ67" i="22"/>
  <c r="CN67" i="22"/>
  <c r="CM67" i="22"/>
  <c r="CK67" i="22"/>
  <c r="CJ67" i="22"/>
  <c r="CI67" i="22"/>
  <c r="CH67" i="22"/>
  <c r="BL67" i="22"/>
  <c r="BK67" i="22"/>
  <c r="BI67" i="22"/>
  <c r="BH67" i="22"/>
  <c r="BG67" i="22"/>
  <c r="BF67" i="22"/>
  <c r="AO67" i="22"/>
  <c r="GL67" i="22" s="1"/>
  <c r="AN67" i="22"/>
  <c r="AM67" i="22"/>
  <c r="T67" i="22"/>
  <c r="Q67" i="22"/>
  <c r="R67" i="22" s="1"/>
  <c r="GO66" i="22"/>
  <c r="GN66" i="22"/>
  <c r="GM66" i="22"/>
  <c r="GL66" i="22"/>
  <c r="GE66" i="22"/>
  <c r="GD66" i="22"/>
  <c r="GC66" i="22"/>
  <c r="GB66" i="22"/>
  <c r="FZ66" i="22"/>
  <c r="FY66" i="22"/>
  <c r="FX66" i="22"/>
  <c r="FW66" i="22"/>
  <c r="FT66" i="22"/>
  <c r="FP66" i="22"/>
  <c r="FK66" i="22"/>
  <c r="FJ66" i="22"/>
  <c r="FE66" i="22"/>
  <c r="FD66" i="22"/>
  <c r="EV66" i="22"/>
  <c r="ER66" i="22"/>
  <c r="EQ66" i="22"/>
  <c r="EO66" i="22"/>
  <c r="EN66" i="22"/>
  <c r="EM66" i="22"/>
  <c r="EL66" i="22"/>
  <c r="DP66" i="22"/>
  <c r="DO66" i="22"/>
  <c r="DM66" i="22"/>
  <c r="DL66" i="22"/>
  <c r="DK66" i="22"/>
  <c r="DJ66" i="22"/>
  <c r="CN66" i="22"/>
  <c r="CM66" i="22"/>
  <c r="CK66" i="22"/>
  <c r="CJ66" i="22"/>
  <c r="CI66" i="22"/>
  <c r="CH66" i="22"/>
  <c r="BL66" i="22"/>
  <c r="BK66" i="22"/>
  <c r="BI66" i="22"/>
  <c r="BH66" i="22"/>
  <c r="BG66" i="22"/>
  <c r="BF66" i="22"/>
  <c r="AO66" i="22"/>
  <c r="AN66" i="22"/>
  <c r="AM66" i="22"/>
  <c r="T66" i="22"/>
  <c r="DT66" i="22" s="1"/>
  <c r="Q66" i="22"/>
  <c r="R66" i="22" s="1"/>
  <c r="GO65" i="22"/>
  <c r="GN65" i="22"/>
  <c r="GM65" i="22"/>
  <c r="GL65" i="22"/>
  <c r="GE65" i="22"/>
  <c r="GD65" i="22"/>
  <c r="GC65" i="22"/>
  <c r="GB65" i="22"/>
  <c r="FZ65" i="22"/>
  <c r="FY65" i="22"/>
  <c r="FX65" i="22"/>
  <c r="FW65" i="22"/>
  <c r="FT65" i="22"/>
  <c r="FP65" i="22"/>
  <c r="FK65" i="22"/>
  <c r="FJ65" i="22"/>
  <c r="FE65" i="22"/>
  <c r="FD65" i="22"/>
  <c r="ER65" i="22"/>
  <c r="EQ65" i="22"/>
  <c r="EO65" i="22"/>
  <c r="EN65" i="22"/>
  <c r="EM65" i="22"/>
  <c r="EL65" i="22"/>
  <c r="DP65" i="22"/>
  <c r="DO65" i="22"/>
  <c r="DM65" i="22"/>
  <c r="DL65" i="22"/>
  <c r="DK65" i="22"/>
  <c r="DJ65" i="22"/>
  <c r="CN65" i="22"/>
  <c r="CM65" i="22"/>
  <c r="CK65" i="22"/>
  <c r="CJ65" i="22"/>
  <c r="CI65" i="22"/>
  <c r="CH65" i="22"/>
  <c r="BL65" i="22"/>
  <c r="BK65" i="22"/>
  <c r="BI65" i="22"/>
  <c r="BH65" i="22"/>
  <c r="BG65" i="22"/>
  <c r="BF65" i="22"/>
  <c r="AO65" i="22"/>
  <c r="AN65" i="22"/>
  <c r="AM65" i="22"/>
  <c r="T65" i="22"/>
  <c r="Q65" i="22"/>
  <c r="R65" i="22" s="1"/>
  <c r="GO64" i="22"/>
  <c r="GN64" i="22"/>
  <c r="GM64" i="22"/>
  <c r="GL64" i="22"/>
  <c r="GE64" i="22"/>
  <c r="GI64" i="22" s="1"/>
  <c r="GD64" i="22"/>
  <c r="GC64" i="22"/>
  <c r="GB64" i="22"/>
  <c r="GF64" i="22" s="1"/>
  <c r="FZ64" i="22"/>
  <c r="FY64" i="22"/>
  <c r="FX64" i="22"/>
  <c r="FW64" i="22"/>
  <c r="FT64" i="22"/>
  <c r="FP64" i="22"/>
  <c r="FK64" i="22"/>
  <c r="FJ64" i="22"/>
  <c r="FE64" i="22"/>
  <c r="FD64" i="22"/>
  <c r="ER64" i="22"/>
  <c r="EQ64" i="22"/>
  <c r="EO64" i="22"/>
  <c r="EN64" i="22"/>
  <c r="EM64" i="22"/>
  <c r="EL64" i="22"/>
  <c r="DP64" i="22"/>
  <c r="DO64" i="22"/>
  <c r="DM64" i="22"/>
  <c r="DL64" i="22"/>
  <c r="DK64" i="22"/>
  <c r="DJ64" i="22"/>
  <c r="CN64" i="22"/>
  <c r="CM64" i="22"/>
  <c r="CK64" i="22"/>
  <c r="CJ64" i="22"/>
  <c r="CI64" i="22"/>
  <c r="CH64" i="22"/>
  <c r="BL64" i="22"/>
  <c r="BK64" i="22"/>
  <c r="BI64" i="22"/>
  <c r="BH64" i="22"/>
  <c r="BG64" i="22"/>
  <c r="BF64" i="22"/>
  <c r="AO64" i="22"/>
  <c r="AN64" i="22"/>
  <c r="AM64" i="22"/>
  <c r="T64" i="22"/>
  <c r="Q64" i="22"/>
  <c r="R64" i="22" s="1"/>
  <c r="GE63" i="22"/>
  <c r="GD63" i="22"/>
  <c r="GC63" i="22"/>
  <c r="GB63" i="22"/>
  <c r="FZ63" i="22"/>
  <c r="GI63" i="22" s="1"/>
  <c r="FY63" i="22"/>
  <c r="GH63" i="22" s="1"/>
  <c r="FX63" i="22"/>
  <c r="FW63" i="22"/>
  <c r="FT63" i="22"/>
  <c r="FP63" i="22"/>
  <c r="FK63" i="22"/>
  <c r="FJ63" i="22"/>
  <c r="FE63" i="22"/>
  <c r="FD63" i="22"/>
  <c r="ER63" i="22"/>
  <c r="EQ63" i="22"/>
  <c r="EO63" i="22"/>
  <c r="EN63" i="22"/>
  <c r="EM63" i="22"/>
  <c r="EL63" i="22"/>
  <c r="DP63" i="22"/>
  <c r="DO63" i="22"/>
  <c r="DM63" i="22"/>
  <c r="DL63" i="22"/>
  <c r="DK63" i="22"/>
  <c r="DJ63" i="22"/>
  <c r="CN63" i="22"/>
  <c r="CM63" i="22"/>
  <c r="CK63" i="22"/>
  <c r="CJ63" i="22"/>
  <c r="CI63" i="22"/>
  <c r="CH63" i="22"/>
  <c r="BL63" i="22"/>
  <c r="BK63" i="22"/>
  <c r="BI63" i="22"/>
  <c r="BH63" i="22"/>
  <c r="BG63" i="22"/>
  <c r="BF63" i="22"/>
  <c r="AO63" i="22"/>
  <c r="GN63" i="22" s="1"/>
  <c r="AN63" i="22"/>
  <c r="AM63" i="22"/>
  <c r="T63" i="22"/>
  <c r="Q63" i="22"/>
  <c r="R63" i="22" s="1"/>
  <c r="GO62" i="22"/>
  <c r="GN62" i="22"/>
  <c r="GM62" i="22"/>
  <c r="GL62" i="22"/>
  <c r="GE62" i="22"/>
  <c r="GD62" i="22"/>
  <c r="GC62" i="22"/>
  <c r="GB62" i="22"/>
  <c r="GF62" i="22" s="1"/>
  <c r="FZ62" i="22"/>
  <c r="FY62" i="22"/>
  <c r="GH62" i="22" s="1"/>
  <c r="FX62" i="22"/>
  <c r="FW62" i="22"/>
  <c r="FT62" i="22"/>
  <c r="FP62" i="22"/>
  <c r="FK62" i="22"/>
  <c r="FJ62" i="22"/>
  <c r="FE62" i="22"/>
  <c r="FD62" i="22"/>
  <c r="ER62" i="22"/>
  <c r="EQ62" i="22"/>
  <c r="EO62" i="22"/>
  <c r="EN62" i="22"/>
  <c r="EM62" i="22"/>
  <c r="EL62" i="22"/>
  <c r="DP62" i="22"/>
  <c r="DO62" i="22"/>
  <c r="DM62" i="22"/>
  <c r="DL62" i="22"/>
  <c r="DK62" i="22"/>
  <c r="DJ62" i="22"/>
  <c r="CN62" i="22"/>
  <c r="CM62" i="22"/>
  <c r="CK62" i="22"/>
  <c r="CJ62" i="22"/>
  <c r="CI62" i="22"/>
  <c r="CH62" i="22"/>
  <c r="BL62" i="22"/>
  <c r="BK62" i="22"/>
  <c r="BI62" i="22"/>
  <c r="BH62" i="22"/>
  <c r="BG62" i="22"/>
  <c r="BF62" i="22"/>
  <c r="AO62" i="22"/>
  <c r="AN62" i="22"/>
  <c r="AM62" i="22"/>
  <c r="T62" i="22"/>
  <c r="DT62" i="22" s="1"/>
  <c r="Q62" i="22"/>
  <c r="R62" i="22" s="1"/>
  <c r="GO61" i="22"/>
  <c r="GN61" i="22"/>
  <c r="GM61" i="22"/>
  <c r="GL61" i="22"/>
  <c r="GP61" i="22" s="1"/>
  <c r="GE61" i="22"/>
  <c r="GD61" i="22"/>
  <c r="GC61" i="22"/>
  <c r="GB61" i="22"/>
  <c r="GF61" i="22" s="1"/>
  <c r="FZ61" i="22"/>
  <c r="FY61" i="22"/>
  <c r="FX61" i="22"/>
  <c r="FW61" i="22"/>
  <c r="FT61" i="22"/>
  <c r="FP61" i="22"/>
  <c r="FK61" i="22"/>
  <c r="FJ61" i="22"/>
  <c r="FE61" i="22"/>
  <c r="FD61" i="22"/>
  <c r="ER61" i="22"/>
  <c r="EQ61" i="22"/>
  <c r="EO61" i="22"/>
  <c r="EN61" i="22"/>
  <c r="EM61" i="22"/>
  <c r="EL61" i="22"/>
  <c r="DP61" i="22"/>
  <c r="DO61" i="22"/>
  <c r="DM61" i="22"/>
  <c r="DL61" i="22"/>
  <c r="DK61" i="22"/>
  <c r="DJ61" i="22"/>
  <c r="CN61" i="22"/>
  <c r="CM61" i="22"/>
  <c r="CK61" i="22"/>
  <c r="CJ61" i="22"/>
  <c r="CI61" i="22"/>
  <c r="CH61" i="22"/>
  <c r="BL61" i="22"/>
  <c r="BK61" i="22"/>
  <c r="BI61" i="22"/>
  <c r="BH61" i="22"/>
  <c r="BG61" i="22"/>
  <c r="BF61" i="22"/>
  <c r="AO61" i="22"/>
  <c r="AN61" i="22"/>
  <c r="AM61" i="22"/>
  <c r="T61" i="22"/>
  <c r="Q61" i="22"/>
  <c r="R61" i="22" s="1"/>
  <c r="GE60" i="22"/>
  <c r="GD60" i="22"/>
  <c r="GC60" i="22"/>
  <c r="GB60" i="22"/>
  <c r="FZ60" i="22"/>
  <c r="FY60" i="22"/>
  <c r="FX60" i="22"/>
  <c r="FW60" i="22"/>
  <c r="FT60" i="22"/>
  <c r="FP60" i="22"/>
  <c r="FK60" i="22"/>
  <c r="FJ60" i="22"/>
  <c r="FE60" i="22"/>
  <c r="FD60" i="22"/>
  <c r="ER60" i="22"/>
  <c r="EQ60" i="22"/>
  <c r="EO60" i="22"/>
  <c r="EN60" i="22"/>
  <c r="EM60" i="22"/>
  <c r="EL60" i="22"/>
  <c r="DP60" i="22"/>
  <c r="DO60" i="22"/>
  <c r="DM60" i="22"/>
  <c r="DL60" i="22"/>
  <c r="DK60" i="22"/>
  <c r="DJ60" i="22"/>
  <c r="CN60" i="22"/>
  <c r="CM60" i="22"/>
  <c r="CK60" i="22"/>
  <c r="CJ60" i="22"/>
  <c r="CI60" i="22"/>
  <c r="CH60" i="22"/>
  <c r="BL60" i="22"/>
  <c r="BK60" i="22"/>
  <c r="BI60" i="22"/>
  <c r="BH60" i="22"/>
  <c r="BG60" i="22"/>
  <c r="BF60" i="22"/>
  <c r="AO60" i="22"/>
  <c r="AN60" i="22"/>
  <c r="AM60" i="22"/>
  <c r="T60" i="22"/>
  <c r="DT60" i="22" s="1"/>
  <c r="Q60" i="22"/>
  <c r="R60" i="22" s="1"/>
  <c r="GO59" i="22"/>
  <c r="GN59" i="22"/>
  <c r="GM59" i="22"/>
  <c r="GL59" i="22"/>
  <c r="GE59" i="22"/>
  <c r="GD59" i="22"/>
  <c r="GC59" i="22"/>
  <c r="GB59" i="22"/>
  <c r="GF59" i="22" s="1"/>
  <c r="FZ59" i="22"/>
  <c r="GI59" i="22" s="1"/>
  <c r="FY59" i="22"/>
  <c r="FX59" i="22"/>
  <c r="FW59" i="22"/>
  <c r="FT59" i="22"/>
  <c r="FP59" i="22"/>
  <c r="FK59" i="22"/>
  <c r="FJ59" i="22"/>
  <c r="FE59" i="22"/>
  <c r="FD59" i="22"/>
  <c r="ER59" i="22"/>
  <c r="EQ59" i="22"/>
  <c r="EO59" i="22"/>
  <c r="EN59" i="22"/>
  <c r="EM59" i="22"/>
  <c r="EL59" i="22"/>
  <c r="DP59" i="22"/>
  <c r="DO59" i="22"/>
  <c r="DM59" i="22"/>
  <c r="DL59" i="22"/>
  <c r="DK59" i="22"/>
  <c r="DJ59" i="22"/>
  <c r="CN59" i="22"/>
  <c r="CM59" i="22"/>
  <c r="CK59" i="22"/>
  <c r="CJ59" i="22"/>
  <c r="CI59" i="22"/>
  <c r="CH59" i="22"/>
  <c r="BL59" i="22"/>
  <c r="BK59" i="22"/>
  <c r="BI59" i="22"/>
  <c r="BH59" i="22"/>
  <c r="BG59" i="22"/>
  <c r="BF59" i="22"/>
  <c r="AO59" i="22"/>
  <c r="AN59" i="22"/>
  <c r="AM59" i="22"/>
  <c r="T59" i="22"/>
  <c r="Q59" i="22"/>
  <c r="R59" i="22" s="1"/>
  <c r="GO58" i="22"/>
  <c r="GN58" i="22"/>
  <c r="GM58" i="22"/>
  <c r="GL58" i="22"/>
  <c r="GE58" i="22"/>
  <c r="GD58" i="22"/>
  <c r="GC58" i="22"/>
  <c r="GB58" i="22"/>
  <c r="FZ58" i="22"/>
  <c r="FY58" i="22"/>
  <c r="FX58" i="22"/>
  <c r="FW58" i="22"/>
  <c r="FT58" i="22"/>
  <c r="FP58" i="22"/>
  <c r="FK58" i="22"/>
  <c r="FJ58" i="22"/>
  <c r="FE58" i="22"/>
  <c r="FD58" i="22"/>
  <c r="ER58" i="22"/>
  <c r="EQ58" i="22"/>
  <c r="EO58" i="22"/>
  <c r="EN58" i="22"/>
  <c r="EM58" i="22"/>
  <c r="EL58" i="22"/>
  <c r="DP58" i="22"/>
  <c r="DO58" i="22"/>
  <c r="DM58" i="22"/>
  <c r="DL58" i="22"/>
  <c r="DK58" i="22"/>
  <c r="DJ58" i="22"/>
  <c r="CN58" i="22"/>
  <c r="CM58" i="22"/>
  <c r="CK58" i="22"/>
  <c r="CJ58" i="22"/>
  <c r="CI58" i="22"/>
  <c r="CH58" i="22"/>
  <c r="BL58" i="22"/>
  <c r="BK58" i="22"/>
  <c r="BI58" i="22"/>
  <c r="BH58" i="22"/>
  <c r="BG58" i="22"/>
  <c r="BF58" i="22"/>
  <c r="AO58" i="22"/>
  <c r="AN58" i="22"/>
  <c r="AM58" i="22"/>
  <c r="T58" i="22"/>
  <c r="DT58" i="22" s="1"/>
  <c r="Q58" i="22"/>
  <c r="R58" i="22" s="1"/>
  <c r="GO57" i="22"/>
  <c r="GN57" i="22"/>
  <c r="GM57" i="22"/>
  <c r="GL57" i="22"/>
  <c r="GE57" i="22"/>
  <c r="GD57" i="22"/>
  <c r="GC57" i="22"/>
  <c r="GB57" i="22"/>
  <c r="FZ57" i="22"/>
  <c r="FY57" i="22"/>
  <c r="FX57" i="22"/>
  <c r="FW57" i="22"/>
  <c r="FT57" i="22"/>
  <c r="FP57" i="22"/>
  <c r="FK57" i="22"/>
  <c r="FJ57" i="22"/>
  <c r="FE57" i="22"/>
  <c r="FD57" i="22"/>
  <c r="ER57" i="22"/>
  <c r="EQ57" i="22"/>
  <c r="EO57" i="22"/>
  <c r="EN57" i="22"/>
  <c r="EM57" i="22"/>
  <c r="EL57" i="22"/>
  <c r="DP57" i="22"/>
  <c r="DO57" i="22"/>
  <c r="DM57" i="22"/>
  <c r="DL57" i="22"/>
  <c r="DK57" i="22"/>
  <c r="DJ57" i="22"/>
  <c r="CN57" i="22"/>
  <c r="CM57" i="22"/>
  <c r="CK57" i="22"/>
  <c r="CJ57" i="22"/>
  <c r="CI57" i="22"/>
  <c r="CH57" i="22"/>
  <c r="BL57" i="22"/>
  <c r="BK57" i="22"/>
  <c r="BI57" i="22"/>
  <c r="BH57" i="22"/>
  <c r="BG57" i="22"/>
  <c r="BF57" i="22"/>
  <c r="AO57" i="22"/>
  <c r="AN57" i="22"/>
  <c r="AM57" i="22"/>
  <c r="T57" i="22"/>
  <c r="Q57" i="22"/>
  <c r="R57" i="22" s="1"/>
  <c r="GE56" i="22"/>
  <c r="GD56" i="22"/>
  <c r="GC56" i="22"/>
  <c r="GB56" i="22"/>
  <c r="FZ56" i="22"/>
  <c r="FY56" i="22"/>
  <c r="FX56" i="22"/>
  <c r="FW56" i="22"/>
  <c r="FT56" i="22"/>
  <c r="FP56" i="22"/>
  <c r="FK56" i="22"/>
  <c r="FJ56" i="22"/>
  <c r="FE56" i="22"/>
  <c r="FD56" i="22"/>
  <c r="ER56" i="22"/>
  <c r="EQ56" i="22"/>
  <c r="EO56" i="22"/>
  <c r="EN56" i="22"/>
  <c r="EM56" i="22"/>
  <c r="EL56" i="22"/>
  <c r="DP56" i="22"/>
  <c r="DO56" i="22"/>
  <c r="DM56" i="22"/>
  <c r="DL56" i="22"/>
  <c r="DK56" i="22"/>
  <c r="DJ56" i="22"/>
  <c r="CN56" i="22"/>
  <c r="CM56" i="22"/>
  <c r="CK56" i="22"/>
  <c r="CJ56" i="22"/>
  <c r="CI56" i="22"/>
  <c r="CH56" i="22"/>
  <c r="BL56" i="22"/>
  <c r="BK56" i="22"/>
  <c r="BI56" i="22"/>
  <c r="BH56" i="22"/>
  <c r="BG56" i="22"/>
  <c r="BF56" i="22"/>
  <c r="AO56" i="22"/>
  <c r="AN56" i="22"/>
  <c r="AM56" i="22"/>
  <c r="T56" i="22"/>
  <c r="DT56" i="22" s="1"/>
  <c r="Q56" i="22"/>
  <c r="R56" i="22" s="1"/>
  <c r="GO55" i="22"/>
  <c r="GN55" i="22"/>
  <c r="GM55" i="22"/>
  <c r="GL55" i="22"/>
  <c r="GE55" i="22"/>
  <c r="GD55" i="22"/>
  <c r="GC55" i="22"/>
  <c r="GB55" i="22"/>
  <c r="FZ55" i="22"/>
  <c r="FY55" i="22"/>
  <c r="FX55" i="22"/>
  <c r="FW55" i="22"/>
  <c r="FT55" i="22"/>
  <c r="FP55" i="22"/>
  <c r="FK55" i="22"/>
  <c r="FJ55" i="22"/>
  <c r="FE55" i="22"/>
  <c r="FD55" i="22"/>
  <c r="ER55" i="22"/>
  <c r="EQ55" i="22"/>
  <c r="EO55" i="22"/>
  <c r="EN55" i="22"/>
  <c r="EM55" i="22"/>
  <c r="EL55" i="22"/>
  <c r="DP55" i="22"/>
  <c r="DO55" i="22"/>
  <c r="DM55" i="22"/>
  <c r="DL55" i="22"/>
  <c r="DK55" i="22"/>
  <c r="DJ55" i="22"/>
  <c r="CN55" i="22"/>
  <c r="CM55" i="22"/>
  <c r="CK55" i="22"/>
  <c r="CJ55" i="22"/>
  <c r="CI55" i="22"/>
  <c r="CH55" i="22"/>
  <c r="BL55" i="22"/>
  <c r="BK55" i="22"/>
  <c r="BI55" i="22"/>
  <c r="BH55" i="22"/>
  <c r="BG55" i="22"/>
  <c r="BF55" i="22"/>
  <c r="AO55" i="22"/>
  <c r="AN55" i="22"/>
  <c r="AM55" i="22"/>
  <c r="T55" i="22"/>
  <c r="CR55" i="22" s="1"/>
  <c r="R55" i="22"/>
  <c r="Q55" i="22"/>
  <c r="GO54" i="22"/>
  <c r="GN54" i="22"/>
  <c r="GM54" i="22"/>
  <c r="GL54" i="22"/>
  <c r="GE54" i="22"/>
  <c r="GD54" i="22"/>
  <c r="GC54" i="22"/>
  <c r="GB54" i="22"/>
  <c r="FZ54" i="22"/>
  <c r="FY54" i="22"/>
  <c r="FX54" i="22"/>
  <c r="FW54" i="22"/>
  <c r="FT54" i="22"/>
  <c r="FP54" i="22"/>
  <c r="FK54" i="22"/>
  <c r="FJ54" i="22"/>
  <c r="FE54" i="22"/>
  <c r="FD54" i="22"/>
  <c r="ER54" i="22"/>
  <c r="EQ54" i="22"/>
  <c r="EO54" i="22"/>
  <c r="EN54" i="22"/>
  <c r="EM54" i="22"/>
  <c r="EL54" i="22"/>
  <c r="DP54" i="22"/>
  <c r="DO54" i="22"/>
  <c r="DM54" i="22"/>
  <c r="DL54" i="22"/>
  <c r="DK54" i="22"/>
  <c r="DJ54" i="22"/>
  <c r="CN54" i="22"/>
  <c r="CM54" i="22"/>
  <c r="CK54" i="22"/>
  <c r="CJ54" i="22"/>
  <c r="CI54" i="22"/>
  <c r="CH54" i="22"/>
  <c r="BL54" i="22"/>
  <c r="BK54" i="22"/>
  <c r="BI54" i="22"/>
  <c r="BH54" i="22"/>
  <c r="BG54" i="22"/>
  <c r="BF54" i="22"/>
  <c r="AO54" i="22"/>
  <c r="AN54" i="22"/>
  <c r="AM54" i="22"/>
  <c r="T54" i="22"/>
  <c r="DT54" i="22" s="1"/>
  <c r="Q54" i="22"/>
  <c r="R54" i="22" s="1"/>
  <c r="GO53" i="22"/>
  <c r="GE53" i="22"/>
  <c r="GD53" i="22"/>
  <c r="GC53" i="22"/>
  <c r="GB53" i="22"/>
  <c r="FZ53" i="22"/>
  <c r="FY53" i="22"/>
  <c r="FX53" i="22"/>
  <c r="GG53" i="22" s="1"/>
  <c r="FW53" i="22"/>
  <c r="FT53" i="22"/>
  <c r="FP53" i="22"/>
  <c r="FK53" i="22"/>
  <c r="FJ53" i="22"/>
  <c r="FE53" i="22"/>
  <c r="FD53" i="22"/>
  <c r="ER53" i="22"/>
  <c r="EQ53" i="22"/>
  <c r="EO53" i="22"/>
  <c r="EN53" i="22"/>
  <c r="EM53" i="22"/>
  <c r="EL53" i="22"/>
  <c r="DP53" i="22"/>
  <c r="DO53" i="22"/>
  <c r="DM53" i="22"/>
  <c r="DL53" i="22"/>
  <c r="DK53" i="22"/>
  <c r="DJ53" i="22"/>
  <c r="CN53" i="22"/>
  <c r="CM53" i="22"/>
  <c r="CK53" i="22"/>
  <c r="CJ53" i="22"/>
  <c r="CI53" i="22"/>
  <c r="CH53" i="22"/>
  <c r="BL53" i="22"/>
  <c r="BK53" i="22"/>
  <c r="BI53" i="22"/>
  <c r="BH53" i="22"/>
  <c r="BG53" i="22"/>
  <c r="BF53" i="22"/>
  <c r="AO53" i="22"/>
  <c r="GM53" i="22" s="1"/>
  <c r="AN53" i="22"/>
  <c r="AM53" i="22"/>
  <c r="T53" i="22"/>
  <c r="Q53" i="22"/>
  <c r="R53" i="22" s="1"/>
  <c r="GE52" i="22"/>
  <c r="GD52" i="22"/>
  <c r="GC52" i="22"/>
  <c r="GB52" i="22"/>
  <c r="FZ52" i="22"/>
  <c r="FY52" i="22"/>
  <c r="FX52" i="22"/>
  <c r="FW52" i="22"/>
  <c r="FT52" i="22"/>
  <c r="FP52" i="22"/>
  <c r="FK52" i="22"/>
  <c r="FJ52" i="22"/>
  <c r="FE52" i="22"/>
  <c r="FD52" i="22"/>
  <c r="ER52" i="22"/>
  <c r="EQ52" i="22"/>
  <c r="EO52" i="22"/>
  <c r="EN52" i="22"/>
  <c r="EM52" i="22"/>
  <c r="EL52" i="22"/>
  <c r="DP52" i="22"/>
  <c r="DO52" i="22"/>
  <c r="DM52" i="22"/>
  <c r="DL52" i="22"/>
  <c r="DK52" i="22"/>
  <c r="DN52" i="22" s="1"/>
  <c r="DJ52" i="22"/>
  <c r="CN52" i="22"/>
  <c r="CM52" i="22"/>
  <c r="CK52" i="22"/>
  <c r="CJ52" i="22"/>
  <c r="CI52" i="22"/>
  <c r="CH52" i="22"/>
  <c r="BL52" i="22"/>
  <c r="BK52" i="22"/>
  <c r="BI52" i="22"/>
  <c r="BH52" i="22"/>
  <c r="BG52" i="22"/>
  <c r="BF52" i="22"/>
  <c r="AO52" i="22"/>
  <c r="GL52" i="22" s="1"/>
  <c r="AN52" i="22"/>
  <c r="AM52" i="22"/>
  <c r="T52" i="22"/>
  <c r="EV52" i="22" s="1"/>
  <c r="Q52" i="22"/>
  <c r="R52" i="22" s="1"/>
  <c r="GO51" i="22"/>
  <c r="GN51" i="22"/>
  <c r="GM51" i="22"/>
  <c r="GL51" i="22"/>
  <c r="GE51" i="22"/>
  <c r="GD51" i="22"/>
  <c r="GH51" i="22" s="1"/>
  <c r="GC51" i="22"/>
  <c r="GB51" i="22"/>
  <c r="FZ51" i="22"/>
  <c r="FY51" i="22"/>
  <c r="FX51" i="22"/>
  <c r="GA51" i="22" s="1"/>
  <c r="FW51" i="22"/>
  <c r="FT51" i="22"/>
  <c r="FP51" i="22"/>
  <c r="FK51" i="22"/>
  <c r="FJ51" i="22"/>
  <c r="FE51" i="22"/>
  <c r="FD51" i="22"/>
  <c r="ER51" i="22"/>
  <c r="EQ51" i="22"/>
  <c r="EO51" i="22"/>
  <c r="EN51" i="22"/>
  <c r="EM51" i="22"/>
  <c r="EL51" i="22"/>
  <c r="DP51" i="22"/>
  <c r="DO51" i="22"/>
  <c r="DM51" i="22"/>
  <c r="DL51" i="22"/>
  <c r="DK51" i="22"/>
  <c r="DJ51" i="22"/>
  <c r="CN51" i="22"/>
  <c r="CM51" i="22"/>
  <c r="CK51" i="22"/>
  <c r="CJ51" i="22"/>
  <c r="CI51" i="22"/>
  <c r="CH51" i="22"/>
  <c r="BL51" i="22"/>
  <c r="BK51" i="22"/>
  <c r="BI51" i="22"/>
  <c r="BH51" i="22"/>
  <c r="BG51" i="22"/>
  <c r="BF51" i="22"/>
  <c r="AO51" i="22"/>
  <c r="AN51" i="22"/>
  <c r="AM51" i="22"/>
  <c r="T51" i="22"/>
  <c r="EV51" i="22" s="1"/>
  <c r="Q51" i="22"/>
  <c r="R51" i="22" s="1"/>
  <c r="GE50" i="22"/>
  <c r="GD50" i="22"/>
  <c r="GC50" i="22"/>
  <c r="GB50" i="22"/>
  <c r="FZ50" i="22"/>
  <c r="FY50" i="22"/>
  <c r="FX50" i="22"/>
  <c r="FW50" i="22"/>
  <c r="FT50" i="22"/>
  <c r="FP50" i="22"/>
  <c r="FK50" i="22"/>
  <c r="FJ50" i="22"/>
  <c r="FE50" i="22"/>
  <c r="FD50" i="22"/>
  <c r="ER50" i="22"/>
  <c r="EQ50" i="22"/>
  <c r="EO50" i="22"/>
  <c r="EN50" i="22"/>
  <c r="EM50" i="22"/>
  <c r="EL50" i="22"/>
  <c r="DP50" i="22"/>
  <c r="DO50" i="22"/>
  <c r="DM50" i="22"/>
  <c r="DL50" i="22"/>
  <c r="DK50" i="22"/>
  <c r="DJ50" i="22"/>
  <c r="CN50" i="22"/>
  <c r="CM50" i="22"/>
  <c r="CK50" i="22"/>
  <c r="CJ50" i="22"/>
  <c r="CI50" i="22"/>
  <c r="CH50" i="22"/>
  <c r="BL50" i="22"/>
  <c r="BK50" i="22"/>
  <c r="BI50" i="22"/>
  <c r="BH50" i="22"/>
  <c r="BG50" i="22"/>
  <c r="BF50" i="22"/>
  <c r="AO50" i="22"/>
  <c r="GL50" i="22" s="1"/>
  <c r="AN50" i="22"/>
  <c r="AM50" i="22"/>
  <c r="T50" i="22"/>
  <c r="DT50" i="22" s="1"/>
  <c r="Q50" i="22"/>
  <c r="R50" i="22" s="1"/>
  <c r="GO49" i="22"/>
  <c r="GN49" i="22"/>
  <c r="GM49" i="22"/>
  <c r="GL49" i="22"/>
  <c r="GE49" i="22"/>
  <c r="GD49" i="22"/>
  <c r="GC49" i="22"/>
  <c r="GB49" i="22"/>
  <c r="GF49" i="22" s="1"/>
  <c r="FZ49" i="22"/>
  <c r="FY49" i="22"/>
  <c r="FX49" i="22"/>
  <c r="FW49" i="22"/>
  <c r="FT49" i="22"/>
  <c r="FP49" i="22"/>
  <c r="FK49" i="22"/>
  <c r="FJ49" i="22"/>
  <c r="FE49" i="22"/>
  <c r="FD49" i="22"/>
  <c r="ER49" i="22"/>
  <c r="EQ49" i="22"/>
  <c r="EO49" i="22"/>
  <c r="EN49" i="22"/>
  <c r="EM49" i="22"/>
  <c r="EL49" i="22"/>
  <c r="DP49" i="22"/>
  <c r="DO49" i="22"/>
  <c r="DM49" i="22"/>
  <c r="DL49" i="22"/>
  <c r="DK49" i="22"/>
  <c r="DJ49" i="22"/>
  <c r="CN49" i="22"/>
  <c r="CM49" i="22"/>
  <c r="CK49" i="22"/>
  <c r="CJ49" i="22"/>
  <c r="CI49" i="22"/>
  <c r="CH49" i="22"/>
  <c r="BL49" i="22"/>
  <c r="BK49" i="22"/>
  <c r="BI49" i="22"/>
  <c r="BH49" i="22"/>
  <c r="BG49" i="22"/>
  <c r="BF49" i="22"/>
  <c r="AO49" i="22"/>
  <c r="AN49" i="22"/>
  <c r="AM49" i="22"/>
  <c r="T49" i="22"/>
  <c r="Q49" i="22"/>
  <c r="R49" i="22" s="1"/>
  <c r="GO48" i="22"/>
  <c r="GN48" i="22"/>
  <c r="GM48" i="22"/>
  <c r="GL48" i="22"/>
  <c r="GE48" i="22"/>
  <c r="GD48" i="22"/>
  <c r="GC48" i="22"/>
  <c r="GB48" i="22"/>
  <c r="FZ48" i="22"/>
  <c r="FY48" i="22"/>
  <c r="FX48" i="22"/>
  <c r="GG48" i="22" s="1"/>
  <c r="FW48" i="22"/>
  <c r="FT48" i="22"/>
  <c r="FP48" i="22"/>
  <c r="FK48" i="22"/>
  <c r="FJ48" i="22"/>
  <c r="FE48" i="22"/>
  <c r="FD48" i="22"/>
  <c r="ER48" i="22"/>
  <c r="EQ48" i="22"/>
  <c r="EO48" i="22"/>
  <c r="EN48" i="22"/>
  <c r="EM48" i="22"/>
  <c r="EL48" i="22"/>
  <c r="DP48" i="22"/>
  <c r="DO48" i="22"/>
  <c r="DM48" i="22"/>
  <c r="DN48" i="22" s="1"/>
  <c r="DQ48" i="22" s="1"/>
  <c r="DL48" i="22"/>
  <c r="DK48" i="22"/>
  <c r="DJ48" i="22"/>
  <c r="CN48" i="22"/>
  <c r="CM48" i="22"/>
  <c r="CK48" i="22"/>
  <c r="CJ48" i="22"/>
  <c r="CI48" i="22"/>
  <c r="CH48" i="22"/>
  <c r="BL48" i="22"/>
  <c r="BK48" i="22"/>
  <c r="BI48" i="22"/>
  <c r="BH48" i="22"/>
  <c r="BG48" i="22"/>
  <c r="BF48" i="22"/>
  <c r="AO48" i="22"/>
  <c r="AN48" i="22"/>
  <c r="AM48" i="22"/>
  <c r="T48" i="22"/>
  <c r="Q48" i="22"/>
  <c r="R48" i="22" s="1"/>
  <c r="GO47" i="22"/>
  <c r="GN47" i="22"/>
  <c r="GM47" i="22"/>
  <c r="GL47" i="22"/>
  <c r="GE47" i="22"/>
  <c r="GD47" i="22"/>
  <c r="GC47" i="22"/>
  <c r="GB47" i="22"/>
  <c r="FZ47" i="22"/>
  <c r="FY47" i="22"/>
  <c r="FX47" i="22"/>
  <c r="GG47" i="22" s="1"/>
  <c r="FW47" i="22"/>
  <c r="FT47" i="22"/>
  <c r="FP47" i="22"/>
  <c r="FK47" i="22"/>
  <c r="FJ47" i="22"/>
  <c r="FE47" i="22"/>
  <c r="FD47" i="22"/>
  <c r="ER47" i="22"/>
  <c r="EQ47" i="22"/>
  <c r="EO47" i="22"/>
  <c r="EN47" i="22"/>
  <c r="EM47" i="22"/>
  <c r="EL47" i="22"/>
  <c r="DP47" i="22"/>
  <c r="DO47" i="22"/>
  <c r="DM47" i="22"/>
  <c r="DL47" i="22"/>
  <c r="DK47" i="22"/>
  <c r="DJ47" i="22"/>
  <c r="CN47" i="22"/>
  <c r="CM47" i="22"/>
  <c r="CK47" i="22"/>
  <c r="CJ47" i="22"/>
  <c r="CI47" i="22"/>
  <c r="CH47" i="22"/>
  <c r="BL47" i="22"/>
  <c r="BK47" i="22"/>
  <c r="BI47" i="22"/>
  <c r="BH47" i="22"/>
  <c r="BG47" i="22"/>
  <c r="BF47" i="22"/>
  <c r="AO47" i="22"/>
  <c r="AN47" i="22"/>
  <c r="AM47" i="22"/>
  <c r="T47" i="22"/>
  <c r="EV47" i="22" s="1"/>
  <c r="Q47" i="22"/>
  <c r="R47" i="22" s="1"/>
  <c r="GO46" i="22"/>
  <c r="GN46" i="22"/>
  <c r="GM46" i="22"/>
  <c r="GL46" i="22"/>
  <c r="GE46" i="22"/>
  <c r="GD46" i="22"/>
  <c r="GC46" i="22"/>
  <c r="GG46" i="22" s="1"/>
  <c r="GB46" i="22"/>
  <c r="FZ46" i="22"/>
  <c r="FY46" i="22"/>
  <c r="FX46" i="22"/>
  <c r="FW46" i="22"/>
  <c r="FT46" i="22"/>
  <c r="FP46" i="22"/>
  <c r="FK46" i="22"/>
  <c r="FJ46" i="22"/>
  <c r="FE46" i="22"/>
  <c r="FD46" i="22"/>
  <c r="ER46" i="22"/>
  <c r="EQ46" i="22"/>
  <c r="EO46" i="22"/>
  <c r="EN46" i="22"/>
  <c r="EM46" i="22"/>
  <c r="EL46" i="22"/>
  <c r="DP46" i="22"/>
  <c r="DO46" i="22"/>
  <c r="DM46" i="22"/>
  <c r="DL46" i="22"/>
  <c r="DK46" i="22"/>
  <c r="DJ46" i="22"/>
  <c r="CN46" i="22"/>
  <c r="CM46" i="22"/>
  <c r="CK46" i="22"/>
  <c r="CJ46" i="22"/>
  <c r="CI46" i="22"/>
  <c r="CH46" i="22"/>
  <c r="BL46" i="22"/>
  <c r="BK46" i="22"/>
  <c r="BI46" i="22"/>
  <c r="BH46" i="22"/>
  <c r="BG46" i="22"/>
  <c r="BF46" i="22"/>
  <c r="AO46" i="22"/>
  <c r="AN46" i="22"/>
  <c r="AM46" i="22"/>
  <c r="T46" i="22"/>
  <c r="DT46" i="22" s="1"/>
  <c r="Q46" i="22"/>
  <c r="R46" i="22" s="1"/>
  <c r="GO45" i="22"/>
  <c r="GN45" i="22"/>
  <c r="GM45" i="22"/>
  <c r="GL45" i="22"/>
  <c r="GE45" i="22"/>
  <c r="GD45" i="22"/>
  <c r="GC45" i="22"/>
  <c r="GB45" i="22"/>
  <c r="FZ45" i="22"/>
  <c r="FY45" i="22"/>
  <c r="FX45" i="22"/>
  <c r="FW45" i="22"/>
  <c r="FT45" i="22"/>
  <c r="FP45" i="22"/>
  <c r="FK45" i="22"/>
  <c r="FJ45" i="22"/>
  <c r="FE45" i="22"/>
  <c r="FD45" i="22"/>
  <c r="ER45" i="22"/>
  <c r="EQ45" i="22"/>
  <c r="EO45" i="22"/>
  <c r="EN45" i="22"/>
  <c r="EM45" i="22"/>
  <c r="EL45" i="22"/>
  <c r="DP45" i="22"/>
  <c r="DO45" i="22"/>
  <c r="DM45" i="22"/>
  <c r="DL45" i="22"/>
  <c r="DK45" i="22"/>
  <c r="DJ45" i="22"/>
  <c r="CN45" i="22"/>
  <c r="CM45" i="22"/>
  <c r="CK45" i="22"/>
  <c r="CJ45" i="22"/>
  <c r="CI45" i="22"/>
  <c r="CH45" i="22"/>
  <c r="BL45" i="22"/>
  <c r="BK45" i="22"/>
  <c r="BI45" i="22"/>
  <c r="BH45" i="22"/>
  <c r="BG45" i="22"/>
  <c r="BF45" i="22"/>
  <c r="AO45" i="22"/>
  <c r="AN45" i="22"/>
  <c r="AM45" i="22"/>
  <c r="T45" i="22"/>
  <c r="DT45" i="22" s="1"/>
  <c r="Q45" i="22"/>
  <c r="R45" i="22" s="1"/>
  <c r="GO44" i="22"/>
  <c r="GN44" i="22"/>
  <c r="GM44" i="22"/>
  <c r="GL44" i="22"/>
  <c r="GE44" i="22"/>
  <c r="GD44" i="22"/>
  <c r="GH44" i="22" s="1"/>
  <c r="GC44" i="22"/>
  <c r="GB44" i="22"/>
  <c r="FZ44" i="22"/>
  <c r="FY44" i="22"/>
  <c r="FX44" i="22"/>
  <c r="FW44" i="22"/>
  <c r="GF44" i="22" s="1"/>
  <c r="FT44" i="22"/>
  <c r="FP44" i="22"/>
  <c r="FK44" i="22"/>
  <c r="FJ44" i="22"/>
  <c r="FE44" i="22"/>
  <c r="FD44" i="22"/>
  <c r="ER44" i="22"/>
  <c r="EQ44" i="22"/>
  <c r="EO44" i="22"/>
  <c r="EN44" i="22"/>
  <c r="EM44" i="22"/>
  <c r="EL44" i="22"/>
  <c r="DP44" i="22"/>
  <c r="DO44" i="22"/>
  <c r="DM44" i="22"/>
  <c r="DL44" i="22"/>
  <c r="DK44" i="22"/>
  <c r="DJ44" i="22"/>
  <c r="CN44" i="22"/>
  <c r="CM44" i="22"/>
  <c r="CK44" i="22"/>
  <c r="CJ44" i="22"/>
  <c r="CI44" i="22"/>
  <c r="CH44" i="22"/>
  <c r="BL44" i="22"/>
  <c r="BK44" i="22"/>
  <c r="BI44" i="22"/>
  <c r="BH44" i="22"/>
  <c r="BG44" i="22"/>
  <c r="BF44" i="22"/>
  <c r="AO44" i="22"/>
  <c r="AN44" i="22"/>
  <c r="AM44" i="22"/>
  <c r="T44" i="22"/>
  <c r="BP44" i="22" s="1"/>
  <c r="Q44" i="22"/>
  <c r="R44" i="22" s="1"/>
  <c r="GO43" i="22"/>
  <c r="GN43" i="22"/>
  <c r="GM43" i="22"/>
  <c r="GL43" i="22"/>
  <c r="GQ43" i="22" s="1"/>
  <c r="GE43" i="22"/>
  <c r="GD43" i="22"/>
  <c r="GC43" i="22"/>
  <c r="GB43" i="22"/>
  <c r="FZ43" i="22"/>
  <c r="FY43" i="22"/>
  <c r="FX43" i="22"/>
  <c r="FW43" i="22"/>
  <c r="FT43" i="22"/>
  <c r="FP43" i="22"/>
  <c r="FK43" i="22"/>
  <c r="FJ43" i="22"/>
  <c r="FE43" i="22"/>
  <c r="FD43" i="22"/>
  <c r="ER43" i="22"/>
  <c r="EQ43" i="22"/>
  <c r="EO43" i="22"/>
  <c r="EN43" i="22"/>
  <c r="EM43" i="22"/>
  <c r="EL43" i="22"/>
  <c r="DP43" i="22"/>
  <c r="DO43" i="22"/>
  <c r="DM43" i="22"/>
  <c r="DL43" i="22"/>
  <c r="DK43" i="22"/>
  <c r="DJ43" i="22"/>
  <c r="CN43" i="22"/>
  <c r="CM43" i="22"/>
  <c r="CK43" i="22"/>
  <c r="CJ43" i="22"/>
  <c r="CI43" i="22"/>
  <c r="CH43" i="22"/>
  <c r="BL43" i="22"/>
  <c r="BK43" i="22"/>
  <c r="BI43" i="22"/>
  <c r="BH43" i="22"/>
  <c r="BG43" i="22"/>
  <c r="BF43" i="22"/>
  <c r="AO43" i="22"/>
  <c r="AN43" i="22"/>
  <c r="AM43" i="22"/>
  <c r="T43" i="22"/>
  <c r="EV43" i="22" s="1"/>
  <c r="Q43" i="22"/>
  <c r="R43" i="22" s="1"/>
  <c r="GO42" i="22"/>
  <c r="GN42" i="22"/>
  <c r="GM42" i="22"/>
  <c r="GL42" i="22"/>
  <c r="GE42" i="22"/>
  <c r="GI42" i="22" s="1"/>
  <c r="GD42" i="22"/>
  <c r="GH42" i="22" s="1"/>
  <c r="GC42" i="22"/>
  <c r="GB42" i="22"/>
  <c r="FZ42" i="22"/>
  <c r="FY42" i="22"/>
  <c r="FX42" i="22"/>
  <c r="FW42" i="22"/>
  <c r="FT42" i="22"/>
  <c r="FP42" i="22"/>
  <c r="FK42" i="22"/>
  <c r="FJ42" i="22"/>
  <c r="FE42" i="22"/>
  <c r="FD42" i="22"/>
  <c r="ER42" i="22"/>
  <c r="EQ42" i="22"/>
  <c r="EO42" i="22"/>
  <c r="EN42" i="22"/>
  <c r="EM42" i="22"/>
  <c r="EL42" i="22"/>
  <c r="DP42" i="22"/>
  <c r="DO42" i="22"/>
  <c r="DM42" i="22"/>
  <c r="DL42" i="22"/>
  <c r="DK42" i="22"/>
  <c r="DJ42" i="22"/>
  <c r="CN42" i="22"/>
  <c r="CM42" i="22"/>
  <c r="CK42" i="22"/>
  <c r="CJ42" i="22"/>
  <c r="CI42" i="22"/>
  <c r="CH42" i="22"/>
  <c r="BL42" i="22"/>
  <c r="BK42" i="22"/>
  <c r="BI42" i="22"/>
  <c r="BH42" i="22"/>
  <c r="BG42" i="22"/>
  <c r="BF42" i="22"/>
  <c r="AO42" i="22"/>
  <c r="AN42" i="22"/>
  <c r="AM42" i="22"/>
  <c r="T42" i="22"/>
  <c r="EV42" i="22" s="1"/>
  <c r="Q42" i="22"/>
  <c r="R42" i="22" s="1"/>
  <c r="GO41" i="22"/>
  <c r="GN41" i="22"/>
  <c r="GM41" i="22"/>
  <c r="GL41" i="22"/>
  <c r="GE41" i="22"/>
  <c r="GI41" i="22" s="1"/>
  <c r="GD41" i="22"/>
  <c r="GB41" i="22"/>
  <c r="FZ41" i="22"/>
  <c r="FY41" i="22"/>
  <c r="FX41" i="22"/>
  <c r="FW41" i="22"/>
  <c r="FT41" i="22"/>
  <c r="FP41" i="22"/>
  <c r="FK41" i="22"/>
  <c r="FJ41" i="22"/>
  <c r="FE41" i="22"/>
  <c r="FD41" i="22"/>
  <c r="FA41" i="22"/>
  <c r="GC41" i="22" s="1"/>
  <c r="GG41" i="22" s="1"/>
  <c r="EV41" i="22"/>
  <c r="ER41" i="22"/>
  <c r="EQ41" i="22"/>
  <c r="EO41" i="22"/>
  <c r="EN41" i="22"/>
  <c r="EM41" i="22"/>
  <c r="EL41" i="22"/>
  <c r="DP41" i="22"/>
  <c r="DO41" i="22"/>
  <c r="DM41" i="22"/>
  <c r="DL41" i="22"/>
  <c r="DK41" i="22"/>
  <c r="DJ41" i="22"/>
  <c r="CN41" i="22"/>
  <c r="CM41" i="22"/>
  <c r="CK41" i="22"/>
  <c r="CJ41" i="22"/>
  <c r="CI41" i="22"/>
  <c r="CH41" i="22"/>
  <c r="BL41" i="22"/>
  <c r="BK41" i="22"/>
  <c r="BI41" i="22"/>
  <c r="BH41" i="22"/>
  <c r="BG41" i="22"/>
  <c r="BF41" i="22"/>
  <c r="AO41" i="22"/>
  <c r="AN41" i="22"/>
  <c r="AM41" i="22"/>
  <c r="T41" i="22"/>
  <c r="BP41" i="22" s="1"/>
  <c r="Q41" i="22"/>
  <c r="R41" i="22" s="1"/>
  <c r="GE40" i="22"/>
  <c r="GD40" i="22"/>
  <c r="GC40" i="22"/>
  <c r="GB40" i="22"/>
  <c r="FZ40" i="22"/>
  <c r="FY40" i="22"/>
  <c r="FX40" i="22"/>
  <c r="FW40" i="22"/>
  <c r="FT40" i="22"/>
  <c r="FP40" i="22"/>
  <c r="FK40" i="22"/>
  <c r="FJ40" i="22"/>
  <c r="FE40" i="22"/>
  <c r="FD40" i="22"/>
  <c r="ER40" i="22"/>
  <c r="EQ40" i="22"/>
  <c r="EO40" i="22"/>
  <c r="EN40" i="22"/>
  <c r="EM40" i="22"/>
  <c r="EL40" i="22"/>
  <c r="DP40" i="22"/>
  <c r="DO40" i="22"/>
  <c r="DM40" i="22"/>
  <c r="DL40" i="22"/>
  <c r="DK40" i="22"/>
  <c r="DJ40" i="22"/>
  <c r="CN40" i="22"/>
  <c r="CM40" i="22"/>
  <c r="CK40" i="22"/>
  <c r="CJ40" i="22"/>
  <c r="CI40" i="22"/>
  <c r="CH40" i="22"/>
  <c r="BL40" i="22"/>
  <c r="BK40" i="22"/>
  <c r="BI40" i="22"/>
  <c r="BH40" i="22"/>
  <c r="BG40" i="22"/>
  <c r="BF40" i="22"/>
  <c r="AO40" i="22"/>
  <c r="AN40" i="22"/>
  <c r="AM40" i="22"/>
  <c r="T40" i="22"/>
  <c r="Q40" i="22"/>
  <c r="R40" i="22" s="1"/>
  <c r="GO39" i="22"/>
  <c r="GN39" i="22"/>
  <c r="GM39" i="22"/>
  <c r="GL39" i="22"/>
  <c r="GE39" i="22"/>
  <c r="GD39" i="22"/>
  <c r="GC39" i="22"/>
  <c r="GB39" i="22"/>
  <c r="FZ39" i="22"/>
  <c r="FY39" i="22"/>
  <c r="FX39" i="22"/>
  <c r="FW39" i="22"/>
  <c r="FT39" i="22"/>
  <c r="FP39" i="22"/>
  <c r="FK39" i="22"/>
  <c r="FJ39" i="22"/>
  <c r="FE39" i="22"/>
  <c r="FD39" i="22"/>
  <c r="ER39" i="22"/>
  <c r="EQ39" i="22"/>
  <c r="EO39" i="22"/>
  <c r="EN39" i="22"/>
  <c r="EM39" i="22"/>
  <c r="EL39" i="22"/>
  <c r="DP39" i="22"/>
  <c r="DO39" i="22"/>
  <c r="DM39" i="22"/>
  <c r="DL39" i="22"/>
  <c r="DK39" i="22"/>
  <c r="DJ39" i="22"/>
  <c r="CN39" i="22"/>
  <c r="CM39" i="22"/>
  <c r="CK39" i="22"/>
  <c r="CJ39" i="22"/>
  <c r="CI39" i="22"/>
  <c r="CH39" i="22"/>
  <c r="BL39" i="22"/>
  <c r="BK39" i="22"/>
  <c r="BI39" i="22"/>
  <c r="BH39" i="22"/>
  <c r="BG39" i="22"/>
  <c r="BF39" i="22"/>
  <c r="AO39" i="22"/>
  <c r="AN39" i="22"/>
  <c r="AM39" i="22"/>
  <c r="T39" i="22"/>
  <c r="EV39" i="22" s="1"/>
  <c r="Q39" i="22"/>
  <c r="R39" i="22" s="1"/>
  <c r="GO38" i="22"/>
  <c r="GN38" i="22"/>
  <c r="GM38" i="22"/>
  <c r="GL38" i="22"/>
  <c r="GE38" i="22"/>
  <c r="GD38" i="22"/>
  <c r="GH38" i="22" s="1"/>
  <c r="GC38" i="22"/>
  <c r="GB38" i="22"/>
  <c r="FZ38" i="22"/>
  <c r="FY38" i="22"/>
  <c r="FX38" i="22"/>
  <c r="FW38" i="22"/>
  <c r="FT38" i="22"/>
  <c r="FP38" i="22"/>
  <c r="FK38" i="22"/>
  <c r="FJ38" i="22"/>
  <c r="FE38" i="22"/>
  <c r="FD38" i="22"/>
  <c r="ER38" i="22"/>
  <c r="EQ38" i="22"/>
  <c r="EO38" i="22"/>
  <c r="EN38" i="22"/>
  <c r="EM38" i="22"/>
  <c r="EL38" i="22"/>
  <c r="DP38" i="22"/>
  <c r="DO38" i="22"/>
  <c r="DM38" i="22"/>
  <c r="DL38" i="22"/>
  <c r="DK38" i="22"/>
  <c r="DJ38" i="22"/>
  <c r="CN38" i="22"/>
  <c r="CM38" i="22"/>
  <c r="CK38" i="22"/>
  <c r="CJ38" i="22"/>
  <c r="CI38" i="22"/>
  <c r="CH38" i="22"/>
  <c r="BL38" i="22"/>
  <c r="BK38" i="22"/>
  <c r="BI38" i="22"/>
  <c r="BH38" i="22"/>
  <c r="BG38" i="22"/>
  <c r="BF38" i="22"/>
  <c r="AO38" i="22"/>
  <c r="AN38" i="22"/>
  <c r="AM38" i="22"/>
  <c r="T38" i="22"/>
  <c r="Q38" i="22"/>
  <c r="R38" i="22" s="1"/>
  <c r="GO37" i="22"/>
  <c r="GN37" i="22"/>
  <c r="GM37" i="22"/>
  <c r="GL37" i="22"/>
  <c r="GE37" i="22"/>
  <c r="GD37" i="22"/>
  <c r="GH37" i="22" s="1"/>
  <c r="GC37" i="22"/>
  <c r="GB37" i="22"/>
  <c r="FZ37" i="22"/>
  <c r="FY37" i="22"/>
  <c r="FX37" i="22"/>
  <c r="FW37" i="22"/>
  <c r="FT37" i="22"/>
  <c r="FP37" i="22"/>
  <c r="FK37" i="22"/>
  <c r="FJ37" i="22"/>
  <c r="FE37" i="22"/>
  <c r="FD37" i="22"/>
  <c r="ER37" i="22"/>
  <c r="EQ37" i="22"/>
  <c r="EO37" i="22"/>
  <c r="EN37" i="22"/>
  <c r="EM37" i="22"/>
  <c r="EL37" i="22"/>
  <c r="DP37" i="22"/>
  <c r="DO37" i="22"/>
  <c r="DM37" i="22"/>
  <c r="DL37" i="22"/>
  <c r="DK37" i="22"/>
  <c r="DJ37" i="22"/>
  <c r="CN37" i="22"/>
  <c r="CM37" i="22"/>
  <c r="CK37" i="22"/>
  <c r="CJ37" i="22"/>
  <c r="CI37" i="22"/>
  <c r="CH37" i="22"/>
  <c r="BL37" i="22"/>
  <c r="BK37" i="22"/>
  <c r="BI37" i="22"/>
  <c r="BH37" i="22"/>
  <c r="BG37" i="22"/>
  <c r="BF37" i="22"/>
  <c r="AO37" i="22"/>
  <c r="AN37" i="22"/>
  <c r="AM37" i="22"/>
  <c r="T37" i="22"/>
  <c r="DT37" i="22" s="1"/>
  <c r="Q37" i="22"/>
  <c r="R37" i="22" s="1"/>
  <c r="GH36" i="22"/>
  <c r="GE36" i="22"/>
  <c r="GD36" i="22"/>
  <c r="GC36" i="22"/>
  <c r="GB36" i="22"/>
  <c r="FZ36" i="22"/>
  <c r="FY36" i="22"/>
  <c r="FX36" i="22"/>
  <c r="FW36" i="22"/>
  <c r="FT36" i="22"/>
  <c r="FP36" i="22"/>
  <c r="FK36" i="22"/>
  <c r="FJ36" i="22"/>
  <c r="FE36" i="22"/>
  <c r="FD36" i="22"/>
  <c r="EV36" i="22"/>
  <c r="ER36" i="22"/>
  <c r="EQ36" i="22"/>
  <c r="EO36" i="22"/>
  <c r="EN36" i="22"/>
  <c r="EM36" i="22"/>
  <c r="EL36" i="22"/>
  <c r="DP36" i="22"/>
  <c r="DO36" i="22"/>
  <c r="DM36" i="22"/>
  <c r="DL36" i="22"/>
  <c r="DK36" i="22"/>
  <c r="DJ36" i="22"/>
  <c r="CN36" i="22"/>
  <c r="CM36" i="22"/>
  <c r="CJ36" i="22"/>
  <c r="CI36" i="22"/>
  <c r="CH36" i="22"/>
  <c r="CC36" i="22"/>
  <c r="CK36" i="22" s="1"/>
  <c r="BL36" i="22"/>
  <c r="BK36" i="22"/>
  <c r="BH36" i="22"/>
  <c r="BG36" i="22"/>
  <c r="BF36" i="22"/>
  <c r="BA36" i="22"/>
  <c r="BI36" i="22" s="1"/>
  <c r="AO36" i="22"/>
  <c r="GL36" i="22" s="1"/>
  <c r="AN36" i="22"/>
  <c r="AM36" i="22"/>
  <c r="T36" i="22"/>
  <c r="DT36" i="22" s="1"/>
  <c r="Q36" i="22"/>
  <c r="R36" i="22" s="1"/>
  <c r="GO35" i="22"/>
  <c r="GN35" i="22"/>
  <c r="GM35" i="22"/>
  <c r="GL35" i="22"/>
  <c r="GE35" i="22"/>
  <c r="GD35" i="22"/>
  <c r="GC35" i="22"/>
  <c r="GB35" i="22"/>
  <c r="GF35" i="22" s="1"/>
  <c r="FZ35" i="22"/>
  <c r="FY35" i="22"/>
  <c r="GH35" i="22" s="1"/>
  <c r="FX35" i="22"/>
  <c r="FW35" i="22"/>
  <c r="FT35" i="22"/>
  <c r="FP35" i="22"/>
  <c r="FK35" i="22"/>
  <c r="FJ35" i="22"/>
  <c r="FE35" i="22"/>
  <c r="FD35" i="22"/>
  <c r="ER35" i="22"/>
  <c r="EQ35" i="22"/>
  <c r="EO35" i="22"/>
  <c r="EN35" i="22"/>
  <c r="EM35" i="22"/>
  <c r="EL35" i="22"/>
  <c r="DP35" i="22"/>
  <c r="DO35" i="22"/>
  <c r="DM35" i="22"/>
  <c r="DL35" i="22"/>
  <c r="DK35" i="22"/>
  <c r="DJ35" i="22"/>
  <c r="CN35" i="22"/>
  <c r="CM35" i="22"/>
  <c r="CK35" i="22"/>
  <c r="CJ35" i="22"/>
  <c r="CI35" i="22"/>
  <c r="CH35" i="22"/>
  <c r="BL35" i="22"/>
  <c r="BK35" i="22"/>
  <c r="BI35" i="22"/>
  <c r="BH35" i="22"/>
  <c r="BG35" i="22"/>
  <c r="BF35" i="22"/>
  <c r="AO35" i="22"/>
  <c r="AN35" i="22"/>
  <c r="AM35" i="22"/>
  <c r="T35" i="22"/>
  <c r="Q35" i="22"/>
  <c r="R35" i="22" s="1"/>
  <c r="GO34" i="22"/>
  <c r="GN34" i="22"/>
  <c r="GM34" i="22"/>
  <c r="GL34" i="22"/>
  <c r="GE34" i="22"/>
  <c r="GD34" i="22"/>
  <c r="GH34" i="22" s="1"/>
  <c r="GC34" i="22"/>
  <c r="GB34" i="22"/>
  <c r="FZ34" i="22"/>
  <c r="FY34" i="22"/>
  <c r="FX34" i="22"/>
  <c r="FW34" i="22"/>
  <c r="FT34" i="22"/>
  <c r="FP34" i="22"/>
  <c r="FK34" i="22"/>
  <c r="FJ34" i="22"/>
  <c r="FE34" i="22"/>
  <c r="FD34" i="22"/>
  <c r="ER34" i="22"/>
  <c r="EQ34" i="22"/>
  <c r="EO34" i="22"/>
  <c r="EN34" i="22"/>
  <c r="EM34" i="22"/>
  <c r="EL34" i="22"/>
  <c r="DP34" i="22"/>
  <c r="DO34" i="22"/>
  <c r="DM34" i="22"/>
  <c r="DL34" i="22"/>
  <c r="DK34" i="22"/>
  <c r="DJ34" i="22"/>
  <c r="CN34" i="22"/>
  <c r="CM34" i="22"/>
  <c r="CK34" i="22"/>
  <c r="CJ34" i="22"/>
  <c r="CI34" i="22"/>
  <c r="CH34" i="22"/>
  <c r="BL34" i="22"/>
  <c r="BK34" i="22"/>
  <c r="BI34" i="22"/>
  <c r="BH34" i="22"/>
  <c r="BG34" i="22"/>
  <c r="BF34" i="22"/>
  <c r="AO34" i="22"/>
  <c r="AN34" i="22"/>
  <c r="AM34" i="22"/>
  <c r="T34" i="22"/>
  <c r="DT34" i="22" s="1"/>
  <c r="Q34" i="22"/>
  <c r="R34" i="22" s="1"/>
  <c r="GO33" i="22"/>
  <c r="GN33" i="22"/>
  <c r="GM33" i="22"/>
  <c r="GL33" i="22"/>
  <c r="GE33" i="22"/>
  <c r="GD33" i="22"/>
  <c r="GH33" i="22" s="1"/>
  <c r="GC33" i="22"/>
  <c r="GB33" i="22"/>
  <c r="FZ33" i="22"/>
  <c r="FY33" i="22"/>
  <c r="FX33" i="22"/>
  <c r="FW33" i="22"/>
  <c r="FT33" i="22"/>
  <c r="FP33" i="22"/>
  <c r="FK33" i="22"/>
  <c r="FJ33" i="22"/>
  <c r="FE33" i="22"/>
  <c r="FD33" i="22"/>
  <c r="ER33" i="22"/>
  <c r="EQ33" i="22"/>
  <c r="EO33" i="22"/>
  <c r="EN33" i="22"/>
  <c r="EM33" i="22"/>
  <c r="EL33" i="22"/>
  <c r="DP33" i="22"/>
  <c r="DO33" i="22"/>
  <c r="DM33" i="22"/>
  <c r="DL33" i="22"/>
  <c r="DK33" i="22"/>
  <c r="DJ33" i="22"/>
  <c r="CN33" i="22"/>
  <c r="CM33" i="22"/>
  <c r="CK33" i="22"/>
  <c r="CJ33" i="22"/>
  <c r="CI33" i="22"/>
  <c r="CH33" i="22"/>
  <c r="BL33" i="22"/>
  <c r="BK33" i="22"/>
  <c r="BI33" i="22"/>
  <c r="BH33" i="22"/>
  <c r="BG33" i="22"/>
  <c r="BF33" i="22"/>
  <c r="AO33" i="22"/>
  <c r="AN33" i="22"/>
  <c r="AM33" i="22"/>
  <c r="T33" i="22"/>
  <c r="DT33" i="22" s="1"/>
  <c r="Q33" i="22"/>
  <c r="R33" i="22" s="1"/>
  <c r="GO32" i="22"/>
  <c r="GN32" i="22"/>
  <c r="GM32" i="22"/>
  <c r="GL32" i="22"/>
  <c r="GE32" i="22"/>
  <c r="GD32" i="22"/>
  <c r="GC32" i="22"/>
  <c r="GB32" i="22"/>
  <c r="FZ32" i="22"/>
  <c r="FY32" i="22"/>
  <c r="FX32" i="22"/>
  <c r="FW32" i="22"/>
  <c r="FT32" i="22"/>
  <c r="FP32" i="22"/>
  <c r="FK32" i="22"/>
  <c r="FJ32" i="22"/>
  <c r="FE32" i="22"/>
  <c r="FD32" i="22"/>
  <c r="ER32" i="22"/>
  <c r="EQ32" i="22"/>
  <c r="EO32" i="22"/>
  <c r="EN32" i="22"/>
  <c r="EM32" i="22"/>
  <c r="EL32" i="22"/>
  <c r="DP32" i="22"/>
  <c r="DO32" i="22"/>
  <c r="DM32" i="22"/>
  <c r="DL32" i="22"/>
  <c r="DK32" i="22"/>
  <c r="DJ32" i="22"/>
  <c r="CN32" i="22"/>
  <c r="CM32" i="22"/>
  <c r="CK32" i="22"/>
  <c r="CJ32" i="22"/>
  <c r="CI32" i="22"/>
  <c r="CH32" i="22"/>
  <c r="BL32" i="22"/>
  <c r="BK32" i="22"/>
  <c r="BI32" i="22"/>
  <c r="BH32" i="22"/>
  <c r="BG32" i="22"/>
  <c r="BF32" i="22"/>
  <c r="AO32" i="22"/>
  <c r="AN32" i="22"/>
  <c r="AM32" i="22"/>
  <c r="T32" i="22"/>
  <c r="DT32" i="22" s="1"/>
  <c r="Q32" i="22"/>
  <c r="R32" i="22" s="1"/>
  <c r="GE31" i="22"/>
  <c r="GD31" i="22"/>
  <c r="GC31" i="22"/>
  <c r="GB31" i="22"/>
  <c r="FZ31" i="22"/>
  <c r="FY31" i="22"/>
  <c r="FX31" i="22"/>
  <c r="FW31" i="22"/>
  <c r="FT31" i="22"/>
  <c r="FP31" i="22"/>
  <c r="FK31" i="22"/>
  <c r="FJ31" i="22"/>
  <c r="FE31" i="22"/>
  <c r="FD31" i="22"/>
  <c r="ER31" i="22"/>
  <c r="EQ31" i="22"/>
  <c r="EO31" i="22"/>
  <c r="EN31" i="22"/>
  <c r="EM31" i="22"/>
  <c r="EL31" i="22"/>
  <c r="DP31" i="22"/>
  <c r="DO31" i="22"/>
  <c r="DM31" i="22"/>
  <c r="DL31" i="22"/>
  <c r="DK31" i="22"/>
  <c r="DJ31" i="22"/>
  <c r="CN31" i="22"/>
  <c r="CM31" i="22"/>
  <c r="CK31" i="22"/>
  <c r="CJ31" i="22"/>
  <c r="CI31" i="22"/>
  <c r="CH31" i="22"/>
  <c r="BL31" i="22"/>
  <c r="BK31" i="22"/>
  <c r="BI31" i="22"/>
  <c r="BH31" i="22"/>
  <c r="BG31" i="22"/>
  <c r="BF31" i="22"/>
  <c r="AO31" i="22"/>
  <c r="GO31" i="22" s="1"/>
  <c r="AN31" i="22"/>
  <c r="AM31" i="22"/>
  <c r="T31" i="22"/>
  <c r="Q31" i="22"/>
  <c r="R31" i="22" s="1"/>
  <c r="GO30" i="22"/>
  <c r="GQ30" i="22" s="1"/>
  <c r="GN30" i="22"/>
  <c r="GM30" i="22"/>
  <c r="GL30" i="22"/>
  <c r="GE30" i="22"/>
  <c r="GD30" i="22"/>
  <c r="GH30" i="22" s="1"/>
  <c r="GC30" i="22"/>
  <c r="GB30" i="22"/>
  <c r="FZ30" i="22"/>
  <c r="FY30" i="22"/>
  <c r="FX30" i="22"/>
  <c r="FW30" i="22"/>
  <c r="FT30" i="22"/>
  <c r="FP30" i="22"/>
  <c r="FK30" i="22"/>
  <c r="FJ30" i="22"/>
  <c r="FE30" i="22"/>
  <c r="FD30" i="22"/>
  <c r="ER30" i="22"/>
  <c r="EQ30" i="22"/>
  <c r="EO30" i="22"/>
  <c r="EN30" i="22"/>
  <c r="EM30" i="22"/>
  <c r="EL30" i="22"/>
  <c r="DP30" i="22"/>
  <c r="DO30" i="22"/>
  <c r="DM30" i="22"/>
  <c r="DL30" i="22"/>
  <c r="DK30" i="22"/>
  <c r="DJ30" i="22"/>
  <c r="CN30" i="22"/>
  <c r="CM30" i="22"/>
  <c r="CK30" i="22"/>
  <c r="CJ30" i="22"/>
  <c r="CI30" i="22"/>
  <c r="CH30" i="22"/>
  <c r="BL30" i="22"/>
  <c r="BK30" i="22"/>
  <c r="BI30" i="22"/>
  <c r="BH30" i="22"/>
  <c r="BG30" i="22"/>
  <c r="BF30" i="22"/>
  <c r="AO30" i="22"/>
  <c r="AN30" i="22"/>
  <c r="AM30" i="22"/>
  <c r="T30" i="22"/>
  <c r="DT30" i="22" s="1"/>
  <c r="Q30" i="22"/>
  <c r="R30" i="22" s="1"/>
  <c r="GO29" i="22"/>
  <c r="GN29" i="22"/>
  <c r="GM29" i="22"/>
  <c r="GL29" i="22"/>
  <c r="GE29" i="22"/>
  <c r="GD29" i="22"/>
  <c r="GC29" i="22"/>
  <c r="GB29" i="22"/>
  <c r="FZ29" i="22"/>
  <c r="FY29" i="22"/>
  <c r="FX29" i="22"/>
  <c r="FW29" i="22"/>
  <c r="FT29" i="22"/>
  <c r="FP29" i="22"/>
  <c r="FK29" i="22"/>
  <c r="FJ29" i="22"/>
  <c r="FE29" i="22"/>
  <c r="FD29" i="22"/>
  <c r="ER29" i="22"/>
  <c r="EQ29" i="22"/>
  <c r="EO29" i="22"/>
  <c r="EN29" i="22"/>
  <c r="EM29" i="22"/>
  <c r="EL29" i="22"/>
  <c r="DP29" i="22"/>
  <c r="DO29" i="22"/>
  <c r="DM29" i="22"/>
  <c r="DL29" i="22"/>
  <c r="DK29" i="22"/>
  <c r="DJ29" i="22"/>
  <c r="CN29" i="22"/>
  <c r="CM29" i="22"/>
  <c r="CK29" i="22"/>
  <c r="CJ29" i="22"/>
  <c r="CI29" i="22"/>
  <c r="CH29" i="22"/>
  <c r="BL29" i="22"/>
  <c r="BK29" i="22"/>
  <c r="BI29" i="22"/>
  <c r="BH29" i="22"/>
  <c r="BG29" i="22"/>
  <c r="BF29" i="22"/>
  <c r="AO29" i="22"/>
  <c r="AN29" i="22"/>
  <c r="AM29" i="22"/>
  <c r="T29" i="22"/>
  <c r="EV29" i="22" s="1"/>
  <c r="Q29" i="22"/>
  <c r="R29" i="22" s="1"/>
  <c r="GO28" i="22"/>
  <c r="GN28" i="22"/>
  <c r="GM28" i="22"/>
  <c r="GL28" i="22"/>
  <c r="GE28" i="22"/>
  <c r="GD28" i="22"/>
  <c r="GH28" i="22" s="1"/>
  <c r="GC28" i="22"/>
  <c r="GB28" i="22"/>
  <c r="GF28" i="22" s="1"/>
  <c r="FZ28" i="22"/>
  <c r="FY28" i="22"/>
  <c r="FX28" i="22"/>
  <c r="FW28" i="22"/>
  <c r="FT28" i="22"/>
  <c r="FP28" i="22"/>
  <c r="FK28" i="22"/>
  <c r="FJ28" i="22"/>
  <c r="FE28" i="22"/>
  <c r="FD28" i="22"/>
  <c r="ER28" i="22"/>
  <c r="EQ28" i="22"/>
  <c r="EO28" i="22"/>
  <c r="EN28" i="22"/>
  <c r="EM28" i="22"/>
  <c r="EL28" i="22"/>
  <c r="DP28" i="22"/>
  <c r="DO28" i="22"/>
  <c r="DM28" i="22"/>
  <c r="DL28" i="22"/>
  <c r="DK28" i="22"/>
  <c r="DJ28" i="22"/>
  <c r="CN28" i="22"/>
  <c r="CM28" i="22"/>
  <c r="CK28" i="22"/>
  <c r="CJ28" i="22"/>
  <c r="CI28" i="22"/>
  <c r="CH28" i="22"/>
  <c r="BL28" i="22"/>
  <c r="BK28" i="22"/>
  <c r="BI28" i="22"/>
  <c r="BH28" i="22"/>
  <c r="BG28" i="22"/>
  <c r="BF28" i="22"/>
  <c r="AO28" i="22"/>
  <c r="AN28" i="22"/>
  <c r="AM28" i="22"/>
  <c r="T28" i="22"/>
  <c r="BP28" i="22" s="1"/>
  <c r="Q28" i="22"/>
  <c r="R28" i="22" s="1"/>
  <c r="GO27" i="22"/>
  <c r="GN27" i="22"/>
  <c r="GM27" i="22"/>
  <c r="GL27" i="22"/>
  <c r="GE27" i="22"/>
  <c r="GD27" i="22"/>
  <c r="GC27" i="22"/>
  <c r="GG27" i="22" s="1"/>
  <c r="GB27" i="22"/>
  <c r="FZ27" i="22"/>
  <c r="FY27" i="22"/>
  <c r="FX27" i="22"/>
  <c r="FW27" i="22"/>
  <c r="FT27" i="22"/>
  <c r="FP27" i="22"/>
  <c r="FK27" i="22"/>
  <c r="FJ27" i="22"/>
  <c r="FE27" i="22"/>
  <c r="FD27" i="22"/>
  <c r="ER27" i="22"/>
  <c r="EQ27" i="22"/>
  <c r="EO27" i="22"/>
  <c r="EN27" i="22"/>
  <c r="EM27" i="22"/>
  <c r="EL27" i="22"/>
  <c r="DP27" i="22"/>
  <c r="DO27" i="22"/>
  <c r="DM27" i="22"/>
  <c r="DL27" i="22"/>
  <c r="DK27" i="22"/>
  <c r="DJ27" i="22"/>
  <c r="CN27" i="22"/>
  <c r="CM27" i="22"/>
  <c r="CK27" i="22"/>
  <c r="CJ27" i="22"/>
  <c r="CI27" i="22"/>
  <c r="CH27" i="22"/>
  <c r="BL27" i="22"/>
  <c r="BK27" i="22"/>
  <c r="GT27" i="22" s="1"/>
  <c r="BI27" i="22"/>
  <c r="BH27" i="22"/>
  <c r="BG27" i="22"/>
  <c r="BF27" i="22"/>
  <c r="AO27" i="22"/>
  <c r="AN27" i="22"/>
  <c r="AM27" i="22"/>
  <c r="T27" i="22"/>
  <c r="Q27" i="22"/>
  <c r="R27" i="22" s="1"/>
  <c r="GO26" i="22"/>
  <c r="GN26" i="22"/>
  <c r="GM26" i="22"/>
  <c r="GL26" i="22"/>
  <c r="GE26" i="22"/>
  <c r="GI26" i="22" s="1"/>
  <c r="GD26" i="22"/>
  <c r="GC26" i="22"/>
  <c r="GG26" i="22" s="1"/>
  <c r="GB26" i="22"/>
  <c r="FZ26" i="22"/>
  <c r="FY26" i="22"/>
  <c r="FX26" i="22"/>
  <c r="FW26" i="22"/>
  <c r="FT26" i="22"/>
  <c r="FP26" i="22"/>
  <c r="FK26" i="22"/>
  <c r="FJ26" i="22"/>
  <c r="FE26" i="22"/>
  <c r="FD26" i="22"/>
  <c r="ER26" i="22"/>
  <c r="EQ26" i="22"/>
  <c r="EO26" i="22"/>
  <c r="EN26" i="22"/>
  <c r="EM26" i="22"/>
  <c r="EL26" i="22"/>
  <c r="DP26" i="22"/>
  <c r="DO26" i="22"/>
  <c r="DM26" i="22"/>
  <c r="DL26" i="22"/>
  <c r="DK26" i="22"/>
  <c r="DJ26" i="22"/>
  <c r="CN26" i="22"/>
  <c r="CM26" i="22"/>
  <c r="CK26" i="22"/>
  <c r="CJ26" i="22"/>
  <c r="CI26" i="22"/>
  <c r="CH26" i="22"/>
  <c r="BL26" i="22"/>
  <c r="BK26" i="22"/>
  <c r="BI26" i="22"/>
  <c r="BH26" i="22"/>
  <c r="BG26" i="22"/>
  <c r="BF26" i="22"/>
  <c r="AO26" i="22"/>
  <c r="AN26" i="22"/>
  <c r="AM26" i="22"/>
  <c r="T26" i="22"/>
  <c r="DT26" i="22" s="1"/>
  <c r="Q26" i="22"/>
  <c r="R26" i="22" s="1"/>
  <c r="GO25" i="22"/>
  <c r="GN25" i="22"/>
  <c r="GM25" i="22"/>
  <c r="GL25" i="22"/>
  <c r="GE25" i="22"/>
  <c r="GD25" i="22"/>
  <c r="GC25" i="22"/>
  <c r="GG25" i="22" s="1"/>
  <c r="GB25" i="22"/>
  <c r="FZ25" i="22"/>
  <c r="FY25" i="22"/>
  <c r="FX25" i="22"/>
  <c r="FW25" i="22"/>
  <c r="FT25" i="22"/>
  <c r="FP25" i="22"/>
  <c r="FK25" i="22"/>
  <c r="FJ25" i="22"/>
  <c r="FE25" i="22"/>
  <c r="FD25" i="22"/>
  <c r="ER25" i="22"/>
  <c r="EQ25" i="22"/>
  <c r="EO25" i="22"/>
  <c r="EN25" i="22"/>
  <c r="EM25" i="22"/>
  <c r="EL25" i="22"/>
  <c r="DP25" i="22"/>
  <c r="DO25" i="22"/>
  <c r="DM25" i="22"/>
  <c r="DL25" i="22"/>
  <c r="DK25" i="22"/>
  <c r="DJ25" i="22"/>
  <c r="CN25" i="22"/>
  <c r="CM25" i="22"/>
  <c r="CK25" i="22"/>
  <c r="CJ25" i="22"/>
  <c r="CI25" i="22"/>
  <c r="CH25" i="22"/>
  <c r="BL25" i="22"/>
  <c r="BK25" i="22"/>
  <c r="BI25" i="22"/>
  <c r="BH25" i="22"/>
  <c r="BG25" i="22"/>
  <c r="BF25" i="22"/>
  <c r="AO25" i="22"/>
  <c r="AN25" i="22"/>
  <c r="AM25" i="22"/>
  <c r="T25" i="22"/>
  <c r="DT25" i="22" s="1"/>
  <c r="Q25" i="22"/>
  <c r="R25" i="22" s="1"/>
  <c r="GO24" i="22"/>
  <c r="GN24" i="22"/>
  <c r="GM24" i="22"/>
  <c r="GL24" i="22"/>
  <c r="GQ24" i="22" s="1"/>
  <c r="GE24" i="22"/>
  <c r="GD24" i="22"/>
  <c r="GB24" i="22"/>
  <c r="GF24" i="22" s="1"/>
  <c r="FZ24" i="22"/>
  <c r="GI24" i="22" s="1"/>
  <c r="FY24" i="22"/>
  <c r="FX24" i="22"/>
  <c r="FW24" i="22"/>
  <c r="FT24" i="22"/>
  <c r="FP24" i="22"/>
  <c r="FK24" i="22"/>
  <c r="FJ24" i="22"/>
  <c r="FE24" i="22"/>
  <c r="FA24" i="22"/>
  <c r="ER24" i="22"/>
  <c r="EQ24" i="22"/>
  <c r="EO24" i="22"/>
  <c r="EN24" i="22"/>
  <c r="EM24" i="22"/>
  <c r="EL24" i="22"/>
  <c r="DP24" i="22"/>
  <c r="DO24" i="22"/>
  <c r="DM24" i="22"/>
  <c r="DL24" i="22"/>
  <c r="DK24" i="22"/>
  <c r="DJ24" i="22"/>
  <c r="CN24" i="22"/>
  <c r="CM24" i="22"/>
  <c r="CK24" i="22"/>
  <c r="CJ24" i="22"/>
  <c r="CI24" i="22"/>
  <c r="CH24" i="22"/>
  <c r="BL24" i="22"/>
  <c r="BK24" i="22"/>
  <c r="BI24" i="22"/>
  <c r="BH24" i="22"/>
  <c r="BG24" i="22"/>
  <c r="BF24" i="22"/>
  <c r="AO24" i="22"/>
  <c r="AN24" i="22"/>
  <c r="AM24" i="22"/>
  <c r="T24" i="22"/>
  <c r="CR24" i="22" s="1"/>
  <c r="Q24" i="22"/>
  <c r="R24" i="22" s="1"/>
  <c r="GO23" i="22"/>
  <c r="GN23" i="22"/>
  <c r="GM23" i="22"/>
  <c r="GL23" i="22"/>
  <c r="GE23" i="22"/>
  <c r="GD23" i="22"/>
  <c r="GC23" i="22"/>
  <c r="GG23" i="22" s="1"/>
  <c r="GB23" i="22"/>
  <c r="GF23" i="22" s="1"/>
  <c r="FZ23" i="22"/>
  <c r="FY23" i="22"/>
  <c r="FX23" i="22"/>
  <c r="FW23" i="22"/>
  <c r="FT23" i="22"/>
  <c r="FP23" i="22"/>
  <c r="FK23" i="22"/>
  <c r="FJ23" i="22"/>
  <c r="FE23" i="22"/>
  <c r="FD23" i="22"/>
  <c r="ER23" i="22"/>
  <c r="EQ23" i="22"/>
  <c r="EO23" i="22"/>
  <c r="EN23" i="22"/>
  <c r="EM23" i="22"/>
  <c r="EL23" i="22"/>
  <c r="DP23" i="22"/>
  <c r="DO23" i="22"/>
  <c r="DM23" i="22"/>
  <c r="DL23" i="22"/>
  <c r="DK23" i="22"/>
  <c r="DJ23" i="22"/>
  <c r="DN23" i="22" s="1"/>
  <c r="DQ23" i="22" s="1"/>
  <c r="CN23" i="22"/>
  <c r="CM23" i="22"/>
  <c r="CK23" i="22"/>
  <c r="CJ23" i="22"/>
  <c r="CI23" i="22"/>
  <c r="CH23" i="22"/>
  <c r="BL23" i="22"/>
  <c r="BK23" i="22"/>
  <c r="BI23" i="22"/>
  <c r="BH23" i="22"/>
  <c r="BG23" i="22"/>
  <c r="BF23" i="22"/>
  <c r="AO23" i="22"/>
  <c r="AN23" i="22"/>
  <c r="AM23" i="22"/>
  <c r="T23" i="22"/>
  <c r="BP23" i="22" s="1"/>
  <c r="Q23" i="22"/>
  <c r="R23" i="22" s="1"/>
  <c r="GO22" i="22"/>
  <c r="GN22" i="22"/>
  <c r="GM22" i="22"/>
  <c r="GL22" i="22"/>
  <c r="GE22" i="22"/>
  <c r="GD22" i="22"/>
  <c r="GC22" i="22"/>
  <c r="GB22" i="22"/>
  <c r="FZ22" i="22"/>
  <c r="FY22" i="22"/>
  <c r="FX22" i="22"/>
  <c r="FW22" i="22"/>
  <c r="FT22" i="22"/>
  <c r="FP22" i="22"/>
  <c r="FK22" i="22"/>
  <c r="FJ22" i="22"/>
  <c r="FE22" i="22"/>
  <c r="FD22" i="22"/>
  <c r="ER22" i="22"/>
  <c r="EQ22" i="22"/>
  <c r="EO22" i="22"/>
  <c r="EN22" i="22"/>
  <c r="EM22" i="22"/>
  <c r="EL22" i="22"/>
  <c r="DP22" i="22"/>
  <c r="DO22" i="22"/>
  <c r="DM22" i="22"/>
  <c r="DL22" i="22"/>
  <c r="DK22" i="22"/>
  <c r="DJ22" i="22"/>
  <c r="CN22" i="22"/>
  <c r="CM22" i="22"/>
  <c r="CK22" i="22"/>
  <c r="CJ22" i="22"/>
  <c r="CI22" i="22"/>
  <c r="CH22" i="22"/>
  <c r="BL22" i="22"/>
  <c r="BK22" i="22"/>
  <c r="BI22" i="22"/>
  <c r="BH22" i="22"/>
  <c r="BG22" i="22"/>
  <c r="BF22" i="22"/>
  <c r="AO22" i="22"/>
  <c r="AN22" i="22"/>
  <c r="AM22" i="22"/>
  <c r="T22" i="22"/>
  <c r="EV22" i="22" s="1"/>
  <c r="Q22" i="22"/>
  <c r="R22" i="22" s="1"/>
  <c r="GE21" i="22"/>
  <c r="GD21" i="22"/>
  <c r="GC21" i="22"/>
  <c r="GB21" i="22"/>
  <c r="FZ21" i="22"/>
  <c r="FY21" i="22"/>
  <c r="FX21" i="22"/>
  <c r="FW21" i="22"/>
  <c r="FT21" i="22"/>
  <c r="FP21" i="22"/>
  <c r="FK21" i="22"/>
  <c r="FJ21" i="22"/>
  <c r="FE21" i="22"/>
  <c r="FD21" i="22"/>
  <c r="ER21" i="22"/>
  <c r="EQ21" i="22"/>
  <c r="EO21" i="22"/>
  <c r="EN21" i="22"/>
  <c r="EM21" i="22"/>
  <c r="EL21" i="22"/>
  <c r="DP21" i="22"/>
  <c r="DO21" i="22"/>
  <c r="DM21" i="22"/>
  <c r="DL21" i="22"/>
  <c r="DK21" i="22"/>
  <c r="DJ21" i="22"/>
  <c r="CN21" i="22"/>
  <c r="CM21" i="22"/>
  <c r="CK21" i="22"/>
  <c r="CJ21" i="22"/>
  <c r="CI21" i="22"/>
  <c r="CH21" i="22"/>
  <c r="BL21" i="22"/>
  <c r="BK21" i="22"/>
  <c r="BI21" i="22"/>
  <c r="BH21" i="22"/>
  <c r="BG21" i="22"/>
  <c r="BF21" i="22"/>
  <c r="AO21" i="22"/>
  <c r="GO21" i="22" s="1"/>
  <c r="AN21" i="22"/>
  <c r="AM21" i="22"/>
  <c r="T21" i="22"/>
  <c r="CR21" i="22" s="1"/>
  <c r="Q21" i="22"/>
  <c r="R21" i="22" s="1"/>
  <c r="GO20" i="22"/>
  <c r="GN20" i="22"/>
  <c r="GM20" i="22"/>
  <c r="GL20" i="22"/>
  <c r="GQ20" i="22" s="1"/>
  <c r="GE20" i="22"/>
  <c r="GI20" i="22" s="1"/>
  <c r="GD20" i="22"/>
  <c r="GC20" i="22"/>
  <c r="GB20" i="22"/>
  <c r="FZ20" i="22"/>
  <c r="FY20" i="22"/>
  <c r="FX20" i="22"/>
  <c r="FW20" i="22"/>
  <c r="FT20" i="22"/>
  <c r="FP20" i="22"/>
  <c r="FK20" i="22"/>
  <c r="FJ20" i="22"/>
  <c r="FE20" i="22"/>
  <c r="FD20" i="22"/>
  <c r="ER20" i="22"/>
  <c r="EQ20" i="22"/>
  <c r="EO20" i="22"/>
  <c r="EN20" i="22"/>
  <c r="EM20" i="22"/>
  <c r="EL20" i="22"/>
  <c r="DP20" i="22"/>
  <c r="DO20" i="22"/>
  <c r="DM20" i="22"/>
  <c r="DL20" i="22"/>
  <c r="DK20" i="22"/>
  <c r="DJ20" i="22"/>
  <c r="CN20" i="22"/>
  <c r="CM20" i="22"/>
  <c r="CK20" i="22"/>
  <c r="CJ20" i="22"/>
  <c r="CI20" i="22"/>
  <c r="CH20" i="22"/>
  <c r="BL20" i="22"/>
  <c r="BK20" i="22"/>
  <c r="BI20" i="22"/>
  <c r="BH20" i="22"/>
  <c r="BG20" i="22"/>
  <c r="BF20" i="22"/>
  <c r="AO20" i="22"/>
  <c r="AN20" i="22"/>
  <c r="AM20" i="22"/>
  <c r="T20" i="22"/>
  <c r="EV20" i="22" s="1"/>
  <c r="Q20" i="22"/>
  <c r="R20" i="22" s="1"/>
  <c r="GO19" i="22"/>
  <c r="GN19" i="22"/>
  <c r="GM19" i="22"/>
  <c r="GL19" i="22"/>
  <c r="GE19" i="22"/>
  <c r="GD19" i="22"/>
  <c r="GC19" i="22"/>
  <c r="GB19" i="22"/>
  <c r="FZ19" i="22"/>
  <c r="FY19" i="22"/>
  <c r="FX19" i="22"/>
  <c r="FW19" i="22"/>
  <c r="FT19" i="22"/>
  <c r="FP19" i="22"/>
  <c r="FK19" i="22"/>
  <c r="FJ19" i="22"/>
  <c r="FE19" i="22"/>
  <c r="FD19" i="22"/>
  <c r="ER19" i="22"/>
  <c r="EQ19" i="22"/>
  <c r="EO19" i="22"/>
  <c r="EN19" i="22"/>
  <c r="EM19" i="22"/>
  <c r="EL19" i="22"/>
  <c r="DP19" i="22"/>
  <c r="DO19" i="22"/>
  <c r="DM19" i="22"/>
  <c r="DL19" i="22"/>
  <c r="DK19" i="22"/>
  <c r="DJ19" i="22"/>
  <c r="CN19" i="22"/>
  <c r="CM19" i="22"/>
  <c r="CK19" i="22"/>
  <c r="CJ19" i="22"/>
  <c r="CI19" i="22"/>
  <c r="CH19" i="22"/>
  <c r="BL19" i="22"/>
  <c r="BK19" i="22"/>
  <c r="BI19" i="22"/>
  <c r="BH19" i="22"/>
  <c r="BG19" i="22"/>
  <c r="BF19" i="22"/>
  <c r="AO19" i="22"/>
  <c r="AN19" i="22"/>
  <c r="AM19" i="22"/>
  <c r="T19" i="22"/>
  <c r="Q19" i="22"/>
  <c r="R19" i="22" s="1"/>
  <c r="GO18" i="22"/>
  <c r="GN18" i="22"/>
  <c r="GM18" i="22"/>
  <c r="GL18" i="22"/>
  <c r="GE18" i="22"/>
  <c r="GD18" i="22"/>
  <c r="GC18" i="22"/>
  <c r="GB18" i="22"/>
  <c r="FZ18" i="22"/>
  <c r="FY18" i="22"/>
  <c r="FX18" i="22"/>
  <c r="FW18" i="22"/>
  <c r="FT18" i="22"/>
  <c r="FP18" i="22"/>
  <c r="FK18" i="22"/>
  <c r="FJ18" i="22"/>
  <c r="FE18" i="22"/>
  <c r="FD18" i="22"/>
  <c r="ER18" i="22"/>
  <c r="EQ18" i="22"/>
  <c r="EO18" i="22"/>
  <c r="EN18" i="22"/>
  <c r="EM18" i="22"/>
  <c r="EL18" i="22"/>
  <c r="DT18" i="22"/>
  <c r="DP18" i="22"/>
  <c r="DO18" i="22"/>
  <c r="DM18" i="22"/>
  <c r="DL18" i="22"/>
  <c r="DK18" i="22"/>
  <c r="DN18" i="22" s="1"/>
  <c r="DQ18" i="22" s="1"/>
  <c r="DJ18" i="22"/>
  <c r="CN18" i="22"/>
  <c r="CM18" i="22"/>
  <c r="CK18" i="22"/>
  <c r="CJ18" i="22"/>
  <c r="CI18" i="22"/>
  <c r="CH18" i="22"/>
  <c r="BL18" i="22"/>
  <c r="BK18" i="22"/>
  <c r="BI18" i="22"/>
  <c r="BH18" i="22"/>
  <c r="BG18" i="22"/>
  <c r="BF18" i="22"/>
  <c r="AO18" i="22"/>
  <c r="AN18" i="22"/>
  <c r="AM18" i="22"/>
  <c r="T18" i="22"/>
  <c r="EV18" i="22" s="1"/>
  <c r="Q18" i="22"/>
  <c r="R18" i="22" s="1"/>
  <c r="GO17" i="22"/>
  <c r="GN17" i="22"/>
  <c r="GM17" i="22"/>
  <c r="GL17" i="22"/>
  <c r="GE17" i="22"/>
  <c r="GD17" i="22"/>
  <c r="GH17" i="22" s="1"/>
  <c r="GC17" i="22"/>
  <c r="GG17" i="22" s="1"/>
  <c r="GB17" i="22"/>
  <c r="GF17" i="22" s="1"/>
  <c r="FZ17" i="22"/>
  <c r="FY17" i="22"/>
  <c r="FX17" i="22"/>
  <c r="FW17" i="22"/>
  <c r="FT17" i="22"/>
  <c r="FP17" i="22"/>
  <c r="FK17" i="22"/>
  <c r="FJ17" i="22"/>
  <c r="FE17" i="22"/>
  <c r="FD17" i="22"/>
  <c r="ER17" i="22"/>
  <c r="EQ17" i="22"/>
  <c r="EO17" i="22"/>
  <c r="EN17" i="22"/>
  <c r="EM17" i="22"/>
  <c r="EL17" i="22"/>
  <c r="DP17" i="22"/>
  <c r="DO17" i="22"/>
  <c r="DM17" i="22"/>
  <c r="DL17" i="22"/>
  <c r="DK17" i="22"/>
  <c r="DJ17" i="22"/>
  <c r="CN17" i="22"/>
  <c r="CM17" i="22"/>
  <c r="CK17" i="22"/>
  <c r="CJ17" i="22"/>
  <c r="CI17" i="22"/>
  <c r="CH17" i="22"/>
  <c r="BL17" i="22"/>
  <c r="BK17" i="22"/>
  <c r="BI17" i="22"/>
  <c r="BH17" i="22"/>
  <c r="BG17" i="22"/>
  <c r="BF17" i="22"/>
  <c r="AO17" i="22"/>
  <c r="AN17" i="22"/>
  <c r="AM17" i="22"/>
  <c r="T17" i="22"/>
  <c r="CR17" i="22" s="1"/>
  <c r="Q17" i="22"/>
  <c r="R17" i="22" s="1"/>
  <c r="GO16" i="22"/>
  <c r="GN16" i="22"/>
  <c r="GM16" i="22"/>
  <c r="GL16" i="22"/>
  <c r="GE16" i="22"/>
  <c r="GD16" i="22"/>
  <c r="GH16" i="22" s="1"/>
  <c r="GC16" i="22"/>
  <c r="GB16" i="22"/>
  <c r="GF16" i="22" s="1"/>
  <c r="FZ16" i="22"/>
  <c r="FY16" i="22"/>
  <c r="FX16" i="22"/>
  <c r="FW16" i="22"/>
  <c r="FT16" i="22"/>
  <c r="FP16" i="22"/>
  <c r="FK16" i="22"/>
  <c r="FJ16" i="22"/>
  <c r="FE16" i="22"/>
  <c r="FD16" i="22"/>
  <c r="ER16" i="22"/>
  <c r="EQ16" i="22"/>
  <c r="EO16" i="22"/>
  <c r="EN16" i="22"/>
  <c r="EM16" i="22"/>
  <c r="EL16" i="22"/>
  <c r="DP16" i="22"/>
  <c r="DO16" i="22"/>
  <c r="DM16" i="22"/>
  <c r="DL16" i="22"/>
  <c r="DK16" i="22"/>
  <c r="DJ16" i="22"/>
  <c r="CN16" i="22"/>
  <c r="CM16" i="22"/>
  <c r="CK16" i="22"/>
  <c r="CJ16" i="22"/>
  <c r="CI16" i="22"/>
  <c r="CH16" i="22"/>
  <c r="BL16" i="22"/>
  <c r="BK16" i="22"/>
  <c r="BI16" i="22"/>
  <c r="BH16" i="22"/>
  <c r="BG16" i="22"/>
  <c r="BF16" i="22"/>
  <c r="AO16" i="22"/>
  <c r="AN16" i="22"/>
  <c r="AM16" i="22"/>
  <c r="T16" i="22"/>
  <c r="BP16" i="22" s="1"/>
  <c r="Q16" i="22"/>
  <c r="R16" i="22" s="1"/>
  <c r="GE15" i="22"/>
  <c r="GD15" i="22"/>
  <c r="GC15" i="22"/>
  <c r="GB15" i="22"/>
  <c r="FZ15" i="22"/>
  <c r="FY15" i="22"/>
  <c r="FX15" i="22"/>
  <c r="FW15" i="22"/>
  <c r="FT15" i="22"/>
  <c r="FP15" i="22"/>
  <c r="FK15" i="22"/>
  <c r="FJ15" i="22"/>
  <c r="FE15" i="22"/>
  <c r="FD15" i="22"/>
  <c r="ER15" i="22"/>
  <c r="EQ15" i="22"/>
  <c r="EO15" i="22"/>
  <c r="EN15" i="22"/>
  <c r="EM15" i="22"/>
  <c r="EL15" i="22"/>
  <c r="DP15" i="22"/>
  <c r="DO15" i="22"/>
  <c r="DM15" i="22"/>
  <c r="DL15" i="22"/>
  <c r="DK15" i="22"/>
  <c r="DJ15" i="22"/>
  <c r="CN15" i="22"/>
  <c r="CM15" i="22"/>
  <c r="CK15" i="22"/>
  <c r="CJ15" i="22"/>
  <c r="CI15" i="22"/>
  <c r="CH15" i="22"/>
  <c r="BL15" i="22"/>
  <c r="BK15" i="22"/>
  <c r="BI15" i="22"/>
  <c r="BH15" i="22"/>
  <c r="BG15" i="22"/>
  <c r="BF15" i="22"/>
  <c r="AO15" i="22"/>
  <c r="GN15" i="22" s="1"/>
  <c r="AN15" i="22"/>
  <c r="AM15" i="22"/>
  <c r="T15" i="22"/>
  <c r="BP15" i="22" s="1"/>
  <c r="Q15" i="22"/>
  <c r="R15" i="22" s="1"/>
  <c r="GO14" i="22"/>
  <c r="GN14" i="22"/>
  <c r="GM14" i="22"/>
  <c r="GL14" i="22"/>
  <c r="GE14" i="22"/>
  <c r="GD14" i="22"/>
  <c r="GC14" i="22"/>
  <c r="GB14" i="22"/>
  <c r="FZ14" i="22"/>
  <c r="FY14" i="22"/>
  <c r="FX14" i="22"/>
  <c r="GG14" i="22" s="1"/>
  <c r="FW14" i="22"/>
  <c r="GA14" i="22" s="1"/>
  <c r="FT14" i="22"/>
  <c r="FP14" i="22"/>
  <c r="FK14" i="22"/>
  <c r="FJ14" i="22"/>
  <c r="FE14" i="22"/>
  <c r="FD14" i="22"/>
  <c r="ER14" i="22"/>
  <c r="EQ14" i="22"/>
  <c r="EO14" i="22"/>
  <c r="EN14" i="22"/>
  <c r="EM14" i="22"/>
  <c r="EL14" i="22"/>
  <c r="DP14" i="22"/>
  <c r="DO14" i="22"/>
  <c r="DM14" i="22"/>
  <c r="DL14" i="22"/>
  <c r="DK14" i="22"/>
  <c r="DJ14" i="22"/>
  <c r="CN14" i="22"/>
  <c r="CM14" i="22"/>
  <c r="CK14" i="22"/>
  <c r="CJ14" i="22"/>
  <c r="CI14" i="22"/>
  <c r="CH14" i="22"/>
  <c r="BL14" i="22"/>
  <c r="BK14" i="22"/>
  <c r="BI14" i="22"/>
  <c r="BH14" i="22"/>
  <c r="BG14" i="22"/>
  <c r="BF14" i="22"/>
  <c r="AO14" i="22"/>
  <c r="AN14" i="22"/>
  <c r="AM14" i="22"/>
  <c r="T14" i="22"/>
  <c r="BP14" i="22" s="1"/>
  <c r="Q14" i="22"/>
  <c r="R14" i="22" s="1"/>
  <c r="GO13" i="22"/>
  <c r="GN13" i="22"/>
  <c r="GM13" i="22"/>
  <c r="GL13" i="22"/>
  <c r="GE13" i="22"/>
  <c r="GD13" i="22"/>
  <c r="GC13" i="22"/>
  <c r="GB13" i="22"/>
  <c r="FZ13" i="22"/>
  <c r="FY13" i="22"/>
  <c r="FX13" i="22"/>
  <c r="FW13" i="22"/>
  <c r="GF13" i="22" s="1"/>
  <c r="FT13" i="22"/>
  <c r="FP13" i="22"/>
  <c r="FK13" i="22"/>
  <c r="FJ13" i="22"/>
  <c r="FE13" i="22"/>
  <c r="FD13" i="22"/>
  <c r="ER13" i="22"/>
  <c r="EQ13" i="22"/>
  <c r="EO13" i="22"/>
  <c r="EN13" i="22"/>
  <c r="EM13" i="22"/>
  <c r="EL13" i="22"/>
  <c r="EP13" i="22" s="1"/>
  <c r="DP13" i="22"/>
  <c r="DO13" i="22"/>
  <c r="DM13" i="22"/>
  <c r="DL13" i="22"/>
  <c r="DK13" i="22"/>
  <c r="DJ13" i="22"/>
  <c r="CN13" i="22"/>
  <c r="CM13" i="22"/>
  <c r="CK13" i="22"/>
  <c r="CJ13" i="22"/>
  <c r="CI13" i="22"/>
  <c r="CH13" i="22"/>
  <c r="BL13" i="22"/>
  <c r="BK13" i="22"/>
  <c r="BI13" i="22"/>
  <c r="BH13" i="22"/>
  <c r="BG13" i="22"/>
  <c r="BF13" i="22"/>
  <c r="AO13" i="22"/>
  <c r="AN13" i="22"/>
  <c r="AM13" i="22"/>
  <c r="T13" i="22"/>
  <c r="CR13" i="22" s="1"/>
  <c r="Q13" i="22"/>
  <c r="R13" i="22" s="1"/>
  <c r="GO12" i="22"/>
  <c r="GN12" i="22"/>
  <c r="GM12" i="22"/>
  <c r="GL12" i="22"/>
  <c r="GE12" i="22"/>
  <c r="GI12" i="22" s="1"/>
  <c r="GD12" i="22"/>
  <c r="GC12" i="22"/>
  <c r="GB12" i="22"/>
  <c r="FZ12" i="22"/>
  <c r="FY12" i="22"/>
  <c r="FX12" i="22"/>
  <c r="FW12" i="22"/>
  <c r="FT12" i="22"/>
  <c r="FP12" i="22"/>
  <c r="FK12" i="22"/>
  <c r="FJ12" i="22"/>
  <c r="FE12" i="22"/>
  <c r="FD12" i="22"/>
  <c r="ER12" i="22"/>
  <c r="EQ12" i="22"/>
  <c r="EO12" i="22"/>
  <c r="EN12" i="22"/>
  <c r="EM12" i="22"/>
  <c r="EL12" i="22"/>
  <c r="DT12" i="22"/>
  <c r="DP12" i="22"/>
  <c r="DO12" i="22"/>
  <c r="DM12" i="22"/>
  <c r="DL12" i="22"/>
  <c r="DK12" i="22"/>
  <c r="DJ12" i="22"/>
  <c r="CN12" i="22"/>
  <c r="CM12" i="22"/>
  <c r="CK12" i="22"/>
  <c r="CJ12" i="22"/>
  <c r="CI12" i="22"/>
  <c r="CH12" i="22"/>
  <c r="BL12" i="22"/>
  <c r="BK12" i="22"/>
  <c r="BI12" i="22"/>
  <c r="BH12" i="22"/>
  <c r="BG12" i="22"/>
  <c r="BF12" i="22"/>
  <c r="AO12" i="22"/>
  <c r="AN12" i="22"/>
  <c r="AM12" i="22"/>
  <c r="T12" i="22"/>
  <c r="CR12" i="22" s="1"/>
  <c r="Q12" i="22"/>
  <c r="R12" i="22" s="1"/>
  <c r="GO11" i="22"/>
  <c r="GN11" i="22"/>
  <c r="GM11" i="22"/>
  <c r="GL11" i="22"/>
  <c r="GE11" i="22"/>
  <c r="GD11" i="22"/>
  <c r="GC11" i="22"/>
  <c r="GB11" i="22"/>
  <c r="FZ11" i="22"/>
  <c r="FY11" i="22"/>
  <c r="FX11" i="22"/>
  <c r="FW11" i="22"/>
  <c r="FT11" i="22"/>
  <c r="FP11" i="22"/>
  <c r="FK11" i="22"/>
  <c r="FJ11" i="22"/>
  <c r="FE11" i="22"/>
  <c r="FD11" i="22"/>
  <c r="ER11" i="22"/>
  <c r="EQ11" i="22"/>
  <c r="EO11" i="22"/>
  <c r="EN11" i="22"/>
  <c r="EM11" i="22"/>
  <c r="EL11" i="22"/>
  <c r="EP11" i="22" s="1"/>
  <c r="DP11" i="22"/>
  <c r="DO11" i="22"/>
  <c r="DM11" i="22"/>
  <c r="DL11" i="22"/>
  <c r="DK11" i="22"/>
  <c r="DJ11" i="22"/>
  <c r="CN11" i="22"/>
  <c r="CM11" i="22"/>
  <c r="CK11" i="22"/>
  <c r="CJ11" i="22"/>
  <c r="CI11" i="22"/>
  <c r="CH11" i="22"/>
  <c r="CL11" i="22" s="1"/>
  <c r="CO11" i="22" s="1"/>
  <c r="BL11" i="22"/>
  <c r="BK11" i="22"/>
  <c r="BI11" i="22"/>
  <c r="BH11" i="22"/>
  <c r="BG11" i="22"/>
  <c r="BF11" i="22"/>
  <c r="AO11" i="22"/>
  <c r="AN11" i="22"/>
  <c r="AM11" i="22"/>
  <c r="T11" i="22"/>
  <c r="BP11" i="22" s="1"/>
  <c r="Q11" i="22"/>
  <c r="R11" i="22" s="1"/>
  <c r="GO10" i="22"/>
  <c r="GN10" i="22"/>
  <c r="GM10" i="22"/>
  <c r="GL10" i="22"/>
  <c r="GE10" i="22"/>
  <c r="GI10" i="22" s="1"/>
  <c r="GD10" i="22"/>
  <c r="GC10" i="22"/>
  <c r="GB10" i="22"/>
  <c r="FZ10" i="22"/>
  <c r="FY10" i="22"/>
  <c r="FX10" i="22"/>
  <c r="FW10" i="22"/>
  <c r="FT10" i="22"/>
  <c r="FP10" i="22"/>
  <c r="FK10" i="22"/>
  <c r="FJ10" i="22"/>
  <c r="FE10" i="22"/>
  <c r="FD10" i="22"/>
  <c r="ER10" i="22"/>
  <c r="EQ10" i="22"/>
  <c r="EO10" i="22"/>
  <c r="EN10" i="22"/>
  <c r="EM10" i="22"/>
  <c r="EL10" i="22"/>
  <c r="DP10" i="22"/>
  <c r="DO10" i="22"/>
  <c r="DM10" i="22"/>
  <c r="DL10" i="22"/>
  <c r="DK10" i="22"/>
  <c r="DJ10" i="22"/>
  <c r="CN10" i="22"/>
  <c r="CM10" i="22"/>
  <c r="CK10" i="22"/>
  <c r="CJ10" i="22"/>
  <c r="CI10" i="22"/>
  <c r="CH10" i="22"/>
  <c r="BL10" i="22"/>
  <c r="BK10" i="22"/>
  <c r="BI10" i="22"/>
  <c r="BH10" i="22"/>
  <c r="BG10" i="22"/>
  <c r="BF10" i="22"/>
  <c r="AO10" i="22"/>
  <c r="AN10" i="22"/>
  <c r="AM10" i="22"/>
  <c r="T10" i="22"/>
  <c r="Q10" i="22"/>
  <c r="R10" i="22" s="1"/>
  <c r="GO9" i="22"/>
  <c r="GN9" i="22"/>
  <c r="GM9" i="22"/>
  <c r="GL9" i="22"/>
  <c r="GE9" i="22"/>
  <c r="GI9" i="22" s="1"/>
  <c r="GD9" i="22"/>
  <c r="GC9" i="22"/>
  <c r="GB9" i="22"/>
  <c r="FZ9" i="22"/>
  <c r="FY9" i="22"/>
  <c r="FX9" i="22"/>
  <c r="FW9" i="22"/>
  <c r="GF9" i="22" s="1"/>
  <c r="FT9" i="22"/>
  <c r="FP9" i="22"/>
  <c r="FK9" i="22"/>
  <c r="FJ9" i="22"/>
  <c r="FE9" i="22"/>
  <c r="FD9" i="22"/>
  <c r="ER9" i="22"/>
  <c r="EQ9" i="22"/>
  <c r="EO9" i="22"/>
  <c r="EN9" i="22"/>
  <c r="EM9" i="22"/>
  <c r="EL9" i="22"/>
  <c r="DP9" i="22"/>
  <c r="DO9" i="22"/>
  <c r="DM9" i="22"/>
  <c r="DL9" i="22"/>
  <c r="DK9" i="22"/>
  <c r="DJ9" i="22"/>
  <c r="CN9" i="22"/>
  <c r="CM9" i="22"/>
  <c r="CK9" i="22"/>
  <c r="CJ9" i="22"/>
  <c r="CI9" i="22"/>
  <c r="CH9" i="22"/>
  <c r="BL9" i="22"/>
  <c r="BK9" i="22"/>
  <c r="BI9" i="22"/>
  <c r="BH9" i="22"/>
  <c r="BG9" i="22"/>
  <c r="BF9" i="22"/>
  <c r="AO9" i="22"/>
  <c r="AN9" i="22"/>
  <c r="AM9" i="22"/>
  <c r="T9" i="22"/>
  <c r="CR9" i="22" s="1"/>
  <c r="Q9" i="22"/>
  <c r="R9" i="22" s="1"/>
  <c r="GO8" i="22"/>
  <c r="GN8" i="22"/>
  <c r="GM8" i="22"/>
  <c r="GL8" i="22"/>
  <c r="GP8" i="22" s="1"/>
  <c r="GH8" i="22"/>
  <c r="GE8" i="22"/>
  <c r="GI8" i="22" s="1"/>
  <c r="GD8" i="22"/>
  <c r="GC8" i="22"/>
  <c r="GB8" i="22"/>
  <c r="FZ8" i="22"/>
  <c r="FY8" i="22"/>
  <c r="FX8" i="22"/>
  <c r="FW8" i="22"/>
  <c r="GA8" i="22" s="1"/>
  <c r="FT8" i="22"/>
  <c r="FP8" i="22"/>
  <c r="FK8" i="22"/>
  <c r="FJ8" i="22"/>
  <c r="FE8" i="22"/>
  <c r="FD8" i="22"/>
  <c r="ER8" i="22"/>
  <c r="EQ8" i="22"/>
  <c r="EO8" i="22"/>
  <c r="EN8" i="22"/>
  <c r="EM8" i="22"/>
  <c r="EL8" i="22"/>
  <c r="DP8" i="22"/>
  <c r="DO8" i="22"/>
  <c r="DM8" i="22"/>
  <c r="DL8" i="22"/>
  <c r="DK8" i="22"/>
  <c r="DN8" i="22" s="1"/>
  <c r="DQ8" i="22" s="1"/>
  <c r="DJ8" i="22"/>
  <c r="CN8" i="22"/>
  <c r="CM8" i="22"/>
  <c r="CK8" i="22"/>
  <c r="CJ8" i="22"/>
  <c r="CI8" i="22"/>
  <c r="CH8" i="22"/>
  <c r="BQ8" i="22"/>
  <c r="BL8" i="22"/>
  <c r="BK8" i="22"/>
  <c r="BI8" i="22"/>
  <c r="BH8" i="22"/>
  <c r="BG8" i="22"/>
  <c r="BF8" i="22"/>
  <c r="AO8" i="22"/>
  <c r="AN8" i="22"/>
  <c r="AM8" i="22"/>
  <c r="T8" i="22"/>
  <c r="EV8" i="22" s="1"/>
  <c r="Q8" i="22"/>
  <c r="R8" i="22" s="1"/>
  <c r="GO7" i="22"/>
  <c r="GN7" i="22"/>
  <c r="GM7" i="22"/>
  <c r="GL7" i="22"/>
  <c r="GE7" i="22"/>
  <c r="GD7" i="22"/>
  <c r="GC7" i="22"/>
  <c r="GB7" i="22"/>
  <c r="FZ7" i="22"/>
  <c r="FY7" i="22"/>
  <c r="FX7" i="22"/>
  <c r="FW7" i="22"/>
  <c r="FT7" i="22"/>
  <c r="FP7" i="22"/>
  <c r="FK7" i="22"/>
  <c r="FJ7" i="22"/>
  <c r="FE7" i="22"/>
  <c r="FD7" i="22"/>
  <c r="ER7" i="22"/>
  <c r="EQ7" i="22"/>
  <c r="EO7" i="22"/>
  <c r="EN7" i="22"/>
  <c r="EM7" i="22"/>
  <c r="EL7" i="22"/>
  <c r="DP7" i="22"/>
  <c r="DO7" i="22"/>
  <c r="DM7" i="22"/>
  <c r="DL7" i="22"/>
  <c r="DK7" i="22"/>
  <c r="DJ7" i="22"/>
  <c r="CN7" i="22"/>
  <c r="CM7" i="22"/>
  <c r="CK7" i="22"/>
  <c r="CJ7" i="22"/>
  <c r="CI7" i="22"/>
  <c r="CH7" i="22"/>
  <c r="BL7" i="22"/>
  <c r="BK7" i="22"/>
  <c r="BI7" i="22"/>
  <c r="BH7" i="22"/>
  <c r="BG7" i="22"/>
  <c r="BF7" i="22"/>
  <c r="AO7" i="22"/>
  <c r="AN7" i="22"/>
  <c r="AM7" i="22"/>
  <c r="T7" i="22"/>
  <c r="CR7" i="22" s="1"/>
  <c r="Q7" i="22"/>
  <c r="R7" i="22" s="1"/>
  <c r="GO6" i="22"/>
  <c r="GN6" i="22"/>
  <c r="GM6" i="22"/>
  <c r="GL6" i="22"/>
  <c r="GE6" i="22"/>
  <c r="GD6" i="22"/>
  <c r="GC6" i="22"/>
  <c r="GB6" i="22"/>
  <c r="FZ6" i="22"/>
  <c r="FY6" i="22"/>
  <c r="FX6" i="22"/>
  <c r="FW6" i="22"/>
  <c r="FT6" i="22"/>
  <c r="FP6" i="22"/>
  <c r="FK6" i="22"/>
  <c r="FJ6" i="22"/>
  <c r="FE6" i="22"/>
  <c r="FD6" i="22"/>
  <c r="ER6" i="22"/>
  <c r="EQ6" i="22"/>
  <c r="EO6" i="22"/>
  <c r="EN6" i="22"/>
  <c r="EM6" i="22"/>
  <c r="EL6" i="22"/>
  <c r="DP6" i="22"/>
  <c r="DO6" i="22"/>
  <c r="DM6" i="22"/>
  <c r="DL6" i="22"/>
  <c r="DK6" i="22"/>
  <c r="DJ6" i="22"/>
  <c r="CN6" i="22"/>
  <c r="CM6" i="22"/>
  <c r="CK6" i="22"/>
  <c r="CJ6" i="22"/>
  <c r="CI6" i="22"/>
  <c r="CH6" i="22"/>
  <c r="BL6" i="22"/>
  <c r="BK6" i="22"/>
  <c r="BI6" i="22"/>
  <c r="BH6" i="22"/>
  <c r="BG6" i="22"/>
  <c r="BF6" i="22"/>
  <c r="AO6" i="22"/>
  <c r="AN6" i="22"/>
  <c r="AM6" i="22"/>
  <c r="CS6" i="22" s="1"/>
  <c r="T6" i="22"/>
  <c r="BP6" i="22" s="1"/>
  <c r="Q6" i="22"/>
  <c r="R6" i="22" s="1"/>
  <c r="BR2" i="22"/>
  <c r="DN11" i="22" l="1"/>
  <c r="DQ11" i="22" s="1"/>
  <c r="EP16" i="22"/>
  <c r="ES16" i="22" s="1"/>
  <c r="GI34" i="22"/>
  <c r="EV54" i="22"/>
  <c r="GT59" i="22"/>
  <c r="GG69" i="22"/>
  <c r="FD72" i="22"/>
  <c r="GF82" i="22"/>
  <c r="GT90" i="22"/>
  <c r="GG97" i="22"/>
  <c r="GH99" i="22"/>
  <c r="GF131" i="22"/>
  <c r="GO132" i="22"/>
  <c r="BP133" i="22"/>
  <c r="BP145" i="22"/>
  <c r="GG150" i="22"/>
  <c r="EV159" i="22"/>
  <c r="EV160" i="22"/>
  <c r="GG166" i="22"/>
  <c r="BJ176" i="22"/>
  <c r="BJ177" i="22"/>
  <c r="BM177" i="22" s="1"/>
  <c r="GF179" i="22"/>
  <c r="GG184" i="22"/>
  <c r="EV187" i="22"/>
  <c r="BJ21" i="22"/>
  <c r="CL23" i="22"/>
  <c r="EP23" i="22"/>
  <c r="ES23" i="22" s="1"/>
  <c r="GF34" i="22"/>
  <c r="CR36" i="22"/>
  <c r="GG45" i="22"/>
  <c r="CR46" i="22"/>
  <c r="EV56" i="22"/>
  <c r="BP89" i="22"/>
  <c r="GI99" i="22"/>
  <c r="CO107" i="22"/>
  <c r="CL155" i="22"/>
  <c r="CO155" i="22" s="1"/>
  <c r="GA182" i="22"/>
  <c r="GI21" i="22"/>
  <c r="GI28" i="22"/>
  <c r="GF33" i="22"/>
  <c r="GF43" i="22"/>
  <c r="GH46" i="22"/>
  <c r="GT53" i="22"/>
  <c r="GI54" i="22"/>
  <c r="GH56" i="22"/>
  <c r="GF60" i="22"/>
  <c r="GT72" i="22"/>
  <c r="CL89" i="22"/>
  <c r="CO89" i="22" s="1"/>
  <c r="GI97" i="22"/>
  <c r="GF113" i="22"/>
  <c r="GQ121" i="22"/>
  <c r="GA154" i="22"/>
  <c r="BJ191" i="22"/>
  <c r="GT12" i="22"/>
  <c r="GN50" i="22"/>
  <c r="CL51" i="22"/>
  <c r="GH61" i="22"/>
  <c r="DT74" i="22"/>
  <c r="GI84" i="22"/>
  <c r="GH106" i="22"/>
  <c r="BJ110" i="22"/>
  <c r="GG113" i="22"/>
  <c r="GH124" i="22"/>
  <c r="GF126" i="22"/>
  <c r="DN176" i="22"/>
  <c r="GH182" i="22"/>
  <c r="GT191" i="22"/>
  <c r="DN25" i="22"/>
  <c r="DQ25" i="22" s="1"/>
  <c r="GT50" i="22"/>
  <c r="EP74" i="22"/>
  <c r="ES74" i="22" s="1"/>
  <c r="EP75" i="22"/>
  <c r="ES75" i="22" s="1"/>
  <c r="GH88" i="22"/>
  <c r="GH91" i="22"/>
  <c r="GI92" i="22"/>
  <c r="DT119" i="22"/>
  <c r="GG127" i="22"/>
  <c r="GA133" i="22"/>
  <c r="GT21" i="22"/>
  <c r="DN47" i="22"/>
  <c r="DQ47" i="22" s="1"/>
  <c r="GI53" i="22"/>
  <c r="CL73" i="22"/>
  <c r="CL90" i="22"/>
  <c r="GH112" i="22"/>
  <c r="EP115" i="22"/>
  <c r="GH118" i="22"/>
  <c r="GI123" i="22"/>
  <c r="GF147" i="22"/>
  <c r="GI168" i="22"/>
  <c r="GQ176" i="22"/>
  <c r="GF182" i="22"/>
  <c r="BJ183" i="22"/>
  <c r="CR183" i="22"/>
  <c r="BJ184" i="22"/>
  <c r="GH184" i="22"/>
  <c r="BP187" i="22"/>
  <c r="CL13" i="22"/>
  <c r="CO13" i="22" s="1"/>
  <c r="BP56" i="22"/>
  <c r="BP84" i="22"/>
  <c r="BJ99" i="22"/>
  <c r="BJ107" i="22"/>
  <c r="GP110" i="22"/>
  <c r="EP114" i="22"/>
  <c r="ES114" i="22" s="1"/>
  <c r="GI118" i="22"/>
  <c r="CR137" i="22"/>
  <c r="GF141" i="22"/>
  <c r="EV144" i="22"/>
  <c r="GF146" i="22"/>
  <c r="GI158" i="22"/>
  <c r="GP167" i="22"/>
  <c r="GA190" i="22"/>
  <c r="GG22" i="22"/>
  <c r="GF39" i="22"/>
  <c r="BJ43" i="22"/>
  <c r="GF54" i="22"/>
  <c r="EV60" i="22"/>
  <c r="GQ62" i="22"/>
  <c r="GF66" i="22"/>
  <c r="GN68" i="22"/>
  <c r="GH74" i="22"/>
  <c r="GQ81" i="22"/>
  <c r="EP83" i="22"/>
  <c r="ES83" i="22" s="1"/>
  <c r="DT84" i="22"/>
  <c r="CO117" i="22"/>
  <c r="GI120" i="22"/>
  <c r="EV137" i="22"/>
  <c r="GH139" i="22"/>
  <c r="GH142" i="22"/>
  <c r="GH163" i="22"/>
  <c r="GH170" i="22"/>
  <c r="GG171" i="22"/>
  <c r="EP179" i="22"/>
  <c r="EP20" i="22"/>
  <c r="ES20" i="22" s="1"/>
  <c r="GF27" i="22"/>
  <c r="EP28" i="22"/>
  <c r="ES28" i="22" s="1"/>
  <c r="GG39" i="22"/>
  <c r="EP49" i="22"/>
  <c r="ES49" i="22" s="1"/>
  <c r="GG52" i="22"/>
  <c r="GF57" i="22"/>
  <c r="GI144" i="22"/>
  <c r="GH146" i="22"/>
  <c r="GH161" i="22"/>
  <c r="GG31" i="22"/>
  <c r="GF37" i="22"/>
  <c r="GG38" i="22"/>
  <c r="GH39" i="22"/>
  <c r="GI40" i="22"/>
  <c r="CL41" i="22"/>
  <c r="CO41" i="22" s="1"/>
  <c r="GG51" i="22"/>
  <c r="GH52" i="22"/>
  <c r="GI60" i="22"/>
  <c r="GI104" i="22"/>
  <c r="GA162" i="22"/>
  <c r="GF173" i="22"/>
  <c r="GT182" i="22"/>
  <c r="GP183" i="22"/>
  <c r="GF185" i="22"/>
  <c r="GG193" i="22"/>
  <c r="BJ15" i="22"/>
  <c r="BJ22" i="22"/>
  <c r="CL82" i="22"/>
  <c r="CO82" i="22" s="1"/>
  <c r="GH102" i="22"/>
  <c r="GQ106" i="22"/>
  <c r="GF151" i="22"/>
  <c r="GG152" i="22"/>
  <c r="DN154" i="22"/>
  <c r="DQ154" i="22" s="1"/>
  <c r="GP154" i="22"/>
  <c r="GM164" i="22"/>
  <c r="EP169" i="22"/>
  <c r="ES169" i="22" s="1"/>
  <c r="GQ171" i="22"/>
  <c r="GF188" i="22"/>
  <c r="DN192" i="22"/>
  <c r="DQ192" i="22" s="1"/>
  <c r="GH192" i="22"/>
  <c r="DN193" i="22"/>
  <c r="DQ193" i="22" s="1"/>
  <c r="GG10" i="22"/>
  <c r="GG11" i="22"/>
  <c r="BJ12" i="22"/>
  <c r="EV13" i="22"/>
  <c r="CL42" i="22"/>
  <c r="CO42" i="22" s="1"/>
  <c r="GI51" i="22"/>
  <c r="CL76" i="22"/>
  <c r="CO76" i="22" s="1"/>
  <c r="GH81" i="22"/>
  <c r="GA158" i="22"/>
  <c r="GG174" i="22"/>
  <c r="ES178" i="22"/>
  <c r="DN191" i="22"/>
  <c r="DQ191" i="22" s="1"/>
  <c r="BJ47" i="22"/>
  <c r="GA70" i="22"/>
  <c r="DT130" i="22"/>
  <c r="EV130" i="22"/>
  <c r="BP130" i="22"/>
  <c r="CR130" i="22"/>
  <c r="BJ163" i="22"/>
  <c r="CL166" i="22"/>
  <c r="CO166" i="22" s="1"/>
  <c r="CR30" i="22"/>
  <c r="CL53" i="22"/>
  <c r="CO53" i="22" s="1"/>
  <c r="GT54" i="22"/>
  <c r="BJ59" i="22"/>
  <c r="GT64" i="22"/>
  <c r="DT70" i="22"/>
  <c r="CR70" i="22"/>
  <c r="GA88" i="22"/>
  <c r="EV91" i="22"/>
  <c r="BP91" i="22"/>
  <c r="DT94" i="22"/>
  <c r="EV94" i="22"/>
  <c r="EP95" i="22"/>
  <c r="DT109" i="22"/>
  <c r="EV109" i="22"/>
  <c r="DT143" i="22"/>
  <c r="EV143" i="22"/>
  <c r="BP143" i="22"/>
  <c r="CR143" i="22"/>
  <c r="GP12" i="22"/>
  <c r="BJ14" i="22"/>
  <c r="CR20" i="22"/>
  <c r="EP21" i="22"/>
  <c r="ES21" i="22" s="1"/>
  <c r="BP25" i="22"/>
  <c r="DN27" i="22"/>
  <c r="DQ27" i="22" s="1"/>
  <c r="BP32" i="22"/>
  <c r="BJ35" i="22"/>
  <c r="GT40" i="22"/>
  <c r="DN40" i="22"/>
  <c r="DQ40" i="22" s="1"/>
  <c r="DN44" i="22"/>
  <c r="DQ44" i="22" s="1"/>
  <c r="CL45" i="22"/>
  <c r="BP46" i="22"/>
  <c r="GA48" i="22"/>
  <c r="DN51" i="22"/>
  <c r="DQ51" i="22" s="1"/>
  <c r="BJ53" i="22"/>
  <c r="BJ55" i="22"/>
  <c r="GT61" i="22"/>
  <c r="CR66" i="22"/>
  <c r="GF77" i="22"/>
  <c r="GA77" i="22"/>
  <c r="GA78" i="22"/>
  <c r="GT81" i="22"/>
  <c r="CL87" i="22"/>
  <c r="CO87" i="22" s="1"/>
  <c r="GA87" i="22"/>
  <c r="GP87" i="22"/>
  <c r="GI93" i="22"/>
  <c r="DT117" i="22"/>
  <c r="CR117" i="22"/>
  <c r="BP117" i="22"/>
  <c r="EP122" i="22"/>
  <c r="ES122" i="22" s="1"/>
  <c r="CL8" i="22"/>
  <c r="CO8" i="22" s="1"/>
  <c r="GT26" i="22"/>
  <c r="GA9" i="22"/>
  <c r="CO51" i="22"/>
  <c r="GI55" i="22"/>
  <c r="GG62" i="22"/>
  <c r="BP66" i="22"/>
  <c r="GI69" i="22"/>
  <c r="GQ78" i="22"/>
  <c r="DT96" i="22"/>
  <c r="BP96" i="22"/>
  <c r="CR96" i="22"/>
  <c r="BP109" i="22"/>
  <c r="BP121" i="22"/>
  <c r="DT121" i="22"/>
  <c r="GQ13" i="22"/>
  <c r="GT38" i="22"/>
  <c r="GT39" i="22"/>
  <c r="CR39" i="22"/>
  <c r="GG20" i="22"/>
  <c r="GG21" i="22"/>
  <c r="GI22" i="22"/>
  <c r="CO23" i="22"/>
  <c r="CL24" i="22"/>
  <c r="CO24" i="22" s="1"/>
  <c r="GI25" i="22"/>
  <c r="GF26" i="22"/>
  <c r="GI30" i="22"/>
  <c r="GH32" i="22"/>
  <c r="GI37" i="22"/>
  <c r="GI39" i="22"/>
  <c r="GG44" i="22"/>
  <c r="GG49" i="22"/>
  <c r="BP52" i="22"/>
  <c r="GI52" i="22"/>
  <c r="GG57" i="22"/>
  <c r="DN61" i="22"/>
  <c r="DQ61" i="22" s="1"/>
  <c r="CR62" i="22"/>
  <c r="BP68" i="22"/>
  <c r="GH68" i="22"/>
  <c r="BP70" i="22"/>
  <c r="GH70" i="22"/>
  <c r="CL9" i="22"/>
  <c r="CO9" i="22" s="1"/>
  <c r="GH12" i="22"/>
  <c r="GH15" i="22"/>
  <c r="EV16" i="22"/>
  <c r="GI18" i="22"/>
  <c r="GF22" i="22"/>
  <c r="BJ28" i="22"/>
  <c r="BM28" i="22" s="1"/>
  <c r="CL29" i="22"/>
  <c r="CO29" i="22" s="1"/>
  <c r="GI32" i="22"/>
  <c r="CL33" i="22"/>
  <c r="CO33" i="22" s="1"/>
  <c r="BP36" i="22"/>
  <c r="GG36" i="22"/>
  <c r="GF40" i="22"/>
  <c r="GP41" i="22"/>
  <c r="GH45" i="22"/>
  <c r="DN49" i="22"/>
  <c r="DQ49" i="22" s="1"/>
  <c r="GH50" i="22"/>
  <c r="CR54" i="22"/>
  <c r="EP54" i="22"/>
  <c r="ES54" i="22" s="1"/>
  <c r="GF55" i="22"/>
  <c r="GH57" i="22"/>
  <c r="CR58" i="22"/>
  <c r="GG58" i="22"/>
  <c r="CR60" i="22"/>
  <c r="GQ61" i="22"/>
  <c r="BP62" i="22"/>
  <c r="DN62" i="22"/>
  <c r="DQ62" i="22" s="1"/>
  <c r="GG64" i="22"/>
  <c r="GI68" i="22"/>
  <c r="GI70" i="22"/>
  <c r="BP71" i="22"/>
  <c r="GH87" i="22"/>
  <c r="CL93" i="22"/>
  <c r="CO93" i="22" s="1"/>
  <c r="CL97" i="22"/>
  <c r="CO97" i="22" s="1"/>
  <c r="GI98" i="22"/>
  <c r="GF99" i="22"/>
  <c r="GT103" i="22"/>
  <c r="EV105" i="22"/>
  <c r="GA108" i="22"/>
  <c r="CL109" i="22"/>
  <c r="CO109" i="22" s="1"/>
  <c r="GI109" i="22"/>
  <c r="BP114" i="22"/>
  <c r="DT114" i="22"/>
  <c r="DN114" i="22"/>
  <c r="GI116" i="22"/>
  <c r="CR120" i="22"/>
  <c r="EV120" i="22"/>
  <c r="DN120" i="22"/>
  <c r="GA137" i="22"/>
  <c r="DN158" i="22"/>
  <c r="DQ158" i="22" s="1"/>
  <c r="DR158" i="22" s="1"/>
  <c r="DS158" i="22" s="1"/>
  <c r="EP24" i="22"/>
  <c r="ES24" i="22" s="1"/>
  <c r="CR32" i="22"/>
  <c r="GI7" i="22"/>
  <c r="GH18" i="22"/>
  <c r="BP20" i="22"/>
  <c r="GT6" i="22"/>
  <c r="GF6" i="22"/>
  <c r="GG7" i="22"/>
  <c r="GG8" i="22"/>
  <c r="BJ9" i="22"/>
  <c r="GQ9" i="22"/>
  <c r="GT11" i="22"/>
  <c r="GA11" i="22"/>
  <c r="CL12" i="22"/>
  <c r="CO12" i="22" s="1"/>
  <c r="DN14" i="22"/>
  <c r="DQ14" i="22" s="1"/>
  <c r="GF18" i="22"/>
  <c r="DN21" i="22"/>
  <c r="DQ21" i="22" s="1"/>
  <c r="EV24" i="22"/>
  <c r="EV25" i="22"/>
  <c r="GH26" i="22"/>
  <c r="GI27" i="22"/>
  <c r="GI29" i="22"/>
  <c r="EV30" i="22"/>
  <c r="GG30" i="22"/>
  <c r="EV34" i="22"/>
  <c r="CL35" i="22"/>
  <c r="CO35" i="22" s="1"/>
  <c r="GA35" i="22"/>
  <c r="DN37" i="22"/>
  <c r="DQ37" i="22" s="1"/>
  <c r="GG37" i="22"/>
  <c r="GT45" i="22"/>
  <c r="CL48" i="22"/>
  <c r="BJ51" i="22"/>
  <c r="BP54" i="22"/>
  <c r="BP58" i="22"/>
  <c r="GH58" i="22"/>
  <c r="BP60" i="22"/>
  <c r="GG61" i="22"/>
  <c r="GI62" i="22"/>
  <c r="BJ65" i="22"/>
  <c r="GH65" i="22"/>
  <c r="GT75" i="22"/>
  <c r="GH75" i="22"/>
  <c r="GA79" i="22"/>
  <c r="GI82" i="22"/>
  <c r="GH84" i="22"/>
  <c r="GI87" i="22"/>
  <c r="GQ92" i="22"/>
  <c r="GF96" i="22"/>
  <c r="CL98" i="22"/>
  <c r="CO98" i="22" s="1"/>
  <c r="GP99" i="22"/>
  <c r="GT102" i="22"/>
  <c r="DN102" i="22"/>
  <c r="DQ102" i="22" s="1"/>
  <c r="CL104" i="22"/>
  <c r="CO104" i="22" s="1"/>
  <c r="DT105" i="22"/>
  <c r="DT135" i="22"/>
  <c r="BJ148" i="22"/>
  <c r="BM148" i="22" s="1"/>
  <c r="GA20" i="22"/>
  <c r="BP30" i="22"/>
  <c r="GA7" i="22"/>
  <c r="GQ7" i="22"/>
  <c r="GG12" i="22"/>
  <c r="DN6" i="22"/>
  <c r="DQ6" i="22" s="1"/>
  <c r="DN7" i="22"/>
  <c r="EP8" i="22"/>
  <c r="ES8" i="22" s="1"/>
  <c r="EP9" i="22"/>
  <c r="ES9" i="22" s="1"/>
  <c r="BJ10" i="22"/>
  <c r="GA12" i="22"/>
  <c r="GH13" i="22"/>
  <c r="GI14" i="22"/>
  <c r="GL15" i="22"/>
  <c r="GT16" i="22"/>
  <c r="GI16" i="22"/>
  <c r="GA18" i="22"/>
  <c r="BJ19" i="22"/>
  <c r="BM19" i="22" s="1"/>
  <c r="CL21" i="22"/>
  <c r="CO21" i="22" s="1"/>
  <c r="GF21" i="22"/>
  <c r="DT24" i="22"/>
  <c r="GF29" i="22"/>
  <c r="GN31" i="22"/>
  <c r="EV32" i="22"/>
  <c r="GH40" i="22"/>
  <c r="CR41" i="22"/>
  <c r="GI43" i="22"/>
  <c r="EV46" i="22"/>
  <c r="GI48" i="22"/>
  <c r="GM50" i="22"/>
  <c r="GH54" i="22"/>
  <c r="GT55" i="22"/>
  <c r="CR56" i="22"/>
  <c r="GF56" i="22"/>
  <c r="CL57" i="22"/>
  <c r="GI58" i="22"/>
  <c r="GH60" i="22"/>
  <c r="GF63" i="22"/>
  <c r="EV68" i="22"/>
  <c r="BJ69" i="22"/>
  <c r="EV70" i="22"/>
  <c r="GG70" i="22"/>
  <c r="CL72" i="22"/>
  <c r="CO72" i="22" s="1"/>
  <c r="CL74" i="22"/>
  <c r="CO74" i="22" s="1"/>
  <c r="GI75" i="22"/>
  <c r="GT80" i="22"/>
  <c r="GP81" i="22"/>
  <c r="EP86" i="22"/>
  <c r="ES86" i="22" s="1"/>
  <c r="GG88" i="22"/>
  <c r="CO90" i="22"/>
  <c r="GT99" i="22"/>
  <c r="DT112" i="22"/>
  <c r="CR135" i="22"/>
  <c r="GP46" i="22"/>
  <c r="BP79" i="22"/>
  <c r="EV79" i="22"/>
  <c r="CR79" i="22"/>
  <c r="CO80" i="22"/>
  <c r="GG86" i="22"/>
  <c r="DT87" i="22"/>
  <c r="BP87" i="22"/>
  <c r="CR87" i="22"/>
  <c r="GT91" i="22"/>
  <c r="DT91" i="22"/>
  <c r="GG95" i="22"/>
  <c r="GQ96" i="22"/>
  <c r="GI101" i="22"/>
  <c r="EV104" i="22"/>
  <c r="EV107" i="22"/>
  <c r="BP107" i="22"/>
  <c r="CR107" i="22"/>
  <c r="DT111" i="22"/>
  <c r="EV111" i="22"/>
  <c r="EP113" i="22"/>
  <c r="EV117" i="22"/>
  <c r="EP129" i="22"/>
  <c r="ES129" i="22" s="1"/>
  <c r="GI89" i="22"/>
  <c r="GH92" i="22"/>
  <c r="GA93" i="22"/>
  <c r="GF98" i="22"/>
  <c r="CR100" i="22"/>
  <c r="DN106" i="22"/>
  <c r="EP107" i="22"/>
  <c r="ES107" i="22" s="1"/>
  <c r="EP110" i="22"/>
  <c r="ES110" i="22" s="1"/>
  <c r="GF110" i="22"/>
  <c r="EP117" i="22"/>
  <c r="ES117" i="22" s="1"/>
  <c r="GI117" i="22"/>
  <c r="GF118" i="22"/>
  <c r="CL121" i="22"/>
  <c r="CO121" i="22" s="1"/>
  <c r="GH122" i="22"/>
  <c r="DN128" i="22"/>
  <c r="DQ128" i="22" s="1"/>
  <c r="GT129" i="22"/>
  <c r="GG131" i="22"/>
  <c r="GH133" i="22"/>
  <c r="GH134" i="22"/>
  <c r="GG135" i="22"/>
  <c r="GF143" i="22"/>
  <c r="GG148" i="22"/>
  <c r="GF152" i="22"/>
  <c r="DN153" i="22"/>
  <c r="DQ153" i="22" s="1"/>
  <c r="DR153" i="22" s="1"/>
  <c r="DS153" i="22" s="1"/>
  <c r="GH153" i="22"/>
  <c r="GI157" i="22"/>
  <c r="BJ160" i="22"/>
  <c r="GI160" i="22"/>
  <c r="BP161" i="22"/>
  <c r="GI161" i="22"/>
  <c r="GG164" i="22"/>
  <c r="GA166" i="22"/>
  <c r="GH167" i="22"/>
  <c r="GT169" i="22"/>
  <c r="GI174" i="22"/>
  <c r="GI177" i="22"/>
  <c r="GH178" i="22"/>
  <c r="GH183" i="22"/>
  <c r="DN185" i="22"/>
  <c r="DQ185" i="22" s="1"/>
  <c r="GG185" i="22"/>
  <c r="DT187" i="22"/>
  <c r="GI78" i="22"/>
  <c r="GG79" i="22"/>
  <c r="GH83" i="22"/>
  <c r="GF84" i="22"/>
  <c r="CL86" i="22"/>
  <c r="CO86" i="22" s="1"/>
  <c r="GI86" i="22"/>
  <c r="GH96" i="22"/>
  <c r="GG98" i="22"/>
  <c r="GH100" i="22"/>
  <c r="GH105" i="22"/>
  <c r="GA113" i="22"/>
  <c r="GM113" i="22"/>
  <c r="GI115" i="22"/>
  <c r="GG118" i="22"/>
  <c r="GP120" i="22"/>
  <c r="GI122" i="22"/>
  <c r="GH123" i="22"/>
  <c r="GG130" i="22"/>
  <c r="GM132" i="22"/>
  <c r="BJ139" i="22"/>
  <c r="BM139" i="22" s="1"/>
  <c r="GI140" i="22"/>
  <c r="GF142" i="22"/>
  <c r="CL146" i="22"/>
  <c r="CO146" i="22" s="1"/>
  <c r="GQ152" i="22"/>
  <c r="GI153" i="22"/>
  <c r="BJ157" i="22"/>
  <c r="BJ158" i="22"/>
  <c r="CR159" i="22"/>
  <c r="GG163" i="22"/>
  <c r="GA165" i="22"/>
  <c r="CL171" i="22"/>
  <c r="CO171" i="22" s="1"/>
  <c r="CL175" i="22"/>
  <c r="CO175" i="22" s="1"/>
  <c r="GT187" i="22"/>
  <c r="GT189" i="22"/>
  <c r="GI190" i="22"/>
  <c r="GQ191" i="22"/>
  <c r="EP67" i="22"/>
  <c r="ES67" i="22" s="1"/>
  <c r="ET67" i="22" s="1"/>
  <c r="EU67" i="22" s="1"/>
  <c r="GF67" i="22"/>
  <c r="GF70" i="22"/>
  <c r="GA71" i="22"/>
  <c r="GG73" i="22"/>
  <c r="GI74" i="22"/>
  <c r="CL75" i="22"/>
  <c r="CO75" i="22" s="1"/>
  <c r="GF76" i="22"/>
  <c r="GP79" i="22"/>
  <c r="GH85" i="22"/>
  <c r="GG87" i="22"/>
  <c r="GH90" i="22"/>
  <c r="GG94" i="22"/>
  <c r="CL96" i="22"/>
  <c r="CO96" i="22" s="1"/>
  <c r="GI100" i="22"/>
  <c r="GF103" i="22"/>
  <c r="GI105" i="22"/>
  <c r="CL106" i="22"/>
  <c r="CO106" i="22" s="1"/>
  <c r="GA106" i="22"/>
  <c r="GT110" i="22"/>
  <c r="DN110" i="22"/>
  <c r="GH111" i="22"/>
  <c r="GF115" i="22"/>
  <c r="GA116" i="22"/>
  <c r="GT118" i="22"/>
  <c r="DN118" i="22"/>
  <c r="GQ119" i="22"/>
  <c r="GT120" i="22"/>
  <c r="GT121" i="22"/>
  <c r="GF124" i="22"/>
  <c r="GQ127" i="22"/>
  <c r="GF128" i="22"/>
  <c r="GH130" i="22"/>
  <c r="BK131" i="22"/>
  <c r="GI131" i="22"/>
  <c r="EV133" i="22"/>
  <c r="GG133" i="22"/>
  <c r="DN135" i="22"/>
  <c r="DQ135" i="22" s="1"/>
  <c r="GA140" i="22"/>
  <c r="GG142" i="22"/>
  <c r="GH143" i="22"/>
  <c r="DT145" i="22"/>
  <c r="EV147" i="22"/>
  <c r="GA147" i="22"/>
  <c r="DN148" i="22"/>
  <c r="DQ148" i="22" s="1"/>
  <c r="GI149" i="22"/>
  <c r="GA153" i="22"/>
  <c r="GH155" i="22"/>
  <c r="GA157" i="22"/>
  <c r="GP170" i="22"/>
  <c r="CL178" i="22"/>
  <c r="CO178" i="22" s="1"/>
  <c r="GT178" i="22"/>
  <c r="GT179" i="22"/>
  <c r="GA179" i="22"/>
  <c r="GF183" i="22"/>
  <c r="GF184" i="22"/>
  <c r="GP184" i="22"/>
  <c r="GI185" i="22"/>
  <c r="GG186" i="22"/>
  <c r="GF187" i="22"/>
  <c r="GG188" i="22"/>
  <c r="EP190" i="22"/>
  <c r="ES190" i="22" s="1"/>
  <c r="GG191" i="22"/>
  <c r="GQ192" i="22"/>
  <c r="CL193" i="22"/>
  <c r="CO193" i="22" s="1"/>
  <c r="GT113" i="22"/>
  <c r="CL115" i="22"/>
  <c r="CO115" i="22" s="1"/>
  <c r="GA115" i="22"/>
  <c r="GQ115" i="22"/>
  <c r="BJ116" i="22"/>
  <c r="GA124" i="22"/>
  <c r="GN131" i="22"/>
  <c r="BJ135" i="22"/>
  <c r="GP135" i="22"/>
  <c r="CL136" i="22"/>
  <c r="CO136" i="22" s="1"/>
  <c r="BJ140" i="22"/>
  <c r="EV140" i="22"/>
  <c r="GQ140" i="22"/>
  <c r="CL143" i="22"/>
  <c r="GH147" i="22"/>
  <c r="CL148" i="22"/>
  <c r="BJ150" i="22"/>
  <c r="GI152" i="22"/>
  <c r="GK152" i="22" s="1"/>
  <c r="GH160" i="22"/>
  <c r="CR162" i="22"/>
  <c r="GF162" i="22"/>
  <c r="GL164" i="22"/>
  <c r="CL165" i="22"/>
  <c r="CO165" i="22" s="1"/>
  <c r="CL168" i="22"/>
  <c r="CO168" i="22" s="1"/>
  <c r="GI171" i="22"/>
  <c r="DQ176" i="22"/>
  <c r="ES179" i="22"/>
  <c r="GT183" i="22"/>
  <c r="GG183" i="22"/>
  <c r="GG187" i="22"/>
  <c r="GT188" i="22"/>
  <c r="DN188" i="22"/>
  <c r="DQ188" i="22" s="1"/>
  <c r="GF190" i="22"/>
  <c r="GH191" i="22"/>
  <c r="GA123" i="22"/>
  <c r="EP126" i="22"/>
  <c r="ES126" i="22" s="1"/>
  <c r="GP127" i="22"/>
  <c r="GP130" i="22"/>
  <c r="GO131" i="22"/>
  <c r="GH137" i="22"/>
  <c r="DT140" i="22"/>
  <c r="DN162" i="22"/>
  <c r="DQ162" i="22" s="1"/>
  <c r="ES162" i="22"/>
  <c r="GN163" i="22"/>
  <c r="GP178" i="22"/>
  <c r="DN179" i="22"/>
  <c r="GT190" i="22"/>
  <c r="CR133" i="22"/>
  <c r="GQ135" i="22"/>
  <c r="CL137" i="22"/>
  <c r="DN138" i="22"/>
  <c r="EP140" i="22"/>
  <c r="EP141" i="22"/>
  <c r="DN145" i="22"/>
  <c r="DQ145" i="22" s="1"/>
  <c r="EP146" i="22"/>
  <c r="ES146" i="22" s="1"/>
  <c r="GA148" i="22"/>
  <c r="GG155" i="22"/>
  <c r="GT156" i="22"/>
  <c r="GF157" i="22"/>
  <c r="GF160" i="22"/>
  <c r="GT161" i="22"/>
  <c r="GN164" i="22"/>
  <c r="GP164" i="22" s="1"/>
  <c r="DN166" i="22"/>
  <c r="GI167" i="22"/>
  <c r="GA168" i="22"/>
  <c r="GF177" i="22"/>
  <c r="GF181" i="22"/>
  <c r="DN184" i="22"/>
  <c r="CL186" i="22"/>
  <c r="CO186" i="22" s="1"/>
  <c r="GA186" i="22"/>
  <c r="GI187" i="22"/>
  <c r="GA188" i="22"/>
  <c r="EP136" i="22"/>
  <c r="GT152" i="22"/>
  <c r="BJ169" i="22"/>
  <c r="GT171" i="22"/>
  <c r="BJ173" i="22"/>
  <c r="GQ175" i="22"/>
  <c r="BJ179" i="22"/>
  <c r="GA183" i="22"/>
  <c r="GF193" i="22"/>
  <c r="CR40" i="22"/>
  <c r="BP40" i="22"/>
  <c r="DT40" i="22"/>
  <c r="GQ49" i="22"/>
  <c r="GP49" i="22"/>
  <c r="BP64" i="22"/>
  <c r="CR64" i="22"/>
  <c r="DT64" i="22"/>
  <c r="EV64" i="22"/>
  <c r="BJ8" i="22"/>
  <c r="GP9" i="22"/>
  <c r="CL10" i="22"/>
  <c r="CO10" i="22" s="1"/>
  <c r="EP12" i="22"/>
  <c r="ES12" i="22" s="1"/>
  <c r="ES13" i="22"/>
  <c r="GI13" i="22"/>
  <c r="GF14" i="22"/>
  <c r="DN15" i="22"/>
  <c r="DQ15" i="22" s="1"/>
  <c r="GG15" i="22"/>
  <c r="EV17" i="22"/>
  <c r="GA17" i="22"/>
  <c r="GG19" i="22"/>
  <c r="GT20" i="22"/>
  <c r="GL21" i="22"/>
  <c r="GN21" i="22"/>
  <c r="DN22" i="22"/>
  <c r="DQ22" i="22" s="1"/>
  <c r="GI23" i="22"/>
  <c r="GA28" i="22"/>
  <c r="GA37" i="22"/>
  <c r="EP39" i="22"/>
  <c r="ES39" i="22" s="1"/>
  <c r="GF42" i="22"/>
  <c r="GA42" i="22"/>
  <c r="GI44" i="22"/>
  <c r="BJ49" i="22"/>
  <c r="EV26" i="22"/>
  <c r="CR26" i="22"/>
  <c r="GA27" i="22"/>
  <c r="GQ27" i="22"/>
  <c r="GP27" i="22"/>
  <c r="EV10" i="22"/>
  <c r="CR10" i="22"/>
  <c r="BP10" i="22"/>
  <c r="GP34" i="22"/>
  <c r="GQ34" i="22"/>
  <c r="EP6" i="22"/>
  <c r="ES6" i="22" s="1"/>
  <c r="GI6" i="22"/>
  <c r="GT8" i="22"/>
  <c r="GT9" i="22"/>
  <c r="GG13" i="22"/>
  <c r="GK13" i="22" s="1"/>
  <c r="EP15" i="22"/>
  <c r="ES15" i="22" s="1"/>
  <c r="GI15" i="22"/>
  <c r="EP17" i="22"/>
  <c r="ES17" i="22" s="1"/>
  <c r="BJ29" i="22"/>
  <c r="BM29" i="22" s="1"/>
  <c r="BJ30" i="22"/>
  <c r="DQ7" i="22"/>
  <c r="GG34" i="22"/>
  <c r="GA34" i="22"/>
  <c r="GT13" i="22"/>
  <c r="DN13" i="22"/>
  <c r="DQ13" i="22" s="1"/>
  <c r="GI17" i="22"/>
  <c r="GJ17" i="22" s="1"/>
  <c r="EP19" i="22"/>
  <c r="ES19" i="22" s="1"/>
  <c r="GI19" i="22"/>
  <c r="GA21" i="22"/>
  <c r="BJ6" i="22"/>
  <c r="GA6" i="22"/>
  <c r="GQ6" i="22"/>
  <c r="CL7" i="22"/>
  <c r="CO7" i="22" s="1"/>
  <c r="GG9" i="22"/>
  <c r="GP10" i="22"/>
  <c r="GQ10" i="22"/>
  <c r="ES11" i="22"/>
  <c r="GQ12" i="22"/>
  <c r="GT17" i="22"/>
  <c r="BP26" i="22"/>
  <c r="DT27" i="22"/>
  <c r="EV27" i="22"/>
  <c r="BP27" i="22"/>
  <c r="CR27" i="22"/>
  <c r="EP27" i="22"/>
  <c r="ES27" i="22" s="1"/>
  <c r="BJ36" i="22"/>
  <c r="CL36" i="22"/>
  <c r="CO36" i="22" s="1"/>
  <c r="BJ38" i="22"/>
  <c r="EV48" i="22"/>
  <c r="CR48" i="22"/>
  <c r="BP48" i="22"/>
  <c r="GQ59" i="22"/>
  <c r="GM60" i="22"/>
  <c r="GL60" i="22"/>
  <c r="GA47" i="22"/>
  <c r="GF47" i="22"/>
  <c r="GP16" i="22"/>
  <c r="GJ37" i="22"/>
  <c r="GT49" i="22"/>
  <c r="DT78" i="22"/>
  <c r="BP78" i="22"/>
  <c r="EV78" i="22"/>
  <c r="GH20" i="22"/>
  <c r="GT23" i="22"/>
  <c r="CL31" i="22"/>
  <c r="CO31" i="22" s="1"/>
  <c r="DT10" i="22"/>
  <c r="GH11" i="22"/>
  <c r="CR16" i="22"/>
  <c r="DT16" i="22"/>
  <c r="GQ16" i="22"/>
  <c r="CL17" i="22"/>
  <c r="CO17" i="22" s="1"/>
  <c r="BJ18" i="22"/>
  <c r="BM18" i="22" s="1"/>
  <c r="EP18" i="22"/>
  <c r="ES18" i="22" s="1"/>
  <c r="GH27" i="22"/>
  <c r="GK27" i="22" s="1"/>
  <c r="DN28" i="22"/>
  <c r="DQ28" i="22" s="1"/>
  <c r="GG29" i="22"/>
  <c r="BJ37" i="22"/>
  <c r="GP43" i="22"/>
  <c r="GI47" i="22"/>
  <c r="CO48" i="22"/>
  <c r="GM67" i="22"/>
  <c r="GN67" i="22"/>
  <c r="GO67" i="22"/>
  <c r="GT25" i="22"/>
  <c r="GL31" i="22"/>
  <c r="GT33" i="22"/>
  <c r="EP33" i="22"/>
  <c r="GG33" i="22"/>
  <c r="BJ34" i="22"/>
  <c r="BM34" i="22" s="1"/>
  <c r="EP34" i="22"/>
  <c r="ES34" i="22" s="1"/>
  <c r="EV37" i="22"/>
  <c r="EP38" i="22"/>
  <c r="ES38" i="22" s="1"/>
  <c r="GP38" i="22"/>
  <c r="GA39" i="22"/>
  <c r="GT43" i="22"/>
  <c r="DN43" i="22"/>
  <c r="DQ43" i="22" s="1"/>
  <c r="EP43" i="22"/>
  <c r="ES43" i="22" s="1"/>
  <c r="GH43" i="22"/>
  <c r="EP46" i="22"/>
  <c r="ES46" i="22" s="1"/>
  <c r="GF46" i="22"/>
  <c r="GF48" i="22"/>
  <c r="CL50" i="22"/>
  <c r="CO50" i="22" s="1"/>
  <c r="GI50" i="22"/>
  <c r="DQ52" i="22"/>
  <c r="GH53" i="22"/>
  <c r="DN57" i="22"/>
  <c r="DQ57" i="22" s="1"/>
  <c r="BM59" i="22"/>
  <c r="GH64" i="22"/>
  <c r="GT65" i="22"/>
  <c r="GQ76" i="22"/>
  <c r="GP76" i="22"/>
  <c r="GQ83" i="22"/>
  <c r="CR93" i="22"/>
  <c r="DT93" i="22"/>
  <c r="BP93" i="22"/>
  <c r="DN29" i="22"/>
  <c r="BJ7" i="22"/>
  <c r="GQ8" i="22"/>
  <c r="DN9" i="22"/>
  <c r="DQ9" i="22" s="1"/>
  <c r="BJ11" i="22"/>
  <c r="CR14" i="22"/>
  <c r="DT14" i="22"/>
  <c r="GP14" i="22"/>
  <c r="CL15" i="22"/>
  <c r="CO15" i="22" s="1"/>
  <c r="DN16" i="22"/>
  <c r="DQ16" i="22" s="1"/>
  <c r="GP17" i="22"/>
  <c r="DN19" i="22"/>
  <c r="DQ19" i="22" s="1"/>
  <c r="DT20" i="22"/>
  <c r="CR25" i="22"/>
  <c r="CL27" i="22"/>
  <c r="CO27" i="22" s="1"/>
  <c r="GQ29" i="22"/>
  <c r="GM31" i="22"/>
  <c r="GP31" i="22" s="1"/>
  <c r="BJ32" i="22"/>
  <c r="BM32" i="22" s="1"/>
  <c r="CR34" i="22"/>
  <c r="CL39" i="22"/>
  <c r="CO39" i="22" s="1"/>
  <c r="CL40" i="22"/>
  <c r="CO40" i="22" s="1"/>
  <c r="DN41" i="22"/>
  <c r="DQ41" i="22" s="1"/>
  <c r="EP41" i="22"/>
  <c r="ES41" i="22" s="1"/>
  <c r="GQ45" i="22"/>
  <c r="DN46" i="22"/>
  <c r="DQ46" i="22" s="1"/>
  <c r="GP47" i="22"/>
  <c r="GF50" i="22"/>
  <c r="GA50" i="22"/>
  <c r="GN52" i="22"/>
  <c r="GO52" i="22"/>
  <c r="GM52" i="22"/>
  <c r="CL52" i="22"/>
  <c r="CO52" i="22" s="1"/>
  <c r="GA52" i="22"/>
  <c r="BJ60" i="22"/>
  <c r="CL83" i="22"/>
  <c r="GI57" i="22"/>
  <c r="GQ65" i="22"/>
  <c r="GP65" i="22"/>
  <c r="GP72" i="22"/>
  <c r="GQ72" i="22"/>
  <c r="GT78" i="22"/>
  <c r="GP78" i="22"/>
  <c r="BJ84" i="22"/>
  <c r="GI11" i="22"/>
  <c r="EV12" i="22"/>
  <c r="BJ13" i="22"/>
  <c r="CL14" i="22"/>
  <c r="CO14" i="22" s="1"/>
  <c r="GA15" i="22"/>
  <c r="CL16" i="22"/>
  <c r="CO16" i="22" s="1"/>
  <c r="GG16" i="22"/>
  <c r="BJ17" i="22"/>
  <c r="CL19" i="22"/>
  <c r="CO19" i="22" s="1"/>
  <c r="GT19" i="22"/>
  <c r="DN20" i="22"/>
  <c r="DQ20" i="22" s="1"/>
  <c r="GH21" i="22"/>
  <c r="BJ23" i="22"/>
  <c r="GT24" i="22"/>
  <c r="GH25" i="22"/>
  <c r="EP26" i="22"/>
  <c r="ES26" i="22" s="1"/>
  <c r="GQ26" i="22"/>
  <c r="GH29" i="22"/>
  <c r="EP31" i="22"/>
  <c r="ES31" i="22" s="1"/>
  <c r="GA32" i="22"/>
  <c r="DN35" i="22"/>
  <c r="DQ35" i="22" s="1"/>
  <c r="GG35" i="22"/>
  <c r="GF36" i="22"/>
  <c r="CR37" i="22"/>
  <c r="DN38" i="22"/>
  <c r="DQ38" i="22" s="1"/>
  <c r="GI38" i="22"/>
  <c r="DT39" i="22"/>
  <c r="GA40" i="22"/>
  <c r="GH41" i="22"/>
  <c r="CR42" i="22"/>
  <c r="BP42" i="22"/>
  <c r="DT42" i="22"/>
  <c r="GT42" i="22"/>
  <c r="GP42" i="22"/>
  <c r="GA43" i="22"/>
  <c r="EP45" i="22"/>
  <c r="ES45" i="22" s="1"/>
  <c r="GI46" i="22"/>
  <c r="GT47" i="22"/>
  <c r="GO56" i="22"/>
  <c r="GM56" i="22"/>
  <c r="CL56" i="22"/>
  <c r="CO56" i="22" s="1"/>
  <c r="DN58" i="22"/>
  <c r="DQ58" i="22" s="1"/>
  <c r="GM63" i="22"/>
  <c r="GL63" i="22"/>
  <c r="CL63" i="22"/>
  <c r="CO63" i="22" s="1"/>
  <c r="GO63" i="22"/>
  <c r="GQ64" i="22"/>
  <c r="GA72" i="22"/>
  <c r="CO73" i="22"/>
  <c r="BP90" i="22"/>
  <c r="DT90" i="22"/>
  <c r="GP93" i="22"/>
  <c r="DN53" i="22"/>
  <c r="DQ53" i="22" s="1"/>
  <c r="GP105" i="22"/>
  <c r="DN30" i="22"/>
  <c r="DQ30" i="22" s="1"/>
  <c r="DN34" i="22"/>
  <c r="DQ34" i="22" s="1"/>
  <c r="CL38" i="22"/>
  <c r="CO38" i="22" s="1"/>
  <c r="GA38" i="22"/>
  <c r="GF38" i="22"/>
  <c r="DN42" i="22"/>
  <c r="DQ42" i="22" s="1"/>
  <c r="CL46" i="22"/>
  <c r="CO46" i="22" s="1"/>
  <c r="GA46" i="22"/>
  <c r="EP51" i="22"/>
  <c r="ES51" i="22" s="1"/>
  <c r="EP61" i="22"/>
  <c r="CL6" i="22"/>
  <c r="CO6" i="22" s="1"/>
  <c r="GH6" i="22"/>
  <c r="GF7" i="22"/>
  <c r="GP7" i="22"/>
  <c r="GH9" i="22"/>
  <c r="DN10" i="22"/>
  <c r="DQ10" i="22" s="1"/>
  <c r="GA10" i="22"/>
  <c r="BP12" i="22"/>
  <c r="GP13" i="22"/>
  <c r="GH14" i="22"/>
  <c r="GJ14" i="22" s="1"/>
  <c r="GT15" i="22"/>
  <c r="GM15" i="22"/>
  <c r="DN17" i="22"/>
  <c r="DQ17" i="22" s="1"/>
  <c r="CL20" i="22"/>
  <c r="CO20" i="22" s="1"/>
  <c r="GF20" i="22"/>
  <c r="GP20" i="22"/>
  <c r="GQ22" i="22"/>
  <c r="GP23" i="22"/>
  <c r="BP24" i="22"/>
  <c r="GH24" i="22"/>
  <c r="GA25" i="22"/>
  <c r="GP25" i="22"/>
  <c r="GG28" i="22"/>
  <c r="GT29" i="22"/>
  <c r="GP29" i="22"/>
  <c r="GA30" i="22"/>
  <c r="DT31" i="22"/>
  <c r="BP31" i="22"/>
  <c r="GH31" i="22"/>
  <c r="GT32" i="22"/>
  <c r="BP39" i="22"/>
  <c r="DN39" i="22"/>
  <c r="DQ39" i="22" s="1"/>
  <c r="BJ44" i="22"/>
  <c r="GP45" i="22"/>
  <c r="GQ47" i="22"/>
  <c r="EV50" i="22"/>
  <c r="BP50" i="22"/>
  <c r="CR50" i="22"/>
  <c r="CR51" i="22"/>
  <c r="GF51" i="22"/>
  <c r="GK51" i="22" s="1"/>
  <c r="BJ56" i="22"/>
  <c r="BM56" i="22" s="1"/>
  <c r="BJ58" i="22"/>
  <c r="BM58" i="22" s="1"/>
  <c r="GF58" i="22"/>
  <c r="GJ58" i="22" s="1"/>
  <c r="CL67" i="22"/>
  <c r="CO67" i="22" s="1"/>
  <c r="BJ73" i="22"/>
  <c r="BM73" i="22" s="1"/>
  <c r="CR77" i="22"/>
  <c r="EV77" i="22"/>
  <c r="GT77" i="22"/>
  <c r="EP78" i="22"/>
  <c r="ES78" i="22" s="1"/>
  <c r="BJ79" i="22"/>
  <c r="BM79" i="22" s="1"/>
  <c r="BP81" i="22"/>
  <c r="CR81" i="22"/>
  <c r="DT81" i="22"/>
  <c r="GQ88" i="22"/>
  <c r="GG40" i="22"/>
  <c r="GA41" i="22"/>
  <c r="BJ45" i="22"/>
  <c r="GH49" i="22"/>
  <c r="GA54" i="22"/>
  <c r="GG55" i="22"/>
  <c r="GG56" i="22"/>
  <c r="BJ57" i="22"/>
  <c r="BM57" i="22" s="1"/>
  <c r="GA57" i="22"/>
  <c r="EV58" i="22"/>
  <c r="GH59" i="22"/>
  <c r="GG60" i="22"/>
  <c r="GK60" i="22" s="1"/>
  <c r="BJ61" i="22"/>
  <c r="BM61" i="22" s="1"/>
  <c r="GA62" i="22"/>
  <c r="DN63" i="22"/>
  <c r="DQ63" i="22" s="1"/>
  <c r="DT68" i="22"/>
  <c r="CL69" i="22"/>
  <c r="CO69" i="22" s="1"/>
  <c r="CR72" i="22"/>
  <c r="BP72" i="22"/>
  <c r="DT72" i="22"/>
  <c r="BJ74" i="22"/>
  <c r="GA75" i="22"/>
  <c r="EV76" i="22"/>
  <c r="GA76" i="22"/>
  <c r="GG76" i="22"/>
  <c r="GG81" i="22"/>
  <c r="GJ82" i="22"/>
  <c r="EV84" i="22"/>
  <c r="BJ88" i="22"/>
  <c r="GF88" i="22"/>
  <c r="EP89" i="22"/>
  <c r="ES89" i="22" s="1"/>
  <c r="EP91" i="22"/>
  <c r="ES91" i="22" s="1"/>
  <c r="GA92" i="22"/>
  <c r="GP92" i="22"/>
  <c r="GP94" i="22"/>
  <c r="GQ94" i="22"/>
  <c r="GA98" i="22"/>
  <c r="GA102" i="22"/>
  <c r="GP102" i="22"/>
  <c r="BJ104" i="22"/>
  <c r="EP111" i="22"/>
  <c r="ES111" i="22" s="1"/>
  <c r="BJ115" i="22"/>
  <c r="GT28" i="22"/>
  <c r="GT30" i="22"/>
  <c r="GP30" i="22"/>
  <c r="DN31" i="22"/>
  <c r="DQ31" i="22" s="1"/>
  <c r="GI31" i="22"/>
  <c r="EP36" i="22"/>
  <c r="ES36" i="22" s="1"/>
  <c r="GT41" i="22"/>
  <c r="DT41" i="22"/>
  <c r="CL43" i="22"/>
  <c r="CO43" i="22" s="1"/>
  <c r="GT44" i="22"/>
  <c r="GQ44" i="22"/>
  <c r="GT46" i="22"/>
  <c r="CL47" i="22"/>
  <c r="CO47" i="22" s="1"/>
  <c r="BJ48" i="22"/>
  <c r="BM48" i="22" s="1"/>
  <c r="EP50" i="22"/>
  <c r="ES50" i="22" s="1"/>
  <c r="GT51" i="22"/>
  <c r="CR52" i="22"/>
  <c r="EP52" i="22"/>
  <c r="ES52" i="22" s="1"/>
  <c r="EP53" i="22"/>
  <c r="ES53" i="22" s="1"/>
  <c r="GP54" i="22"/>
  <c r="CL55" i="22"/>
  <c r="CO55" i="22" s="1"/>
  <c r="EP55" i="22"/>
  <c r="ES55" i="22" s="1"/>
  <c r="GP58" i="22"/>
  <c r="CL59" i="22"/>
  <c r="CO59" i="22" s="1"/>
  <c r="GT60" i="22"/>
  <c r="GA61" i="22"/>
  <c r="EV62" i="22"/>
  <c r="GF65" i="22"/>
  <c r="GH66" i="22"/>
  <c r="GT67" i="22"/>
  <c r="GT69" i="22"/>
  <c r="GI71" i="22"/>
  <c r="GH72" i="22"/>
  <c r="BP73" i="22"/>
  <c r="DT73" i="22"/>
  <c r="GT73" i="22"/>
  <c r="CR73" i="22"/>
  <c r="GG74" i="22"/>
  <c r="BJ77" i="22"/>
  <c r="GT79" i="22"/>
  <c r="CL81" i="22"/>
  <c r="CO81" i="22" s="1"/>
  <c r="EV83" i="22"/>
  <c r="BP83" i="22"/>
  <c r="DT83" i="22"/>
  <c r="GT85" i="22"/>
  <c r="DN85" i="22"/>
  <c r="DQ85" i="22" s="1"/>
  <c r="CL100" i="22"/>
  <c r="CO100" i="22" s="1"/>
  <c r="GT115" i="22"/>
  <c r="EV131" i="22"/>
  <c r="BP131" i="22"/>
  <c r="EP56" i="22"/>
  <c r="ES56" i="22" s="1"/>
  <c r="GI56" i="22"/>
  <c r="EP65" i="22"/>
  <c r="ES65" i="22" s="1"/>
  <c r="ET65" i="22" s="1"/>
  <c r="GG65" i="22"/>
  <c r="EP70" i="22"/>
  <c r="GG71" i="22"/>
  <c r="GP74" i="22"/>
  <c r="GP80" i="22"/>
  <c r="GT84" i="22"/>
  <c r="GQ87" i="22"/>
  <c r="BP92" i="22"/>
  <c r="EV92" i="22"/>
  <c r="GT92" i="22"/>
  <c r="CR92" i="22"/>
  <c r="DN96" i="22"/>
  <c r="DQ96" i="22" s="1"/>
  <c r="GO100" i="22"/>
  <c r="GL100" i="22"/>
  <c r="GM100" i="22"/>
  <c r="GQ101" i="22"/>
  <c r="EP106" i="22"/>
  <c r="ES106" i="22" s="1"/>
  <c r="GT76" i="22"/>
  <c r="EP77" i="22"/>
  <c r="ES77" i="22" s="1"/>
  <c r="BJ78" i="22"/>
  <c r="BM78" i="22" s="1"/>
  <c r="DN84" i="22"/>
  <c r="DQ84" i="22" s="1"/>
  <c r="CL85" i="22"/>
  <c r="CO85" i="22" s="1"/>
  <c r="EP94" i="22"/>
  <c r="GT98" i="22"/>
  <c r="EP102" i="22"/>
  <c r="ES102" i="22" s="1"/>
  <c r="GK116" i="22"/>
  <c r="BJ46" i="22"/>
  <c r="BJ52" i="22"/>
  <c r="BM52" i="22" s="1"/>
  <c r="GA53" i="22"/>
  <c r="CL54" i="22"/>
  <c r="CO54" i="22" s="1"/>
  <c r="EP57" i="22"/>
  <c r="ES57" i="22" s="1"/>
  <c r="EP59" i="22"/>
  <c r="ES59" i="22" s="1"/>
  <c r="ET59" i="22" s="1"/>
  <c r="EU59" i="22" s="1"/>
  <c r="BJ63" i="22"/>
  <c r="GA69" i="22"/>
  <c r="GA73" i="22"/>
  <c r="BP76" i="22"/>
  <c r="BJ82" i="22"/>
  <c r="BJ83" i="22"/>
  <c r="BJ85" i="22"/>
  <c r="GA86" i="22"/>
  <c r="DN87" i="22"/>
  <c r="DQ87" i="22" s="1"/>
  <c r="DT89" i="22"/>
  <c r="CR95" i="22"/>
  <c r="DT95" i="22"/>
  <c r="BP95" i="22"/>
  <c r="BP101" i="22"/>
  <c r="CR101" i="22"/>
  <c r="EV101" i="22"/>
  <c r="GF106" i="22"/>
  <c r="DN116" i="22"/>
  <c r="DQ116" i="22" s="1"/>
  <c r="GA63" i="22"/>
  <c r="DN64" i="22"/>
  <c r="DQ64" i="22" s="1"/>
  <c r="GG66" i="22"/>
  <c r="GH67" i="22"/>
  <c r="DN69" i="22"/>
  <c r="DQ69" i="22" s="1"/>
  <c r="GH69" i="22"/>
  <c r="GP70" i="22"/>
  <c r="CL71" i="22"/>
  <c r="DN73" i="22"/>
  <c r="DQ73" i="22" s="1"/>
  <c r="GF73" i="22"/>
  <c r="GP73" i="22"/>
  <c r="GG75" i="22"/>
  <c r="DN76" i="22"/>
  <c r="DQ76" i="22" s="1"/>
  <c r="CL78" i="22"/>
  <c r="CO78" i="22" s="1"/>
  <c r="GH78" i="22"/>
  <c r="DT79" i="22"/>
  <c r="BP80" i="22"/>
  <c r="EP80" i="22"/>
  <c r="BP82" i="22"/>
  <c r="DN82" i="22"/>
  <c r="DQ82" i="22" s="1"/>
  <c r="GG84" i="22"/>
  <c r="GT86" i="22"/>
  <c r="GI88" i="22"/>
  <c r="GP88" i="22"/>
  <c r="GG90" i="22"/>
  <c r="CL91" i="22"/>
  <c r="CO91" i="22" s="1"/>
  <c r="GH94" i="22"/>
  <c r="GF95" i="22"/>
  <c r="EP99" i="22"/>
  <c r="ES99" i="22" s="1"/>
  <c r="GT100" i="22"/>
  <c r="CL101" i="22"/>
  <c r="GA101" i="22"/>
  <c r="EP103" i="22"/>
  <c r="ES103" i="22" s="1"/>
  <c r="CR104" i="22"/>
  <c r="GF104" i="22"/>
  <c r="GJ104" i="22" s="1"/>
  <c r="DN105" i="22"/>
  <c r="DQ105" i="22" s="1"/>
  <c r="GG105" i="22"/>
  <c r="GA107" i="22"/>
  <c r="DN108" i="22"/>
  <c r="DQ108" i="22" s="1"/>
  <c r="GH108" i="22"/>
  <c r="GI111" i="22"/>
  <c r="GT114" i="22"/>
  <c r="EV114" i="22"/>
  <c r="DN124" i="22"/>
  <c r="DQ124" i="22" s="1"/>
  <c r="BJ128" i="22"/>
  <c r="BM128" i="22" s="1"/>
  <c r="BJ132" i="22"/>
  <c r="BP134" i="22"/>
  <c r="ES136" i="22"/>
  <c r="GT165" i="22"/>
  <c r="BM169" i="22"/>
  <c r="GI94" i="22"/>
  <c r="BJ95" i="22"/>
  <c r="BM95" i="22" s="1"/>
  <c r="DT100" i="22"/>
  <c r="GT101" i="22"/>
  <c r="GP101" i="22"/>
  <c r="CL102" i="22"/>
  <c r="CO102" i="22" s="1"/>
  <c r="GI102" i="22"/>
  <c r="BP103" i="22"/>
  <c r="GH103" i="22"/>
  <c r="DN104" i="22"/>
  <c r="DQ104" i="22" s="1"/>
  <c r="BJ105" i="22"/>
  <c r="BM105" i="22" s="1"/>
  <c r="GG110" i="22"/>
  <c r="GI112" i="22"/>
  <c r="GQ114" i="22"/>
  <c r="GP114" i="22"/>
  <c r="BJ117" i="22"/>
  <c r="DQ118" i="22"/>
  <c r="DQ120" i="22"/>
  <c r="CL153" i="22"/>
  <c r="CO153" i="22" s="1"/>
  <c r="GQ155" i="22"/>
  <c r="GP155" i="22"/>
  <c r="GT63" i="22"/>
  <c r="GA64" i="22"/>
  <c r="DN65" i="22"/>
  <c r="DQ65" i="22" s="1"/>
  <c r="GA66" i="22"/>
  <c r="DN67" i="22"/>
  <c r="DQ67" i="22" s="1"/>
  <c r="GG67" i="22"/>
  <c r="GA68" i="22"/>
  <c r="GQ70" i="22"/>
  <c r="BJ71" i="22"/>
  <c r="BM71" i="22" s="1"/>
  <c r="DN72" i="22"/>
  <c r="DQ72" i="22" s="1"/>
  <c r="EP72" i="22"/>
  <c r="ES72" i="22" s="1"/>
  <c r="GI73" i="22"/>
  <c r="DN74" i="22"/>
  <c r="BJ75" i="22"/>
  <c r="BJ76" i="22"/>
  <c r="DN77" i="22"/>
  <c r="DQ77" i="22" s="1"/>
  <c r="CL79" i="22"/>
  <c r="GI81" i="22"/>
  <c r="GG83" i="22"/>
  <c r="GH86" i="22"/>
  <c r="GT88" i="22"/>
  <c r="DN88" i="22"/>
  <c r="DQ88" i="22" s="1"/>
  <c r="BJ89" i="22"/>
  <c r="BM89" i="22" s="1"/>
  <c r="GG89" i="22"/>
  <c r="GG91" i="22"/>
  <c r="GF92" i="22"/>
  <c r="GI95" i="22"/>
  <c r="BJ97" i="22"/>
  <c r="BM97" i="22" s="1"/>
  <c r="GA99" i="22"/>
  <c r="BP100" i="22"/>
  <c r="EP100" i="22"/>
  <c r="ES100" i="22" s="1"/>
  <c r="GG100" i="22"/>
  <c r="BJ102" i="22"/>
  <c r="GG102" i="22"/>
  <c r="CL103" i="22"/>
  <c r="CO103" i="22" s="1"/>
  <c r="GQ103" i="22"/>
  <c r="GT107" i="22"/>
  <c r="DT107" i="22"/>
  <c r="GQ107" i="22"/>
  <c r="BJ108" i="22"/>
  <c r="GG109" i="22"/>
  <c r="GK109" i="22" s="1"/>
  <c r="GI110" i="22"/>
  <c r="GT117" i="22"/>
  <c r="CL118" i="22"/>
  <c r="CO118" i="22" s="1"/>
  <c r="GA119" i="22"/>
  <c r="GF122" i="22"/>
  <c r="BJ124" i="22"/>
  <c r="BM124" i="22" s="1"/>
  <c r="CL126" i="22"/>
  <c r="CO126" i="22" s="1"/>
  <c r="BJ131" i="22"/>
  <c r="GT147" i="22"/>
  <c r="CR147" i="22"/>
  <c r="GN149" i="22"/>
  <c r="GO149" i="22"/>
  <c r="GM149" i="22"/>
  <c r="GL149" i="22"/>
  <c r="GA120" i="22"/>
  <c r="GQ120" i="22"/>
  <c r="EV127" i="22"/>
  <c r="EV129" i="22"/>
  <c r="BP129" i="22"/>
  <c r="DT129" i="22"/>
  <c r="DN133" i="22"/>
  <c r="DQ133" i="22" s="1"/>
  <c r="GA135" i="22"/>
  <c r="GA138" i="22"/>
  <c r="GQ141" i="22"/>
  <c r="GP141" i="22"/>
  <c r="GI66" i="22"/>
  <c r="EP68" i="22"/>
  <c r="ES68" i="22" s="1"/>
  <c r="GF69" i="22"/>
  <c r="GF71" i="22"/>
  <c r="GQ71" i="22"/>
  <c r="GI72" i="22"/>
  <c r="GH73" i="22"/>
  <c r="GQ73" i="22"/>
  <c r="DN75" i="22"/>
  <c r="DQ75" i="22" s="1"/>
  <c r="GI76" i="22"/>
  <c r="GI77" i="22"/>
  <c r="GK77" i="22" s="1"/>
  <c r="GF78" i="22"/>
  <c r="GF79" i="22"/>
  <c r="DT80" i="22"/>
  <c r="GT82" i="22"/>
  <c r="DT82" i="22"/>
  <c r="GA83" i="22"/>
  <c r="GA84" i="22"/>
  <c r="EP85" i="22"/>
  <c r="ES85" i="22" s="1"/>
  <c r="BJ86" i="22"/>
  <c r="GF87" i="22"/>
  <c r="GT89" i="22"/>
  <c r="GA89" i="22"/>
  <c r="EP90" i="22"/>
  <c r="ES90" i="22" s="1"/>
  <c r="GI90" i="22"/>
  <c r="GP91" i="22"/>
  <c r="BJ93" i="22"/>
  <c r="BM93" i="22" s="1"/>
  <c r="GA95" i="22"/>
  <c r="GQ95" i="22"/>
  <c r="GQ97" i="22"/>
  <c r="BJ101" i="22"/>
  <c r="BM101" i="22" s="1"/>
  <c r="DT103" i="22"/>
  <c r="GT104" i="22"/>
  <c r="GA104" i="22"/>
  <c r="BJ106" i="22"/>
  <c r="GP106" i="22"/>
  <c r="GH107" i="22"/>
  <c r="GF108" i="22"/>
  <c r="GG111" i="22"/>
  <c r="EV112" i="22"/>
  <c r="CR112" i="22"/>
  <c r="GT112" i="22"/>
  <c r="BJ114" i="22"/>
  <c r="GI114" i="22"/>
  <c r="ES115" i="22"/>
  <c r="GG117" i="22"/>
  <c r="GH120" i="22"/>
  <c r="DN123" i="22"/>
  <c r="DQ123" i="22" s="1"/>
  <c r="GG123" i="22"/>
  <c r="GJ123" i="22" s="1"/>
  <c r="EV125" i="22"/>
  <c r="DT125" i="22"/>
  <c r="EV126" i="22"/>
  <c r="DT126" i="22"/>
  <c r="BP126" i="22"/>
  <c r="EV134" i="22"/>
  <c r="DT134" i="22"/>
  <c r="BJ141" i="22"/>
  <c r="BM141" i="22" s="1"/>
  <c r="DT152" i="22"/>
  <c r="EV152" i="22"/>
  <c r="BP152" i="22"/>
  <c r="CR152" i="22"/>
  <c r="GF153" i="22"/>
  <c r="EP161" i="22"/>
  <c r="ES161" i="22" s="1"/>
  <c r="GT106" i="22"/>
  <c r="DN112" i="22"/>
  <c r="DQ112" i="22" s="1"/>
  <c r="BP113" i="22"/>
  <c r="DT113" i="22"/>
  <c r="CR113" i="22"/>
  <c r="ES113" i="22"/>
  <c r="GA114" i="22"/>
  <c r="EP118" i="22"/>
  <c r="ES118" i="22" s="1"/>
  <c r="EP119" i="22"/>
  <c r="ES119" i="22" s="1"/>
  <c r="EP120" i="22"/>
  <c r="ES120" i="22" s="1"/>
  <c r="CR127" i="22"/>
  <c r="EP134" i="22"/>
  <c r="ES134" i="22" s="1"/>
  <c r="DQ138" i="22"/>
  <c r="BJ143" i="22"/>
  <c r="CO143" i="22"/>
  <c r="EV148" i="22"/>
  <c r="CR148" i="22"/>
  <c r="GT153" i="22"/>
  <c r="CL123" i="22"/>
  <c r="CO123" i="22" s="1"/>
  <c r="GI124" i="22"/>
  <c r="GI128" i="22"/>
  <c r="CL129" i="22"/>
  <c r="CO129" i="22" s="1"/>
  <c r="GA131" i="22"/>
  <c r="DN132" i="22"/>
  <c r="DQ132" i="22" s="1"/>
  <c r="GI132" i="22"/>
  <c r="CL134" i="22"/>
  <c r="CO134" i="22" s="1"/>
  <c r="GI134" i="22"/>
  <c r="BP135" i="22"/>
  <c r="BJ136" i="22"/>
  <c r="GG139" i="22"/>
  <c r="CR140" i="22"/>
  <c r="ES140" i="22"/>
  <c r="GT144" i="22"/>
  <c r="GG144" i="22"/>
  <c r="EP148" i="22"/>
  <c r="ES148" i="22" s="1"/>
  <c r="BJ149" i="22"/>
  <c r="GA150" i="22"/>
  <c r="GA152" i="22"/>
  <c r="GG153" i="22"/>
  <c r="GJ153" i="22" s="1"/>
  <c r="GH154" i="22"/>
  <c r="EP155" i="22"/>
  <c r="ES155" i="22" s="1"/>
  <c r="ET155" i="22" s="1"/>
  <c r="EU155" i="22" s="1"/>
  <c r="CL162" i="22"/>
  <c r="CO162" i="22" s="1"/>
  <c r="CP162" i="22" s="1"/>
  <c r="CQ162" i="22" s="1"/>
  <c r="CS162" i="22" s="1"/>
  <c r="GH162" i="22"/>
  <c r="DN164" i="22"/>
  <c r="DQ164" i="22" s="1"/>
  <c r="GT174" i="22"/>
  <c r="DQ179" i="22"/>
  <c r="GJ182" i="22"/>
  <c r="DT190" i="22"/>
  <c r="EV190" i="22"/>
  <c r="GH98" i="22"/>
  <c r="GJ98" i="22" s="1"/>
  <c r="BJ100" i="22"/>
  <c r="GG101" i="22"/>
  <c r="GT105" i="22"/>
  <c r="GA105" i="22"/>
  <c r="GG107" i="22"/>
  <c r="GT108" i="22"/>
  <c r="EP108" i="22"/>
  <c r="ES108" i="22" s="1"/>
  <c r="DN109" i="22"/>
  <c r="DQ109" i="22" s="1"/>
  <c r="BJ111" i="22"/>
  <c r="BM111" i="22" s="1"/>
  <c r="CL111" i="22"/>
  <c r="CO111" i="22" s="1"/>
  <c r="CL113" i="22"/>
  <c r="CO113" i="22" s="1"/>
  <c r="GH114" i="22"/>
  <c r="GH117" i="22"/>
  <c r="GT119" i="22"/>
  <c r="GT124" i="22"/>
  <c r="GG125" i="22"/>
  <c r="GP125" i="22"/>
  <c r="GH126" i="22"/>
  <c r="GI127" i="22"/>
  <c r="GI129" i="22"/>
  <c r="EP130" i="22"/>
  <c r="ES130" i="22" s="1"/>
  <c r="GF130" i="22"/>
  <c r="GA132" i="22"/>
  <c r="GL132" i="22"/>
  <c r="GP132" i="22" s="1"/>
  <c r="GA134" i="22"/>
  <c r="CL135" i="22"/>
  <c r="GF135" i="22"/>
  <c r="GH136" i="22"/>
  <c r="DN137" i="22"/>
  <c r="DQ137" i="22" s="1"/>
  <c r="GG137" i="22"/>
  <c r="GI138" i="22"/>
  <c r="DN140" i="22"/>
  <c r="DQ140" i="22" s="1"/>
  <c r="CL142" i="22"/>
  <c r="CO142" i="22" s="1"/>
  <c r="DN142" i="22"/>
  <c r="DQ142" i="22" s="1"/>
  <c r="GA143" i="22"/>
  <c r="GH144" i="22"/>
  <c r="GT145" i="22"/>
  <c r="GP145" i="22"/>
  <c r="GI147" i="22"/>
  <c r="GQ147" i="22"/>
  <c r="GF148" i="22"/>
  <c r="GA151" i="22"/>
  <c r="BJ153" i="22"/>
  <c r="BM153" i="22" s="1"/>
  <c r="EP153" i="22"/>
  <c r="ES153" i="22" s="1"/>
  <c r="GT155" i="22"/>
  <c r="DN157" i="22"/>
  <c r="DQ157" i="22" s="1"/>
  <c r="CR158" i="22"/>
  <c r="DT158" i="22"/>
  <c r="DN161" i="22"/>
  <c r="DQ161" i="22" s="1"/>
  <c r="GF168" i="22"/>
  <c r="CL173" i="22"/>
  <c r="CO173" i="22" s="1"/>
  <c r="DN173" i="22"/>
  <c r="DQ173" i="22" s="1"/>
  <c r="GP175" i="22"/>
  <c r="GG179" i="22"/>
  <c r="GK179" i="22" s="1"/>
  <c r="DN181" i="22"/>
  <c r="DQ181" i="22" s="1"/>
  <c r="BJ185" i="22"/>
  <c r="GA189" i="22"/>
  <c r="GG106" i="22"/>
  <c r="BJ109" i="22"/>
  <c r="BM109" i="22" s="1"/>
  <c r="GA109" i="22"/>
  <c r="CL110" i="22"/>
  <c r="CO110" i="22" s="1"/>
  <c r="GA110" i="22"/>
  <c r="GA111" i="22"/>
  <c r="GF112" i="22"/>
  <c r="GI113" i="22"/>
  <c r="CL114" i="22"/>
  <c r="CO114" i="22" s="1"/>
  <c r="GH115" i="22"/>
  <c r="GT116" i="22"/>
  <c r="GF117" i="22"/>
  <c r="GP119" i="22"/>
  <c r="CL120" i="22"/>
  <c r="CO120" i="22" s="1"/>
  <c r="GG120" i="22"/>
  <c r="BJ121" i="22"/>
  <c r="GH121" i="22"/>
  <c r="GG122" i="22"/>
  <c r="GF127" i="22"/>
  <c r="BJ133" i="22"/>
  <c r="GI133" i="22"/>
  <c r="GH135" i="22"/>
  <c r="GF139" i="22"/>
  <c r="GG140" i="22"/>
  <c r="BJ142" i="22"/>
  <c r="BM142" i="22" s="1"/>
  <c r="GI142" i="22"/>
  <c r="GT143" i="22"/>
  <c r="GA144" i="22"/>
  <c r="EP145" i="22"/>
  <c r="ES145" i="22" s="1"/>
  <c r="GF145" i="22"/>
  <c r="EP147" i="22"/>
  <c r="ES147" i="22" s="1"/>
  <c r="GP147" i="22"/>
  <c r="GF149" i="22"/>
  <c r="BJ151" i="22"/>
  <c r="GT151" i="22"/>
  <c r="GH151" i="22"/>
  <c r="BJ152" i="22"/>
  <c r="CL152" i="22"/>
  <c r="CO152" i="22" s="1"/>
  <c r="GQ154" i="22"/>
  <c r="EV156" i="22"/>
  <c r="GM157" i="22"/>
  <c r="GO157" i="22"/>
  <c r="CL157" i="22"/>
  <c r="CO157" i="22" s="1"/>
  <c r="ES157" i="22"/>
  <c r="ET157" i="22" s="1"/>
  <c r="CL159" i="22"/>
  <c r="CO159" i="22" s="1"/>
  <c r="GO161" i="22"/>
  <c r="GN161" i="22"/>
  <c r="GQ161" i="22" s="1"/>
  <c r="GL161" i="22"/>
  <c r="CL161" i="22"/>
  <c r="CO161" i="22" s="1"/>
  <c r="GM161" i="22"/>
  <c r="BP165" i="22"/>
  <c r="DT165" i="22"/>
  <c r="EP165" i="22"/>
  <c r="ES165" i="22" s="1"/>
  <c r="ET165" i="22" s="1"/>
  <c r="CO172" i="22"/>
  <c r="DT191" i="22"/>
  <c r="EV191" i="22"/>
  <c r="CR191" i="22"/>
  <c r="GT136" i="22"/>
  <c r="DN136" i="22"/>
  <c r="DQ136" i="22" s="1"/>
  <c r="GP137" i="22"/>
  <c r="GH140" i="22"/>
  <c r="GG147" i="22"/>
  <c r="EP150" i="22"/>
  <c r="ES150" i="22" s="1"/>
  <c r="GQ150" i="22"/>
  <c r="DT156" i="22"/>
  <c r="BJ159" i="22"/>
  <c r="GL160" i="22"/>
  <c r="GO160" i="22"/>
  <c r="GM160" i="22"/>
  <c r="DQ166" i="22"/>
  <c r="DN169" i="22"/>
  <c r="DQ169" i="22" s="1"/>
  <c r="GT172" i="22"/>
  <c r="EP104" i="22"/>
  <c r="ES104" i="22" s="1"/>
  <c r="CL108" i="22"/>
  <c r="GT109" i="22"/>
  <c r="GQ110" i="22"/>
  <c r="GQ111" i="22"/>
  <c r="CL112" i="22"/>
  <c r="CO112" i="22" s="1"/>
  <c r="GH113" i="22"/>
  <c r="GJ113" i="22" s="1"/>
  <c r="EP116" i="22"/>
  <c r="ES116" i="22" s="1"/>
  <c r="BJ119" i="22"/>
  <c r="BM119" i="22" s="1"/>
  <c r="CL119" i="22"/>
  <c r="CO119" i="22" s="1"/>
  <c r="BJ120" i="22"/>
  <c r="CR121" i="22"/>
  <c r="CL122" i="22"/>
  <c r="CR123" i="22"/>
  <c r="GQ130" i="22"/>
  <c r="GQ137" i="22"/>
  <c r="GQ142" i="22"/>
  <c r="DN143" i="22"/>
  <c r="DQ143" i="22" s="1"/>
  <c r="EP143" i="22"/>
  <c r="ES143" i="22" s="1"/>
  <c r="BJ145" i="22"/>
  <c r="GA155" i="22"/>
  <c r="CR156" i="22"/>
  <c r="GG157" i="22"/>
  <c r="DN171" i="22"/>
  <c r="DQ171" i="22" s="1"/>
  <c r="BJ174" i="22"/>
  <c r="DN175" i="22"/>
  <c r="DQ175" i="22" s="1"/>
  <c r="GT176" i="22"/>
  <c r="GG176" i="22"/>
  <c r="GA176" i="22"/>
  <c r="GT180" i="22"/>
  <c r="GQ183" i="22"/>
  <c r="EP187" i="22"/>
  <c r="ES187" i="22" s="1"/>
  <c r="EP188" i="22"/>
  <c r="GQ190" i="22"/>
  <c r="GP190" i="22"/>
  <c r="BJ127" i="22"/>
  <c r="GT131" i="22"/>
  <c r="GG132" i="22"/>
  <c r="BJ134" i="22"/>
  <c r="BM134" i="22" s="1"/>
  <c r="GG134" i="22"/>
  <c r="GI136" i="22"/>
  <c r="DN139" i="22"/>
  <c r="DQ139" i="22" s="1"/>
  <c r="ES141" i="22"/>
  <c r="EV142" i="22"/>
  <c r="BP142" i="22"/>
  <c r="GT142" i="22"/>
  <c r="GG143" i="22"/>
  <c r="BJ147" i="22"/>
  <c r="CL149" i="22"/>
  <c r="CO149" i="22" s="1"/>
  <c r="DN149" i="22"/>
  <c r="DQ149" i="22" s="1"/>
  <c r="DR149" i="22" s="1"/>
  <c r="DS149" i="22" s="1"/>
  <c r="DU149" i="22" s="1"/>
  <c r="GH150" i="22"/>
  <c r="GJ150" i="22" s="1"/>
  <c r="GG151" i="22"/>
  <c r="EP156" i="22"/>
  <c r="ES156" i="22" s="1"/>
  <c r="GN160" i="22"/>
  <c r="GT162" i="22"/>
  <c r="EP167" i="22"/>
  <c r="ES167" i="22" s="1"/>
  <c r="GT170" i="22"/>
  <c r="GQ182" i="22"/>
  <c r="GP182" i="22"/>
  <c r="GF186" i="22"/>
  <c r="CR190" i="22"/>
  <c r="GA191" i="22"/>
  <c r="GH128" i="22"/>
  <c r="GG129" i="22"/>
  <c r="GT132" i="22"/>
  <c r="EP132" i="22"/>
  <c r="ES132" i="22" s="1"/>
  <c r="GT133" i="22"/>
  <c r="GF134" i="22"/>
  <c r="GT135" i="22"/>
  <c r="GF137" i="22"/>
  <c r="GI137" i="22"/>
  <c r="GF138" i="22"/>
  <c r="CL140" i="22"/>
  <c r="CO140" i="22" s="1"/>
  <c r="GF140" i="22"/>
  <c r="GI141" i="22"/>
  <c r="CR144" i="22"/>
  <c r="GF144" i="22"/>
  <c r="GI145" i="22"/>
  <c r="GT146" i="22"/>
  <c r="DT146" i="22"/>
  <c r="GP146" i="22"/>
  <c r="CL147" i="22"/>
  <c r="CO147" i="22" s="1"/>
  <c r="GI151" i="22"/>
  <c r="CL156" i="22"/>
  <c r="CO156" i="22" s="1"/>
  <c r="DT159" i="22"/>
  <c r="GA161" i="22"/>
  <c r="GG162" i="22"/>
  <c r="GK162" i="22" s="1"/>
  <c r="GT163" i="22"/>
  <c r="EP163" i="22"/>
  <c r="ES163" i="22" s="1"/>
  <c r="GI164" i="22"/>
  <c r="GT168" i="22"/>
  <c r="GG168" i="22"/>
  <c r="GI169" i="22"/>
  <c r="GH171" i="22"/>
  <c r="GH173" i="22"/>
  <c r="EP174" i="22"/>
  <c r="ES174" i="22" s="1"/>
  <c r="GP176" i="22"/>
  <c r="DN177" i="22"/>
  <c r="DQ177" i="22" s="1"/>
  <c r="EP177" i="22"/>
  <c r="ES177" i="22" s="1"/>
  <c r="CL179" i="22"/>
  <c r="CO179" i="22" s="1"/>
  <c r="GG180" i="22"/>
  <c r="GG181" i="22"/>
  <c r="DN182" i="22"/>
  <c r="DQ182" i="22" s="1"/>
  <c r="GA185" i="22"/>
  <c r="BJ187" i="22"/>
  <c r="CL187" i="22"/>
  <c r="CO187" i="22" s="1"/>
  <c r="GH187" i="22"/>
  <c r="GH188" i="22"/>
  <c r="GP189" i="22"/>
  <c r="DN190" i="22"/>
  <c r="DQ190" i="22" s="1"/>
  <c r="GK190" i="22"/>
  <c r="DN165" i="22"/>
  <c r="DQ165" i="22" s="1"/>
  <c r="CL177" i="22"/>
  <c r="CO177" i="22" s="1"/>
  <c r="GA178" i="22"/>
  <c r="GF178" i="22"/>
  <c r="EP180" i="22"/>
  <c r="ES180" i="22" s="1"/>
  <c r="GQ185" i="22"/>
  <c r="BJ186" i="22"/>
  <c r="CR189" i="22"/>
  <c r="CL190" i="22"/>
  <c r="CO190" i="22" s="1"/>
  <c r="GG190" i="22"/>
  <c r="GJ190" i="22" s="1"/>
  <c r="CL191" i="22"/>
  <c r="CO191" i="22" s="1"/>
  <c r="GF191" i="22"/>
  <c r="GP192" i="22"/>
  <c r="DN155" i="22"/>
  <c r="DQ155" i="22" s="1"/>
  <c r="GA156" i="22"/>
  <c r="GT157" i="22"/>
  <c r="DN159" i="22"/>
  <c r="DQ159" i="22" s="1"/>
  <c r="GF159" i="22"/>
  <c r="BJ161" i="22"/>
  <c r="EP166" i="22"/>
  <c r="ES166" i="22" s="1"/>
  <c r="EP168" i="22"/>
  <c r="ES168" i="22" s="1"/>
  <c r="GP168" i="22"/>
  <c r="GQ169" i="22"/>
  <c r="GA171" i="22"/>
  <c r="CL174" i="22"/>
  <c r="CO174" i="22" s="1"/>
  <c r="DN174" i="22"/>
  <c r="DQ174" i="22" s="1"/>
  <c r="GF174" i="22"/>
  <c r="GG177" i="22"/>
  <c r="GP181" i="22"/>
  <c r="DN183" i="22"/>
  <c r="DQ183" i="22" s="1"/>
  <c r="GT185" i="22"/>
  <c r="EP185" i="22"/>
  <c r="ES185" i="22" s="1"/>
  <c r="GA187" i="22"/>
  <c r="CL188" i="22"/>
  <c r="CO188" i="22" s="1"/>
  <c r="DN189" i="22"/>
  <c r="DQ189" i="22" s="1"/>
  <c r="BJ190" i="22"/>
  <c r="BM190" i="22" s="1"/>
  <c r="CL192" i="22"/>
  <c r="CO192" i="22" s="1"/>
  <c r="GH158" i="22"/>
  <c r="GG159" i="22"/>
  <c r="GT160" i="22"/>
  <c r="DN160" i="22"/>
  <c r="EV162" i="22"/>
  <c r="CL163" i="22"/>
  <c r="CO163" i="22" s="1"/>
  <c r="EP164" i="22"/>
  <c r="ES164" i="22" s="1"/>
  <c r="GG165" i="22"/>
  <c r="BJ166" i="22"/>
  <c r="GF166" i="22"/>
  <c r="GT167" i="22"/>
  <c r="BJ168" i="22"/>
  <c r="BM168" i="22" s="1"/>
  <c r="CL169" i="22"/>
  <c r="CO169" i="22" s="1"/>
  <c r="GH169" i="22"/>
  <c r="CL170" i="22"/>
  <c r="CO170" i="22" s="1"/>
  <c r="GG170" i="22"/>
  <c r="BJ172" i="22"/>
  <c r="GA173" i="22"/>
  <c r="DN178" i="22"/>
  <c r="DQ178" i="22" s="1"/>
  <c r="GH179" i="22"/>
  <c r="BJ180" i="22"/>
  <c r="CL180" i="22"/>
  <c r="CO180" i="22" s="1"/>
  <c r="BJ181" i="22"/>
  <c r="EP181" i="22"/>
  <c r="ES181" i="22" s="1"/>
  <c r="EP186" i="22"/>
  <c r="ES186" i="22" s="1"/>
  <c r="BJ188" i="22"/>
  <c r="GF189" i="22"/>
  <c r="GT181" i="22"/>
  <c r="CL185" i="22"/>
  <c r="CO185" i="22" s="1"/>
  <c r="BJ189" i="22"/>
  <c r="GG189" i="22"/>
  <c r="EP193" i="22"/>
  <c r="ES193" i="22" s="1"/>
  <c r="GI193" i="22"/>
  <c r="GQ156" i="22"/>
  <c r="GI159" i="22"/>
  <c r="DN163" i="22"/>
  <c r="DQ163" i="22" s="1"/>
  <c r="GA163" i="22"/>
  <c r="CL164" i="22"/>
  <c r="CO164" i="22" s="1"/>
  <c r="GI165" i="22"/>
  <c r="GH166" i="22"/>
  <c r="DN167" i="22"/>
  <c r="DQ167" i="22" s="1"/>
  <c r="GF167" i="22"/>
  <c r="GF169" i="22"/>
  <c r="GP169" i="22"/>
  <c r="ES170" i="22"/>
  <c r="EP172" i="22"/>
  <c r="ES172" i="22" s="1"/>
  <c r="EP173" i="22"/>
  <c r="GT177" i="22"/>
  <c r="DN180" i="22"/>
  <c r="DQ180" i="22" s="1"/>
  <c r="GT186" i="22"/>
  <c r="GH186" i="22"/>
  <c r="GH189" i="22"/>
  <c r="DN94" i="22"/>
  <c r="DQ94" i="22" s="1"/>
  <c r="DN101" i="22"/>
  <c r="DQ101" i="22" s="1"/>
  <c r="DN99" i="22"/>
  <c r="DQ99" i="22" s="1"/>
  <c r="DN81" i="22"/>
  <c r="DQ81" i="22" s="1"/>
  <c r="DN113" i="22"/>
  <c r="DQ113" i="22" s="1"/>
  <c r="DN93" i="22"/>
  <c r="DQ93" i="22" s="1"/>
  <c r="DN79" i="22"/>
  <c r="DQ79" i="22" s="1"/>
  <c r="DN92" i="22"/>
  <c r="DQ92" i="22" s="1"/>
  <c r="DN95" i="22"/>
  <c r="DQ95" i="22" s="1"/>
  <c r="DQ29" i="22"/>
  <c r="BM10" i="22"/>
  <c r="GS13" i="22"/>
  <c r="GU13" i="22" s="1"/>
  <c r="BM13" i="22"/>
  <c r="BM17" i="22"/>
  <c r="BM8" i="22"/>
  <c r="GS8" i="22"/>
  <c r="GU8" i="22" s="1"/>
  <c r="BM23" i="22"/>
  <c r="GS23" i="22"/>
  <c r="GS11" i="22"/>
  <c r="GU11" i="22" s="1"/>
  <c r="BM11" i="22"/>
  <c r="GK28" i="22"/>
  <c r="GJ28" i="22"/>
  <c r="BM30" i="22"/>
  <c r="BM6" i="22"/>
  <c r="GS6" i="22"/>
  <c r="GU6" i="22" s="1"/>
  <c r="GK16" i="22"/>
  <c r="GJ16" i="22"/>
  <c r="BM21" i="22"/>
  <c r="BM14" i="22"/>
  <c r="BM7" i="22"/>
  <c r="GS15" i="22"/>
  <c r="GU15" i="22" s="1"/>
  <c r="BM15" i="22"/>
  <c r="GK21" i="22"/>
  <c r="GF32" i="22"/>
  <c r="DT7" i="22"/>
  <c r="BP7" i="22"/>
  <c r="EV15" i="22"/>
  <c r="CR15" i="22"/>
  <c r="BP22" i="22"/>
  <c r="GP11" i="22"/>
  <c r="GQ11" i="22"/>
  <c r="DN12" i="22"/>
  <c r="DQ12" i="22" s="1"/>
  <c r="GF12" i="22"/>
  <c r="GQ17" i="22"/>
  <c r="GH19" i="22"/>
  <c r="DT21" i="22"/>
  <c r="BP21" i="22"/>
  <c r="GA26" i="22"/>
  <c r="GP26" i="22"/>
  <c r="GS51" i="22"/>
  <c r="GU51" i="22" s="1"/>
  <c r="BM51" i="22"/>
  <c r="EV19" i="22"/>
  <c r="CR19" i="22"/>
  <c r="GT7" i="22"/>
  <c r="EV9" i="22"/>
  <c r="EV11" i="22"/>
  <c r="CR11" i="22"/>
  <c r="DU6" i="22"/>
  <c r="EP7" i="22"/>
  <c r="ES7" i="22" s="1"/>
  <c r="EV7" i="22"/>
  <c r="CS8" i="22"/>
  <c r="GJ13" i="22"/>
  <c r="GT14" i="22"/>
  <c r="EP14" i="22"/>
  <c r="EV14" i="22"/>
  <c r="DT15" i="22"/>
  <c r="GF15" i="22"/>
  <c r="CL22" i="22"/>
  <c r="CO22" i="22" s="1"/>
  <c r="CR22" i="22"/>
  <c r="GA22" i="22"/>
  <c r="BJ24" i="22"/>
  <c r="GP24" i="22"/>
  <c r="GA29" i="22"/>
  <c r="GT35" i="22"/>
  <c r="EV6" i="22"/>
  <c r="GF8" i="22"/>
  <c r="GT10" i="22"/>
  <c r="EP10" i="22"/>
  <c r="ES10" i="22" s="1"/>
  <c r="GH10" i="22"/>
  <c r="DT11" i="22"/>
  <c r="GF11" i="22"/>
  <c r="GQ14" i="22"/>
  <c r="GO15" i="22"/>
  <c r="GQ15" i="22" s="1"/>
  <c r="DT17" i="22"/>
  <c r="BP17" i="22"/>
  <c r="BP18" i="22"/>
  <c r="GG18" i="22"/>
  <c r="GJ18" i="22" s="1"/>
  <c r="GS19" i="22"/>
  <c r="DT22" i="22"/>
  <c r="GA23" i="22"/>
  <c r="DN24" i="22"/>
  <c r="DQ24" i="22" s="1"/>
  <c r="GQ25" i="22"/>
  <c r="BJ26" i="22"/>
  <c r="BP29" i="22"/>
  <c r="GK29" i="22"/>
  <c r="GF30" i="22"/>
  <c r="BJ33" i="22"/>
  <c r="GI33" i="22"/>
  <c r="GA33" i="22"/>
  <c r="GT37" i="22"/>
  <c r="BM37" i="22"/>
  <c r="GS38" i="22"/>
  <c r="GU38" i="22" s="1"/>
  <c r="BM38" i="22"/>
  <c r="GG43" i="22"/>
  <c r="GJ43" i="22" s="1"/>
  <c r="BM45" i="22"/>
  <c r="GJ21" i="22"/>
  <c r="DU8" i="22"/>
  <c r="GA19" i="22"/>
  <c r="BJ20" i="22"/>
  <c r="CR29" i="22"/>
  <c r="ES33" i="22"/>
  <c r="EP37" i="22"/>
  <c r="ES37" i="22" s="1"/>
  <c r="BJ41" i="22"/>
  <c r="BM53" i="22"/>
  <c r="GS53" i="22"/>
  <c r="GU53" i="22" s="1"/>
  <c r="GA16" i="22"/>
  <c r="GP6" i="22"/>
  <c r="BP19" i="22"/>
  <c r="BM22" i="22"/>
  <c r="CL25" i="22"/>
  <c r="CO25" i="22" s="1"/>
  <c r="EP25" i="22"/>
  <c r="ES25" i="22" s="1"/>
  <c r="GG6" i="22"/>
  <c r="GF10" i="22"/>
  <c r="BM12" i="22"/>
  <c r="DT13" i="22"/>
  <c r="BP13" i="22"/>
  <c r="GA13" i="22"/>
  <c r="BJ16" i="22"/>
  <c r="CL18" i="22"/>
  <c r="CO18" i="22" s="1"/>
  <c r="CR18" i="22"/>
  <c r="GP18" i="22"/>
  <c r="EV21" i="22"/>
  <c r="GT22" i="22"/>
  <c r="EP22" i="22"/>
  <c r="ES22" i="22" s="1"/>
  <c r="GH22" i="22"/>
  <c r="FD24" i="22"/>
  <c r="GC24" i="22"/>
  <c r="GG24" i="22" s="1"/>
  <c r="GJ24" i="22" s="1"/>
  <c r="BJ25" i="22"/>
  <c r="DN26" i="22"/>
  <c r="DQ26" i="22" s="1"/>
  <c r="DT29" i="22"/>
  <c r="GA24" i="22"/>
  <c r="CL26" i="22"/>
  <c r="CO26" i="22" s="1"/>
  <c r="GJ26" i="22"/>
  <c r="GK26" i="22"/>
  <c r="BJ27" i="22"/>
  <c r="EP29" i="22"/>
  <c r="ES29" i="22" s="1"/>
  <c r="BJ31" i="22"/>
  <c r="BM36" i="22"/>
  <c r="GH7" i="22"/>
  <c r="GJ7" i="22" s="1"/>
  <c r="DT9" i="22"/>
  <c r="BP9" i="22"/>
  <c r="BM9" i="22"/>
  <c r="GT18" i="22"/>
  <c r="BM44" i="22"/>
  <c r="GS46" i="22"/>
  <c r="BM46" i="22"/>
  <c r="BM47" i="22"/>
  <c r="GP19" i="22"/>
  <c r="GQ19" i="22"/>
  <c r="GL40" i="22"/>
  <c r="GM40" i="22"/>
  <c r="GN40" i="22"/>
  <c r="GO40" i="22"/>
  <c r="DT19" i="22"/>
  <c r="GF19" i="22"/>
  <c r="GJ27" i="22"/>
  <c r="CR28" i="22"/>
  <c r="DT28" i="22"/>
  <c r="EV28" i="22"/>
  <c r="GP32" i="22"/>
  <c r="GQ32" i="22"/>
  <c r="GT34" i="22"/>
  <c r="GP15" i="22"/>
  <c r="GQ18" i="22"/>
  <c r="GP22" i="22"/>
  <c r="EV23" i="22"/>
  <c r="CR23" i="22"/>
  <c r="DT23" i="22"/>
  <c r="GH23" i="22"/>
  <c r="GK23" i="22" s="1"/>
  <c r="CL28" i="22"/>
  <c r="GQ33" i="22"/>
  <c r="GP33" i="22"/>
  <c r="GJ34" i="22"/>
  <c r="EV35" i="22"/>
  <c r="CR35" i="22"/>
  <c r="DT35" i="22"/>
  <c r="BP35" i="22"/>
  <c r="BM35" i="22"/>
  <c r="GQ35" i="22"/>
  <c r="GP35" i="22"/>
  <c r="GT36" i="22"/>
  <c r="GP37" i="22"/>
  <c r="GQ37" i="22"/>
  <c r="GJ39" i="22"/>
  <c r="GK39" i="22"/>
  <c r="GJ40" i="22"/>
  <c r="GQ31" i="22"/>
  <c r="GM21" i="22"/>
  <c r="GQ23" i="22"/>
  <c r="CL30" i="22"/>
  <c r="CO30" i="22" s="1"/>
  <c r="GT31" i="22"/>
  <c r="CL32" i="22"/>
  <c r="CO32" i="22" s="1"/>
  <c r="CL34" i="22"/>
  <c r="CO34" i="22" s="1"/>
  <c r="EP35" i="22"/>
  <c r="ES35" i="22" s="1"/>
  <c r="GI35" i="22"/>
  <c r="GK35" i="22" s="1"/>
  <c r="GN36" i="22"/>
  <c r="GM36" i="22"/>
  <c r="GO36" i="22"/>
  <c r="CL37" i="22"/>
  <c r="EV38" i="22"/>
  <c r="CR38" i="22"/>
  <c r="DT38" i="22"/>
  <c r="BP38" i="22"/>
  <c r="EP42" i="22"/>
  <c r="ES42" i="22" s="1"/>
  <c r="GA44" i="22"/>
  <c r="GQ46" i="22"/>
  <c r="EP47" i="22"/>
  <c r="ES47" i="22" s="1"/>
  <c r="BM60" i="22"/>
  <c r="GQ55" i="22"/>
  <c r="GP55" i="22"/>
  <c r="GQ66" i="22"/>
  <c r="GP66" i="22"/>
  <c r="BM69" i="22"/>
  <c r="BJ40" i="22"/>
  <c r="EV45" i="22"/>
  <c r="CR45" i="22"/>
  <c r="BP45" i="22"/>
  <c r="GF45" i="22"/>
  <c r="GF53" i="22"/>
  <c r="GF25" i="22"/>
  <c r="GP28" i="22"/>
  <c r="GA31" i="22"/>
  <c r="GF31" i="22"/>
  <c r="EP32" i="22"/>
  <c r="ES32" i="22" s="1"/>
  <c r="DN33" i="22"/>
  <c r="DQ33" i="22" s="1"/>
  <c r="GK34" i="22"/>
  <c r="GK37" i="22"/>
  <c r="BJ39" i="22"/>
  <c r="CO45" i="22"/>
  <c r="EV49" i="22"/>
  <c r="CR49" i="22"/>
  <c r="DT49" i="22"/>
  <c r="BP49" i="22"/>
  <c r="BM49" i="22"/>
  <c r="GT57" i="22"/>
  <c r="GQ63" i="22"/>
  <c r="GP63" i="22"/>
  <c r="EP69" i="22"/>
  <c r="ES69" i="22" s="1"/>
  <c r="GK69" i="22"/>
  <c r="GJ69" i="22"/>
  <c r="EP30" i="22"/>
  <c r="ES30" i="22" s="1"/>
  <c r="DN36" i="22"/>
  <c r="DQ36" i="22" s="1"/>
  <c r="GI36" i="22"/>
  <c r="GK36" i="22" s="1"/>
  <c r="GA36" i="22"/>
  <c r="EP40" i="22"/>
  <c r="ES40" i="22" s="1"/>
  <c r="GQ42" i="22"/>
  <c r="DT44" i="22"/>
  <c r="CR44" i="22"/>
  <c r="EV44" i="22"/>
  <c r="GP48" i="22"/>
  <c r="GQ48" i="22"/>
  <c r="GA49" i="22"/>
  <c r="CO57" i="22"/>
  <c r="CO71" i="22"/>
  <c r="GA45" i="22"/>
  <c r="GK46" i="22"/>
  <c r="GJ46" i="22"/>
  <c r="BM55" i="22"/>
  <c r="GH55" i="22"/>
  <c r="GK55" i="22" s="1"/>
  <c r="GQ28" i="22"/>
  <c r="EV31" i="22"/>
  <c r="CR31" i="22"/>
  <c r="DN32" i="22"/>
  <c r="DQ32" i="22" s="1"/>
  <c r="GG32" i="22"/>
  <c r="GQ38" i="22"/>
  <c r="GQ39" i="22"/>
  <c r="DN45" i="22"/>
  <c r="DQ45" i="22" s="1"/>
  <c r="CL49" i="22"/>
  <c r="CO49" i="22" s="1"/>
  <c r="EV53" i="22"/>
  <c r="CR53" i="22"/>
  <c r="BP53" i="22"/>
  <c r="DT53" i="22"/>
  <c r="GS57" i="22"/>
  <c r="BP34" i="22"/>
  <c r="BP37" i="22"/>
  <c r="GF41" i="22"/>
  <c r="GQ41" i="22"/>
  <c r="EP44" i="22"/>
  <c r="ES44" i="22" s="1"/>
  <c r="GI45" i="22"/>
  <c r="DT47" i="22"/>
  <c r="BP47" i="22"/>
  <c r="CR47" i="22"/>
  <c r="GI49" i="22"/>
  <c r="GQ54" i="22"/>
  <c r="GT56" i="22"/>
  <c r="GP59" i="22"/>
  <c r="GK62" i="22"/>
  <c r="GJ62" i="22"/>
  <c r="BJ67" i="22"/>
  <c r="EU65" i="22"/>
  <c r="GF68" i="22"/>
  <c r="BM75" i="22"/>
  <c r="CR33" i="22"/>
  <c r="EV33" i="22"/>
  <c r="GP51" i="22"/>
  <c r="GF52" i="22"/>
  <c r="BJ54" i="22"/>
  <c r="GA59" i="22"/>
  <c r="GG59" i="22"/>
  <c r="GK59" i="22" s="1"/>
  <c r="DN60" i="22"/>
  <c r="DQ60" i="22" s="1"/>
  <c r="ES61" i="22"/>
  <c r="ET61" i="22" s="1"/>
  <c r="BM65" i="22"/>
  <c r="GA65" i="22"/>
  <c r="DN66" i="22"/>
  <c r="DQ66" i="22" s="1"/>
  <c r="GP68" i="22"/>
  <c r="GQ68" i="22"/>
  <c r="BM88" i="22"/>
  <c r="DT43" i="22"/>
  <c r="BP43" i="22"/>
  <c r="GS43" i="22"/>
  <c r="BM43" i="22"/>
  <c r="CR43" i="22"/>
  <c r="CL44" i="22"/>
  <c r="CO44" i="22" s="1"/>
  <c r="GK44" i="22"/>
  <c r="BJ50" i="22"/>
  <c r="DT52" i="22"/>
  <c r="DN54" i="22"/>
  <c r="DQ54" i="22" s="1"/>
  <c r="GK58" i="22"/>
  <c r="DN59" i="22"/>
  <c r="DQ59" i="22" s="1"/>
  <c r="EP63" i="22"/>
  <c r="ES63" i="22" s="1"/>
  <c r="ET63" i="22" s="1"/>
  <c r="EU63" i="22" s="1"/>
  <c r="GK64" i="22"/>
  <c r="GJ64" i="22"/>
  <c r="CL65" i="22"/>
  <c r="CO65" i="22" s="1"/>
  <c r="GJ71" i="22"/>
  <c r="GA74" i="22"/>
  <c r="GF74" i="22"/>
  <c r="GT52" i="22"/>
  <c r="GN53" i="22"/>
  <c r="GL53" i="22"/>
  <c r="GK56" i="22"/>
  <c r="GJ57" i="22"/>
  <c r="CL58" i="22"/>
  <c r="CO58" i="22" s="1"/>
  <c r="EU61" i="22"/>
  <c r="BM63" i="22"/>
  <c r="GG63" i="22"/>
  <c r="GK63" i="22" s="1"/>
  <c r="ES70" i="22"/>
  <c r="BM77" i="22"/>
  <c r="GI79" i="22"/>
  <c r="GK79" i="22" s="1"/>
  <c r="GK73" i="22"/>
  <c r="GJ73" i="22"/>
  <c r="BM76" i="22"/>
  <c r="BP33" i="22"/>
  <c r="GP39" i="22"/>
  <c r="EV40" i="22"/>
  <c r="GJ44" i="22"/>
  <c r="DT48" i="22"/>
  <c r="DN50" i="22"/>
  <c r="DQ50" i="22" s="1"/>
  <c r="GJ51" i="22"/>
  <c r="GQ51" i="22"/>
  <c r="GJ56" i="22"/>
  <c r="GK57" i="22"/>
  <c r="GQ58" i="22"/>
  <c r="GA60" i="22"/>
  <c r="CL61" i="22"/>
  <c r="GI67" i="22"/>
  <c r="GJ67" i="22" s="1"/>
  <c r="DN71" i="22"/>
  <c r="DQ71" i="22" s="1"/>
  <c r="BM74" i="22"/>
  <c r="BM86" i="22"/>
  <c r="BJ42" i="22"/>
  <c r="GG42" i="22"/>
  <c r="GJ42" i="22" s="1"/>
  <c r="GP44" i="22"/>
  <c r="GH47" i="22"/>
  <c r="GT48" i="22"/>
  <c r="EP48" i="22"/>
  <c r="GH48" i="22"/>
  <c r="GJ48" i="22" s="1"/>
  <c r="GG50" i="22"/>
  <c r="DT51" i="22"/>
  <c r="BP51" i="22"/>
  <c r="DN55" i="22"/>
  <c r="DQ55" i="22" s="1"/>
  <c r="GA56" i="22"/>
  <c r="GT58" i="22"/>
  <c r="GA58" i="22"/>
  <c r="GO60" i="22"/>
  <c r="GN60" i="22"/>
  <c r="GP62" i="22"/>
  <c r="DN70" i="22"/>
  <c r="DQ70" i="22" s="1"/>
  <c r="GN56" i="22"/>
  <c r="GQ57" i="22"/>
  <c r="DT59" i="22"/>
  <c r="BP59" i="22"/>
  <c r="EV59" i="22"/>
  <c r="EW59" i="22" s="1"/>
  <c r="CR59" i="22"/>
  <c r="CL60" i="22"/>
  <c r="CO60" i="22" s="1"/>
  <c r="GT62" i="22"/>
  <c r="DT63" i="22"/>
  <c r="BP63" i="22"/>
  <c r="EV63" i="22"/>
  <c r="CR63" i="22"/>
  <c r="BJ64" i="22"/>
  <c r="GT66" i="22"/>
  <c r="GA67" i="22"/>
  <c r="BJ68" i="22"/>
  <c r="GT74" i="22"/>
  <c r="GN75" i="22"/>
  <c r="GM75" i="22"/>
  <c r="GL75" i="22"/>
  <c r="GP77" i="22"/>
  <c r="GQ77" i="22"/>
  <c r="EP79" i="22"/>
  <c r="ES79" i="22" s="1"/>
  <c r="DN80" i="22"/>
  <c r="DQ80" i="22" s="1"/>
  <c r="ES80" i="22"/>
  <c r="BM83" i="22"/>
  <c r="GQ85" i="22"/>
  <c r="GQ86" i="22"/>
  <c r="GP86" i="22"/>
  <c r="GO50" i="22"/>
  <c r="DT55" i="22"/>
  <c r="BP55" i="22"/>
  <c r="EV55" i="22"/>
  <c r="EV57" i="22"/>
  <c r="CR57" i="22"/>
  <c r="DT57" i="22"/>
  <c r="BP57" i="22"/>
  <c r="GI61" i="22"/>
  <c r="GJ61" i="22" s="1"/>
  <c r="EP62" i="22"/>
  <c r="ES62" i="22" s="1"/>
  <c r="ET62" i="22" s="1"/>
  <c r="EU62" i="22" s="1"/>
  <c r="EW62" i="22" s="1"/>
  <c r="CL64" i="22"/>
  <c r="CO64" i="22" s="1"/>
  <c r="GP64" i="22"/>
  <c r="GI65" i="22"/>
  <c r="GJ65" i="22" s="1"/>
  <c r="EP66" i="22"/>
  <c r="ES66" i="22" s="1"/>
  <c r="ET66" i="22" s="1"/>
  <c r="EU66" i="22" s="1"/>
  <c r="EW66" i="22" s="1"/>
  <c r="CL68" i="22"/>
  <c r="CO68" i="22" s="1"/>
  <c r="DN68" i="22"/>
  <c r="DQ68" i="22" s="1"/>
  <c r="BJ70" i="22"/>
  <c r="CL70" i="22"/>
  <c r="CO70" i="22" s="1"/>
  <c r="GK70" i="22"/>
  <c r="GJ70" i="22"/>
  <c r="CR71" i="22"/>
  <c r="EV71" i="22"/>
  <c r="EP71" i="22"/>
  <c r="ES71" i="22" s="1"/>
  <c r="BJ72" i="22"/>
  <c r="GG80" i="22"/>
  <c r="GA81" i="22"/>
  <c r="CO83" i="22"/>
  <c r="DN86" i="22"/>
  <c r="DQ86" i="22" s="1"/>
  <c r="FD93" i="22"/>
  <c r="GD93" i="22"/>
  <c r="GH93" i="22" s="1"/>
  <c r="BM82" i="22"/>
  <c r="GT95" i="22"/>
  <c r="ES95" i="22"/>
  <c r="GG54" i="22"/>
  <c r="GK54" i="22" s="1"/>
  <c r="GP57" i="22"/>
  <c r="EP60" i="22"/>
  <c r="ES60" i="22" s="1"/>
  <c r="ET60" i="22" s="1"/>
  <c r="EU60" i="22" s="1"/>
  <c r="EW60" i="22" s="1"/>
  <c r="EV61" i="22"/>
  <c r="CR61" i="22"/>
  <c r="DT61" i="22"/>
  <c r="BP61" i="22"/>
  <c r="BJ62" i="22"/>
  <c r="EU64" i="22"/>
  <c r="EW64" i="22" s="1"/>
  <c r="EP64" i="22"/>
  <c r="ES64" i="22" s="1"/>
  <c r="ET64" i="22" s="1"/>
  <c r="EV65" i="22"/>
  <c r="CR65" i="22"/>
  <c r="DT65" i="22"/>
  <c r="BP65" i="22"/>
  <c r="BJ66" i="22"/>
  <c r="GT68" i="22"/>
  <c r="EP73" i="22"/>
  <c r="ES73" i="22" s="1"/>
  <c r="GQ82" i="22"/>
  <c r="GP82" i="22"/>
  <c r="GT83" i="22"/>
  <c r="GP83" i="22"/>
  <c r="BM85" i="22"/>
  <c r="GI85" i="22"/>
  <c r="BP88" i="22"/>
  <c r="DT88" i="22"/>
  <c r="EV88" i="22"/>
  <c r="CR88" i="22"/>
  <c r="GQ69" i="22"/>
  <c r="GP69" i="22"/>
  <c r="GT70" i="22"/>
  <c r="GP71" i="22"/>
  <c r="GQ74" i="22"/>
  <c r="DT75" i="22"/>
  <c r="CR75" i="22"/>
  <c r="EV75" i="22"/>
  <c r="EP81" i="22"/>
  <c r="ES81" i="22" s="1"/>
  <c r="BM84" i="22"/>
  <c r="GA85" i="22"/>
  <c r="GF85" i="22"/>
  <c r="GA55" i="22"/>
  <c r="DN56" i="22"/>
  <c r="DQ56" i="22" s="1"/>
  <c r="GL56" i="22"/>
  <c r="EP58" i="22"/>
  <c r="ES58" i="22" s="1"/>
  <c r="ET58" i="22" s="1"/>
  <c r="EU58" i="22" s="1"/>
  <c r="EW58" i="22" s="1"/>
  <c r="CL62" i="22"/>
  <c r="CO62" i="22" s="1"/>
  <c r="GJ63" i="22"/>
  <c r="CL66" i="22"/>
  <c r="CO66" i="22" s="1"/>
  <c r="DT67" i="22"/>
  <c r="BP67" i="22"/>
  <c r="EV67" i="22"/>
  <c r="CR67" i="22"/>
  <c r="EV69" i="22"/>
  <c r="CR69" i="22"/>
  <c r="DT69" i="22"/>
  <c r="BP69" i="22"/>
  <c r="GK71" i="22"/>
  <c r="GF72" i="22"/>
  <c r="GJ77" i="22"/>
  <c r="CO79" i="22"/>
  <c r="BJ80" i="22"/>
  <c r="CL84" i="22"/>
  <c r="CO84" i="22" s="1"/>
  <c r="EP84" i="22"/>
  <c r="ES84" i="22" s="1"/>
  <c r="EV86" i="22"/>
  <c r="CR86" i="22"/>
  <c r="BP86" i="22"/>
  <c r="DT86" i="22"/>
  <c r="GT94" i="22"/>
  <c r="GK82" i="22"/>
  <c r="GK87" i="22"/>
  <c r="GJ87" i="22"/>
  <c r="GT71" i="22"/>
  <c r="BP74" i="22"/>
  <c r="GF75" i="22"/>
  <c r="CR76" i="22"/>
  <c r="CL77" i="22"/>
  <c r="CO77" i="22" s="1"/>
  <c r="CR78" i="22"/>
  <c r="GG78" i="22"/>
  <c r="GK78" i="22" s="1"/>
  <c r="GF81" i="22"/>
  <c r="EV85" i="22"/>
  <c r="GP85" i="22"/>
  <c r="GP89" i="22"/>
  <c r="GQ89" i="22"/>
  <c r="DN90" i="22"/>
  <c r="DQ90" i="22" s="1"/>
  <c r="GA90" i="22"/>
  <c r="GF90" i="22"/>
  <c r="DN91" i="22"/>
  <c r="DQ91" i="22" s="1"/>
  <c r="GA94" i="22"/>
  <c r="GQ80" i="22"/>
  <c r="BJ81" i="22"/>
  <c r="EP82" i="22"/>
  <c r="ES82" i="22" s="1"/>
  <c r="GI83" i="22"/>
  <c r="GF86" i="22"/>
  <c r="GT87" i="22"/>
  <c r="EP87" i="22"/>
  <c r="ES87" i="22" s="1"/>
  <c r="GJ92" i="22"/>
  <c r="DN97" i="22"/>
  <c r="DQ97" i="22" s="1"/>
  <c r="BJ98" i="22"/>
  <c r="DN78" i="22"/>
  <c r="GA82" i="22"/>
  <c r="DN83" i="22"/>
  <c r="DQ83" i="22" s="1"/>
  <c r="CR85" i="22"/>
  <c r="BM87" i="22"/>
  <c r="CL88" i="22"/>
  <c r="CO88" i="22" s="1"/>
  <c r="GF89" i="22"/>
  <c r="GQ90" i="22"/>
  <c r="GP90" i="22"/>
  <c r="DT77" i="22"/>
  <c r="CR80" i="22"/>
  <c r="GI80" i="22"/>
  <c r="CR82" i="22"/>
  <c r="DN89" i="22"/>
  <c r="DQ89" i="22" s="1"/>
  <c r="CL92" i="22"/>
  <c r="CO92" i="22" s="1"/>
  <c r="BJ96" i="22"/>
  <c r="GG99" i="22"/>
  <c r="GJ99" i="22" s="1"/>
  <c r="GS104" i="22"/>
  <c r="GU104" i="22" s="1"/>
  <c r="BM104" i="22"/>
  <c r="EP76" i="22"/>
  <c r="ES76" i="22" s="1"/>
  <c r="GA80" i="22"/>
  <c r="GF80" i="22"/>
  <c r="GM84" i="22"/>
  <c r="GO84" i="22"/>
  <c r="GN84" i="22"/>
  <c r="GL84" i="22"/>
  <c r="DT85" i="22"/>
  <c r="EP88" i="22"/>
  <c r="ES88" i="22" s="1"/>
  <c r="GA91" i="22"/>
  <c r="GF91" i="22"/>
  <c r="GT93" i="22"/>
  <c r="GG96" i="22"/>
  <c r="GK96" i="22" s="1"/>
  <c r="GA96" i="22"/>
  <c r="DT99" i="22"/>
  <c r="BP99" i="22"/>
  <c r="CR99" i="22"/>
  <c r="EV99" i="22"/>
  <c r="BM99" i="22"/>
  <c r="BJ90" i="22"/>
  <c r="BJ91" i="22"/>
  <c r="CL94" i="22"/>
  <c r="CO94" i="22" s="1"/>
  <c r="GF102" i="22"/>
  <c r="GQ104" i="22"/>
  <c r="GP104" i="22"/>
  <c r="CO101" i="22"/>
  <c r="GF93" i="22"/>
  <c r="GQ93" i="22"/>
  <c r="CR97" i="22"/>
  <c r="EV97" i="22"/>
  <c r="DT97" i="22"/>
  <c r="CL99" i="22"/>
  <c r="CO99" i="22" s="1"/>
  <c r="GP107" i="22"/>
  <c r="CR83" i="22"/>
  <c r="CR90" i="22"/>
  <c r="EV90" i="22"/>
  <c r="GI91" i="22"/>
  <c r="EV96" i="22"/>
  <c r="GA97" i="22"/>
  <c r="GF97" i="22"/>
  <c r="GF105" i="22"/>
  <c r="EP109" i="22"/>
  <c r="ES109" i="22" s="1"/>
  <c r="GO109" i="22"/>
  <c r="GN109" i="22"/>
  <c r="GL109" i="22"/>
  <c r="GM109" i="22"/>
  <c r="GS110" i="22"/>
  <c r="GU110" i="22" s="1"/>
  <c r="BM110" i="22"/>
  <c r="GT111" i="22"/>
  <c r="BP118" i="22"/>
  <c r="EV118" i="22"/>
  <c r="DT118" i="22"/>
  <c r="CR118" i="22"/>
  <c r="GS118" i="22"/>
  <c r="GU118" i="22" s="1"/>
  <c r="BM118" i="22"/>
  <c r="GK118" i="22"/>
  <c r="GP98" i="22"/>
  <c r="BM100" i="22"/>
  <c r="GA100" i="22"/>
  <c r="GF100" i="22"/>
  <c r="GS106" i="22"/>
  <c r="GU106" i="22" s="1"/>
  <c r="BM106" i="22"/>
  <c r="DN107" i="22"/>
  <c r="DQ107" i="22" s="1"/>
  <c r="GS108" i="22"/>
  <c r="GU108" i="22" s="1"/>
  <c r="BM108" i="22"/>
  <c r="GK108" i="22"/>
  <c r="GJ108" i="22"/>
  <c r="GQ112" i="22"/>
  <c r="GP112" i="22"/>
  <c r="GS114" i="22"/>
  <c r="GU114" i="22" s="1"/>
  <c r="BM114" i="22"/>
  <c r="CR98" i="22"/>
  <c r="DT98" i="22"/>
  <c r="DN98" i="22"/>
  <c r="DQ98" i="22" s="1"/>
  <c r="BM102" i="22"/>
  <c r="GS102" i="22"/>
  <c r="GU102" i="22" s="1"/>
  <c r="DQ106" i="22"/>
  <c r="BM107" i="22"/>
  <c r="DN111" i="22"/>
  <c r="DQ111" i="22" s="1"/>
  <c r="GK111" i="22"/>
  <c r="GJ111" i="22"/>
  <c r="GK92" i="22"/>
  <c r="ES94" i="22"/>
  <c r="GI103" i="22"/>
  <c r="BJ113" i="22"/>
  <c r="CR91" i="22"/>
  <c r="GQ91" i="22"/>
  <c r="BJ92" i="22"/>
  <c r="EP92" i="22"/>
  <c r="ES92" i="22" s="1"/>
  <c r="EP93" i="22"/>
  <c r="ES93" i="22" s="1"/>
  <c r="BJ94" i="22"/>
  <c r="GH95" i="22"/>
  <c r="GT96" i="22"/>
  <c r="GP96" i="22"/>
  <c r="EP98" i="22"/>
  <c r="ES98" i="22" s="1"/>
  <c r="GQ98" i="22"/>
  <c r="EP101" i="22"/>
  <c r="ES101" i="22" s="1"/>
  <c r="GQ102" i="22"/>
  <c r="GA103" i="22"/>
  <c r="GJ110" i="22"/>
  <c r="GG124" i="22"/>
  <c r="GJ124" i="22" s="1"/>
  <c r="GJ134" i="22"/>
  <c r="GK134" i="22"/>
  <c r="GP116" i="22"/>
  <c r="GQ116" i="22"/>
  <c r="DN121" i="22"/>
  <c r="DQ121" i="22" s="1"/>
  <c r="GQ123" i="22"/>
  <c r="GP123" i="22"/>
  <c r="DT128" i="22"/>
  <c r="BP128" i="22"/>
  <c r="EV128" i="22"/>
  <c r="CR128" i="22"/>
  <c r="DN129" i="22"/>
  <c r="DQ129" i="22" s="1"/>
  <c r="EV132" i="22"/>
  <c r="CR132" i="22"/>
  <c r="DT132" i="22"/>
  <c r="BP132" i="22"/>
  <c r="BM132" i="22"/>
  <c r="GS132" i="22"/>
  <c r="GU132" i="22" s="1"/>
  <c r="DN100" i="22"/>
  <c r="DQ100" i="22" s="1"/>
  <c r="GF101" i="22"/>
  <c r="DN103" i="22"/>
  <c r="DQ103" i="22" s="1"/>
  <c r="CL105" i="22"/>
  <c r="CO105" i="22" s="1"/>
  <c r="EP105" i="22"/>
  <c r="ES105" i="22" s="1"/>
  <c r="CL116" i="22"/>
  <c r="CO116" i="22" s="1"/>
  <c r="DN117" i="22"/>
  <c r="DQ117" i="22" s="1"/>
  <c r="GP117" i="22"/>
  <c r="GQ117" i="22"/>
  <c r="CO122" i="22"/>
  <c r="BM133" i="22"/>
  <c r="GT97" i="22"/>
  <c r="GP97" i="22"/>
  <c r="BP102" i="22"/>
  <c r="EV102" i="22"/>
  <c r="CR102" i="22"/>
  <c r="DT102" i="22"/>
  <c r="BJ103" i="22"/>
  <c r="GI106" i="22"/>
  <c r="GJ106" i="22" s="1"/>
  <c r="GF107" i="22"/>
  <c r="CO108" i="22"/>
  <c r="GQ108" i="22"/>
  <c r="GP108" i="22"/>
  <c r="DN115" i="22"/>
  <c r="DQ115" i="22" s="1"/>
  <c r="GG115" i="22"/>
  <c r="GJ115" i="22" s="1"/>
  <c r="GK117" i="22"/>
  <c r="BM120" i="22"/>
  <c r="BJ122" i="22"/>
  <c r="GJ122" i="22"/>
  <c r="GQ124" i="22"/>
  <c r="GP124" i="22"/>
  <c r="EP128" i="22"/>
  <c r="ES128" i="22" s="1"/>
  <c r="DN131" i="22"/>
  <c r="DQ131" i="22" s="1"/>
  <c r="BM117" i="22"/>
  <c r="GA118" i="22"/>
  <c r="BM121" i="22"/>
  <c r="GA121" i="22"/>
  <c r="GF121" i="22"/>
  <c r="GJ127" i="22"/>
  <c r="GK135" i="22"/>
  <c r="BM127" i="22"/>
  <c r="BM135" i="22"/>
  <c r="GP95" i="22"/>
  <c r="EP96" i="22"/>
  <c r="ES96" i="22" s="1"/>
  <c r="EP97" i="22"/>
  <c r="ES97" i="22" s="1"/>
  <c r="GH97" i="22"/>
  <c r="GP103" i="22"/>
  <c r="DT106" i="22"/>
  <c r="BP106" i="22"/>
  <c r="EV106" i="22"/>
  <c r="CR106" i="22"/>
  <c r="EV108" i="22"/>
  <c r="CR108" i="22"/>
  <c r="DT108" i="22"/>
  <c r="BP108" i="22"/>
  <c r="DQ110" i="22"/>
  <c r="DR110" i="22" s="1"/>
  <c r="DS110" i="22" s="1"/>
  <c r="DU110" i="22" s="1"/>
  <c r="BJ112" i="22"/>
  <c r="EP112" i="22"/>
  <c r="ES112" i="22" s="1"/>
  <c r="CR116" i="22"/>
  <c r="BP116" i="22"/>
  <c r="EV116" i="22"/>
  <c r="BM116" i="22"/>
  <c r="GQ118" i="22"/>
  <c r="GP118" i="22"/>
  <c r="GT122" i="22"/>
  <c r="GQ129" i="22"/>
  <c r="GP129" i="22"/>
  <c r="GA130" i="22"/>
  <c r="GI130" i="22"/>
  <c r="GJ130" i="22" s="1"/>
  <c r="GN100" i="22"/>
  <c r="CR110" i="22"/>
  <c r="EV110" i="22"/>
  <c r="GP111" i="22"/>
  <c r="GG112" i="22"/>
  <c r="CR114" i="22"/>
  <c r="EV115" i="22"/>
  <c r="GJ116" i="22"/>
  <c r="GA117" i="22"/>
  <c r="EP121" i="22"/>
  <c r="ES121" i="22" s="1"/>
  <c r="EV121" i="22"/>
  <c r="GA122" i="22"/>
  <c r="DN126" i="22"/>
  <c r="DQ126" i="22" s="1"/>
  <c r="CL127" i="22"/>
  <c r="CO127" i="22" s="1"/>
  <c r="DN127" i="22"/>
  <c r="DQ127" i="22" s="1"/>
  <c r="GT128" i="22"/>
  <c r="GA128" i="22"/>
  <c r="GG128" i="22"/>
  <c r="GM131" i="22"/>
  <c r="DN134" i="22"/>
  <c r="DQ134" i="22" s="1"/>
  <c r="CR136" i="22"/>
  <c r="BJ137" i="22"/>
  <c r="EP137" i="22"/>
  <c r="ES137" i="22" s="1"/>
  <c r="DT138" i="22"/>
  <c r="BP138" i="22"/>
  <c r="EV138" i="22"/>
  <c r="BM140" i="22"/>
  <c r="GJ140" i="22"/>
  <c r="GK140" i="22"/>
  <c r="BQ104" i="22"/>
  <c r="BP115" i="22"/>
  <c r="GJ118" i="22"/>
  <c r="BJ123" i="22"/>
  <c r="DT124" i="22"/>
  <c r="BP124" i="22"/>
  <c r="EV124" i="22"/>
  <c r="CR124" i="22"/>
  <c r="EP124" i="22"/>
  <c r="ES124" i="22" s="1"/>
  <c r="GQ126" i="22"/>
  <c r="GP126" i="22"/>
  <c r="EP127" i="22"/>
  <c r="ES127" i="22" s="1"/>
  <c r="BJ129" i="22"/>
  <c r="GT130" i="22"/>
  <c r="CO132" i="22"/>
  <c r="GS143" i="22"/>
  <c r="GU143" i="22" s="1"/>
  <c r="BM143" i="22"/>
  <c r="GQ133" i="22"/>
  <c r="GP133" i="22"/>
  <c r="GA136" i="22"/>
  <c r="GF136" i="22"/>
  <c r="EV141" i="22"/>
  <c r="CR141" i="22"/>
  <c r="DT141" i="22"/>
  <c r="BP141" i="22"/>
  <c r="GJ151" i="22"/>
  <c r="GK151" i="22"/>
  <c r="BM158" i="22"/>
  <c r="CR103" i="22"/>
  <c r="GA112" i="22"/>
  <c r="GF114" i="22"/>
  <c r="GF119" i="22"/>
  <c r="DT120" i="22"/>
  <c r="BP120" i="22"/>
  <c r="DN122" i="22"/>
  <c r="DQ122" i="22" s="1"/>
  <c r="GQ122" i="22"/>
  <c r="GP122" i="22"/>
  <c r="EP123" i="22"/>
  <c r="ES123" i="22" s="1"/>
  <c r="BJ125" i="22"/>
  <c r="CL125" i="22"/>
  <c r="CO125" i="22" s="1"/>
  <c r="GI125" i="22"/>
  <c r="GG126" i="22"/>
  <c r="GJ126" i="22" s="1"/>
  <c r="GT127" i="22"/>
  <c r="GH129" i="22"/>
  <c r="BJ130" i="22"/>
  <c r="CL131" i="22"/>
  <c r="CO131" i="22" s="1"/>
  <c r="CR131" i="22"/>
  <c r="DT131" i="22"/>
  <c r="GF133" i="22"/>
  <c r="CO135" i="22"/>
  <c r="EP135" i="22"/>
  <c r="ES135" i="22" s="1"/>
  <c r="CL138" i="22"/>
  <c r="CO138" i="22" s="1"/>
  <c r="GJ138" i="22"/>
  <c r="GQ139" i="22"/>
  <c r="GP139" i="22"/>
  <c r="GT141" i="22"/>
  <c r="BP110" i="22"/>
  <c r="CR115" i="22"/>
  <c r="DN119" i="22"/>
  <c r="DQ119" i="22" s="1"/>
  <c r="GP121" i="22"/>
  <c r="EV122" i="22"/>
  <c r="CR122" i="22"/>
  <c r="DT122" i="22"/>
  <c r="DN125" i="22"/>
  <c r="DQ125" i="22" s="1"/>
  <c r="EP125" i="22"/>
  <c r="ES125" i="22" s="1"/>
  <c r="GA125" i="22"/>
  <c r="GF125" i="22"/>
  <c r="BJ126" i="22"/>
  <c r="CL128" i="22"/>
  <c r="CO128" i="22" s="1"/>
  <c r="GQ136" i="22"/>
  <c r="GP136" i="22"/>
  <c r="GT137" i="22"/>
  <c r="GQ138" i="22"/>
  <c r="GP138" i="22"/>
  <c r="GP140" i="22"/>
  <c r="DQ114" i="22"/>
  <c r="GS115" i="22"/>
  <c r="GU115" i="22" s="1"/>
  <c r="BM115" i="22"/>
  <c r="GT123" i="22"/>
  <c r="GQ128" i="22"/>
  <c r="GA129" i="22"/>
  <c r="GF129" i="22"/>
  <c r="EP131" i="22"/>
  <c r="ES131" i="22" s="1"/>
  <c r="GK131" i="22"/>
  <c r="GJ131" i="22"/>
  <c r="GP134" i="22"/>
  <c r="GQ134" i="22"/>
  <c r="CO137" i="22"/>
  <c r="GQ143" i="22"/>
  <c r="GP143" i="22"/>
  <c r="GN113" i="22"/>
  <c r="GL113" i="22"/>
  <c r="GP115" i="22"/>
  <c r="CL124" i="22"/>
  <c r="GT125" i="22"/>
  <c r="GQ125" i="22"/>
  <c r="GA126" i="22"/>
  <c r="GK127" i="22"/>
  <c r="CL130" i="22"/>
  <c r="CO130" i="22" s="1"/>
  <c r="DN130" i="22"/>
  <c r="DQ130" i="22" s="1"/>
  <c r="BM131" i="22"/>
  <c r="EP133" i="22"/>
  <c r="ES133" i="22" s="1"/>
  <c r="BP136" i="22"/>
  <c r="DT136" i="22"/>
  <c r="GS136" i="22"/>
  <c r="GU136" i="22" s="1"/>
  <c r="BM136" i="22"/>
  <c r="GS161" i="22"/>
  <c r="GU161" i="22" s="1"/>
  <c r="BM161" i="22"/>
  <c r="CL133" i="22"/>
  <c r="CO133" i="22" s="1"/>
  <c r="GT138" i="22"/>
  <c r="EP138" i="22"/>
  <c r="ES138" i="22" s="1"/>
  <c r="CL139" i="22"/>
  <c r="CO139" i="22" s="1"/>
  <c r="GA142" i="22"/>
  <c r="BM145" i="22"/>
  <c r="DT154" i="22"/>
  <c r="CR154" i="22"/>
  <c r="EV154" i="22"/>
  <c r="BM154" i="22"/>
  <c r="BM152" i="22"/>
  <c r="BP123" i="22"/>
  <c r="CR125" i="22"/>
  <c r="BP127" i="22"/>
  <c r="EV139" i="22"/>
  <c r="CR139" i="22"/>
  <c r="DT139" i="22"/>
  <c r="BP139" i="22"/>
  <c r="EP139" i="22"/>
  <c r="ES139" i="22" s="1"/>
  <c r="GI139" i="22"/>
  <c r="EP142" i="22"/>
  <c r="CL145" i="22"/>
  <c r="CO145" i="22" s="1"/>
  <c r="GH145" i="22"/>
  <c r="GJ145" i="22" s="1"/>
  <c r="GG146" i="22"/>
  <c r="CO148" i="22"/>
  <c r="GH149" i="22"/>
  <c r="GJ149" i="22" s="1"/>
  <c r="BJ155" i="22"/>
  <c r="GQ159" i="22"/>
  <c r="GP159" i="22"/>
  <c r="CR129" i="22"/>
  <c r="BJ138" i="22"/>
  <c r="GT139" i="22"/>
  <c r="GA139" i="22"/>
  <c r="CL141" i="22"/>
  <c r="CO141" i="22" s="1"/>
  <c r="DN141" i="22"/>
  <c r="DQ141" i="22" s="1"/>
  <c r="GA141" i="22"/>
  <c r="BJ144" i="22"/>
  <c r="CL144" i="22"/>
  <c r="CO144" i="22" s="1"/>
  <c r="GS148" i="22"/>
  <c r="BP154" i="22"/>
  <c r="GA159" i="22"/>
  <c r="GH159" i="22"/>
  <c r="CR126" i="22"/>
  <c r="GF132" i="22"/>
  <c r="DN144" i="22"/>
  <c r="DQ144" i="22" s="1"/>
  <c r="EP144" i="22"/>
  <c r="ES144" i="22" s="1"/>
  <c r="GN158" i="22"/>
  <c r="GM158" i="22"/>
  <c r="GL158" i="22"/>
  <c r="GI143" i="22"/>
  <c r="GJ143" i="22" s="1"/>
  <c r="EV149" i="22"/>
  <c r="CR149" i="22"/>
  <c r="BP149" i="22"/>
  <c r="BM149" i="22"/>
  <c r="BM151" i="22"/>
  <c r="GQ157" i="22"/>
  <c r="BM160" i="22"/>
  <c r="GQ145" i="22"/>
  <c r="GQ149" i="22"/>
  <c r="DN150" i="22"/>
  <c r="DQ150" i="22" s="1"/>
  <c r="DR150" i="22" s="1"/>
  <c r="DS150" i="22" s="1"/>
  <c r="GP151" i="22"/>
  <c r="GJ152" i="22"/>
  <c r="GM153" i="22"/>
  <c r="GO153" i="22"/>
  <c r="DT157" i="22"/>
  <c r="BP157" i="22"/>
  <c r="CR157" i="22"/>
  <c r="GS157" i="22"/>
  <c r="GU157" i="22" s="1"/>
  <c r="BM157" i="22"/>
  <c r="BP158" i="22"/>
  <c r="GQ166" i="22"/>
  <c r="GP166" i="22"/>
  <c r="GQ144" i="22"/>
  <c r="BM147" i="22"/>
  <c r="DT148" i="22"/>
  <c r="BP148" i="22"/>
  <c r="DT150" i="22"/>
  <c r="EV150" i="22"/>
  <c r="BM150" i="22"/>
  <c r="EU157" i="22"/>
  <c r="EW157" i="22" s="1"/>
  <c r="CL158" i="22"/>
  <c r="CO158" i="22" s="1"/>
  <c r="DU158" i="22"/>
  <c r="GF161" i="22"/>
  <c r="GG141" i="22"/>
  <c r="GJ141" i="22" s="1"/>
  <c r="DN146" i="22"/>
  <c r="DQ146" i="22" s="1"/>
  <c r="GQ146" i="22"/>
  <c r="GT148" i="22"/>
  <c r="GP148" i="22"/>
  <c r="CL151" i="22"/>
  <c r="CO151" i="22" s="1"/>
  <c r="DN151" i="22"/>
  <c r="DQ151" i="22" s="1"/>
  <c r="DR151" i="22" s="1"/>
  <c r="DS151" i="22" s="1"/>
  <c r="EP151" i="22"/>
  <c r="ES151" i="22" s="1"/>
  <c r="GK153" i="22"/>
  <c r="EP154" i="22"/>
  <c r="ES154" i="22" s="1"/>
  <c r="ET154" i="22" s="1"/>
  <c r="EU154" i="22" s="1"/>
  <c r="EP159" i="22"/>
  <c r="ES159" i="22" s="1"/>
  <c r="ET159" i="22" s="1"/>
  <c r="EU159" i="22" s="1"/>
  <c r="EW159" i="22" s="1"/>
  <c r="DN147" i="22"/>
  <c r="DQ147" i="22" s="1"/>
  <c r="GH148" i="22"/>
  <c r="GJ148" i="22" s="1"/>
  <c r="GT149" i="22"/>
  <c r="EP149" i="22"/>
  <c r="ES149" i="22" s="1"/>
  <c r="GP150" i="22"/>
  <c r="GP156" i="22"/>
  <c r="GP160" i="22"/>
  <c r="GQ160" i="22"/>
  <c r="GF165" i="22"/>
  <c r="GP142" i="22"/>
  <c r="GP144" i="22"/>
  <c r="GA145" i="22"/>
  <c r="GI146" i="22"/>
  <c r="GA149" i="22"/>
  <c r="BP150" i="22"/>
  <c r="GK150" i="22"/>
  <c r="EV151" i="22"/>
  <c r="CR151" i="22"/>
  <c r="DT151" i="22"/>
  <c r="DN152" i="22"/>
  <c r="DQ152" i="22" s="1"/>
  <c r="DT153" i="22"/>
  <c r="DU153" i="22" s="1"/>
  <c r="BP153" i="22"/>
  <c r="GS153" i="22"/>
  <c r="EV155" i="22"/>
  <c r="CR155" i="22"/>
  <c r="BP155" i="22"/>
  <c r="DT155" i="22"/>
  <c r="GF156" i="22"/>
  <c r="GP157" i="22"/>
  <c r="DQ160" i="22"/>
  <c r="CR142" i="22"/>
  <c r="BP144" i="22"/>
  <c r="BJ146" i="22"/>
  <c r="GA146" i="22"/>
  <c r="GQ148" i="22"/>
  <c r="CL150" i="22"/>
  <c r="CO150" i="22" s="1"/>
  <c r="CR150" i="22"/>
  <c r="GQ151" i="22"/>
  <c r="EP152" i="22"/>
  <c r="ES152" i="22" s="1"/>
  <c r="ET152" i="22" s="1"/>
  <c r="EU152" i="22" s="1"/>
  <c r="EW152" i="22" s="1"/>
  <c r="EV153" i="22"/>
  <c r="GN153" i="22"/>
  <c r="BM159" i="22"/>
  <c r="CL154" i="22"/>
  <c r="CO154" i="22" s="1"/>
  <c r="BJ156" i="22"/>
  <c r="GF158" i="22"/>
  <c r="GT159" i="22"/>
  <c r="CL160" i="22"/>
  <c r="CO160" i="22" s="1"/>
  <c r="CR160" i="22"/>
  <c r="DT160" i="22"/>
  <c r="GK169" i="22"/>
  <c r="GA170" i="22"/>
  <c r="GI170" i="22"/>
  <c r="GK170" i="22" s="1"/>
  <c r="GK174" i="22"/>
  <c r="GJ174" i="22"/>
  <c r="GF155" i="22"/>
  <c r="GT158" i="22"/>
  <c r="EP158" i="22"/>
  <c r="ES158" i="22" s="1"/>
  <c r="GK160" i="22"/>
  <c r="GJ160" i="22"/>
  <c r="BJ164" i="22"/>
  <c r="BJ165" i="22"/>
  <c r="GJ166" i="22"/>
  <c r="CR145" i="22"/>
  <c r="BP147" i="22"/>
  <c r="GT150" i="22"/>
  <c r="GT154" i="22"/>
  <c r="GF154" i="22"/>
  <c r="DN156" i="22"/>
  <c r="DQ156" i="22" s="1"/>
  <c r="DR156" i="22" s="1"/>
  <c r="DS156" i="22" s="1"/>
  <c r="DU156" i="22" s="1"/>
  <c r="GH157" i="22"/>
  <c r="EV161" i="22"/>
  <c r="CR161" i="22"/>
  <c r="GO162" i="22"/>
  <c r="GN162" i="22"/>
  <c r="GM162" i="22"/>
  <c r="CQ167" i="22"/>
  <c r="CS167" i="22" s="1"/>
  <c r="GF172" i="22"/>
  <c r="CR146" i="22"/>
  <c r="GI155" i="22"/>
  <c r="GA160" i="22"/>
  <c r="GT164" i="22"/>
  <c r="GH164" i="22"/>
  <c r="GJ169" i="22"/>
  <c r="BM166" i="22"/>
  <c r="GS166" i="22"/>
  <c r="BM172" i="22"/>
  <c r="GJ176" i="22"/>
  <c r="BJ162" i="22"/>
  <c r="DT163" i="22"/>
  <c r="BP163" i="22"/>
  <c r="GS163" i="22"/>
  <c r="GU163" i="22" s="1"/>
  <c r="EV163" i="22"/>
  <c r="GK163" i="22"/>
  <c r="GJ163" i="22"/>
  <c r="DN168" i="22"/>
  <c r="DQ168" i="22" s="1"/>
  <c r="GS173" i="22"/>
  <c r="BM173" i="22"/>
  <c r="GA175" i="22"/>
  <c r="GF175" i="22"/>
  <c r="ES173" i="22"/>
  <c r="BM176" i="22"/>
  <c r="GS180" i="22"/>
  <c r="GU180" i="22" s="1"/>
  <c r="BM180" i="22"/>
  <c r="BM187" i="22"/>
  <c r="GA167" i="22"/>
  <c r="EP171" i="22"/>
  <c r="ES171" i="22" s="1"/>
  <c r="GP177" i="22"/>
  <c r="GQ177" i="22"/>
  <c r="GM163" i="22"/>
  <c r="GL163" i="22"/>
  <c r="BM163" i="22"/>
  <c r="EV164" i="22"/>
  <c r="CR164" i="22"/>
  <c r="GA164" i="22"/>
  <c r="GF164" i="22"/>
  <c r="GG173" i="22"/>
  <c r="GK173" i="22" s="1"/>
  <c r="GT173" i="22"/>
  <c r="GP174" i="22"/>
  <c r="BJ175" i="22"/>
  <c r="GS177" i="22"/>
  <c r="GU177" i="22" s="1"/>
  <c r="BM179" i="22"/>
  <c r="GS179" i="22"/>
  <c r="GU179" i="22" s="1"/>
  <c r="EP160" i="22"/>
  <c r="ES160" i="22" s="1"/>
  <c r="GG161" i="22"/>
  <c r="CR163" i="22"/>
  <c r="GL165" i="22"/>
  <c r="GN165" i="22"/>
  <c r="GM165" i="22"/>
  <c r="CL167" i="22"/>
  <c r="CO167" i="22" s="1"/>
  <c r="CP167" i="22" s="1"/>
  <c r="BJ171" i="22"/>
  <c r="GS174" i="22"/>
  <c r="GU174" i="22" s="1"/>
  <c r="BM174" i="22"/>
  <c r="CL176" i="22"/>
  <c r="CO176" i="22" s="1"/>
  <c r="DN170" i="22"/>
  <c r="DQ170" i="22" s="1"/>
  <c r="GJ173" i="22"/>
  <c r="EP175" i="22"/>
  <c r="ES175" i="22" s="1"/>
  <c r="GQ188" i="22"/>
  <c r="GP188" i="22"/>
  <c r="GK191" i="22"/>
  <c r="GJ191" i="22"/>
  <c r="BP162" i="22"/>
  <c r="BJ167" i="22"/>
  <c r="GG167" i="22"/>
  <c r="GH168" i="22"/>
  <c r="GJ168" i="22" s="1"/>
  <c r="DN172" i="22"/>
  <c r="DQ172" i="22" s="1"/>
  <c r="GQ172" i="22"/>
  <c r="GP172" i="22"/>
  <c r="GA174" i="22"/>
  <c r="GT175" i="22"/>
  <c r="BJ178" i="22"/>
  <c r="EV165" i="22"/>
  <c r="CR165" i="22"/>
  <c r="EU165" i="22"/>
  <c r="GP171" i="22"/>
  <c r="GG172" i="22"/>
  <c r="EP176" i="22"/>
  <c r="ES176" i="22" s="1"/>
  <c r="GQ179" i="22"/>
  <c r="GP179" i="22"/>
  <c r="GP180" i="22"/>
  <c r="GT166" i="22"/>
  <c r="GK168" i="22"/>
  <c r="BJ170" i="22"/>
  <c r="GF171" i="22"/>
  <c r="GQ173" i="22"/>
  <c r="GP173" i="22"/>
  <c r="GQ174" i="22"/>
  <c r="GG175" i="22"/>
  <c r="GK176" i="22"/>
  <c r="GA177" i="22"/>
  <c r="GJ179" i="22"/>
  <c r="BM181" i="22"/>
  <c r="GA169" i="22"/>
  <c r="GQ180" i="22"/>
  <c r="ES188" i="22"/>
  <c r="GI178" i="22"/>
  <c r="GI181" i="22"/>
  <c r="GK181" i="22" s="1"/>
  <c r="GK182" i="22"/>
  <c r="DQ184" i="22"/>
  <c r="DN186" i="22"/>
  <c r="DQ186" i="22" s="1"/>
  <c r="GQ187" i="22"/>
  <c r="GS189" i="22"/>
  <c r="GU189" i="22" s="1"/>
  <c r="BM189" i="22"/>
  <c r="CL181" i="22"/>
  <c r="CO181" i="22" s="1"/>
  <c r="GA181" i="22"/>
  <c r="DT183" i="22"/>
  <c r="BP183" i="22"/>
  <c r="EP183" i="22"/>
  <c r="ES183" i="22" s="1"/>
  <c r="GK188" i="22"/>
  <c r="GJ188" i="22"/>
  <c r="GS190" i="22"/>
  <c r="GH177" i="22"/>
  <c r="GK177" i="22" s="1"/>
  <c r="GI180" i="22"/>
  <c r="GK180" i="22" s="1"/>
  <c r="CL183" i="22"/>
  <c r="CO183" i="22" s="1"/>
  <c r="DT184" i="22"/>
  <c r="BP184" i="22"/>
  <c r="EV184" i="22"/>
  <c r="CR184" i="22"/>
  <c r="GT184" i="22"/>
  <c r="EP184" i="22"/>
  <c r="ES184" i="22" s="1"/>
  <c r="GI184" i="22"/>
  <c r="GA184" i="22"/>
  <c r="GJ189" i="22"/>
  <c r="GS193" i="22"/>
  <c r="GU193" i="22" s="1"/>
  <c r="BM193" i="22"/>
  <c r="GA193" i="22"/>
  <c r="GH193" i="22"/>
  <c r="GK193" i="22" s="1"/>
  <c r="GA180" i="22"/>
  <c r="GQ181" i="22"/>
  <c r="EP182" i="22"/>
  <c r="GK183" i="22"/>
  <c r="GJ183" i="22"/>
  <c r="GK186" i="22"/>
  <c r="GJ186" i="22"/>
  <c r="DN187" i="22"/>
  <c r="DQ187" i="22" s="1"/>
  <c r="GK187" i="22"/>
  <c r="GJ187" i="22"/>
  <c r="EP191" i="22"/>
  <c r="ES191" i="22" s="1"/>
  <c r="GS192" i="22"/>
  <c r="GQ178" i="22"/>
  <c r="DT181" i="22"/>
  <c r="BP181" i="22"/>
  <c r="EV181" i="22"/>
  <c r="CR181" i="22"/>
  <c r="CL184" i="22"/>
  <c r="CO184" i="22" s="1"/>
  <c r="GH185" i="22"/>
  <c r="GJ185" i="22" s="1"/>
  <c r="GQ186" i="22"/>
  <c r="DT192" i="22"/>
  <c r="BP192" i="22"/>
  <c r="EV192" i="22"/>
  <c r="CR192" i="22"/>
  <c r="GT192" i="22"/>
  <c r="EP192" i="22"/>
  <c r="ES192" i="22" s="1"/>
  <c r="GI192" i="22"/>
  <c r="GK192" i="22" s="1"/>
  <c r="GA192" i="22"/>
  <c r="GJ193" i="22"/>
  <c r="GQ193" i="22"/>
  <c r="GP193" i="22"/>
  <c r="BM183" i="22"/>
  <c r="GP185" i="22"/>
  <c r="BP188" i="22"/>
  <c r="DT188" i="22"/>
  <c r="BM191" i="22"/>
  <c r="BM184" i="22"/>
  <c r="CR185" i="22"/>
  <c r="EV185" i="22"/>
  <c r="GP186" i="22"/>
  <c r="BP189" i="22"/>
  <c r="BM192" i="22"/>
  <c r="CR193" i="22"/>
  <c r="EV193" i="22"/>
  <c r="CR186" i="22"/>
  <c r="EV186" i="22"/>
  <c r="GP187" i="22"/>
  <c r="BP190" i="22"/>
  <c r="BP191" i="22"/>
  <c r="CR188" i="22"/>
  <c r="BP185" i="22"/>
  <c r="BP193" i="22"/>
  <c r="BP186" i="22"/>
  <c r="EW155" i="22" l="1"/>
  <c r="GJ23" i="22"/>
  <c r="GJ117" i="22"/>
  <c r="GK147" i="22"/>
  <c r="GJ76" i="22"/>
  <c r="GJ178" i="22"/>
  <c r="GS186" i="22"/>
  <c r="GU186" i="22" s="1"/>
  <c r="GJ137" i="22"/>
  <c r="GJ157" i="22"/>
  <c r="GS185" i="22"/>
  <c r="GU185" i="22" s="1"/>
  <c r="GJ144" i="22"/>
  <c r="GJ135" i="22"/>
  <c r="GK110" i="22"/>
  <c r="GS107" i="22"/>
  <c r="GU107" i="22" s="1"/>
  <c r="GK94" i="22"/>
  <c r="GJ66" i="22"/>
  <c r="GJ38" i="22"/>
  <c r="GJ142" i="22"/>
  <c r="GJ84" i="22"/>
  <c r="GJ88" i="22"/>
  <c r="GK40" i="22"/>
  <c r="GS188" i="22"/>
  <c r="GU188" i="22" s="1"/>
  <c r="GK159" i="22"/>
  <c r="GQ52" i="22"/>
  <c r="EW63" i="22"/>
  <c r="GQ162" i="22"/>
  <c r="GK166" i="22"/>
  <c r="GJ120" i="22"/>
  <c r="GJ170" i="22"/>
  <c r="GJ9" i="22"/>
  <c r="GP67" i="22"/>
  <c r="GS95" i="22"/>
  <c r="GU95" i="22" s="1"/>
  <c r="GU190" i="22"/>
  <c r="GQ164" i="22"/>
  <c r="GQ100" i="22"/>
  <c r="GK126" i="22"/>
  <c r="GK113" i="22"/>
  <c r="GK103" i="22"/>
  <c r="GK66" i="22"/>
  <c r="GP52" i="22"/>
  <c r="GU19" i="22"/>
  <c r="GS21" i="22"/>
  <c r="GU21" i="22" s="1"/>
  <c r="GS17" i="22"/>
  <c r="GU17" i="22" s="1"/>
  <c r="GK76" i="22"/>
  <c r="GJ162" i="22"/>
  <c r="GK157" i="22"/>
  <c r="GJ159" i="22"/>
  <c r="GK142" i="22"/>
  <c r="GJ83" i="22"/>
  <c r="GJ94" i="22"/>
  <c r="GK17" i="22"/>
  <c r="BM185" i="22"/>
  <c r="GJ139" i="22"/>
  <c r="GS140" i="22"/>
  <c r="GU140" i="22" s="1"/>
  <c r="GK123" i="22"/>
  <c r="GQ132" i="22"/>
  <c r="GK43" i="22"/>
  <c r="GK6" i="22"/>
  <c r="GK14" i="22"/>
  <c r="GS12" i="22"/>
  <c r="GU12" i="22" s="1"/>
  <c r="GP161" i="22"/>
  <c r="GU153" i="22"/>
  <c r="GJ147" i="22"/>
  <c r="GP153" i="22"/>
  <c r="GQ131" i="22"/>
  <c r="GK112" i="22"/>
  <c r="GS75" i="22"/>
  <c r="GU75" i="22" s="1"/>
  <c r="GS35" i="22"/>
  <c r="GU35" i="22" s="1"/>
  <c r="GK178" i="22"/>
  <c r="BM188" i="22"/>
  <c r="GJ128" i="22"/>
  <c r="GS120" i="22"/>
  <c r="GU120" i="22" s="1"/>
  <c r="EW67" i="22"/>
  <c r="GK49" i="22"/>
  <c r="GK38" i="22"/>
  <c r="GJ59" i="22"/>
  <c r="GS9" i="22"/>
  <c r="GU9" i="22" s="1"/>
  <c r="GK18" i="22"/>
  <c r="GK88" i="22"/>
  <c r="GJ35" i="22"/>
  <c r="GK184" i="22"/>
  <c r="GK167" i="22"/>
  <c r="BM186" i="22"/>
  <c r="GJ146" i="22"/>
  <c r="GK104" i="22"/>
  <c r="GJ60" i="22"/>
  <c r="GS52" i="22"/>
  <c r="GK9" i="22"/>
  <c r="GK143" i="22"/>
  <c r="GS183" i="22"/>
  <c r="GU183" i="22" s="1"/>
  <c r="GJ177" i="22"/>
  <c r="GQ67" i="22"/>
  <c r="GQ60" i="22"/>
  <c r="GQ36" i="22"/>
  <c r="GK84" i="22"/>
  <c r="GS85" i="22"/>
  <c r="GU85" i="22" s="1"/>
  <c r="GK139" i="22"/>
  <c r="EW61" i="22"/>
  <c r="GK185" i="22"/>
  <c r="EW165" i="22"/>
  <c r="GU173" i="22"/>
  <c r="GJ96" i="22"/>
  <c r="EW65" i="22"/>
  <c r="DQ74" i="22"/>
  <c r="GS74" i="22"/>
  <c r="GK148" i="22"/>
  <c r="GK22" i="22"/>
  <c r="GJ22" i="22"/>
  <c r="GU192" i="22"/>
  <c r="GS93" i="22"/>
  <c r="GU93" i="22" s="1"/>
  <c r="GK50" i="22"/>
  <c r="GJ50" i="22"/>
  <c r="GU166" i="22"/>
  <c r="GS119" i="22"/>
  <c r="GU119" i="22" s="1"/>
  <c r="GS59" i="22"/>
  <c r="GU59" i="22" s="1"/>
  <c r="GK83" i="22"/>
  <c r="GS191" i="22"/>
  <c r="GU191" i="22" s="1"/>
  <c r="GP162" i="22"/>
  <c r="GK145" i="22"/>
  <c r="GP131" i="22"/>
  <c r="GK115" i="22"/>
  <c r="GS117" i="22"/>
  <c r="GU117" i="22" s="1"/>
  <c r="GJ55" i="22"/>
  <c r="CO28" i="22"/>
  <c r="GS28" i="22"/>
  <c r="GU28" i="22" s="1"/>
  <c r="GK33" i="22"/>
  <c r="GJ33" i="22"/>
  <c r="GS105" i="22"/>
  <c r="GU105" i="22" s="1"/>
  <c r="ES14" i="22"/>
  <c r="GS14" i="22"/>
  <c r="GS159" i="22"/>
  <c r="GU159" i="22" s="1"/>
  <c r="GS150" i="22"/>
  <c r="GK106" i="22"/>
  <c r="GU46" i="22"/>
  <c r="GS169" i="22"/>
  <c r="GU169" i="22" s="1"/>
  <c r="GK120" i="22"/>
  <c r="GS7" i="22"/>
  <c r="GK138" i="22"/>
  <c r="GJ29" i="22"/>
  <c r="GU23" i="22"/>
  <c r="GP149" i="22"/>
  <c r="GK98" i="22"/>
  <c r="GP60" i="22"/>
  <c r="GK47" i="22"/>
  <c r="GK137" i="22"/>
  <c r="GJ109" i="22"/>
  <c r="GU43" i="22"/>
  <c r="GK24" i="22"/>
  <c r="GK189" i="22"/>
  <c r="GK144" i="22"/>
  <c r="GK122" i="22"/>
  <c r="GJ20" i="22"/>
  <c r="GK20" i="22"/>
  <c r="GS86" i="22"/>
  <c r="GU86" i="22" s="1"/>
  <c r="GS100" i="22"/>
  <c r="GU100" i="22" s="1"/>
  <c r="GS175" i="22"/>
  <c r="GU175" i="22" s="1"/>
  <c r="BM175" i="22"/>
  <c r="GS164" i="22"/>
  <c r="GU164" i="22" s="1"/>
  <c r="BM164" i="22"/>
  <c r="GJ155" i="22"/>
  <c r="GK155" i="22"/>
  <c r="GS181" i="22"/>
  <c r="GU181" i="22" s="1"/>
  <c r="GK171" i="22"/>
  <c r="GJ171" i="22"/>
  <c r="GS167" i="22"/>
  <c r="GU167" i="22" s="1"/>
  <c r="BM167" i="22"/>
  <c r="GS170" i="22"/>
  <c r="GU170" i="22" s="1"/>
  <c r="BM170" i="22"/>
  <c r="GS184" i="22"/>
  <c r="GU184" i="22" s="1"/>
  <c r="BM171" i="22"/>
  <c r="GS171" i="22"/>
  <c r="GU171" i="22" s="1"/>
  <c r="GK164" i="22"/>
  <c r="GJ164" i="22"/>
  <c r="GS176" i="22"/>
  <c r="GU176" i="22" s="1"/>
  <c r="GK146" i="22"/>
  <c r="EW154" i="22"/>
  <c r="GS134" i="22"/>
  <c r="GU134" i="22" s="1"/>
  <c r="CO124" i="22"/>
  <c r="GS124" i="22"/>
  <c r="GU124" i="22" s="1"/>
  <c r="GS126" i="22"/>
  <c r="GU126" i="22" s="1"/>
  <c r="BM126" i="22"/>
  <c r="GS125" i="22"/>
  <c r="GU125" i="22" s="1"/>
  <c r="BM125" i="22"/>
  <c r="GS158" i="22"/>
  <c r="GU158" i="22" s="1"/>
  <c r="GS116" i="22"/>
  <c r="GU116" i="22" s="1"/>
  <c r="BM112" i="22"/>
  <c r="GS112" i="22"/>
  <c r="GU112" i="22" s="1"/>
  <c r="GS127" i="22"/>
  <c r="GU127" i="22" s="1"/>
  <c r="BM122" i="22"/>
  <c r="GS122" i="22"/>
  <c r="GU122" i="22" s="1"/>
  <c r="GK128" i="22"/>
  <c r="GJ112" i="22"/>
  <c r="GJ100" i="22"/>
  <c r="GK100" i="22"/>
  <c r="GK97" i="22"/>
  <c r="GJ97" i="22"/>
  <c r="GK93" i="22"/>
  <c r="GJ93" i="22"/>
  <c r="GP100" i="22"/>
  <c r="GK91" i="22"/>
  <c r="GJ91" i="22"/>
  <c r="DQ78" i="22"/>
  <c r="GS78" i="22"/>
  <c r="GU78" i="22" s="1"/>
  <c r="GJ86" i="22"/>
  <c r="GK86" i="22"/>
  <c r="GJ85" i="22"/>
  <c r="GK85" i="22"/>
  <c r="GS64" i="22"/>
  <c r="GU64" i="22" s="1"/>
  <c r="BM64" i="22"/>
  <c r="GS73" i="22"/>
  <c r="GU73" i="22" s="1"/>
  <c r="GJ79" i="22"/>
  <c r="BM54" i="22"/>
  <c r="GS54" i="22"/>
  <c r="GU54" i="22" s="1"/>
  <c r="GS67" i="22"/>
  <c r="GU67" i="22" s="1"/>
  <c r="BM67" i="22"/>
  <c r="GU57" i="22"/>
  <c r="GS69" i="22"/>
  <c r="GU69" i="22" s="1"/>
  <c r="GK48" i="22"/>
  <c r="GJ36" i="22"/>
  <c r="GK19" i="22"/>
  <c r="GJ19" i="22"/>
  <c r="BM41" i="22"/>
  <c r="GS41" i="22"/>
  <c r="GU41" i="22" s="1"/>
  <c r="GJ49" i="22"/>
  <c r="GU7" i="22"/>
  <c r="GS18" i="22"/>
  <c r="GU18" i="22" s="1"/>
  <c r="ES182" i="22"/>
  <c r="GS182" i="22"/>
  <c r="GU182" i="22" s="1"/>
  <c r="GQ165" i="22"/>
  <c r="GP165" i="22"/>
  <c r="GK158" i="22"/>
  <c r="GJ158" i="22"/>
  <c r="DU151" i="22"/>
  <c r="GS147" i="22"/>
  <c r="GU147" i="22" s="1"/>
  <c r="GS160" i="22"/>
  <c r="GU160" i="22" s="1"/>
  <c r="GU148" i="22"/>
  <c r="GK125" i="22"/>
  <c r="GJ125" i="22"/>
  <c r="GS130" i="22"/>
  <c r="GU130" i="22" s="1"/>
  <c r="BM130" i="22"/>
  <c r="GJ136" i="22"/>
  <c r="GK136" i="22"/>
  <c r="GS123" i="22"/>
  <c r="GU123" i="22" s="1"/>
  <c r="BM123" i="22"/>
  <c r="GS103" i="22"/>
  <c r="GU103" i="22" s="1"/>
  <c r="BM103" i="22"/>
  <c r="GS109" i="22"/>
  <c r="GU109" i="22" s="1"/>
  <c r="GJ89" i="22"/>
  <c r="GK89" i="22"/>
  <c r="BM80" i="22"/>
  <c r="GS80" i="22"/>
  <c r="GU80" i="22" s="1"/>
  <c r="GP56" i="22"/>
  <c r="GQ56" i="22"/>
  <c r="GS82" i="22"/>
  <c r="GU82" i="22" s="1"/>
  <c r="GS76" i="22"/>
  <c r="GU76" i="22" s="1"/>
  <c r="GK67" i="22"/>
  <c r="GS71" i="22"/>
  <c r="GU71" i="22" s="1"/>
  <c r="GS60" i="22"/>
  <c r="GU60" i="22" s="1"/>
  <c r="GQ40" i="22"/>
  <c r="GP40" i="22"/>
  <c r="GS55" i="22"/>
  <c r="GU55" i="22" s="1"/>
  <c r="GS36" i="22"/>
  <c r="GU36" i="22" s="1"/>
  <c r="BM16" i="22"/>
  <c r="GS16" i="22"/>
  <c r="GU16" i="22" s="1"/>
  <c r="GS20" i="22"/>
  <c r="GU20" i="22" s="1"/>
  <c r="BM20" i="22"/>
  <c r="GK12" i="22"/>
  <c r="GJ12" i="22"/>
  <c r="GS30" i="22"/>
  <c r="GU30" i="22" s="1"/>
  <c r="GS10" i="22"/>
  <c r="GU10" i="22" s="1"/>
  <c r="GK165" i="22"/>
  <c r="GJ165" i="22"/>
  <c r="GJ114" i="22"/>
  <c r="GK114" i="22"/>
  <c r="GS139" i="22"/>
  <c r="GU139" i="22" s="1"/>
  <c r="GS135" i="22"/>
  <c r="GU135" i="22" s="1"/>
  <c r="GK121" i="22"/>
  <c r="GJ121" i="22"/>
  <c r="BM113" i="22"/>
  <c r="GS113" i="22"/>
  <c r="GU113" i="22" s="1"/>
  <c r="GS101" i="22"/>
  <c r="GU101" i="22" s="1"/>
  <c r="GK80" i="22"/>
  <c r="GJ80" i="22"/>
  <c r="GS62" i="22"/>
  <c r="GU62" i="22" s="1"/>
  <c r="BM62" i="22"/>
  <c r="GP50" i="22"/>
  <c r="GQ50" i="22"/>
  <c r="GQ53" i="22"/>
  <c r="GP53" i="22"/>
  <c r="GK68" i="22"/>
  <c r="GJ68" i="22"/>
  <c r="GK25" i="22"/>
  <c r="GJ25" i="22"/>
  <c r="GS56" i="22"/>
  <c r="GU56" i="22" s="1"/>
  <c r="BM25" i="22"/>
  <c r="GS25" i="22"/>
  <c r="GU25" i="22" s="1"/>
  <c r="BM24" i="22"/>
  <c r="GS24" i="22"/>
  <c r="GU24" i="22" s="1"/>
  <c r="GK15" i="22"/>
  <c r="GJ15" i="22"/>
  <c r="GK7" i="22"/>
  <c r="GU14" i="22"/>
  <c r="GJ6" i="22"/>
  <c r="GK154" i="22"/>
  <c r="GJ154" i="22"/>
  <c r="GJ161" i="22"/>
  <c r="GK161" i="22"/>
  <c r="GU150" i="22"/>
  <c r="GJ180" i="22"/>
  <c r="GJ192" i="22"/>
  <c r="GS187" i="22"/>
  <c r="GU187" i="22" s="1"/>
  <c r="GS172" i="22"/>
  <c r="GU172" i="22" s="1"/>
  <c r="GS151" i="22"/>
  <c r="GU151" i="22" s="1"/>
  <c r="GS138" i="22"/>
  <c r="GU138" i="22" s="1"/>
  <c r="BM138" i="22"/>
  <c r="BM155" i="22"/>
  <c r="GS155" i="22"/>
  <c r="GU155" i="22" s="1"/>
  <c r="ES142" i="22"/>
  <c r="GS142" i="22"/>
  <c r="GU142" i="22" s="1"/>
  <c r="GK124" i="22"/>
  <c r="GS137" i="22"/>
  <c r="GU137" i="22" s="1"/>
  <c r="BM137" i="22"/>
  <c r="GS133" i="22"/>
  <c r="GU133" i="22" s="1"/>
  <c r="GK101" i="22"/>
  <c r="GJ101" i="22"/>
  <c r="GS128" i="22"/>
  <c r="GU128" i="22" s="1"/>
  <c r="GJ95" i="22"/>
  <c r="GK95" i="22"/>
  <c r="GS111" i="22"/>
  <c r="GU111" i="22" s="1"/>
  <c r="GQ109" i="22"/>
  <c r="GP109" i="22"/>
  <c r="GS99" i="22"/>
  <c r="GU99" i="22" s="1"/>
  <c r="GS98" i="22"/>
  <c r="GU98" i="22" s="1"/>
  <c r="BM98" i="22"/>
  <c r="GS66" i="22"/>
  <c r="GU66" i="22" s="1"/>
  <c r="BM66" i="22"/>
  <c r="GS83" i="22"/>
  <c r="GU83" i="22" s="1"/>
  <c r="CO61" i="22"/>
  <c r="GS61" i="22"/>
  <c r="GU61" i="22" s="1"/>
  <c r="GS50" i="22"/>
  <c r="GU50" i="22" s="1"/>
  <c r="BM50" i="22"/>
  <c r="GK52" i="22"/>
  <c r="GJ52" i="22"/>
  <c r="GS58" i="22"/>
  <c r="GU58" i="22" s="1"/>
  <c r="GS65" i="22"/>
  <c r="GU65" i="22" s="1"/>
  <c r="GJ45" i="22"/>
  <c r="GK45" i="22"/>
  <c r="CO37" i="22"/>
  <c r="GS37" i="22"/>
  <c r="GU37" i="22" s="1"/>
  <c r="GS32" i="22"/>
  <c r="GU32" i="22" s="1"/>
  <c r="GS47" i="22"/>
  <c r="GU47" i="22" s="1"/>
  <c r="GS45" i="22"/>
  <c r="GU45" i="22" s="1"/>
  <c r="GS29" i="22"/>
  <c r="GU29" i="22" s="1"/>
  <c r="GJ184" i="22"/>
  <c r="GJ181" i="22"/>
  <c r="GS178" i="22"/>
  <c r="GU178" i="22" s="1"/>
  <c r="BM178" i="22"/>
  <c r="DU150" i="22"/>
  <c r="GK141" i="22"/>
  <c r="GS152" i="22"/>
  <c r="GU152" i="22" s="1"/>
  <c r="GK133" i="22"/>
  <c r="GJ133" i="22"/>
  <c r="GK107" i="22"/>
  <c r="GJ107" i="22"/>
  <c r="BM94" i="22"/>
  <c r="GS94" i="22"/>
  <c r="GU94" i="22" s="1"/>
  <c r="GK99" i="22"/>
  <c r="BM91" i="22"/>
  <c r="GS91" i="22"/>
  <c r="GU91" i="22" s="1"/>
  <c r="GP75" i="22"/>
  <c r="GQ75" i="22"/>
  <c r="GS68" i="22"/>
  <c r="GU68" i="22" s="1"/>
  <c r="BM68" i="22"/>
  <c r="GK41" i="22"/>
  <c r="GJ41" i="22"/>
  <c r="GK65" i="22"/>
  <c r="GU52" i="22"/>
  <c r="GK42" i="22"/>
  <c r="GJ54" i="22"/>
  <c r="GS31" i="22"/>
  <c r="GU31" i="22" s="1"/>
  <c r="BM31" i="22"/>
  <c r="GK132" i="22"/>
  <c r="GJ132" i="22"/>
  <c r="GS156" i="22"/>
  <c r="GU156" i="22" s="1"/>
  <c r="BM156" i="22"/>
  <c r="GJ167" i="22"/>
  <c r="GK175" i="22"/>
  <c r="GJ175" i="22"/>
  <c r="GK172" i="22"/>
  <c r="GJ172" i="22"/>
  <c r="GS131" i="22"/>
  <c r="GU131" i="22" s="1"/>
  <c r="GP113" i="22"/>
  <c r="GQ113" i="22"/>
  <c r="GS141" i="22"/>
  <c r="GU141" i="22" s="1"/>
  <c r="GP163" i="22"/>
  <c r="GQ163" i="22"/>
  <c r="GS168" i="22"/>
  <c r="GU168" i="22" s="1"/>
  <c r="GS165" i="22"/>
  <c r="GU165" i="22" s="1"/>
  <c r="BM165" i="22"/>
  <c r="BM146" i="22"/>
  <c r="GS146" i="22"/>
  <c r="GU146" i="22" s="1"/>
  <c r="GJ156" i="22"/>
  <c r="GK156" i="22"/>
  <c r="GK149" i="22"/>
  <c r="GS149" i="22"/>
  <c r="GU149" i="22" s="1"/>
  <c r="GP158" i="22"/>
  <c r="GQ158" i="22"/>
  <c r="GS144" i="22"/>
  <c r="GU144" i="22" s="1"/>
  <c r="BM144" i="22"/>
  <c r="GS145" i="22"/>
  <c r="GU145" i="22" s="1"/>
  <c r="GK130" i="22"/>
  <c r="GS121" i="22"/>
  <c r="GU121" i="22" s="1"/>
  <c r="GJ103" i="22"/>
  <c r="GK105" i="22"/>
  <c r="GJ105" i="22"/>
  <c r="GS90" i="22"/>
  <c r="GU90" i="22" s="1"/>
  <c r="BM90" i="22"/>
  <c r="GP84" i="22"/>
  <c r="GQ84" i="22"/>
  <c r="GS97" i="22"/>
  <c r="GU97" i="22" s="1"/>
  <c r="GS89" i="22"/>
  <c r="GU89" i="22" s="1"/>
  <c r="GS81" i="22"/>
  <c r="GU81" i="22" s="1"/>
  <c r="BM81" i="22"/>
  <c r="GK90" i="22"/>
  <c r="GJ90" i="22"/>
  <c r="GK75" i="22"/>
  <c r="GJ75" i="22"/>
  <c r="GS84" i="22"/>
  <c r="GU84" i="22" s="1"/>
  <c r="GS70" i="22"/>
  <c r="GU70" i="22" s="1"/>
  <c r="BM70" i="22"/>
  <c r="GS79" i="22"/>
  <c r="GU79" i="22" s="1"/>
  <c r="GS42" i="22"/>
  <c r="GU42" i="22" s="1"/>
  <c r="BM42" i="22"/>
  <c r="GJ78" i="22"/>
  <c r="GS63" i="22"/>
  <c r="GU63" i="22" s="1"/>
  <c r="GJ31" i="22"/>
  <c r="GK31" i="22"/>
  <c r="GP36" i="22"/>
  <c r="GS22" i="22"/>
  <c r="GU22" i="22" s="1"/>
  <c r="GS26" i="22"/>
  <c r="GU26" i="22" s="1"/>
  <c r="BM26" i="22"/>
  <c r="GS34" i="22"/>
  <c r="GU34" i="22" s="1"/>
  <c r="GS129" i="22"/>
  <c r="GU129" i="22" s="1"/>
  <c r="BM129" i="22"/>
  <c r="GK102" i="22"/>
  <c r="GJ102" i="22"/>
  <c r="BM96" i="22"/>
  <c r="GS96" i="22"/>
  <c r="GU96" i="22" s="1"/>
  <c r="GS72" i="22"/>
  <c r="GU72" i="22" s="1"/>
  <c r="BM72" i="22"/>
  <c r="GS88" i="22"/>
  <c r="GU88" i="22" s="1"/>
  <c r="GK61" i="22"/>
  <c r="GS49" i="22"/>
  <c r="GU49" i="22" s="1"/>
  <c r="GK53" i="22"/>
  <c r="GJ53" i="22"/>
  <c r="BM40" i="22"/>
  <c r="GS40" i="22"/>
  <c r="GU40" i="22" s="1"/>
  <c r="GP21" i="22"/>
  <c r="GQ21" i="22"/>
  <c r="GS44" i="22"/>
  <c r="GU44" i="22" s="1"/>
  <c r="GJ10" i="22"/>
  <c r="GK10" i="22"/>
  <c r="GS33" i="22"/>
  <c r="GU33" i="22" s="1"/>
  <c r="BM33" i="22"/>
  <c r="GJ8" i="22"/>
  <c r="GK8" i="22"/>
  <c r="GK32" i="22"/>
  <c r="GJ32" i="22"/>
  <c r="GS154" i="22"/>
  <c r="GU154" i="22" s="1"/>
  <c r="BM162" i="22"/>
  <c r="GS162" i="22"/>
  <c r="GU162" i="22" s="1"/>
  <c r="GQ153" i="22"/>
  <c r="GJ129" i="22"/>
  <c r="GK129" i="22"/>
  <c r="GK119" i="22"/>
  <c r="GJ119" i="22"/>
  <c r="BM92" i="22"/>
  <c r="GS92" i="22"/>
  <c r="GU92" i="22" s="1"/>
  <c r="GK81" i="22"/>
  <c r="GJ81" i="22"/>
  <c r="GK72" i="22"/>
  <c r="GJ72" i="22"/>
  <c r="GS87" i="22"/>
  <c r="GU87" i="22" s="1"/>
  <c r="ES48" i="22"/>
  <c r="GS48" i="22"/>
  <c r="GU48" i="22" s="1"/>
  <c r="GU74" i="22"/>
  <c r="GS77" i="22"/>
  <c r="GU77" i="22" s="1"/>
  <c r="GJ74" i="22"/>
  <c r="GK74" i="22"/>
  <c r="GJ47" i="22"/>
  <c r="GS39" i="22"/>
  <c r="GU39" i="22" s="1"/>
  <c r="BM39" i="22"/>
  <c r="GS27" i="22"/>
  <c r="GU27" i="22" s="1"/>
  <c r="BM27" i="22"/>
  <c r="GK30" i="22"/>
  <c r="GJ30" i="22"/>
  <c r="GJ11" i="22"/>
  <c r="GK11" i="22"/>
  <c r="BP180" i="1" l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DE165" i="1"/>
  <c r="DE164" i="1"/>
  <c r="DE163" i="1"/>
  <c r="DE162" i="1"/>
  <c r="DE161" i="1"/>
  <c r="DE160" i="1"/>
  <c r="DE132" i="1"/>
  <c r="DE113" i="1"/>
  <c r="DE100" i="1"/>
  <c r="DE60" i="1"/>
  <c r="CC165" i="1"/>
  <c r="CC164" i="1"/>
  <c r="CC163" i="1"/>
  <c r="CC161" i="1"/>
  <c r="CC160" i="1"/>
  <c r="CC159" i="1"/>
  <c r="CC158" i="1"/>
  <c r="CC157" i="1"/>
  <c r="CC156" i="1"/>
  <c r="CC155" i="1"/>
  <c r="CC154" i="1"/>
  <c r="CC153" i="1"/>
  <c r="CC152" i="1"/>
  <c r="CC151" i="1"/>
  <c r="CC150" i="1"/>
  <c r="CC149" i="1"/>
  <c r="CC148" i="1"/>
  <c r="CC147" i="1"/>
  <c r="CC146" i="1"/>
  <c r="CC145" i="1"/>
  <c r="CC144" i="1"/>
  <c r="CC143" i="1"/>
  <c r="CC142" i="1"/>
  <c r="CC141" i="1"/>
  <c r="CC140" i="1"/>
  <c r="CC139" i="1"/>
  <c r="CC138" i="1"/>
  <c r="CC137" i="1"/>
  <c r="CC136" i="1"/>
  <c r="CC135" i="1"/>
  <c r="CC134" i="1"/>
  <c r="CC133" i="1"/>
  <c r="CC132" i="1"/>
  <c r="CC131" i="1"/>
  <c r="CC130" i="1"/>
  <c r="CC129" i="1"/>
  <c r="CC128" i="1"/>
  <c r="CC127" i="1"/>
  <c r="CC126" i="1"/>
  <c r="CC125" i="1"/>
  <c r="CC124" i="1"/>
  <c r="CC123" i="1"/>
  <c r="CC122" i="1"/>
  <c r="CC121" i="1"/>
  <c r="CC120" i="1"/>
  <c r="CC119" i="1"/>
  <c r="CC118" i="1"/>
  <c r="CC117" i="1"/>
  <c r="CC116" i="1"/>
  <c r="CC115" i="1"/>
  <c r="CC114" i="1"/>
  <c r="CC113" i="1"/>
  <c r="CC112" i="1"/>
  <c r="CC111" i="1"/>
  <c r="CC110" i="1"/>
  <c r="CC109" i="1"/>
  <c r="CC108" i="1"/>
  <c r="CC107" i="1"/>
  <c r="CC106" i="1"/>
  <c r="CC105" i="1"/>
  <c r="CC104" i="1"/>
  <c r="CC103" i="1"/>
  <c r="CC102" i="1"/>
  <c r="CC101" i="1"/>
  <c r="CC100" i="1"/>
  <c r="CC60" i="1"/>
  <c r="CC36" i="1"/>
  <c r="BA165" i="1"/>
  <c r="BA164" i="1"/>
  <c r="BA163" i="1"/>
  <c r="BA162" i="1"/>
  <c r="BA161" i="1"/>
  <c r="BA160" i="1"/>
  <c r="BA158" i="1"/>
  <c r="BA149" i="1"/>
  <c r="BA132" i="1"/>
  <c r="BA113" i="1"/>
  <c r="BA100" i="1"/>
  <c r="BA60" i="1"/>
  <c r="BA36" i="1"/>
  <c r="CC181" i="1"/>
  <c r="CC180" i="1"/>
  <c r="CC177" i="1"/>
  <c r="CC176" i="1"/>
  <c r="CC175" i="1"/>
  <c r="CC174" i="1"/>
  <c r="CC173" i="1"/>
  <c r="CC172" i="1"/>
  <c r="CC171" i="1"/>
  <c r="CC170" i="1"/>
  <c r="CC169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CZ165" i="1" l="1"/>
  <c r="BX165" i="1"/>
  <c r="AV165" i="1"/>
  <c r="FE9" i="21" l="1"/>
  <c r="FD9" i="21"/>
  <c r="DI9" i="21"/>
  <c r="DH9" i="21"/>
  <c r="M8" i="2" s="1"/>
  <c r="DF9" i="21"/>
  <c r="DD9" i="21"/>
  <c r="DC9" i="21"/>
  <c r="CG9" i="21"/>
  <c r="CF9" i="21"/>
  <c r="J8" i="2" s="1"/>
  <c r="CD9" i="21"/>
  <c r="CB9" i="21"/>
  <c r="CA9" i="21"/>
  <c r="W8" i="2"/>
  <c r="FE8" i="21"/>
  <c r="FD8" i="21"/>
  <c r="DI8" i="21"/>
  <c r="DH8" i="21"/>
  <c r="M7" i="2" s="1"/>
  <c r="DF8" i="21"/>
  <c r="DD8" i="21"/>
  <c r="DC8" i="21"/>
  <c r="CG8" i="21"/>
  <c r="CF8" i="21"/>
  <c r="J7" i="2" s="1"/>
  <c r="CD8" i="21"/>
  <c r="CB8" i="21"/>
  <c r="CA8" i="21"/>
  <c r="W7" i="2"/>
  <c r="CL8" i="21"/>
  <c r="GI7" i="21"/>
  <c r="GH7" i="21"/>
  <c r="GG7" i="21"/>
  <c r="GF7" i="21"/>
  <c r="FY7" i="21"/>
  <c r="FX7" i="21"/>
  <c r="FW7" i="21"/>
  <c r="FV7" i="21"/>
  <c r="FT7" i="21"/>
  <c r="FS7" i="21"/>
  <c r="FR7" i="21"/>
  <c r="FQ7" i="21"/>
  <c r="FN7" i="21"/>
  <c r="Y6" i="2" s="1"/>
  <c r="FE7" i="21"/>
  <c r="FD7" i="21"/>
  <c r="EY7" i="21"/>
  <c r="EX7" i="21"/>
  <c r="DI7" i="21"/>
  <c r="DH7" i="21"/>
  <c r="M6" i="2" s="1"/>
  <c r="DF7" i="21"/>
  <c r="DD7" i="21"/>
  <c r="DC7" i="21"/>
  <c r="CG7" i="21"/>
  <c r="CF7" i="21"/>
  <c r="J6" i="2" s="1"/>
  <c r="CD7" i="21"/>
  <c r="CB7" i="21"/>
  <c r="CA7" i="21"/>
  <c r="BE7" i="21"/>
  <c r="BD7" i="21"/>
  <c r="G6" i="2" s="1"/>
  <c r="AG7" i="21"/>
  <c r="W6" i="2"/>
  <c r="M7" i="21"/>
  <c r="K7" i="21"/>
  <c r="Y3" i="2" l="1"/>
  <c r="GB7" i="21"/>
  <c r="GK7" i="21"/>
  <c r="GC7" i="21"/>
  <c r="FZ7" i="21"/>
  <c r="GJ7" i="21"/>
  <c r="FU7" i="21"/>
  <c r="GA7" i="21"/>
  <c r="GO181" i="1"/>
  <c r="GN181" i="1"/>
  <c r="GM181" i="1"/>
  <c r="GL181" i="1"/>
  <c r="GE181" i="1"/>
  <c r="GD181" i="1"/>
  <c r="GC181" i="1"/>
  <c r="GB181" i="1"/>
  <c r="FZ181" i="1"/>
  <c r="FY181" i="1"/>
  <c r="FX181" i="1"/>
  <c r="FW181" i="1"/>
  <c r="FT181" i="1"/>
  <c r="FP181" i="1"/>
  <c r="FK181" i="1"/>
  <c r="FJ181" i="1"/>
  <c r="FE181" i="1"/>
  <c r="FD181" i="1"/>
  <c r="ER181" i="1"/>
  <c r="EQ181" i="1"/>
  <c r="EO181" i="1"/>
  <c r="EN181" i="1"/>
  <c r="EM181" i="1"/>
  <c r="EL181" i="1"/>
  <c r="DP181" i="1"/>
  <c r="DO181" i="1"/>
  <c r="DM181" i="1"/>
  <c r="DL181" i="1"/>
  <c r="DK181" i="1"/>
  <c r="DJ181" i="1"/>
  <c r="CN181" i="1"/>
  <c r="CM181" i="1"/>
  <c r="CK181" i="1"/>
  <c r="CJ181" i="1"/>
  <c r="CI181" i="1"/>
  <c r="CH181" i="1"/>
  <c r="BL181" i="1"/>
  <c r="BK181" i="1"/>
  <c r="BI181" i="1"/>
  <c r="BH181" i="1"/>
  <c r="BG181" i="1"/>
  <c r="BF181" i="1"/>
  <c r="AO181" i="1"/>
  <c r="AN181" i="1"/>
  <c r="AM181" i="1"/>
  <c r="T181" i="1"/>
  <c r="BP181" i="1" s="1"/>
  <c r="W3" i="2" l="1"/>
  <c r="GD7" i="21"/>
  <c r="EP181" i="1"/>
  <c r="ES181" i="1" s="1"/>
  <c r="GF181" i="1"/>
  <c r="GH181" i="1"/>
  <c r="GG181" i="1"/>
  <c r="GE7" i="21"/>
  <c r="GT181" i="1"/>
  <c r="CL181" i="1"/>
  <c r="CO181" i="1" s="1"/>
  <c r="GA181" i="1"/>
  <c r="GQ181" i="1"/>
  <c r="GI181" i="1"/>
  <c r="DN181" i="1"/>
  <c r="DQ181" i="1" s="1"/>
  <c r="BJ181" i="1"/>
  <c r="GP181" i="1"/>
  <c r="EV181" i="1"/>
  <c r="FW179" i="1"/>
  <c r="FX179" i="1"/>
  <c r="FY179" i="1"/>
  <c r="FZ179" i="1"/>
  <c r="GB179" i="1"/>
  <c r="GC179" i="1"/>
  <c r="GD179" i="1"/>
  <c r="GE179" i="1"/>
  <c r="GL179" i="1"/>
  <c r="GM179" i="1"/>
  <c r="GN179" i="1"/>
  <c r="GO179" i="1"/>
  <c r="FW180" i="1"/>
  <c r="FX180" i="1"/>
  <c r="FY180" i="1"/>
  <c r="FZ180" i="1"/>
  <c r="GB180" i="1"/>
  <c r="GC180" i="1"/>
  <c r="GD180" i="1"/>
  <c r="GE180" i="1"/>
  <c r="GL180" i="1"/>
  <c r="GM180" i="1"/>
  <c r="GN180" i="1"/>
  <c r="GO180" i="1"/>
  <c r="FT179" i="1"/>
  <c r="FT180" i="1"/>
  <c r="FP179" i="1"/>
  <c r="FP180" i="1"/>
  <c r="FJ179" i="1"/>
  <c r="FK179" i="1"/>
  <c r="FJ180" i="1"/>
  <c r="FK180" i="1"/>
  <c r="FD179" i="1"/>
  <c r="FE179" i="1"/>
  <c r="FD180" i="1"/>
  <c r="FE180" i="1"/>
  <c r="EL179" i="1"/>
  <c r="EM179" i="1"/>
  <c r="EN179" i="1"/>
  <c r="EO179" i="1"/>
  <c r="EQ179" i="1"/>
  <c r="ER179" i="1"/>
  <c r="EL180" i="1"/>
  <c r="EM180" i="1"/>
  <c r="EN180" i="1"/>
  <c r="EO180" i="1"/>
  <c r="EQ180" i="1"/>
  <c r="ER180" i="1"/>
  <c r="EV180" i="1"/>
  <c r="DJ179" i="1"/>
  <c r="DK179" i="1"/>
  <c r="DL179" i="1"/>
  <c r="DM179" i="1"/>
  <c r="DO179" i="1"/>
  <c r="DP179" i="1"/>
  <c r="DJ180" i="1"/>
  <c r="DK180" i="1"/>
  <c r="DL180" i="1"/>
  <c r="DM180" i="1"/>
  <c r="DO180" i="1"/>
  <c r="DP180" i="1"/>
  <c r="CH179" i="1"/>
  <c r="CI179" i="1"/>
  <c r="CJ179" i="1"/>
  <c r="CK179" i="1"/>
  <c r="CM179" i="1"/>
  <c r="CN179" i="1"/>
  <c r="CH180" i="1"/>
  <c r="CI180" i="1"/>
  <c r="CJ180" i="1"/>
  <c r="CK180" i="1"/>
  <c r="CM180" i="1"/>
  <c r="CN180" i="1"/>
  <c r="BF179" i="1"/>
  <c r="BG179" i="1"/>
  <c r="BH179" i="1"/>
  <c r="BI179" i="1"/>
  <c r="BK179" i="1"/>
  <c r="BL179" i="1"/>
  <c r="BF180" i="1"/>
  <c r="BG180" i="1"/>
  <c r="BH180" i="1"/>
  <c r="BI180" i="1"/>
  <c r="BK180" i="1"/>
  <c r="BL180" i="1"/>
  <c r="GJ181" i="1" l="1"/>
  <c r="GK181" i="1"/>
  <c r="GS181" i="1"/>
  <c r="GU181" i="1" s="1"/>
  <c r="BM181" i="1"/>
  <c r="CS181" i="1"/>
  <c r="GT179" i="1"/>
  <c r="GH179" i="1"/>
  <c r="GI179" i="1"/>
  <c r="GP179" i="1"/>
  <c r="EP180" i="1"/>
  <c r="ES180" i="1" s="1"/>
  <c r="GF179" i="1"/>
  <c r="CL180" i="1"/>
  <c r="CO180" i="1" s="1"/>
  <c r="BJ179" i="1"/>
  <c r="BM179" i="1" s="1"/>
  <c r="GH180" i="1"/>
  <c r="GG179" i="1"/>
  <c r="GI180" i="1"/>
  <c r="GA180" i="1"/>
  <c r="BJ180" i="1"/>
  <c r="BM180" i="1" s="1"/>
  <c r="GG180" i="1"/>
  <c r="GT180" i="1"/>
  <c r="GF180" i="1"/>
  <c r="GP180" i="1"/>
  <c r="DN180" i="1"/>
  <c r="DQ180" i="1" s="1"/>
  <c r="GQ180" i="1"/>
  <c r="CL179" i="1"/>
  <c r="CO179" i="1" s="1"/>
  <c r="DN179" i="1"/>
  <c r="DQ179" i="1" s="1"/>
  <c r="GA179" i="1"/>
  <c r="EP179" i="1"/>
  <c r="ES179" i="1" s="1"/>
  <c r="GQ179" i="1"/>
  <c r="GJ179" i="1" l="1"/>
  <c r="GK179" i="1"/>
  <c r="GJ180" i="1"/>
  <c r="GK180" i="1"/>
  <c r="CS179" i="1"/>
  <c r="GS179" i="1"/>
  <c r="GU179" i="1" s="1"/>
  <c r="GS180" i="1"/>
  <c r="GU180" i="1" s="1"/>
  <c r="AM178" i="1" l="1"/>
  <c r="AN178" i="1"/>
  <c r="AO178" i="1"/>
  <c r="AM166" i="1"/>
  <c r="AN166" i="1"/>
  <c r="AO166" i="1"/>
  <c r="AM167" i="1"/>
  <c r="AN167" i="1"/>
  <c r="AO167" i="1"/>
  <c r="AM168" i="1"/>
  <c r="AN168" i="1"/>
  <c r="AO168" i="1"/>
  <c r="AM169" i="1"/>
  <c r="AN169" i="1"/>
  <c r="AO169" i="1"/>
  <c r="AM170" i="1"/>
  <c r="AN170" i="1"/>
  <c r="AO170" i="1"/>
  <c r="AM171" i="1"/>
  <c r="AN171" i="1"/>
  <c r="AO171" i="1"/>
  <c r="AM172" i="1"/>
  <c r="AN172" i="1"/>
  <c r="AO172" i="1"/>
  <c r="AM173" i="1"/>
  <c r="AN173" i="1"/>
  <c r="AO173" i="1"/>
  <c r="AM174" i="1"/>
  <c r="AN174" i="1"/>
  <c r="AO174" i="1"/>
  <c r="AM175" i="1"/>
  <c r="AN175" i="1"/>
  <c r="AO175" i="1"/>
  <c r="AM176" i="1"/>
  <c r="AN176" i="1"/>
  <c r="AO176" i="1"/>
  <c r="AM177" i="1"/>
  <c r="AN177" i="1"/>
  <c r="AO177" i="1"/>
  <c r="FW168" i="1"/>
  <c r="FX168" i="1"/>
  <c r="FY168" i="1"/>
  <c r="FZ168" i="1"/>
  <c r="GB168" i="1"/>
  <c r="GC168" i="1"/>
  <c r="GD168" i="1"/>
  <c r="GE168" i="1"/>
  <c r="GL168" i="1"/>
  <c r="GM168" i="1"/>
  <c r="GN168" i="1"/>
  <c r="GO168" i="1"/>
  <c r="FW169" i="1"/>
  <c r="FX169" i="1"/>
  <c r="FY169" i="1"/>
  <c r="FZ169" i="1"/>
  <c r="GB169" i="1"/>
  <c r="GC169" i="1"/>
  <c r="GD169" i="1"/>
  <c r="GE169" i="1"/>
  <c r="GL169" i="1"/>
  <c r="GM169" i="1"/>
  <c r="GN169" i="1"/>
  <c r="GO169" i="1"/>
  <c r="FW170" i="1"/>
  <c r="FX170" i="1"/>
  <c r="FY170" i="1"/>
  <c r="FZ170" i="1"/>
  <c r="GB170" i="1"/>
  <c r="GC170" i="1"/>
  <c r="GD170" i="1"/>
  <c r="GE170" i="1"/>
  <c r="GL170" i="1"/>
  <c r="GM170" i="1"/>
  <c r="GN170" i="1"/>
  <c r="GO170" i="1"/>
  <c r="FW171" i="1"/>
  <c r="FX171" i="1"/>
  <c r="FY171" i="1"/>
  <c r="FZ171" i="1"/>
  <c r="GB171" i="1"/>
  <c r="GC171" i="1"/>
  <c r="GD171" i="1"/>
  <c r="GE171" i="1"/>
  <c r="GL171" i="1"/>
  <c r="GM171" i="1"/>
  <c r="GN171" i="1"/>
  <c r="GO171" i="1"/>
  <c r="FW172" i="1"/>
  <c r="FX172" i="1"/>
  <c r="FY172" i="1"/>
  <c r="FZ172" i="1"/>
  <c r="GB172" i="1"/>
  <c r="GC172" i="1"/>
  <c r="GD172" i="1"/>
  <c r="GE172" i="1"/>
  <c r="GL172" i="1"/>
  <c r="GM172" i="1"/>
  <c r="GN172" i="1"/>
  <c r="GO172" i="1"/>
  <c r="FW173" i="1"/>
  <c r="FX173" i="1"/>
  <c r="FY173" i="1"/>
  <c r="FZ173" i="1"/>
  <c r="GB173" i="1"/>
  <c r="GC173" i="1"/>
  <c r="GD173" i="1"/>
  <c r="GE173" i="1"/>
  <c r="GL173" i="1"/>
  <c r="GM173" i="1"/>
  <c r="GN173" i="1"/>
  <c r="GO173" i="1"/>
  <c r="FW174" i="1"/>
  <c r="FX174" i="1"/>
  <c r="FY174" i="1"/>
  <c r="FZ174" i="1"/>
  <c r="GB174" i="1"/>
  <c r="GC174" i="1"/>
  <c r="GD174" i="1"/>
  <c r="GE174" i="1"/>
  <c r="GL174" i="1"/>
  <c r="GM174" i="1"/>
  <c r="GN174" i="1"/>
  <c r="GO174" i="1"/>
  <c r="FW175" i="1"/>
  <c r="FX175" i="1"/>
  <c r="FY175" i="1"/>
  <c r="FZ175" i="1"/>
  <c r="GB175" i="1"/>
  <c r="GC175" i="1"/>
  <c r="GD175" i="1"/>
  <c r="GE175" i="1"/>
  <c r="GL175" i="1"/>
  <c r="GM175" i="1"/>
  <c r="GN175" i="1"/>
  <c r="GO175" i="1"/>
  <c r="FW176" i="1"/>
  <c r="FX176" i="1"/>
  <c r="FY176" i="1"/>
  <c r="FZ176" i="1"/>
  <c r="GB176" i="1"/>
  <c r="GC176" i="1"/>
  <c r="GD176" i="1"/>
  <c r="GE176" i="1"/>
  <c r="GL176" i="1"/>
  <c r="GM176" i="1"/>
  <c r="GN176" i="1"/>
  <c r="GO176" i="1"/>
  <c r="FW177" i="1"/>
  <c r="FX177" i="1"/>
  <c r="FY177" i="1"/>
  <c r="FZ177" i="1"/>
  <c r="GB177" i="1"/>
  <c r="GC177" i="1"/>
  <c r="GD177" i="1"/>
  <c r="GE177" i="1"/>
  <c r="GL177" i="1"/>
  <c r="GM177" i="1"/>
  <c r="GN177" i="1"/>
  <c r="GO177" i="1"/>
  <c r="FW178" i="1"/>
  <c r="FX178" i="1"/>
  <c r="FY178" i="1"/>
  <c r="FZ178" i="1"/>
  <c r="GB178" i="1"/>
  <c r="GC178" i="1"/>
  <c r="GD178" i="1"/>
  <c r="GE178" i="1"/>
  <c r="GL178" i="1"/>
  <c r="GM178" i="1"/>
  <c r="GN178" i="1"/>
  <c r="GO178" i="1"/>
  <c r="FT168" i="1"/>
  <c r="FT169" i="1"/>
  <c r="FT170" i="1"/>
  <c r="FT171" i="1"/>
  <c r="FT172" i="1"/>
  <c r="FT173" i="1"/>
  <c r="FT174" i="1"/>
  <c r="FT175" i="1"/>
  <c r="FT176" i="1"/>
  <c r="FT177" i="1"/>
  <c r="FT178" i="1"/>
  <c r="FE166" i="1"/>
  <c r="FE167" i="1"/>
  <c r="FE168" i="1"/>
  <c r="FE169" i="1"/>
  <c r="FE170" i="1"/>
  <c r="FE171" i="1"/>
  <c r="FE172" i="1"/>
  <c r="FE173" i="1"/>
  <c r="FE174" i="1"/>
  <c r="FE175" i="1"/>
  <c r="FE176" i="1"/>
  <c r="FE177" i="1"/>
  <c r="FE178" i="1"/>
  <c r="FJ166" i="1"/>
  <c r="FK166" i="1"/>
  <c r="FJ167" i="1"/>
  <c r="FK167" i="1"/>
  <c r="FJ168" i="1"/>
  <c r="FK168" i="1"/>
  <c r="FJ169" i="1"/>
  <c r="FK169" i="1"/>
  <c r="FJ170" i="1"/>
  <c r="FK170" i="1"/>
  <c r="FJ171" i="1"/>
  <c r="FK171" i="1"/>
  <c r="FJ172" i="1"/>
  <c r="FK172" i="1"/>
  <c r="FJ173" i="1"/>
  <c r="FK173" i="1"/>
  <c r="FJ174" i="1"/>
  <c r="FK174" i="1"/>
  <c r="FJ175" i="1"/>
  <c r="FK175" i="1"/>
  <c r="FJ176" i="1"/>
  <c r="FK176" i="1"/>
  <c r="FJ177" i="1"/>
  <c r="FK177" i="1"/>
  <c r="FJ178" i="1"/>
  <c r="FK178" i="1"/>
  <c r="FP166" i="1"/>
  <c r="FP167" i="1"/>
  <c r="FP168" i="1"/>
  <c r="FP169" i="1"/>
  <c r="FP170" i="1"/>
  <c r="FP171" i="1"/>
  <c r="FP172" i="1"/>
  <c r="FP173" i="1"/>
  <c r="FP174" i="1"/>
  <c r="FP175" i="1"/>
  <c r="FP176" i="1"/>
  <c r="FP177" i="1"/>
  <c r="FP178" i="1"/>
  <c r="FD166" i="1"/>
  <c r="FD167" i="1"/>
  <c r="FD168" i="1"/>
  <c r="FD169" i="1"/>
  <c r="FD170" i="1"/>
  <c r="FD171" i="1"/>
  <c r="FD172" i="1"/>
  <c r="FD173" i="1"/>
  <c r="FD174" i="1"/>
  <c r="FD175" i="1"/>
  <c r="FD176" i="1"/>
  <c r="FD177" i="1"/>
  <c r="FD178" i="1"/>
  <c r="EL168" i="1"/>
  <c r="EM168" i="1"/>
  <c r="EN168" i="1"/>
  <c r="EO168" i="1"/>
  <c r="EQ168" i="1"/>
  <c r="ER168" i="1"/>
  <c r="EV168" i="1"/>
  <c r="EL169" i="1"/>
  <c r="EM169" i="1"/>
  <c r="EN169" i="1"/>
  <c r="EO169" i="1"/>
  <c r="EQ169" i="1"/>
  <c r="ER169" i="1"/>
  <c r="EV169" i="1"/>
  <c r="EL170" i="1"/>
  <c r="EM170" i="1"/>
  <c r="EN170" i="1"/>
  <c r="EO170" i="1"/>
  <c r="EQ170" i="1"/>
  <c r="ER170" i="1"/>
  <c r="EV170" i="1"/>
  <c r="EL171" i="1"/>
  <c r="EM171" i="1"/>
  <c r="EN171" i="1"/>
  <c r="EO171" i="1"/>
  <c r="EQ171" i="1"/>
  <c r="ER171" i="1"/>
  <c r="EV171" i="1"/>
  <c r="EL172" i="1"/>
  <c r="EM172" i="1"/>
  <c r="EN172" i="1"/>
  <c r="EO172" i="1"/>
  <c r="EQ172" i="1"/>
  <c r="ER172" i="1"/>
  <c r="EV172" i="1"/>
  <c r="EL173" i="1"/>
  <c r="EM173" i="1"/>
  <c r="EN173" i="1"/>
  <c r="EO173" i="1"/>
  <c r="EQ173" i="1"/>
  <c r="ER173" i="1"/>
  <c r="EV173" i="1"/>
  <c r="EL174" i="1"/>
  <c r="EM174" i="1"/>
  <c r="EN174" i="1"/>
  <c r="EO174" i="1"/>
  <c r="EQ174" i="1"/>
  <c r="ER174" i="1"/>
  <c r="EV174" i="1"/>
  <c r="EL175" i="1"/>
  <c r="EM175" i="1"/>
  <c r="EN175" i="1"/>
  <c r="EO175" i="1"/>
  <c r="EQ175" i="1"/>
  <c r="ER175" i="1"/>
  <c r="EV175" i="1"/>
  <c r="EL176" i="1"/>
  <c r="EM176" i="1"/>
  <c r="EN176" i="1"/>
  <c r="EO176" i="1"/>
  <c r="EQ176" i="1"/>
  <c r="ER176" i="1"/>
  <c r="EV176" i="1"/>
  <c r="EL177" i="1"/>
  <c r="EM177" i="1"/>
  <c r="EN177" i="1"/>
  <c r="EO177" i="1"/>
  <c r="EQ177" i="1"/>
  <c r="ER177" i="1"/>
  <c r="EV177" i="1"/>
  <c r="EL178" i="1"/>
  <c r="EM178" i="1"/>
  <c r="EN178" i="1"/>
  <c r="EO178" i="1"/>
  <c r="EQ178" i="1"/>
  <c r="ER178" i="1"/>
  <c r="EV178" i="1"/>
  <c r="DJ169" i="1"/>
  <c r="DK169" i="1"/>
  <c r="DL169" i="1"/>
  <c r="DM169" i="1"/>
  <c r="DO169" i="1"/>
  <c r="DP169" i="1"/>
  <c r="DJ170" i="1"/>
  <c r="DK170" i="1"/>
  <c r="DL170" i="1"/>
  <c r="DM170" i="1"/>
  <c r="DO170" i="1"/>
  <c r="DP170" i="1"/>
  <c r="DJ171" i="1"/>
  <c r="DK171" i="1"/>
  <c r="DL171" i="1"/>
  <c r="DM171" i="1"/>
  <c r="DO171" i="1"/>
  <c r="DP171" i="1"/>
  <c r="DJ172" i="1"/>
  <c r="DK172" i="1"/>
  <c r="DL172" i="1"/>
  <c r="DM172" i="1"/>
  <c r="DO172" i="1"/>
  <c r="DP172" i="1"/>
  <c r="DJ173" i="1"/>
  <c r="DK173" i="1"/>
  <c r="DL173" i="1"/>
  <c r="DM173" i="1"/>
  <c r="DO173" i="1"/>
  <c r="DP173" i="1"/>
  <c r="DJ174" i="1"/>
  <c r="DK174" i="1"/>
  <c r="DL174" i="1"/>
  <c r="DM174" i="1"/>
  <c r="DO174" i="1"/>
  <c r="DP174" i="1"/>
  <c r="DJ175" i="1"/>
  <c r="DK175" i="1"/>
  <c r="DL175" i="1"/>
  <c r="DM175" i="1"/>
  <c r="DO175" i="1"/>
  <c r="DP175" i="1"/>
  <c r="DJ176" i="1"/>
  <c r="DK176" i="1"/>
  <c r="DL176" i="1"/>
  <c r="DM176" i="1"/>
  <c r="DO176" i="1"/>
  <c r="DP176" i="1"/>
  <c r="DJ177" i="1"/>
  <c r="DK177" i="1"/>
  <c r="DL177" i="1"/>
  <c r="DM177" i="1"/>
  <c r="DO177" i="1"/>
  <c r="DP177" i="1"/>
  <c r="DJ178" i="1"/>
  <c r="DK178" i="1"/>
  <c r="DL178" i="1"/>
  <c r="DM178" i="1"/>
  <c r="DO178" i="1"/>
  <c r="DP178" i="1"/>
  <c r="CH169" i="1"/>
  <c r="CI169" i="1"/>
  <c r="CJ169" i="1"/>
  <c r="CK169" i="1"/>
  <c r="CM169" i="1"/>
  <c r="CN169" i="1"/>
  <c r="CH170" i="1"/>
  <c r="CI170" i="1"/>
  <c r="CJ170" i="1"/>
  <c r="CK170" i="1"/>
  <c r="CM170" i="1"/>
  <c r="CN170" i="1"/>
  <c r="CH171" i="1"/>
  <c r="CI171" i="1"/>
  <c r="CJ171" i="1"/>
  <c r="CK171" i="1"/>
  <c r="CM171" i="1"/>
  <c r="CN171" i="1"/>
  <c r="CH172" i="1"/>
  <c r="CI172" i="1"/>
  <c r="CJ172" i="1"/>
  <c r="CK172" i="1"/>
  <c r="CM172" i="1"/>
  <c r="CN172" i="1"/>
  <c r="CH173" i="1"/>
  <c r="CI173" i="1"/>
  <c r="CJ173" i="1"/>
  <c r="CK173" i="1"/>
  <c r="CM173" i="1"/>
  <c r="CN173" i="1"/>
  <c r="CH174" i="1"/>
  <c r="CI174" i="1"/>
  <c r="CJ174" i="1"/>
  <c r="CK174" i="1"/>
  <c r="CM174" i="1"/>
  <c r="CN174" i="1"/>
  <c r="CH175" i="1"/>
  <c r="CI175" i="1"/>
  <c r="CJ175" i="1"/>
  <c r="CK175" i="1"/>
  <c r="CM175" i="1"/>
  <c r="CN175" i="1"/>
  <c r="CH176" i="1"/>
  <c r="CI176" i="1"/>
  <c r="CJ176" i="1"/>
  <c r="CK176" i="1"/>
  <c r="CM176" i="1"/>
  <c r="CN176" i="1"/>
  <c r="CH177" i="1"/>
  <c r="CI177" i="1"/>
  <c r="CJ177" i="1"/>
  <c r="CK177" i="1"/>
  <c r="CM177" i="1"/>
  <c r="CN177" i="1"/>
  <c r="CH178" i="1"/>
  <c r="CI178" i="1"/>
  <c r="CJ178" i="1"/>
  <c r="CK178" i="1"/>
  <c r="CM178" i="1"/>
  <c r="CN178" i="1"/>
  <c r="BF169" i="1"/>
  <c r="BG169" i="1"/>
  <c r="BH169" i="1"/>
  <c r="BI169" i="1"/>
  <c r="BK169" i="1"/>
  <c r="BL169" i="1"/>
  <c r="BF170" i="1"/>
  <c r="BG170" i="1"/>
  <c r="BH170" i="1"/>
  <c r="BI170" i="1"/>
  <c r="BK170" i="1"/>
  <c r="BL170" i="1"/>
  <c r="BF171" i="1"/>
  <c r="BG171" i="1"/>
  <c r="BH171" i="1"/>
  <c r="BI171" i="1"/>
  <c r="BK171" i="1"/>
  <c r="BL171" i="1"/>
  <c r="BF172" i="1"/>
  <c r="BG172" i="1"/>
  <c r="BH172" i="1"/>
  <c r="BI172" i="1"/>
  <c r="BK172" i="1"/>
  <c r="BL172" i="1"/>
  <c r="BF173" i="1"/>
  <c r="BG173" i="1"/>
  <c r="BH173" i="1"/>
  <c r="BI173" i="1"/>
  <c r="BK173" i="1"/>
  <c r="BL173" i="1"/>
  <c r="BF174" i="1"/>
  <c r="BG174" i="1"/>
  <c r="BH174" i="1"/>
  <c r="BI174" i="1"/>
  <c r="BK174" i="1"/>
  <c r="BL174" i="1"/>
  <c r="BF175" i="1"/>
  <c r="BG175" i="1"/>
  <c r="BH175" i="1"/>
  <c r="BI175" i="1"/>
  <c r="BK175" i="1"/>
  <c r="BL175" i="1"/>
  <c r="BF176" i="1"/>
  <c r="BG176" i="1"/>
  <c r="BH176" i="1"/>
  <c r="BI176" i="1"/>
  <c r="BK176" i="1"/>
  <c r="BL176" i="1"/>
  <c r="BF177" i="1"/>
  <c r="BG177" i="1"/>
  <c r="BH177" i="1"/>
  <c r="BI177" i="1"/>
  <c r="BK177" i="1"/>
  <c r="BL177" i="1"/>
  <c r="BF178" i="1"/>
  <c r="BG178" i="1"/>
  <c r="BH178" i="1"/>
  <c r="BI178" i="1"/>
  <c r="BK178" i="1"/>
  <c r="BL178" i="1"/>
  <c r="GG172" i="1" l="1"/>
  <c r="GI178" i="1"/>
  <c r="GI172" i="1"/>
  <c r="GI171" i="1"/>
  <c r="GH175" i="1"/>
  <c r="GH174" i="1"/>
  <c r="GH172" i="1"/>
  <c r="GF169" i="1"/>
  <c r="GF168" i="1"/>
  <c r="GT172" i="1"/>
  <c r="GH177" i="1"/>
  <c r="GG171" i="1"/>
  <c r="GF176" i="1"/>
  <c r="GG168" i="1"/>
  <c r="GI170" i="1"/>
  <c r="GT174" i="1"/>
  <c r="GH171" i="1"/>
  <c r="GH169" i="1"/>
  <c r="BJ178" i="1"/>
  <c r="BM178" i="1" s="1"/>
  <c r="GT173" i="1"/>
  <c r="EP171" i="1"/>
  <c r="ES171" i="1" s="1"/>
  <c r="GA170" i="1"/>
  <c r="BJ176" i="1"/>
  <c r="BM176" i="1" s="1"/>
  <c r="GF171" i="1"/>
  <c r="GA177" i="1"/>
  <c r="GQ172" i="1"/>
  <c r="GA178" i="1"/>
  <c r="BJ169" i="1"/>
  <c r="BM169" i="1" s="1"/>
  <c r="CL171" i="1"/>
  <c r="CO171" i="1" s="1"/>
  <c r="BJ170" i="1"/>
  <c r="BM170" i="1" s="1"/>
  <c r="GT176" i="1"/>
  <c r="GT175" i="1"/>
  <c r="DN175" i="1"/>
  <c r="DQ175" i="1" s="1"/>
  <c r="EP177" i="1"/>
  <c r="ES177" i="1" s="1"/>
  <c r="GP178" i="1"/>
  <c r="GG169" i="1"/>
  <c r="EP175" i="1"/>
  <c r="ES175" i="1" s="1"/>
  <c r="GT178" i="1"/>
  <c r="GT169" i="1"/>
  <c r="GF177" i="1"/>
  <c r="GI173" i="1"/>
  <c r="GA171" i="1"/>
  <c r="GH170" i="1"/>
  <c r="GT177" i="1"/>
  <c r="BJ172" i="1"/>
  <c r="BM172" i="1" s="1"/>
  <c r="BJ174" i="1"/>
  <c r="BM174" i="1" s="1"/>
  <c r="GT170" i="1"/>
  <c r="GI177" i="1"/>
  <c r="GG175" i="1"/>
  <c r="GG170" i="1"/>
  <c r="GI169" i="1"/>
  <c r="DN173" i="1"/>
  <c r="DQ173" i="1" s="1"/>
  <c r="GT171" i="1"/>
  <c r="GG178" i="1"/>
  <c r="GG174" i="1"/>
  <c r="GG173" i="1"/>
  <c r="GI176" i="1"/>
  <c r="GF175" i="1"/>
  <c r="GQ174" i="1"/>
  <c r="GH173" i="1"/>
  <c r="GF172" i="1"/>
  <c r="GP171" i="1"/>
  <c r="GF170" i="1"/>
  <c r="CL175" i="1"/>
  <c r="CO175" i="1" s="1"/>
  <c r="DN177" i="1"/>
  <c r="DQ177" i="1" s="1"/>
  <c r="DN169" i="1"/>
  <c r="DQ169" i="1" s="1"/>
  <c r="EP169" i="1"/>
  <c r="ES169" i="1" s="1"/>
  <c r="GG176" i="1"/>
  <c r="GA174" i="1"/>
  <c r="GF173" i="1"/>
  <c r="GH168" i="1"/>
  <c r="BJ175" i="1"/>
  <c r="DN178" i="1"/>
  <c r="DQ178" i="1" s="1"/>
  <c r="EP168" i="1"/>
  <c r="ES168" i="1" s="1"/>
  <c r="CL178" i="1"/>
  <c r="CO178" i="1" s="1"/>
  <c r="CL170" i="1"/>
  <c r="CO170" i="1" s="1"/>
  <c r="DN172" i="1"/>
  <c r="DQ172" i="1" s="1"/>
  <c r="GF178" i="1"/>
  <c r="GQ175" i="1"/>
  <c r="GI174" i="1"/>
  <c r="GA172" i="1"/>
  <c r="GP169" i="1"/>
  <c r="GQ168" i="1"/>
  <c r="BJ177" i="1"/>
  <c r="CL177" i="1"/>
  <c r="CO177" i="1" s="1"/>
  <c r="CL169" i="1"/>
  <c r="CO169" i="1" s="1"/>
  <c r="DN171" i="1"/>
  <c r="DQ171" i="1" s="1"/>
  <c r="EP174" i="1"/>
  <c r="ES174" i="1" s="1"/>
  <c r="EP172" i="1"/>
  <c r="ES172" i="1" s="1"/>
  <c r="GH178" i="1"/>
  <c r="GA175" i="1"/>
  <c r="GQ169" i="1"/>
  <c r="GA168" i="1"/>
  <c r="BJ173" i="1"/>
  <c r="CL173" i="1"/>
  <c r="CO173" i="1" s="1"/>
  <c r="CL176" i="1"/>
  <c r="CO176" i="1" s="1"/>
  <c r="DN170" i="1"/>
  <c r="DQ170" i="1" s="1"/>
  <c r="EP170" i="1"/>
  <c r="ES170" i="1" s="1"/>
  <c r="CL172" i="1"/>
  <c r="CO172" i="1" s="1"/>
  <c r="DN174" i="1"/>
  <c r="DQ174" i="1" s="1"/>
  <c r="EP173" i="1"/>
  <c r="ES173" i="1" s="1"/>
  <c r="GG177" i="1"/>
  <c r="GH176" i="1"/>
  <c r="GI175" i="1"/>
  <c r="GI168" i="1"/>
  <c r="GQ173" i="1"/>
  <c r="GA173" i="1"/>
  <c r="GQ170" i="1"/>
  <c r="GA169" i="1"/>
  <c r="BJ171" i="1"/>
  <c r="CL174" i="1"/>
  <c r="CO174" i="1" s="1"/>
  <c r="DN176" i="1"/>
  <c r="DQ176" i="1" s="1"/>
  <c r="EP178" i="1"/>
  <c r="ES178" i="1" s="1"/>
  <c r="EP176" i="1"/>
  <c r="ES176" i="1" s="1"/>
  <c r="GQ177" i="1"/>
  <c r="GA176" i="1"/>
  <c r="GP168" i="1"/>
  <c r="GP177" i="1"/>
  <c r="GP176" i="1"/>
  <c r="GQ171" i="1"/>
  <c r="GQ178" i="1"/>
  <c r="GP173" i="1"/>
  <c r="GP170" i="1"/>
  <c r="GP175" i="1"/>
  <c r="GP174" i="1"/>
  <c r="GQ176" i="1"/>
  <c r="GF174" i="1"/>
  <c r="GP172" i="1"/>
  <c r="GK168" i="1" l="1"/>
  <c r="GJ172" i="1"/>
  <c r="GK171" i="1"/>
  <c r="GJ169" i="1"/>
  <c r="GK169" i="1"/>
  <c r="GK177" i="1"/>
  <c r="GJ171" i="1"/>
  <c r="GK170" i="1"/>
  <c r="GJ173" i="1"/>
  <c r="GJ170" i="1"/>
  <c r="GK172" i="1"/>
  <c r="GK175" i="1"/>
  <c r="GJ176" i="1"/>
  <c r="GK178" i="1"/>
  <c r="GK173" i="1"/>
  <c r="GJ178" i="1"/>
  <c r="GJ168" i="1"/>
  <c r="GS174" i="1"/>
  <c r="GU174" i="1" s="1"/>
  <c r="GS176" i="1"/>
  <c r="GU176" i="1" s="1"/>
  <c r="GJ175" i="1"/>
  <c r="CS174" i="1"/>
  <c r="GK176" i="1"/>
  <c r="BM173" i="1"/>
  <c r="GS173" i="1"/>
  <c r="GU173" i="1" s="1"/>
  <c r="BM177" i="1"/>
  <c r="GS177" i="1"/>
  <c r="GU177" i="1" s="1"/>
  <c r="GS169" i="1"/>
  <c r="GU169" i="1" s="1"/>
  <c r="GJ177" i="1"/>
  <c r="GS172" i="1"/>
  <c r="GU172" i="1" s="1"/>
  <c r="BM171" i="1"/>
  <c r="GS171" i="1"/>
  <c r="GU171" i="1" s="1"/>
  <c r="BM175" i="1"/>
  <c r="GS175" i="1"/>
  <c r="GU175" i="1" s="1"/>
  <c r="GS170" i="1"/>
  <c r="GU170" i="1" s="1"/>
  <c r="GS178" i="1"/>
  <c r="GU178" i="1" s="1"/>
  <c r="GJ174" i="1"/>
  <c r="GK174" i="1"/>
  <c r="DP168" i="1" l="1"/>
  <c r="DO168" i="1"/>
  <c r="DM168" i="1"/>
  <c r="DL168" i="1"/>
  <c r="DK168" i="1"/>
  <c r="DJ168" i="1"/>
  <c r="CN168" i="1"/>
  <c r="CM168" i="1"/>
  <c r="CK168" i="1"/>
  <c r="CJ168" i="1"/>
  <c r="CI168" i="1"/>
  <c r="CH168" i="1"/>
  <c r="BL168" i="1"/>
  <c r="BK168" i="1"/>
  <c r="BI168" i="1"/>
  <c r="BH168" i="1"/>
  <c r="BG168" i="1"/>
  <c r="BF168" i="1"/>
  <c r="BF166" i="1"/>
  <c r="BG166" i="1"/>
  <c r="BH166" i="1"/>
  <c r="BI166" i="1"/>
  <c r="BK166" i="1"/>
  <c r="BL166" i="1"/>
  <c r="BF167" i="1"/>
  <c r="BG167" i="1"/>
  <c r="BH167" i="1"/>
  <c r="BI167" i="1"/>
  <c r="BK167" i="1"/>
  <c r="BL167" i="1"/>
  <c r="FT167" i="1"/>
  <c r="FT166" i="1"/>
  <c r="FW167" i="1"/>
  <c r="FX167" i="1"/>
  <c r="FY167" i="1"/>
  <c r="FZ167" i="1"/>
  <c r="GB167" i="1"/>
  <c r="GC167" i="1"/>
  <c r="GD167" i="1"/>
  <c r="GE167" i="1"/>
  <c r="GL167" i="1"/>
  <c r="GM167" i="1"/>
  <c r="GN167" i="1"/>
  <c r="GO167" i="1"/>
  <c r="GO166" i="1"/>
  <c r="GN166" i="1"/>
  <c r="GM166" i="1"/>
  <c r="GL166" i="1"/>
  <c r="GE166" i="1"/>
  <c r="GD166" i="1"/>
  <c r="GC166" i="1"/>
  <c r="GB166" i="1"/>
  <c r="FZ166" i="1"/>
  <c r="FY166" i="1"/>
  <c r="FX166" i="1"/>
  <c r="FW166" i="1"/>
  <c r="EV167" i="1"/>
  <c r="ER167" i="1"/>
  <c r="EQ167" i="1"/>
  <c r="EO167" i="1"/>
  <c r="EN167" i="1"/>
  <c r="EM167" i="1"/>
  <c r="EL167" i="1"/>
  <c r="EV166" i="1"/>
  <c r="ER166" i="1"/>
  <c r="EQ166" i="1"/>
  <c r="EO166" i="1"/>
  <c r="EN166" i="1"/>
  <c r="EM166" i="1"/>
  <c r="EL166" i="1"/>
  <c r="DP167" i="1"/>
  <c r="DO167" i="1"/>
  <c r="DM167" i="1"/>
  <c r="DL167" i="1"/>
  <c r="DK167" i="1"/>
  <c r="DJ167" i="1"/>
  <c r="DP166" i="1"/>
  <c r="DO166" i="1"/>
  <c r="DM166" i="1"/>
  <c r="DL166" i="1"/>
  <c r="DK166" i="1"/>
  <c r="DJ166" i="1"/>
  <c r="CN167" i="1"/>
  <c r="CM167" i="1"/>
  <c r="CK167" i="1"/>
  <c r="CJ167" i="1"/>
  <c r="CI167" i="1"/>
  <c r="CH167" i="1"/>
  <c r="CN166" i="1"/>
  <c r="CM166" i="1"/>
  <c r="CK166" i="1"/>
  <c r="CJ166" i="1"/>
  <c r="CI166" i="1"/>
  <c r="CH166" i="1"/>
  <c r="GQ167" i="1" l="1"/>
  <c r="GQ166" i="1"/>
  <c r="GT168" i="1"/>
  <c r="CL168" i="1"/>
  <c r="CO168" i="1" s="1"/>
  <c r="BJ168" i="1"/>
  <c r="DN168" i="1"/>
  <c r="DQ168" i="1" s="1"/>
  <c r="GI167" i="1"/>
  <c r="EP166" i="1"/>
  <c r="ES166" i="1" s="1"/>
  <c r="BJ166" i="1"/>
  <c r="BM166" i="1" s="1"/>
  <c r="GH166" i="1"/>
  <c r="BJ167" i="1"/>
  <c r="BM167" i="1" s="1"/>
  <c r="GF166" i="1"/>
  <c r="GG166" i="1"/>
  <c r="GT167" i="1"/>
  <c r="GA167" i="1"/>
  <c r="GH167" i="1"/>
  <c r="DN166" i="1"/>
  <c r="DQ166" i="1" s="1"/>
  <c r="CL166" i="1"/>
  <c r="CO166" i="1" s="1"/>
  <c r="GP167" i="1"/>
  <c r="DN167" i="1"/>
  <c r="DQ167" i="1" s="1"/>
  <c r="CL167" i="1"/>
  <c r="CO167" i="1" s="1"/>
  <c r="CP167" i="1" s="1"/>
  <c r="CQ167" i="1" s="1"/>
  <c r="CS167" i="1" s="1"/>
  <c r="GG167" i="1"/>
  <c r="EP167" i="1"/>
  <c r="ES167" i="1" s="1"/>
  <c r="GA166" i="1"/>
  <c r="GF167" i="1"/>
  <c r="GI166" i="1"/>
  <c r="GT166" i="1"/>
  <c r="GP166" i="1"/>
  <c r="BM168" i="1" l="1"/>
  <c r="GS168" i="1"/>
  <c r="GU168" i="1" s="1"/>
  <c r="GK166" i="1"/>
  <c r="GK167" i="1"/>
  <c r="GS166" i="1"/>
  <c r="GU166" i="1" s="1"/>
  <c r="GJ166" i="1"/>
  <c r="GJ167" i="1"/>
  <c r="GS167" i="1"/>
  <c r="GU167" i="1" s="1"/>
  <c r="CB119" i="1" l="1"/>
  <c r="CA119" i="1"/>
  <c r="BZ119" i="1"/>
  <c r="CB145" i="1"/>
  <c r="CA145" i="1"/>
  <c r="BZ145" i="1"/>
  <c r="AX119" i="1"/>
  <c r="AX145" i="1"/>
  <c r="AZ140" i="1" l="1"/>
  <c r="AY140" i="1"/>
  <c r="AX140" i="1"/>
  <c r="AZ138" i="1"/>
  <c r="AY138" i="1"/>
  <c r="AX138" i="1"/>
  <c r="AT131" i="1" l="1"/>
  <c r="CB163" i="1" l="1"/>
  <c r="CB141" i="1"/>
  <c r="CB134" i="1"/>
  <c r="CB133" i="1"/>
  <c r="CB130" i="1"/>
  <c r="CB129" i="1"/>
  <c r="CB122" i="1"/>
  <c r="BR2" i="1" l="1"/>
  <c r="FP160" i="1" l="1"/>
  <c r="FK160" i="1"/>
  <c r="FJ160" i="1"/>
  <c r="FE160" i="1"/>
  <c r="FD160" i="1"/>
  <c r="ER160" i="1"/>
  <c r="EQ160" i="1"/>
  <c r="EO160" i="1"/>
  <c r="EN160" i="1"/>
  <c r="EM160" i="1"/>
  <c r="EL160" i="1"/>
  <c r="GE160" i="1"/>
  <c r="GD160" i="1"/>
  <c r="GC160" i="1"/>
  <c r="GB160" i="1"/>
  <c r="FZ160" i="1"/>
  <c r="FY160" i="1"/>
  <c r="FX160" i="1"/>
  <c r="FW160" i="1"/>
  <c r="DP160" i="1"/>
  <c r="DO160" i="1"/>
  <c r="DM160" i="1"/>
  <c r="DL160" i="1"/>
  <c r="DK160" i="1"/>
  <c r="DJ160" i="1"/>
  <c r="CN160" i="1"/>
  <c r="CM160" i="1"/>
  <c r="CK160" i="1"/>
  <c r="CJ160" i="1"/>
  <c r="CI160" i="1"/>
  <c r="CH160" i="1"/>
  <c r="BL160" i="1"/>
  <c r="BK160" i="1"/>
  <c r="BI160" i="1"/>
  <c r="BH160" i="1"/>
  <c r="BG160" i="1"/>
  <c r="BF160" i="1"/>
  <c r="GI160" i="1" l="1"/>
  <c r="BJ160" i="1"/>
  <c r="BM160" i="1" s="1"/>
  <c r="DN160" i="1"/>
  <c r="DQ160" i="1" s="1"/>
  <c r="CL160" i="1"/>
  <c r="GA160" i="1"/>
  <c r="GF160" i="1"/>
  <c r="GG160" i="1"/>
  <c r="GH160" i="1"/>
  <c r="EP160" i="1"/>
  <c r="GE84" i="1"/>
  <c r="GD84" i="1"/>
  <c r="GC84" i="1"/>
  <c r="GB84" i="1"/>
  <c r="FZ84" i="1"/>
  <c r="FY84" i="1"/>
  <c r="FX84" i="1"/>
  <c r="FW84" i="1"/>
  <c r="FT84" i="1"/>
  <c r="FP84" i="1"/>
  <c r="FK84" i="1"/>
  <c r="FJ84" i="1"/>
  <c r="FE84" i="1"/>
  <c r="FD84" i="1"/>
  <c r="ER84" i="1"/>
  <c r="EQ84" i="1"/>
  <c r="EO84" i="1"/>
  <c r="EN84" i="1"/>
  <c r="EM84" i="1"/>
  <c r="EL84" i="1"/>
  <c r="DP84" i="1"/>
  <c r="DO84" i="1"/>
  <c r="DM84" i="1"/>
  <c r="DL84" i="1"/>
  <c r="DK84" i="1"/>
  <c r="DJ84" i="1"/>
  <c r="CN84" i="1"/>
  <c r="CM84" i="1"/>
  <c r="CK84" i="1"/>
  <c r="CJ84" i="1"/>
  <c r="CI84" i="1"/>
  <c r="CH84" i="1"/>
  <c r="BL84" i="1"/>
  <c r="BK84" i="1"/>
  <c r="BI84" i="1"/>
  <c r="BH84" i="1"/>
  <c r="BG84" i="1"/>
  <c r="BF84" i="1"/>
  <c r="AO84" i="1"/>
  <c r="GN84" i="1" s="1"/>
  <c r="T84" i="1"/>
  <c r="DT84" i="1" s="1"/>
  <c r="Q84" i="1"/>
  <c r="R84" i="1" s="1"/>
  <c r="AO15" i="1"/>
  <c r="AO21" i="1"/>
  <c r="AO31" i="1"/>
  <c r="AO159" i="1"/>
  <c r="AO156" i="1"/>
  <c r="AO155" i="1"/>
  <c r="AO154" i="1"/>
  <c r="AO152" i="1"/>
  <c r="AO151" i="1"/>
  <c r="AO150" i="1"/>
  <c r="AO148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2" i="1"/>
  <c r="AO111" i="1"/>
  <c r="AO110" i="1"/>
  <c r="AO108" i="1"/>
  <c r="AO107" i="1"/>
  <c r="AO106" i="1"/>
  <c r="AO105" i="1"/>
  <c r="AO104" i="1"/>
  <c r="AO103" i="1"/>
  <c r="AO102" i="1"/>
  <c r="AO101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3" i="1"/>
  <c r="AO82" i="1"/>
  <c r="AO81" i="1"/>
  <c r="AO80" i="1"/>
  <c r="AO79" i="1"/>
  <c r="AO78" i="1"/>
  <c r="AO77" i="1"/>
  <c r="AO76" i="1"/>
  <c r="AO74" i="1"/>
  <c r="AO73" i="1"/>
  <c r="AO72" i="1"/>
  <c r="AO71" i="1"/>
  <c r="AO70" i="1"/>
  <c r="AO69" i="1"/>
  <c r="AO66" i="1"/>
  <c r="AO65" i="1"/>
  <c r="AO64" i="1"/>
  <c r="AO62" i="1"/>
  <c r="AO61" i="1"/>
  <c r="AO59" i="1"/>
  <c r="AO58" i="1"/>
  <c r="AO57" i="1"/>
  <c r="AO55" i="1"/>
  <c r="AO54" i="1"/>
  <c r="AO51" i="1"/>
  <c r="AO49" i="1"/>
  <c r="AO48" i="1"/>
  <c r="AO47" i="1"/>
  <c r="AO46" i="1"/>
  <c r="AO45" i="1"/>
  <c r="AO44" i="1"/>
  <c r="AO43" i="1"/>
  <c r="AO42" i="1"/>
  <c r="AO41" i="1"/>
  <c r="AO39" i="1"/>
  <c r="AO38" i="1"/>
  <c r="AO37" i="1"/>
  <c r="AO35" i="1"/>
  <c r="AO34" i="1"/>
  <c r="AO33" i="1"/>
  <c r="AO32" i="1"/>
  <c r="AO30" i="1"/>
  <c r="AO29" i="1"/>
  <c r="AO28" i="1"/>
  <c r="AO27" i="1"/>
  <c r="AO26" i="1"/>
  <c r="AO25" i="1"/>
  <c r="AO24" i="1"/>
  <c r="AO23" i="1"/>
  <c r="AO22" i="1"/>
  <c r="AO20" i="1"/>
  <c r="AO19" i="1"/>
  <c r="AO18" i="1"/>
  <c r="AO17" i="1"/>
  <c r="AO16" i="1"/>
  <c r="AO14" i="1"/>
  <c r="AO13" i="1"/>
  <c r="AO12" i="1"/>
  <c r="AO11" i="1"/>
  <c r="AO10" i="1"/>
  <c r="AO9" i="1"/>
  <c r="AO8" i="1"/>
  <c r="AO7" i="1"/>
  <c r="AO6" i="1"/>
  <c r="AO157" i="1"/>
  <c r="AO131" i="1"/>
  <c r="AO109" i="1"/>
  <c r="AO68" i="1"/>
  <c r="AO67" i="1"/>
  <c r="AO53" i="1"/>
  <c r="AO52" i="1"/>
  <c r="AO50" i="1"/>
  <c r="AO40" i="1"/>
  <c r="AO165" i="1"/>
  <c r="AO164" i="1"/>
  <c r="AO163" i="1"/>
  <c r="AO162" i="1"/>
  <c r="AO161" i="1"/>
  <c r="AO160" i="1"/>
  <c r="AO158" i="1"/>
  <c r="AO153" i="1"/>
  <c r="AO149" i="1"/>
  <c r="AO75" i="1"/>
  <c r="AO60" i="1"/>
  <c r="AO36" i="1"/>
  <c r="AO132" i="1"/>
  <c r="AO113" i="1"/>
  <c r="AO100" i="1"/>
  <c r="AO63" i="1"/>
  <c r="AO56" i="1"/>
  <c r="DN84" i="1" l="1"/>
  <c r="BJ84" i="1"/>
  <c r="GJ160" i="1"/>
  <c r="GG84" i="1"/>
  <c r="AM84" i="1"/>
  <c r="GF84" i="1"/>
  <c r="CO160" i="1"/>
  <c r="GI84" i="1"/>
  <c r="CL84" i="1"/>
  <c r="GH84" i="1"/>
  <c r="ES160" i="1"/>
  <c r="GN160" i="1"/>
  <c r="GO160" i="1"/>
  <c r="GL160" i="1"/>
  <c r="GM160" i="1"/>
  <c r="GT84" i="1"/>
  <c r="GO84" i="1"/>
  <c r="EP84" i="1"/>
  <c r="GK160" i="1"/>
  <c r="GA84" i="1"/>
  <c r="CR84" i="1"/>
  <c r="EV84" i="1"/>
  <c r="GL84" i="1"/>
  <c r="BP84" i="1"/>
  <c r="GM84" i="1"/>
  <c r="BM84" i="1" l="1"/>
  <c r="DQ84" i="1"/>
  <c r="GJ84" i="1"/>
  <c r="AN84" i="1"/>
  <c r="GS84" i="1"/>
  <c r="GU84" i="1" s="1"/>
  <c r="GK84" i="1"/>
  <c r="CO84" i="1"/>
  <c r="ES84" i="1"/>
  <c r="GQ160" i="1"/>
  <c r="GP160" i="1"/>
  <c r="GQ84" i="1"/>
  <c r="GP84" i="1"/>
  <c r="FB93" i="1" l="1"/>
  <c r="FA41" i="1"/>
  <c r="FA93" i="1"/>
  <c r="FA24" i="1"/>
  <c r="FA72" i="1"/>
  <c r="T75" i="1" l="1"/>
  <c r="T165" i="1"/>
  <c r="BP165" i="1" s="1"/>
  <c r="T164" i="1"/>
  <c r="BP164" i="1" s="1"/>
  <c r="T163" i="1"/>
  <c r="BP163" i="1" s="1"/>
  <c r="T162" i="1"/>
  <c r="BP162" i="1" s="1"/>
  <c r="T161" i="1"/>
  <c r="BP161" i="1" s="1"/>
  <c r="T160" i="1"/>
  <c r="BP160" i="1" s="1"/>
  <c r="Q75" i="1"/>
  <c r="R75" i="1" s="1"/>
  <c r="Q165" i="1"/>
  <c r="R165" i="1" s="1"/>
  <c r="Q164" i="1"/>
  <c r="R164" i="1" s="1"/>
  <c r="Q163" i="1"/>
  <c r="R163" i="1" s="1"/>
  <c r="Q162" i="1"/>
  <c r="R162" i="1" s="1"/>
  <c r="Q161" i="1"/>
  <c r="R161" i="1" s="1"/>
  <c r="Q160" i="1"/>
  <c r="R160" i="1" s="1"/>
  <c r="EV160" i="1" l="1"/>
  <c r="AN160" i="1" l="1"/>
  <c r="AM160" i="1"/>
  <c r="GS160" i="1"/>
  <c r="GT160" i="1"/>
  <c r="GU160" i="1" l="1"/>
  <c r="GE60" i="1" l="1"/>
  <c r="GD60" i="1"/>
  <c r="GC60" i="1"/>
  <c r="GB60" i="1"/>
  <c r="FZ60" i="1"/>
  <c r="FY60" i="1"/>
  <c r="FX60" i="1"/>
  <c r="FW60" i="1"/>
  <c r="FT60" i="1"/>
  <c r="FP60" i="1"/>
  <c r="FK60" i="1"/>
  <c r="FJ60" i="1"/>
  <c r="FE60" i="1"/>
  <c r="FD60" i="1"/>
  <c r="ER60" i="1"/>
  <c r="EQ60" i="1"/>
  <c r="EO60" i="1"/>
  <c r="EN60" i="1"/>
  <c r="EM60" i="1"/>
  <c r="EL60" i="1"/>
  <c r="DP60" i="1"/>
  <c r="DO60" i="1"/>
  <c r="DM60" i="1"/>
  <c r="DL60" i="1"/>
  <c r="DK60" i="1"/>
  <c r="DJ60" i="1"/>
  <c r="CN60" i="1"/>
  <c r="CM60" i="1"/>
  <c r="CK60" i="1"/>
  <c r="CJ60" i="1"/>
  <c r="CI60" i="1"/>
  <c r="CH60" i="1"/>
  <c r="BL60" i="1"/>
  <c r="BK60" i="1"/>
  <c r="BI60" i="1"/>
  <c r="BH60" i="1"/>
  <c r="BG60" i="1"/>
  <c r="BF60" i="1"/>
  <c r="T60" i="1"/>
  <c r="BP60" i="1" s="1"/>
  <c r="Q60" i="1"/>
  <c r="R60" i="1" s="1"/>
  <c r="DN60" i="1" l="1"/>
  <c r="BJ60" i="1"/>
  <c r="CL60" i="1"/>
  <c r="EP60" i="1"/>
  <c r="GG60" i="1"/>
  <c r="GI60" i="1"/>
  <c r="GA60" i="1"/>
  <c r="GT60" i="1"/>
  <c r="GH60" i="1"/>
  <c r="GF60" i="1"/>
  <c r="EV60" i="1"/>
  <c r="BL104" i="1"/>
  <c r="BK104" i="1"/>
  <c r="BI104" i="1"/>
  <c r="BH104" i="1"/>
  <c r="BG104" i="1"/>
  <c r="BF104" i="1"/>
  <c r="DQ60" i="1" l="1"/>
  <c r="BM60" i="1"/>
  <c r="CO60" i="1"/>
  <c r="ES60" i="1"/>
  <c r="ET60" i="1" s="1"/>
  <c r="AM60" i="1"/>
  <c r="GO60" i="1"/>
  <c r="GN60" i="1"/>
  <c r="GM60" i="1"/>
  <c r="GL60" i="1"/>
  <c r="BJ104" i="1"/>
  <c r="GK60" i="1"/>
  <c r="GS60" i="1"/>
  <c r="GU60" i="1" s="1"/>
  <c r="GJ60" i="1"/>
  <c r="AN60" i="1"/>
  <c r="T577" i="3"/>
  <c r="T576" i="3"/>
  <c r="T575" i="3"/>
  <c r="T574" i="3"/>
  <c r="T573" i="3"/>
  <c r="T572" i="3"/>
  <c r="T571" i="3"/>
  <c r="T570" i="3"/>
  <c r="T569" i="3"/>
  <c r="T568" i="3"/>
  <c r="T567" i="3"/>
  <c r="T566" i="3"/>
  <c r="T565" i="3"/>
  <c r="T564" i="3"/>
  <c r="T563" i="3"/>
  <c r="T562" i="3"/>
  <c r="T561" i="3"/>
  <c r="T560" i="3"/>
  <c r="T559" i="3"/>
  <c r="T558" i="3"/>
  <c r="T557" i="3"/>
  <c r="T556" i="3"/>
  <c r="T555" i="3"/>
  <c r="T554" i="3"/>
  <c r="T553" i="3"/>
  <c r="T552" i="3"/>
  <c r="T551" i="3"/>
  <c r="T550" i="3"/>
  <c r="T549" i="3"/>
  <c r="T548" i="3"/>
  <c r="T547" i="3"/>
  <c r="T546" i="3"/>
  <c r="T545" i="3"/>
  <c r="T544" i="3"/>
  <c r="T543" i="3"/>
  <c r="T542" i="3"/>
  <c r="T541" i="3"/>
  <c r="T540" i="3"/>
  <c r="T539" i="3"/>
  <c r="T538" i="3"/>
  <c r="T537" i="3"/>
  <c r="T536" i="3"/>
  <c r="T535" i="3"/>
  <c r="T534" i="3"/>
  <c r="T533" i="3"/>
  <c r="T532" i="3"/>
  <c r="T531" i="3"/>
  <c r="T530" i="3"/>
  <c r="T529" i="3"/>
  <c r="T528" i="3"/>
  <c r="T527" i="3"/>
  <c r="T526" i="3"/>
  <c r="T525" i="3"/>
  <c r="T524" i="3"/>
  <c r="T523" i="3"/>
  <c r="T522" i="3"/>
  <c r="T521" i="3"/>
  <c r="T520" i="3"/>
  <c r="T519" i="3"/>
  <c r="T518" i="3"/>
  <c r="T517" i="3"/>
  <c r="T516" i="3"/>
  <c r="T515" i="3"/>
  <c r="T514" i="3"/>
  <c r="T513" i="3"/>
  <c r="T512" i="3"/>
  <c r="T511" i="3"/>
  <c r="T510" i="3"/>
  <c r="T509" i="3"/>
  <c r="T508" i="3"/>
  <c r="T507" i="3"/>
  <c r="T506" i="3"/>
  <c r="T505" i="3"/>
  <c r="T504" i="3"/>
  <c r="T503" i="3"/>
  <c r="T502" i="3"/>
  <c r="T501" i="3"/>
  <c r="T500" i="3"/>
  <c r="T499" i="3"/>
  <c r="T498" i="3"/>
  <c r="T497" i="3"/>
  <c r="T496" i="3"/>
  <c r="T495" i="3"/>
  <c r="T494" i="3"/>
  <c r="T493" i="3"/>
  <c r="T492" i="3"/>
  <c r="T491" i="3"/>
  <c r="T490" i="3"/>
  <c r="T489" i="3"/>
  <c r="T488" i="3"/>
  <c r="T487" i="3"/>
  <c r="T486" i="3"/>
  <c r="T485" i="3"/>
  <c r="T484" i="3"/>
  <c r="T483" i="3"/>
  <c r="T482" i="3"/>
  <c r="T481" i="3"/>
  <c r="T480" i="3"/>
  <c r="T479" i="3"/>
  <c r="T478" i="3"/>
  <c r="T477" i="3"/>
  <c r="T476" i="3"/>
  <c r="T475" i="3"/>
  <c r="T474" i="3"/>
  <c r="T473" i="3"/>
  <c r="T472" i="3"/>
  <c r="T471" i="3"/>
  <c r="T470" i="3"/>
  <c r="T469" i="3"/>
  <c r="T468" i="3"/>
  <c r="T467" i="3"/>
  <c r="T466" i="3"/>
  <c r="T465" i="3"/>
  <c r="T464" i="3"/>
  <c r="T463" i="3"/>
  <c r="T462" i="3"/>
  <c r="T461" i="3"/>
  <c r="T460" i="3"/>
  <c r="T459" i="3"/>
  <c r="T458" i="3"/>
  <c r="T457" i="3"/>
  <c r="T456" i="3"/>
  <c r="T455" i="3"/>
  <c r="T454" i="3"/>
  <c r="T453" i="3"/>
  <c r="T452" i="3"/>
  <c r="T451" i="3"/>
  <c r="T450" i="3"/>
  <c r="T449" i="3"/>
  <c r="T448" i="3"/>
  <c r="T447" i="3"/>
  <c r="T446" i="3"/>
  <c r="T445" i="3"/>
  <c r="T444" i="3"/>
  <c r="T443" i="3"/>
  <c r="T442" i="3"/>
  <c r="T441" i="3"/>
  <c r="T440" i="3"/>
  <c r="T439" i="3"/>
  <c r="T438" i="3"/>
  <c r="T437" i="3"/>
  <c r="T436" i="3"/>
  <c r="T435" i="3"/>
  <c r="T434" i="3"/>
  <c r="T433" i="3"/>
  <c r="T432" i="3"/>
  <c r="T431" i="3"/>
  <c r="T430" i="3"/>
  <c r="T429" i="3"/>
  <c r="T428" i="3"/>
  <c r="T427" i="3"/>
  <c r="T426" i="3"/>
  <c r="T425" i="3"/>
  <c r="T424" i="3"/>
  <c r="T423" i="3"/>
  <c r="T422" i="3"/>
  <c r="T421" i="3"/>
  <c r="T420" i="3"/>
  <c r="T419" i="3"/>
  <c r="T418" i="3"/>
  <c r="T417" i="3"/>
  <c r="T416" i="3"/>
  <c r="T415" i="3"/>
  <c r="T414" i="3"/>
  <c r="T413" i="3"/>
  <c r="T412" i="3"/>
  <c r="T411" i="3"/>
  <c r="T410" i="3"/>
  <c r="T409" i="3"/>
  <c r="T408" i="3"/>
  <c r="T407" i="3"/>
  <c r="T406" i="3"/>
  <c r="T405" i="3"/>
  <c r="T404" i="3"/>
  <c r="T403" i="3"/>
  <c r="T402" i="3"/>
  <c r="T401" i="3"/>
  <c r="T400" i="3"/>
  <c r="T399" i="3"/>
  <c r="T398" i="3"/>
  <c r="T397" i="3"/>
  <c r="T396" i="3"/>
  <c r="T395" i="3"/>
  <c r="T394" i="3"/>
  <c r="T393" i="3"/>
  <c r="T392" i="3"/>
  <c r="T391" i="3"/>
  <c r="T390" i="3"/>
  <c r="T389" i="3"/>
  <c r="T388" i="3"/>
  <c r="T387" i="3"/>
  <c r="T386" i="3"/>
  <c r="T385" i="3"/>
  <c r="T384" i="3"/>
  <c r="T383" i="3"/>
  <c r="T382" i="3"/>
  <c r="T381" i="3"/>
  <c r="T380" i="3"/>
  <c r="T379" i="3"/>
  <c r="T378" i="3"/>
  <c r="T377" i="3"/>
  <c r="T376" i="3"/>
  <c r="T375" i="3"/>
  <c r="T374" i="3"/>
  <c r="T373" i="3"/>
  <c r="T372" i="3"/>
  <c r="T371" i="3"/>
  <c r="T370" i="3"/>
  <c r="T369" i="3"/>
  <c r="T368" i="3"/>
  <c r="T367" i="3"/>
  <c r="T366" i="3"/>
  <c r="T365" i="3"/>
  <c r="T364" i="3"/>
  <c r="T363" i="3"/>
  <c r="T362" i="3"/>
  <c r="T361" i="3"/>
  <c r="T360" i="3"/>
  <c r="T359" i="3"/>
  <c r="T358" i="3"/>
  <c r="T357" i="3"/>
  <c r="T356" i="3"/>
  <c r="T355" i="3"/>
  <c r="T354" i="3"/>
  <c r="T353" i="3"/>
  <c r="T352" i="3"/>
  <c r="T351" i="3"/>
  <c r="T350" i="3"/>
  <c r="T349" i="3"/>
  <c r="T348" i="3"/>
  <c r="T347" i="3"/>
  <c r="T346" i="3"/>
  <c r="T345" i="3"/>
  <c r="T344" i="3"/>
  <c r="T343" i="3"/>
  <c r="T342" i="3"/>
  <c r="T341" i="3"/>
  <c r="T340" i="3"/>
  <c r="T339" i="3"/>
  <c r="T338" i="3"/>
  <c r="T337" i="3"/>
  <c r="T336" i="3"/>
  <c r="T335" i="3"/>
  <c r="T334" i="3"/>
  <c r="T333" i="3"/>
  <c r="T332" i="3"/>
  <c r="T331" i="3"/>
  <c r="T330" i="3"/>
  <c r="T329" i="3"/>
  <c r="T328" i="3"/>
  <c r="T327" i="3"/>
  <c r="T326" i="3"/>
  <c r="T325" i="3"/>
  <c r="T324" i="3"/>
  <c r="T323" i="3"/>
  <c r="T322" i="3"/>
  <c r="T321" i="3"/>
  <c r="T320" i="3"/>
  <c r="T319" i="3"/>
  <c r="T318" i="3"/>
  <c r="T317" i="3"/>
  <c r="T316" i="3"/>
  <c r="T315" i="3"/>
  <c r="T314" i="3"/>
  <c r="T313" i="3"/>
  <c r="T312" i="3"/>
  <c r="T311" i="3"/>
  <c r="T310" i="3"/>
  <c r="T309" i="3"/>
  <c r="T308" i="3"/>
  <c r="T307" i="3"/>
  <c r="T306" i="3"/>
  <c r="T305" i="3"/>
  <c r="T304" i="3"/>
  <c r="T303" i="3"/>
  <c r="T302" i="3"/>
  <c r="T301" i="3"/>
  <c r="T300" i="3"/>
  <c r="T299" i="3"/>
  <c r="T298" i="3"/>
  <c r="T297" i="3"/>
  <c r="T296" i="3"/>
  <c r="T295" i="3"/>
  <c r="T294" i="3"/>
  <c r="T293" i="3"/>
  <c r="T292" i="3"/>
  <c r="T291" i="3"/>
  <c r="T290" i="3"/>
  <c r="T289" i="3"/>
  <c r="T288" i="3"/>
  <c r="T287" i="3"/>
  <c r="T286" i="3"/>
  <c r="T285" i="3"/>
  <c r="T284" i="3"/>
  <c r="T283" i="3"/>
  <c r="T282" i="3"/>
  <c r="T281" i="3"/>
  <c r="T280" i="3"/>
  <c r="T279" i="3"/>
  <c r="T278" i="3"/>
  <c r="T277" i="3"/>
  <c r="T276" i="3"/>
  <c r="T275" i="3"/>
  <c r="T274" i="3"/>
  <c r="T273" i="3"/>
  <c r="T272" i="3"/>
  <c r="T271" i="3"/>
  <c r="T270" i="3"/>
  <c r="T269" i="3"/>
  <c r="T268" i="3"/>
  <c r="T267" i="3"/>
  <c r="T266" i="3"/>
  <c r="T265" i="3"/>
  <c r="T264" i="3"/>
  <c r="T263" i="3"/>
  <c r="T262" i="3"/>
  <c r="T261" i="3"/>
  <c r="T260" i="3"/>
  <c r="T259" i="3"/>
  <c r="T258" i="3"/>
  <c r="T257" i="3"/>
  <c r="T256" i="3"/>
  <c r="T255" i="3"/>
  <c r="T254" i="3"/>
  <c r="T253" i="3"/>
  <c r="T252" i="3"/>
  <c r="T251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FT68" i="1"/>
  <c r="FT75" i="1"/>
  <c r="FT165" i="1"/>
  <c r="FT164" i="1"/>
  <c r="FT163" i="1"/>
  <c r="FT162" i="1"/>
  <c r="FT161" i="1"/>
  <c r="FT160" i="1"/>
  <c r="FT159" i="1"/>
  <c r="FT158" i="1"/>
  <c r="FT157" i="1"/>
  <c r="FT156" i="1"/>
  <c r="FT155" i="1"/>
  <c r="FT154" i="1"/>
  <c r="FT153" i="1"/>
  <c r="FT152" i="1"/>
  <c r="FT151" i="1"/>
  <c r="FT150" i="1"/>
  <c r="FT149" i="1"/>
  <c r="FT148" i="1"/>
  <c r="FT147" i="1"/>
  <c r="FT146" i="1"/>
  <c r="FT145" i="1"/>
  <c r="FT144" i="1"/>
  <c r="FT143" i="1"/>
  <c r="FT142" i="1"/>
  <c r="FT141" i="1"/>
  <c r="FT140" i="1"/>
  <c r="FT139" i="1"/>
  <c r="FT138" i="1"/>
  <c r="FT137" i="1"/>
  <c r="FT136" i="1"/>
  <c r="FT135" i="1"/>
  <c r="FT134" i="1"/>
  <c r="FT133" i="1"/>
  <c r="FT132" i="1"/>
  <c r="FT131" i="1"/>
  <c r="FT130" i="1"/>
  <c r="FT129" i="1"/>
  <c r="FT128" i="1"/>
  <c r="FT127" i="1"/>
  <c r="FT126" i="1"/>
  <c r="FT125" i="1"/>
  <c r="FT124" i="1"/>
  <c r="FT123" i="1"/>
  <c r="FT122" i="1"/>
  <c r="FT121" i="1"/>
  <c r="FT120" i="1"/>
  <c r="FT119" i="1"/>
  <c r="FT118" i="1"/>
  <c r="FT117" i="1"/>
  <c r="FT116" i="1"/>
  <c r="FT115" i="1"/>
  <c r="FT114" i="1"/>
  <c r="FT112" i="1"/>
  <c r="FT111" i="1"/>
  <c r="FT110" i="1"/>
  <c r="FT109" i="1"/>
  <c r="FT108" i="1"/>
  <c r="FT107" i="1"/>
  <c r="FT106" i="1"/>
  <c r="FT105" i="1"/>
  <c r="FT104" i="1"/>
  <c r="FT102" i="1"/>
  <c r="FT101" i="1"/>
  <c r="FT100" i="1"/>
  <c r="FT99" i="1"/>
  <c r="FT98" i="1"/>
  <c r="FT97" i="1"/>
  <c r="FT96" i="1"/>
  <c r="FT95" i="1"/>
  <c r="FT94" i="1"/>
  <c r="FT93" i="1"/>
  <c r="FT92" i="1"/>
  <c r="FT91" i="1"/>
  <c r="FT90" i="1"/>
  <c r="FT89" i="1"/>
  <c r="FT88" i="1"/>
  <c r="FT87" i="1"/>
  <c r="FT86" i="1"/>
  <c r="FT85" i="1"/>
  <c r="FT83" i="1"/>
  <c r="FT82" i="1"/>
  <c r="FT81" i="1"/>
  <c r="FT80" i="1"/>
  <c r="FT79" i="1"/>
  <c r="FT78" i="1"/>
  <c r="FT77" i="1"/>
  <c r="FT76" i="1"/>
  <c r="FT74" i="1"/>
  <c r="FT73" i="1"/>
  <c r="FT72" i="1"/>
  <c r="FT71" i="1"/>
  <c r="FT70" i="1"/>
  <c r="FT69" i="1"/>
  <c r="FT67" i="1"/>
  <c r="FT66" i="1"/>
  <c r="FT65" i="1"/>
  <c r="FT64" i="1"/>
  <c r="FT63" i="1"/>
  <c r="FT62" i="1"/>
  <c r="FT61" i="1"/>
  <c r="FT59" i="1"/>
  <c r="FT58" i="1"/>
  <c r="FT57" i="1"/>
  <c r="FT56" i="1"/>
  <c r="FT55" i="1"/>
  <c r="FT54" i="1"/>
  <c r="FT53" i="1"/>
  <c r="FT52" i="1"/>
  <c r="FT51" i="1"/>
  <c r="FT49" i="1"/>
  <c r="FT48" i="1"/>
  <c r="FT47" i="1"/>
  <c r="FT46" i="1"/>
  <c r="FT45" i="1"/>
  <c r="FT44" i="1"/>
  <c r="FT43" i="1"/>
  <c r="FT42" i="1"/>
  <c r="FT41" i="1"/>
  <c r="FT40" i="1"/>
  <c r="FT39" i="1"/>
  <c r="FT38" i="1"/>
  <c r="FT37" i="1"/>
  <c r="FT36" i="1"/>
  <c r="FT35" i="1"/>
  <c r="FT34" i="1"/>
  <c r="FT33" i="1"/>
  <c r="FT32" i="1"/>
  <c r="FT31" i="1"/>
  <c r="FT30" i="1"/>
  <c r="FT29" i="1"/>
  <c r="FT28" i="1"/>
  <c r="FT27" i="1"/>
  <c r="FT26" i="1"/>
  <c r="FT25" i="1"/>
  <c r="FT24" i="1"/>
  <c r="FT23" i="1"/>
  <c r="FT22" i="1"/>
  <c r="FT21" i="1"/>
  <c r="FT20" i="1"/>
  <c r="FT19" i="1"/>
  <c r="FT18" i="1"/>
  <c r="FT17" i="1"/>
  <c r="FT16" i="1"/>
  <c r="FT15" i="1"/>
  <c r="FT14" i="1"/>
  <c r="FT13" i="1"/>
  <c r="FT12" i="1"/>
  <c r="FT11" i="1"/>
  <c r="FT10" i="1"/>
  <c r="FT9" i="1"/>
  <c r="FT8" i="1"/>
  <c r="FT7" i="1"/>
  <c r="FT50" i="1"/>
  <c r="FT103" i="1"/>
  <c r="FT113" i="1"/>
  <c r="BM104" i="1" l="1"/>
  <c r="EU60" i="1"/>
  <c r="EW60" i="1" s="1"/>
  <c r="GQ60" i="1"/>
  <c r="GP60" i="1"/>
  <c r="T159" i="1" l="1"/>
  <c r="T158" i="1"/>
  <c r="BP158" i="1" s="1"/>
  <c r="T157" i="1"/>
  <c r="T156" i="1"/>
  <c r="T155" i="1"/>
  <c r="T154" i="1"/>
  <c r="T153" i="1"/>
  <c r="T152" i="1"/>
  <c r="T151" i="1"/>
  <c r="T150" i="1"/>
  <c r="T149" i="1"/>
  <c r="BP149" i="1" s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BP132" i="1" s="1"/>
  <c r="T131" i="1"/>
  <c r="BP131" i="1" s="1"/>
  <c r="T130" i="1"/>
  <c r="T129" i="1"/>
  <c r="T128" i="1"/>
  <c r="BP128" i="1" s="1"/>
  <c r="T127" i="1"/>
  <c r="T126" i="1"/>
  <c r="T125" i="1"/>
  <c r="T124" i="1"/>
  <c r="T123" i="1"/>
  <c r="T122" i="1"/>
  <c r="T121" i="1"/>
  <c r="T120" i="1"/>
  <c r="T119" i="1"/>
  <c r="T118" i="1"/>
  <c r="T117" i="1"/>
  <c r="BP117" i="1" s="1"/>
  <c r="T116" i="1"/>
  <c r="T115" i="1"/>
  <c r="T114" i="1"/>
  <c r="GE149" i="1"/>
  <c r="GD149" i="1"/>
  <c r="GC149" i="1"/>
  <c r="GB149" i="1"/>
  <c r="FZ149" i="1"/>
  <c r="FY149" i="1"/>
  <c r="FX149" i="1"/>
  <c r="FW149" i="1"/>
  <c r="FP149" i="1"/>
  <c r="FK149" i="1"/>
  <c r="FJ149" i="1"/>
  <c r="FE149" i="1"/>
  <c r="FD149" i="1"/>
  <c r="ER149" i="1"/>
  <c r="EQ149" i="1"/>
  <c r="EO149" i="1"/>
  <c r="EN149" i="1"/>
  <c r="EM149" i="1"/>
  <c r="EL149" i="1"/>
  <c r="DP149" i="1"/>
  <c r="DO149" i="1"/>
  <c r="DM149" i="1"/>
  <c r="DL149" i="1"/>
  <c r="DK149" i="1"/>
  <c r="DJ149" i="1"/>
  <c r="CN149" i="1"/>
  <c r="CM149" i="1"/>
  <c r="CK149" i="1"/>
  <c r="CJ149" i="1"/>
  <c r="CI149" i="1"/>
  <c r="CH149" i="1"/>
  <c r="BL149" i="1"/>
  <c r="BK149" i="1"/>
  <c r="BI149" i="1"/>
  <c r="BH149" i="1"/>
  <c r="BG149" i="1"/>
  <c r="BF149" i="1"/>
  <c r="Q149" i="1"/>
  <c r="R149" i="1" s="1"/>
  <c r="EV149" i="1" l="1"/>
  <c r="GG149" i="1"/>
  <c r="GI149" i="1"/>
  <c r="BJ149" i="1"/>
  <c r="EP149" i="1"/>
  <c r="DN149" i="1"/>
  <c r="GF149" i="1"/>
  <c r="GT149" i="1"/>
  <c r="GA149" i="1"/>
  <c r="GH149" i="1"/>
  <c r="CL149" i="1"/>
  <c r="GO149" i="1" l="1"/>
  <c r="GN149" i="1"/>
  <c r="GM149" i="1"/>
  <c r="GL149" i="1"/>
  <c r="ES149" i="1"/>
  <c r="CO149" i="1"/>
  <c r="DQ149" i="1"/>
  <c r="DR149" i="1" s="1"/>
  <c r="BM149" i="1"/>
  <c r="AM149" i="1"/>
  <c r="GK149" i="1"/>
  <c r="GJ149" i="1"/>
  <c r="GS149" i="1"/>
  <c r="GU149" i="1" s="1"/>
  <c r="AN149" i="1"/>
  <c r="GQ149" i="1" l="1"/>
  <c r="GP149" i="1"/>
  <c r="DS149" i="1"/>
  <c r="DU149" i="1" s="1"/>
  <c r="GE63" i="1"/>
  <c r="GD63" i="1"/>
  <c r="GC63" i="1"/>
  <c r="GB63" i="1"/>
  <c r="FZ63" i="1"/>
  <c r="FY63" i="1"/>
  <c r="FX63" i="1"/>
  <c r="FW63" i="1"/>
  <c r="FP63" i="1"/>
  <c r="FK63" i="1"/>
  <c r="FJ63" i="1"/>
  <c r="FE63" i="1"/>
  <c r="FD63" i="1"/>
  <c r="ER63" i="1"/>
  <c r="EQ63" i="1"/>
  <c r="EO63" i="1"/>
  <c r="EN63" i="1"/>
  <c r="EM63" i="1"/>
  <c r="EL63" i="1"/>
  <c r="DP63" i="1"/>
  <c r="DO63" i="1"/>
  <c r="DM63" i="1"/>
  <c r="DL63" i="1"/>
  <c r="DK63" i="1"/>
  <c r="DJ63" i="1"/>
  <c r="CN63" i="1"/>
  <c r="CM63" i="1"/>
  <c r="CK63" i="1"/>
  <c r="CJ63" i="1"/>
  <c r="CI63" i="1"/>
  <c r="CH63" i="1"/>
  <c r="BL63" i="1"/>
  <c r="BK63" i="1"/>
  <c r="BI63" i="1"/>
  <c r="BH63" i="1"/>
  <c r="BG63" i="1"/>
  <c r="BF63" i="1"/>
  <c r="T63" i="1"/>
  <c r="DT63" i="1" s="1"/>
  <c r="Q63" i="1"/>
  <c r="R63" i="1" s="1"/>
  <c r="DN63" i="1" l="1"/>
  <c r="BJ63" i="1"/>
  <c r="CL63" i="1"/>
  <c r="EP63" i="1"/>
  <c r="GF63" i="1"/>
  <c r="CR63" i="1"/>
  <c r="GI63" i="1"/>
  <c r="GT63" i="1"/>
  <c r="GH63" i="1"/>
  <c r="EV63" i="1"/>
  <c r="GA63" i="1"/>
  <c r="GG63" i="1"/>
  <c r="BP63" i="1"/>
  <c r="GO63" i="1" l="1"/>
  <c r="GM63" i="1"/>
  <c r="GN63" i="1"/>
  <c r="GL63" i="1"/>
  <c r="ES63" i="1"/>
  <c r="ET63" i="1" s="1"/>
  <c r="CO63" i="1"/>
  <c r="BM63" i="1"/>
  <c r="DQ63" i="1"/>
  <c r="GK63" i="1"/>
  <c r="GS63" i="1"/>
  <c r="GU63" i="1" s="1"/>
  <c r="GJ63" i="1"/>
  <c r="AN63" i="1"/>
  <c r="AM63" i="1"/>
  <c r="GQ63" i="1" l="1"/>
  <c r="GP63" i="1"/>
  <c r="EU63" i="1"/>
  <c r="EW63" i="1" s="1"/>
  <c r="GE153" i="1" l="1"/>
  <c r="GD153" i="1"/>
  <c r="GC153" i="1"/>
  <c r="GB153" i="1"/>
  <c r="FZ153" i="1"/>
  <c r="FY153" i="1"/>
  <c r="FX153" i="1"/>
  <c r="FW153" i="1"/>
  <c r="FP153" i="1"/>
  <c r="FK153" i="1"/>
  <c r="FJ153" i="1"/>
  <c r="FE153" i="1"/>
  <c r="FD153" i="1"/>
  <c r="EV153" i="1"/>
  <c r="ER153" i="1"/>
  <c r="EQ153" i="1"/>
  <c r="EO153" i="1"/>
  <c r="EN153" i="1"/>
  <c r="EM153" i="1"/>
  <c r="EL153" i="1"/>
  <c r="DT153" i="1"/>
  <c r="DP153" i="1"/>
  <c r="DO153" i="1"/>
  <c r="DM153" i="1"/>
  <c r="DL153" i="1"/>
  <c r="DK153" i="1"/>
  <c r="DJ153" i="1"/>
  <c r="CR153" i="1"/>
  <c r="CN153" i="1"/>
  <c r="CM153" i="1"/>
  <c r="CK153" i="1"/>
  <c r="CJ153" i="1"/>
  <c r="CI153" i="1"/>
  <c r="CH153" i="1"/>
  <c r="BP153" i="1"/>
  <c r="BL153" i="1"/>
  <c r="BK153" i="1"/>
  <c r="BI153" i="1"/>
  <c r="BH153" i="1"/>
  <c r="BG153" i="1"/>
  <c r="BF153" i="1"/>
  <c r="Q153" i="1"/>
  <c r="R153" i="1" s="1"/>
  <c r="BJ153" i="1" l="1"/>
  <c r="GG153" i="1"/>
  <c r="GH153" i="1"/>
  <c r="GI153" i="1"/>
  <c r="GF153" i="1"/>
  <c r="CL153" i="1"/>
  <c r="GT153" i="1"/>
  <c r="DN153" i="1"/>
  <c r="EP153" i="1"/>
  <c r="GA153" i="1"/>
  <c r="GE68" i="1"/>
  <c r="GD68" i="1"/>
  <c r="GC68" i="1"/>
  <c r="GB68" i="1"/>
  <c r="FZ68" i="1"/>
  <c r="FY68" i="1"/>
  <c r="FX68" i="1"/>
  <c r="FW68" i="1"/>
  <c r="FP68" i="1"/>
  <c r="FK68" i="1"/>
  <c r="FJ68" i="1"/>
  <c r="FE68" i="1"/>
  <c r="FD68" i="1"/>
  <c r="ER68" i="1"/>
  <c r="EQ68" i="1"/>
  <c r="EO68" i="1"/>
  <c r="EN68" i="1"/>
  <c r="EM68" i="1"/>
  <c r="EL68" i="1"/>
  <c r="DP68" i="1"/>
  <c r="DO68" i="1"/>
  <c r="DM68" i="1"/>
  <c r="DL68" i="1"/>
  <c r="DK68" i="1"/>
  <c r="DJ68" i="1"/>
  <c r="CN68" i="1"/>
  <c r="CM68" i="1"/>
  <c r="CK68" i="1"/>
  <c r="CJ68" i="1"/>
  <c r="CI68" i="1"/>
  <c r="CH68" i="1"/>
  <c r="BL68" i="1"/>
  <c r="BK68" i="1"/>
  <c r="BI68" i="1"/>
  <c r="BH68" i="1"/>
  <c r="BG68" i="1"/>
  <c r="BF68" i="1"/>
  <c r="T68" i="1"/>
  <c r="DT68" i="1" s="1"/>
  <c r="Q68" i="1"/>
  <c r="R68" i="1" s="1"/>
  <c r="BM153" i="1" l="1"/>
  <c r="GO153" i="1"/>
  <c r="GN153" i="1"/>
  <c r="GM153" i="1"/>
  <c r="GL153" i="1"/>
  <c r="DQ153" i="1"/>
  <c r="ES153" i="1"/>
  <c r="CO153" i="1"/>
  <c r="GJ153" i="1"/>
  <c r="CL68" i="1"/>
  <c r="GG68" i="1"/>
  <c r="GK153" i="1"/>
  <c r="BJ68" i="1"/>
  <c r="GT68" i="1"/>
  <c r="DN68" i="1"/>
  <c r="EP68" i="1"/>
  <c r="GF68" i="1"/>
  <c r="GH68" i="1"/>
  <c r="GI68" i="1"/>
  <c r="GA68" i="1"/>
  <c r="GS153" i="1"/>
  <c r="GU153" i="1" s="1"/>
  <c r="AN153" i="1"/>
  <c r="AM153" i="1"/>
  <c r="CR68" i="1"/>
  <c r="EV68" i="1"/>
  <c r="BP68" i="1"/>
  <c r="GQ153" i="1" l="1"/>
  <c r="GP153" i="1"/>
  <c r="GN68" i="1"/>
  <c r="GO68" i="1"/>
  <c r="GM68" i="1"/>
  <c r="GL68" i="1"/>
  <c r="DQ68" i="1"/>
  <c r="ES68" i="1"/>
  <c r="BM68" i="1"/>
  <c r="CO68" i="1"/>
  <c r="GJ68" i="1"/>
  <c r="GK68" i="1"/>
  <c r="GS68" i="1"/>
  <c r="GU68" i="1" s="1"/>
  <c r="AN68" i="1"/>
  <c r="AM68" i="1"/>
  <c r="Q159" i="1"/>
  <c r="R159" i="1" s="1"/>
  <c r="Q158" i="1"/>
  <c r="R158" i="1" s="1"/>
  <c r="Q157" i="1"/>
  <c r="R157" i="1" s="1"/>
  <c r="Q156" i="1"/>
  <c r="R156" i="1" s="1"/>
  <c r="Q155" i="1"/>
  <c r="R155" i="1" s="1"/>
  <c r="Q154" i="1"/>
  <c r="R154" i="1" s="1"/>
  <c r="Q152" i="1"/>
  <c r="R152" i="1" s="1"/>
  <c r="Q151" i="1"/>
  <c r="R151" i="1" s="1"/>
  <c r="Q150" i="1"/>
  <c r="R150" i="1" s="1"/>
  <c r="Q148" i="1"/>
  <c r="R148" i="1" s="1"/>
  <c r="Q147" i="1"/>
  <c r="R147" i="1" s="1"/>
  <c r="Q146" i="1"/>
  <c r="R146" i="1" s="1"/>
  <c r="Q145" i="1"/>
  <c r="R145" i="1" s="1"/>
  <c r="Q144" i="1"/>
  <c r="R144" i="1" s="1"/>
  <c r="Q143" i="1"/>
  <c r="R143" i="1" s="1"/>
  <c r="Q142" i="1"/>
  <c r="R142" i="1" s="1"/>
  <c r="Q141" i="1"/>
  <c r="R141" i="1" s="1"/>
  <c r="Q140" i="1"/>
  <c r="R140" i="1" s="1"/>
  <c r="Q139" i="1"/>
  <c r="R139" i="1" s="1"/>
  <c r="Q138" i="1"/>
  <c r="R138" i="1" s="1"/>
  <c r="Q137" i="1"/>
  <c r="R137" i="1" s="1"/>
  <c r="Q136" i="1"/>
  <c r="R136" i="1" s="1"/>
  <c r="Q135" i="1"/>
  <c r="R135" i="1" s="1"/>
  <c r="Q134" i="1"/>
  <c r="R134" i="1" s="1"/>
  <c r="Q133" i="1"/>
  <c r="R133" i="1" s="1"/>
  <c r="Q132" i="1"/>
  <c r="R132" i="1" s="1"/>
  <c r="Q131" i="1"/>
  <c r="R131" i="1" s="1"/>
  <c r="Q130" i="1"/>
  <c r="R130" i="1" s="1"/>
  <c r="Q129" i="1"/>
  <c r="R129" i="1" s="1"/>
  <c r="Q128" i="1"/>
  <c r="R128" i="1" s="1"/>
  <c r="Q127" i="1"/>
  <c r="R127" i="1" s="1"/>
  <c r="Q126" i="1"/>
  <c r="R126" i="1" s="1"/>
  <c r="Q125" i="1"/>
  <c r="R125" i="1" s="1"/>
  <c r="Q124" i="1"/>
  <c r="R124" i="1" s="1"/>
  <c r="Q123" i="1"/>
  <c r="R123" i="1" s="1"/>
  <c r="Q122" i="1"/>
  <c r="R122" i="1" s="1"/>
  <c r="Q121" i="1"/>
  <c r="R121" i="1" s="1"/>
  <c r="Q120" i="1"/>
  <c r="R120" i="1" s="1"/>
  <c r="Q119" i="1"/>
  <c r="R119" i="1" s="1"/>
  <c r="Q118" i="1"/>
  <c r="R118" i="1" s="1"/>
  <c r="Q117" i="1"/>
  <c r="R117" i="1" s="1"/>
  <c r="Q116" i="1"/>
  <c r="R116" i="1" s="1"/>
  <c r="Q115" i="1"/>
  <c r="R115" i="1" s="1"/>
  <c r="Q114" i="1"/>
  <c r="R114" i="1" s="1"/>
  <c r="Q113" i="1"/>
  <c r="R113" i="1" s="1"/>
  <c r="Q112" i="1"/>
  <c r="R112" i="1" s="1"/>
  <c r="Q111" i="1"/>
  <c r="R111" i="1" s="1"/>
  <c r="Q110" i="1"/>
  <c r="R110" i="1" s="1"/>
  <c r="Q109" i="1"/>
  <c r="R109" i="1" s="1"/>
  <c r="Q108" i="1"/>
  <c r="R108" i="1" s="1"/>
  <c r="Q107" i="1"/>
  <c r="R107" i="1" s="1"/>
  <c r="Q106" i="1"/>
  <c r="R106" i="1" s="1"/>
  <c r="Q105" i="1"/>
  <c r="R105" i="1" s="1"/>
  <c r="Q104" i="1"/>
  <c r="R104" i="1" s="1"/>
  <c r="Q103" i="1"/>
  <c r="R103" i="1" s="1"/>
  <c r="Q102" i="1"/>
  <c r="R102" i="1" s="1"/>
  <c r="Q101" i="1"/>
  <c r="R101" i="1" s="1"/>
  <c r="Q100" i="1"/>
  <c r="R100" i="1" s="1"/>
  <c r="Q99" i="1"/>
  <c r="R99" i="1" s="1"/>
  <c r="Q98" i="1"/>
  <c r="R98" i="1" s="1"/>
  <c r="Q97" i="1"/>
  <c r="R97" i="1" s="1"/>
  <c r="Q96" i="1"/>
  <c r="R96" i="1" s="1"/>
  <c r="Q95" i="1"/>
  <c r="R95" i="1" s="1"/>
  <c r="Q94" i="1"/>
  <c r="R94" i="1" s="1"/>
  <c r="Q93" i="1"/>
  <c r="R93" i="1" s="1"/>
  <c r="Q92" i="1"/>
  <c r="R92" i="1" s="1"/>
  <c r="Q91" i="1"/>
  <c r="R91" i="1" s="1"/>
  <c r="Q90" i="1"/>
  <c r="R90" i="1" s="1"/>
  <c r="Q89" i="1"/>
  <c r="R89" i="1" s="1"/>
  <c r="Q88" i="1"/>
  <c r="R88" i="1" s="1"/>
  <c r="Q87" i="1"/>
  <c r="R87" i="1" s="1"/>
  <c r="Q86" i="1"/>
  <c r="R86" i="1" s="1"/>
  <c r="Q85" i="1"/>
  <c r="R85" i="1" s="1"/>
  <c r="Q83" i="1"/>
  <c r="R83" i="1" s="1"/>
  <c r="Q82" i="1"/>
  <c r="R82" i="1" s="1"/>
  <c r="Q81" i="1"/>
  <c r="R81" i="1" s="1"/>
  <c r="Q80" i="1"/>
  <c r="R80" i="1" s="1"/>
  <c r="Q79" i="1"/>
  <c r="R79" i="1" s="1"/>
  <c r="Q78" i="1"/>
  <c r="R78" i="1" s="1"/>
  <c r="Q77" i="1"/>
  <c r="R77" i="1" s="1"/>
  <c r="Q76" i="1"/>
  <c r="R76" i="1" s="1"/>
  <c r="Q74" i="1"/>
  <c r="R74" i="1" s="1"/>
  <c r="Q73" i="1"/>
  <c r="R73" i="1" s="1"/>
  <c r="Q72" i="1"/>
  <c r="R72" i="1" s="1"/>
  <c r="Q71" i="1"/>
  <c r="R71" i="1" s="1"/>
  <c r="Q70" i="1"/>
  <c r="R70" i="1" s="1"/>
  <c r="Q69" i="1"/>
  <c r="R69" i="1" s="1"/>
  <c r="Q67" i="1"/>
  <c r="R67" i="1" s="1"/>
  <c r="Q66" i="1"/>
  <c r="R66" i="1" s="1"/>
  <c r="Q65" i="1"/>
  <c r="R65" i="1" s="1"/>
  <c r="Q64" i="1"/>
  <c r="R64" i="1" s="1"/>
  <c r="Q62" i="1"/>
  <c r="R62" i="1" s="1"/>
  <c r="Q61" i="1"/>
  <c r="R61" i="1" s="1"/>
  <c r="Q59" i="1"/>
  <c r="R59" i="1" s="1"/>
  <c r="Q58" i="1"/>
  <c r="R58" i="1" s="1"/>
  <c r="Q57" i="1"/>
  <c r="R57" i="1" s="1"/>
  <c r="Q56" i="1"/>
  <c r="R56" i="1" s="1"/>
  <c r="Q55" i="1"/>
  <c r="R55" i="1" s="1"/>
  <c r="Q54" i="1"/>
  <c r="R54" i="1" s="1"/>
  <c r="Q53" i="1"/>
  <c r="R53" i="1" s="1"/>
  <c r="Q52" i="1"/>
  <c r="R52" i="1" s="1"/>
  <c r="Q51" i="1"/>
  <c r="R51" i="1" s="1"/>
  <c r="Q50" i="1"/>
  <c r="R50" i="1" s="1"/>
  <c r="Q49" i="1"/>
  <c r="R49" i="1" s="1"/>
  <c r="Q48" i="1"/>
  <c r="R48" i="1" s="1"/>
  <c r="Q47" i="1"/>
  <c r="R47" i="1" s="1"/>
  <c r="Q46" i="1"/>
  <c r="R46" i="1" s="1"/>
  <c r="Q45" i="1"/>
  <c r="R45" i="1" s="1"/>
  <c r="Q44" i="1"/>
  <c r="R44" i="1" s="1"/>
  <c r="Q43" i="1"/>
  <c r="R43" i="1" s="1"/>
  <c r="Q42" i="1"/>
  <c r="R42" i="1" s="1"/>
  <c r="Q41" i="1"/>
  <c r="R41" i="1" s="1"/>
  <c r="Q40" i="1"/>
  <c r="R40" i="1" s="1"/>
  <c r="Q39" i="1"/>
  <c r="R39" i="1" s="1"/>
  <c r="Q38" i="1"/>
  <c r="R38" i="1" s="1"/>
  <c r="Q37" i="1"/>
  <c r="R37" i="1" s="1"/>
  <c r="Q36" i="1"/>
  <c r="R36" i="1" s="1"/>
  <c r="Q35" i="1"/>
  <c r="R35" i="1" s="1"/>
  <c r="Q34" i="1"/>
  <c r="R34" i="1" s="1"/>
  <c r="Q33" i="1"/>
  <c r="R33" i="1" s="1"/>
  <c r="Q32" i="1"/>
  <c r="R32" i="1" s="1"/>
  <c r="Q31" i="1"/>
  <c r="R31" i="1" s="1"/>
  <c r="Q30" i="1"/>
  <c r="R30" i="1" s="1"/>
  <c r="Q29" i="1"/>
  <c r="R29" i="1" s="1"/>
  <c r="Q28" i="1"/>
  <c r="R28" i="1" s="1"/>
  <c r="Q27" i="1"/>
  <c r="R27" i="1" s="1"/>
  <c r="Q26" i="1"/>
  <c r="R26" i="1" s="1"/>
  <c r="Q25" i="1"/>
  <c r="R25" i="1" s="1"/>
  <c r="Q24" i="1"/>
  <c r="R24" i="1" s="1"/>
  <c r="Q23" i="1"/>
  <c r="R23" i="1" s="1"/>
  <c r="Q22" i="1"/>
  <c r="R22" i="1" s="1"/>
  <c r="Q21" i="1"/>
  <c r="R21" i="1" s="1"/>
  <c r="Q20" i="1"/>
  <c r="R20" i="1" s="1"/>
  <c r="Q19" i="1"/>
  <c r="R19" i="1" s="1"/>
  <c r="Q18" i="1"/>
  <c r="R18" i="1" s="1"/>
  <c r="Q17" i="1"/>
  <c r="R17" i="1" s="1"/>
  <c r="Q16" i="1"/>
  <c r="R16" i="1" s="1"/>
  <c r="Q15" i="1"/>
  <c r="R15" i="1" s="1"/>
  <c r="Q14" i="1"/>
  <c r="R14" i="1" s="1"/>
  <c r="Q13" i="1"/>
  <c r="R13" i="1" s="1"/>
  <c r="Q12" i="1"/>
  <c r="R12" i="1" s="1"/>
  <c r="Q11" i="1"/>
  <c r="R11" i="1" s="1"/>
  <c r="Q10" i="1"/>
  <c r="R10" i="1" s="1"/>
  <c r="Q9" i="1"/>
  <c r="R9" i="1" s="1"/>
  <c r="Q8" i="1"/>
  <c r="R8" i="1" s="1"/>
  <c r="Q7" i="1"/>
  <c r="R7" i="1" s="1"/>
  <c r="Q6" i="1"/>
  <c r="R6" i="1" s="1"/>
  <c r="GP68" i="1" l="1"/>
  <c r="GQ68" i="1"/>
  <c r="T248" i="4" l="1"/>
  <c r="T247" i="4"/>
  <c r="T246" i="4"/>
  <c r="T245" i="4"/>
  <c r="T244" i="4"/>
  <c r="T243" i="4"/>
  <c r="T242" i="4"/>
  <c r="T241" i="4"/>
  <c r="T240" i="4"/>
  <c r="T239" i="4"/>
  <c r="T238" i="4"/>
  <c r="T237" i="4"/>
  <c r="T236" i="4"/>
  <c r="T235" i="4"/>
  <c r="T234" i="4"/>
  <c r="T233" i="4"/>
  <c r="T232" i="4"/>
  <c r="T231" i="4"/>
  <c r="T230" i="4"/>
  <c r="T229" i="4"/>
  <c r="T228" i="4"/>
  <c r="T227" i="4"/>
  <c r="T226" i="4"/>
  <c r="T225" i="4"/>
  <c r="T224" i="4"/>
  <c r="T223" i="4"/>
  <c r="T222" i="4"/>
  <c r="T221" i="4"/>
  <c r="T220" i="4"/>
  <c r="T219" i="4"/>
  <c r="T218" i="4"/>
  <c r="T217" i="4"/>
  <c r="T216" i="4"/>
  <c r="T215" i="4"/>
  <c r="T214" i="4"/>
  <c r="T213" i="4"/>
  <c r="T212" i="4"/>
  <c r="T211" i="4"/>
  <c r="T210" i="4"/>
  <c r="T209" i="4"/>
  <c r="T208" i="4"/>
  <c r="T207" i="4"/>
  <c r="T206" i="4"/>
  <c r="T205" i="4"/>
  <c r="T204" i="4"/>
  <c r="T203" i="4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T1" i="4" l="1"/>
  <c r="T3" i="3" l="1"/>
  <c r="FK75" i="1"/>
  <c r="FJ75" i="1"/>
  <c r="FE75" i="1"/>
  <c r="FD75" i="1"/>
  <c r="EV75" i="1"/>
  <c r="ER75" i="1"/>
  <c r="EQ75" i="1"/>
  <c r="EO75" i="1"/>
  <c r="EN75" i="1"/>
  <c r="EM75" i="1"/>
  <c r="EL75" i="1"/>
  <c r="FK165" i="1"/>
  <c r="FJ165" i="1"/>
  <c r="FE165" i="1"/>
  <c r="FD165" i="1"/>
  <c r="EV165" i="1"/>
  <c r="ER165" i="1"/>
  <c r="EQ165" i="1"/>
  <c r="EO165" i="1"/>
  <c r="EN165" i="1"/>
  <c r="EM165" i="1"/>
  <c r="EL165" i="1"/>
  <c r="FK164" i="1"/>
  <c r="FJ164" i="1"/>
  <c r="FE164" i="1"/>
  <c r="FD164" i="1"/>
  <c r="EV164" i="1"/>
  <c r="ER164" i="1"/>
  <c r="EQ164" i="1"/>
  <c r="EO164" i="1"/>
  <c r="EN164" i="1"/>
  <c r="EM164" i="1"/>
  <c r="EL164" i="1"/>
  <c r="FK163" i="1"/>
  <c r="FJ163" i="1"/>
  <c r="FE163" i="1"/>
  <c r="FD163" i="1"/>
  <c r="EV163" i="1"/>
  <c r="ER163" i="1"/>
  <c r="EQ163" i="1"/>
  <c r="EO163" i="1"/>
  <c r="EN163" i="1"/>
  <c r="EM163" i="1"/>
  <c r="EL163" i="1"/>
  <c r="FK162" i="1"/>
  <c r="FJ162" i="1"/>
  <c r="FE162" i="1"/>
  <c r="FD162" i="1"/>
  <c r="EV162" i="1"/>
  <c r="ER162" i="1"/>
  <c r="EQ162" i="1"/>
  <c r="EO162" i="1"/>
  <c r="EN162" i="1"/>
  <c r="EM162" i="1"/>
  <c r="EL162" i="1"/>
  <c r="FK161" i="1"/>
  <c r="FJ161" i="1"/>
  <c r="FE161" i="1"/>
  <c r="FD161" i="1"/>
  <c r="EV161" i="1"/>
  <c r="ER161" i="1"/>
  <c r="EQ161" i="1"/>
  <c r="EO161" i="1"/>
  <c r="EN161" i="1"/>
  <c r="EM161" i="1"/>
  <c r="EL161" i="1"/>
  <c r="FK159" i="1"/>
  <c r="FJ159" i="1"/>
  <c r="FE159" i="1"/>
  <c r="FD159" i="1"/>
  <c r="EV159" i="1"/>
  <c r="ER159" i="1"/>
  <c r="EQ159" i="1"/>
  <c r="EO159" i="1"/>
  <c r="EN159" i="1"/>
  <c r="EM159" i="1"/>
  <c r="EL159" i="1"/>
  <c r="FK158" i="1"/>
  <c r="FJ158" i="1"/>
  <c r="FE158" i="1"/>
  <c r="FD158" i="1"/>
  <c r="EV158" i="1"/>
  <c r="ER158" i="1"/>
  <c r="EQ158" i="1"/>
  <c r="EO158" i="1"/>
  <c r="EN158" i="1"/>
  <c r="EM158" i="1"/>
  <c r="EL158" i="1"/>
  <c r="FK157" i="1"/>
  <c r="FJ157" i="1"/>
  <c r="FE157" i="1"/>
  <c r="FD157" i="1"/>
  <c r="EV157" i="1"/>
  <c r="ER157" i="1"/>
  <c r="EQ157" i="1"/>
  <c r="EO157" i="1"/>
  <c r="EN157" i="1"/>
  <c r="EM157" i="1"/>
  <c r="EL157" i="1"/>
  <c r="FK156" i="1"/>
  <c r="FJ156" i="1"/>
  <c r="FE156" i="1"/>
  <c r="FD156" i="1"/>
  <c r="EV156" i="1"/>
  <c r="ER156" i="1"/>
  <c r="EQ156" i="1"/>
  <c r="EO156" i="1"/>
  <c r="EN156" i="1"/>
  <c r="EM156" i="1"/>
  <c r="EL156" i="1"/>
  <c r="FK155" i="1"/>
  <c r="FJ155" i="1"/>
  <c r="FE155" i="1"/>
  <c r="FD155" i="1"/>
  <c r="EV155" i="1"/>
  <c r="ER155" i="1"/>
  <c r="EQ155" i="1"/>
  <c r="EO155" i="1"/>
  <c r="EN155" i="1"/>
  <c r="EM155" i="1"/>
  <c r="EL155" i="1"/>
  <c r="FK154" i="1"/>
  <c r="FJ154" i="1"/>
  <c r="FE154" i="1"/>
  <c r="FD154" i="1"/>
  <c r="EV154" i="1"/>
  <c r="ER154" i="1"/>
  <c r="EQ154" i="1"/>
  <c r="EO154" i="1"/>
  <c r="EN154" i="1"/>
  <c r="EM154" i="1"/>
  <c r="EL154" i="1"/>
  <c r="FK152" i="1"/>
  <c r="FJ152" i="1"/>
  <c r="FE152" i="1"/>
  <c r="FD152" i="1"/>
  <c r="EV152" i="1"/>
  <c r="ER152" i="1"/>
  <c r="EQ152" i="1"/>
  <c r="EO152" i="1"/>
  <c r="EN152" i="1"/>
  <c r="EM152" i="1"/>
  <c r="EL152" i="1"/>
  <c r="FK151" i="1"/>
  <c r="FJ151" i="1"/>
  <c r="FE151" i="1"/>
  <c r="FD151" i="1"/>
  <c r="EV151" i="1"/>
  <c r="ER151" i="1"/>
  <c r="EQ151" i="1"/>
  <c r="EO151" i="1"/>
  <c r="EN151" i="1"/>
  <c r="EM151" i="1"/>
  <c r="EL151" i="1"/>
  <c r="FK150" i="1"/>
  <c r="FJ150" i="1"/>
  <c r="FE150" i="1"/>
  <c r="FD150" i="1"/>
  <c r="EV150" i="1"/>
  <c r="ER150" i="1"/>
  <c r="EQ150" i="1"/>
  <c r="EO150" i="1"/>
  <c r="EN150" i="1"/>
  <c r="EM150" i="1"/>
  <c r="EL150" i="1"/>
  <c r="FK148" i="1"/>
  <c r="FJ148" i="1"/>
  <c r="FE148" i="1"/>
  <c r="FD148" i="1"/>
  <c r="EV148" i="1"/>
  <c r="ER148" i="1"/>
  <c r="EQ148" i="1"/>
  <c r="EO148" i="1"/>
  <c r="EN148" i="1"/>
  <c r="EM148" i="1"/>
  <c r="EL148" i="1"/>
  <c r="FK147" i="1"/>
  <c r="FJ147" i="1"/>
  <c r="FE147" i="1"/>
  <c r="FD147" i="1"/>
  <c r="EV147" i="1"/>
  <c r="ER147" i="1"/>
  <c r="EQ147" i="1"/>
  <c r="EO147" i="1"/>
  <c r="EN147" i="1"/>
  <c r="EM147" i="1"/>
  <c r="EL147" i="1"/>
  <c r="FK146" i="1"/>
  <c r="FJ146" i="1"/>
  <c r="FE146" i="1"/>
  <c r="FD146" i="1"/>
  <c r="EV146" i="1"/>
  <c r="ER146" i="1"/>
  <c r="EQ146" i="1"/>
  <c r="EO146" i="1"/>
  <c r="EN146" i="1"/>
  <c r="EM146" i="1"/>
  <c r="EL146" i="1"/>
  <c r="FK145" i="1"/>
  <c r="FJ145" i="1"/>
  <c r="FE145" i="1"/>
  <c r="FD145" i="1"/>
  <c r="EV145" i="1"/>
  <c r="ER145" i="1"/>
  <c r="EQ145" i="1"/>
  <c r="EO145" i="1"/>
  <c r="EN145" i="1"/>
  <c r="EM145" i="1"/>
  <c r="EL145" i="1"/>
  <c r="FK144" i="1"/>
  <c r="FJ144" i="1"/>
  <c r="FE144" i="1"/>
  <c r="FD144" i="1"/>
  <c r="EV144" i="1"/>
  <c r="ER144" i="1"/>
  <c r="EQ144" i="1"/>
  <c r="EO144" i="1"/>
  <c r="EN144" i="1"/>
  <c r="EM144" i="1"/>
  <c r="EL144" i="1"/>
  <c r="FK143" i="1"/>
  <c r="FJ143" i="1"/>
  <c r="FE143" i="1"/>
  <c r="FD143" i="1"/>
  <c r="EV143" i="1"/>
  <c r="ER143" i="1"/>
  <c r="EQ143" i="1"/>
  <c r="EO143" i="1"/>
  <c r="EN143" i="1"/>
  <c r="EM143" i="1"/>
  <c r="EL143" i="1"/>
  <c r="FK142" i="1"/>
  <c r="FJ142" i="1"/>
  <c r="FE142" i="1"/>
  <c r="FD142" i="1"/>
  <c r="EV142" i="1"/>
  <c r="ER142" i="1"/>
  <c r="EQ142" i="1"/>
  <c r="EO142" i="1"/>
  <c r="EN142" i="1"/>
  <c r="EM142" i="1"/>
  <c r="EL142" i="1"/>
  <c r="FK141" i="1"/>
  <c r="FJ141" i="1"/>
  <c r="FE141" i="1"/>
  <c r="FD141" i="1"/>
  <c r="EV141" i="1"/>
  <c r="ER141" i="1"/>
  <c r="EQ141" i="1"/>
  <c r="EO141" i="1"/>
  <c r="EN141" i="1"/>
  <c r="EM141" i="1"/>
  <c r="EL141" i="1"/>
  <c r="FK140" i="1"/>
  <c r="FJ140" i="1"/>
  <c r="FE140" i="1"/>
  <c r="FD140" i="1"/>
  <c r="EV140" i="1"/>
  <c r="ER140" i="1"/>
  <c r="EQ140" i="1"/>
  <c r="EO140" i="1"/>
  <c r="EN140" i="1"/>
  <c r="EM140" i="1"/>
  <c r="EL140" i="1"/>
  <c r="FK139" i="1"/>
  <c r="FJ139" i="1"/>
  <c r="FE139" i="1"/>
  <c r="FD139" i="1"/>
  <c r="EV139" i="1"/>
  <c r="ER139" i="1"/>
  <c r="EQ139" i="1"/>
  <c r="EO139" i="1"/>
  <c r="EN139" i="1"/>
  <c r="EM139" i="1"/>
  <c r="EL139" i="1"/>
  <c r="FK138" i="1"/>
  <c r="FJ138" i="1"/>
  <c r="FE138" i="1"/>
  <c r="FD138" i="1"/>
  <c r="EV138" i="1"/>
  <c r="ER138" i="1"/>
  <c r="EQ138" i="1"/>
  <c r="EO138" i="1"/>
  <c r="EN138" i="1"/>
  <c r="EM138" i="1"/>
  <c r="EL138" i="1"/>
  <c r="FK137" i="1"/>
  <c r="FJ137" i="1"/>
  <c r="FE137" i="1"/>
  <c r="FD137" i="1"/>
  <c r="EV137" i="1"/>
  <c r="ER137" i="1"/>
  <c r="EQ137" i="1"/>
  <c r="EO137" i="1"/>
  <c r="EN137" i="1"/>
  <c r="EM137" i="1"/>
  <c r="EL137" i="1"/>
  <c r="FK136" i="1"/>
  <c r="FJ136" i="1"/>
  <c r="FE136" i="1"/>
  <c r="FD136" i="1"/>
  <c r="EV136" i="1"/>
  <c r="ER136" i="1"/>
  <c r="EQ136" i="1"/>
  <c r="EO136" i="1"/>
  <c r="EN136" i="1"/>
  <c r="EM136" i="1"/>
  <c r="EL136" i="1"/>
  <c r="FK135" i="1"/>
  <c r="FJ135" i="1"/>
  <c r="FE135" i="1"/>
  <c r="FD135" i="1"/>
  <c r="EV135" i="1"/>
  <c r="ER135" i="1"/>
  <c r="EQ135" i="1"/>
  <c r="EO135" i="1"/>
  <c r="EN135" i="1"/>
  <c r="EM135" i="1"/>
  <c r="EL135" i="1"/>
  <c r="FK134" i="1"/>
  <c r="FJ134" i="1"/>
  <c r="FE134" i="1"/>
  <c r="FD134" i="1"/>
  <c r="EV134" i="1"/>
  <c r="ER134" i="1"/>
  <c r="EQ134" i="1"/>
  <c r="EO134" i="1"/>
  <c r="EN134" i="1"/>
  <c r="EM134" i="1"/>
  <c r="EL134" i="1"/>
  <c r="FK133" i="1"/>
  <c r="FJ133" i="1"/>
  <c r="FE133" i="1"/>
  <c r="FD133" i="1"/>
  <c r="EV133" i="1"/>
  <c r="ER133" i="1"/>
  <c r="EQ133" i="1"/>
  <c r="EO133" i="1"/>
  <c r="EN133" i="1"/>
  <c r="EM133" i="1"/>
  <c r="EL133" i="1"/>
  <c r="FK132" i="1"/>
  <c r="FJ132" i="1"/>
  <c r="FE132" i="1"/>
  <c r="FD132" i="1"/>
  <c r="EV132" i="1"/>
  <c r="ER132" i="1"/>
  <c r="EQ132" i="1"/>
  <c r="EO132" i="1"/>
  <c r="EN132" i="1"/>
  <c r="EM132" i="1"/>
  <c r="EL132" i="1"/>
  <c r="FK131" i="1"/>
  <c r="FJ131" i="1"/>
  <c r="FE131" i="1"/>
  <c r="FD131" i="1"/>
  <c r="EV131" i="1"/>
  <c r="ER131" i="1"/>
  <c r="EQ131" i="1"/>
  <c r="EO131" i="1"/>
  <c r="EN131" i="1"/>
  <c r="EM131" i="1"/>
  <c r="EL131" i="1"/>
  <c r="FK130" i="1"/>
  <c r="FJ130" i="1"/>
  <c r="FE130" i="1"/>
  <c r="FD130" i="1"/>
  <c r="EV130" i="1"/>
  <c r="ER130" i="1"/>
  <c r="EQ130" i="1"/>
  <c r="EO130" i="1"/>
  <c r="EN130" i="1"/>
  <c r="EM130" i="1"/>
  <c r="EL130" i="1"/>
  <c r="FK129" i="1"/>
  <c r="FJ129" i="1"/>
  <c r="FE129" i="1"/>
  <c r="FD129" i="1"/>
  <c r="EV129" i="1"/>
  <c r="ER129" i="1"/>
  <c r="EQ129" i="1"/>
  <c r="EO129" i="1"/>
  <c r="EN129" i="1"/>
  <c r="EM129" i="1"/>
  <c r="EL129" i="1"/>
  <c r="FK128" i="1"/>
  <c r="FJ128" i="1"/>
  <c r="FE128" i="1"/>
  <c r="FD128" i="1"/>
  <c r="EV128" i="1"/>
  <c r="ER128" i="1"/>
  <c r="EQ128" i="1"/>
  <c r="EO128" i="1"/>
  <c r="EN128" i="1"/>
  <c r="EM128" i="1"/>
  <c r="EL128" i="1"/>
  <c r="FK127" i="1"/>
  <c r="FJ127" i="1"/>
  <c r="FE127" i="1"/>
  <c r="FD127" i="1"/>
  <c r="EV127" i="1"/>
  <c r="ER127" i="1"/>
  <c r="EQ127" i="1"/>
  <c r="EO127" i="1"/>
  <c r="EN127" i="1"/>
  <c r="EM127" i="1"/>
  <c r="EL127" i="1"/>
  <c r="FK126" i="1"/>
  <c r="FJ126" i="1"/>
  <c r="FE126" i="1"/>
  <c r="FD126" i="1"/>
  <c r="EV126" i="1"/>
  <c r="ER126" i="1"/>
  <c r="EQ126" i="1"/>
  <c r="EO126" i="1"/>
  <c r="EN126" i="1"/>
  <c r="EM126" i="1"/>
  <c r="EL126" i="1"/>
  <c r="FK125" i="1"/>
  <c r="FJ125" i="1"/>
  <c r="FE125" i="1"/>
  <c r="FD125" i="1"/>
  <c r="EV125" i="1"/>
  <c r="ER125" i="1"/>
  <c r="EQ125" i="1"/>
  <c r="EO125" i="1"/>
  <c r="EN125" i="1"/>
  <c r="EM125" i="1"/>
  <c r="EL125" i="1"/>
  <c r="FK124" i="1"/>
  <c r="FJ124" i="1"/>
  <c r="FE124" i="1"/>
  <c r="FD124" i="1"/>
  <c r="EV124" i="1"/>
  <c r="ER124" i="1"/>
  <c r="EQ124" i="1"/>
  <c r="EO124" i="1"/>
  <c r="EN124" i="1"/>
  <c r="EM124" i="1"/>
  <c r="EL124" i="1"/>
  <c r="FK123" i="1"/>
  <c r="FJ123" i="1"/>
  <c r="FE123" i="1"/>
  <c r="FD123" i="1"/>
  <c r="EV123" i="1"/>
  <c r="ER123" i="1"/>
  <c r="EQ123" i="1"/>
  <c r="EO123" i="1"/>
  <c r="EN123" i="1"/>
  <c r="EM123" i="1"/>
  <c r="EL123" i="1"/>
  <c r="FK122" i="1"/>
  <c r="FJ122" i="1"/>
  <c r="FE122" i="1"/>
  <c r="FD122" i="1"/>
  <c r="EV122" i="1"/>
  <c r="ER122" i="1"/>
  <c r="EQ122" i="1"/>
  <c r="EO122" i="1"/>
  <c r="EN122" i="1"/>
  <c r="EM122" i="1"/>
  <c r="EL122" i="1"/>
  <c r="FK121" i="1"/>
  <c r="FJ121" i="1"/>
  <c r="FE121" i="1"/>
  <c r="FD121" i="1"/>
  <c r="EV121" i="1"/>
  <c r="ER121" i="1"/>
  <c r="EQ121" i="1"/>
  <c r="EO121" i="1"/>
  <c r="EN121" i="1"/>
  <c r="EM121" i="1"/>
  <c r="EL121" i="1"/>
  <c r="FK120" i="1"/>
  <c r="FJ120" i="1"/>
  <c r="FE120" i="1"/>
  <c r="FD120" i="1"/>
  <c r="EV120" i="1"/>
  <c r="ER120" i="1"/>
  <c r="EQ120" i="1"/>
  <c r="EO120" i="1"/>
  <c r="EN120" i="1"/>
  <c r="EM120" i="1"/>
  <c r="EL120" i="1"/>
  <c r="FK119" i="1"/>
  <c r="FJ119" i="1"/>
  <c r="FE119" i="1"/>
  <c r="FD119" i="1"/>
  <c r="EV119" i="1"/>
  <c r="ER119" i="1"/>
  <c r="EQ119" i="1"/>
  <c r="EO119" i="1"/>
  <c r="EN119" i="1"/>
  <c r="EM119" i="1"/>
  <c r="EL119" i="1"/>
  <c r="FK118" i="1"/>
  <c r="FJ118" i="1"/>
  <c r="FE118" i="1"/>
  <c r="FD118" i="1"/>
  <c r="EV118" i="1"/>
  <c r="ER118" i="1"/>
  <c r="EQ118" i="1"/>
  <c r="EO118" i="1"/>
  <c r="EN118" i="1"/>
  <c r="EM118" i="1"/>
  <c r="EL118" i="1"/>
  <c r="FK117" i="1"/>
  <c r="FJ117" i="1"/>
  <c r="FE117" i="1"/>
  <c r="FD117" i="1"/>
  <c r="EV117" i="1"/>
  <c r="ER117" i="1"/>
  <c r="EQ117" i="1"/>
  <c r="EO117" i="1"/>
  <c r="EN117" i="1"/>
  <c r="EM117" i="1"/>
  <c r="EL117" i="1"/>
  <c r="FK116" i="1"/>
  <c r="FJ116" i="1"/>
  <c r="FE116" i="1"/>
  <c r="FD116" i="1"/>
  <c r="EV116" i="1"/>
  <c r="ER116" i="1"/>
  <c r="EQ116" i="1"/>
  <c r="EO116" i="1"/>
  <c r="EN116" i="1"/>
  <c r="EM116" i="1"/>
  <c r="EL116" i="1"/>
  <c r="FK115" i="1"/>
  <c r="FJ115" i="1"/>
  <c r="FE115" i="1"/>
  <c r="FD115" i="1"/>
  <c r="EV115" i="1"/>
  <c r="ER115" i="1"/>
  <c r="EQ115" i="1"/>
  <c r="EO115" i="1"/>
  <c r="EN115" i="1"/>
  <c r="EM115" i="1"/>
  <c r="EL115" i="1"/>
  <c r="FK114" i="1"/>
  <c r="FJ114" i="1"/>
  <c r="FE114" i="1"/>
  <c r="FD114" i="1"/>
  <c r="EV114" i="1"/>
  <c r="ER114" i="1"/>
  <c r="EQ114" i="1"/>
  <c r="EO114" i="1"/>
  <c r="EN114" i="1"/>
  <c r="EM114" i="1"/>
  <c r="EL114" i="1"/>
  <c r="FK113" i="1"/>
  <c r="FJ113" i="1"/>
  <c r="FE113" i="1"/>
  <c r="FD113" i="1"/>
  <c r="ER113" i="1"/>
  <c r="EQ113" i="1"/>
  <c r="EO113" i="1"/>
  <c r="EN113" i="1"/>
  <c r="EM113" i="1"/>
  <c r="EL113" i="1"/>
  <c r="FK112" i="1"/>
  <c r="FJ112" i="1"/>
  <c r="FE112" i="1"/>
  <c r="FD112" i="1"/>
  <c r="ER112" i="1"/>
  <c r="EQ112" i="1"/>
  <c r="EO112" i="1"/>
  <c r="EN112" i="1"/>
  <c r="EM112" i="1"/>
  <c r="EL112" i="1"/>
  <c r="FK111" i="1"/>
  <c r="FJ111" i="1"/>
  <c r="FE111" i="1"/>
  <c r="FD111" i="1"/>
  <c r="ER111" i="1"/>
  <c r="EQ111" i="1"/>
  <c r="EO111" i="1"/>
  <c r="EN111" i="1"/>
  <c r="EM111" i="1"/>
  <c r="EL111" i="1"/>
  <c r="FK110" i="1"/>
  <c r="FJ110" i="1"/>
  <c r="FE110" i="1"/>
  <c r="FD110" i="1"/>
  <c r="ER110" i="1"/>
  <c r="EQ110" i="1"/>
  <c r="EO110" i="1"/>
  <c r="EN110" i="1"/>
  <c r="EM110" i="1"/>
  <c r="EL110" i="1"/>
  <c r="FK109" i="1"/>
  <c r="FJ109" i="1"/>
  <c r="FE109" i="1"/>
  <c r="FD109" i="1"/>
  <c r="ER109" i="1"/>
  <c r="EQ109" i="1"/>
  <c r="EO109" i="1"/>
  <c r="EN109" i="1"/>
  <c r="EM109" i="1"/>
  <c r="EL109" i="1"/>
  <c r="FK108" i="1"/>
  <c r="FJ108" i="1"/>
  <c r="FE108" i="1"/>
  <c r="FD108" i="1"/>
  <c r="ER108" i="1"/>
  <c r="EQ108" i="1"/>
  <c r="EO108" i="1"/>
  <c r="EN108" i="1"/>
  <c r="EM108" i="1"/>
  <c r="EL108" i="1"/>
  <c r="FK107" i="1"/>
  <c r="FJ107" i="1"/>
  <c r="FE107" i="1"/>
  <c r="FD107" i="1"/>
  <c r="ER107" i="1"/>
  <c r="EQ107" i="1"/>
  <c r="EO107" i="1"/>
  <c r="EN107" i="1"/>
  <c r="EM107" i="1"/>
  <c r="EL107" i="1"/>
  <c r="FK106" i="1"/>
  <c r="FJ106" i="1"/>
  <c r="FE106" i="1"/>
  <c r="FD106" i="1"/>
  <c r="ER106" i="1"/>
  <c r="EQ106" i="1"/>
  <c r="EO106" i="1"/>
  <c r="EN106" i="1"/>
  <c r="EM106" i="1"/>
  <c r="EL106" i="1"/>
  <c r="FK105" i="1"/>
  <c r="FJ105" i="1"/>
  <c r="FE105" i="1"/>
  <c r="FD105" i="1"/>
  <c r="ER105" i="1"/>
  <c r="EQ105" i="1"/>
  <c r="EO105" i="1"/>
  <c r="EN105" i="1"/>
  <c r="EM105" i="1"/>
  <c r="EL105" i="1"/>
  <c r="FK104" i="1"/>
  <c r="FJ104" i="1"/>
  <c r="FE104" i="1"/>
  <c r="FD104" i="1"/>
  <c r="ER104" i="1"/>
  <c r="EQ104" i="1"/>
  <c r="EO104" i="1"/>
  <c r="EN104" i="1"/>
  <c r="EM104" i="1"/>
  <c r="EL104" i="1"/>
  <c r="FK103" i="1"/>
  <c r="FJ103" i="1"/>
  <c r="FE103" i="1"/>
  <c r="FD103" i="1"/>
  <c r="ER103" i="1"/>
  <c r="EQ103" i="1"/>
  <c r="EO103" i="1"/>
  <c r="EN103" i="1"/>
  <c r="EM103" i="1"/>
  <c r="EL103" i="1"/>
  <c r="FK102" i="1"/>
  <c r="FJ102" i="1"/>
  <c r="FE102" i="1"/>
  <c r="FD102" i="1"/>
  <c r="ER102" i="1"/>
  <c r="EQ102" i="1"/>
  <c r="EO102" i="1"/>
  <c r="EN102" i="1"/>
  <c r="EM102" i="1"/>
  <c r="EL102" i="1"/>
  <c r="FK101" i="1"/>
  <c r="FJ101" i="1"/>
  <c r="FE101" i="1"/>
  <c r="FD101" i="1"/>
  <c r="ER101" i="1"/>
  <c r="EQ101" i="1"/>
  <c r="EO101" i="1"/>
  <c r="EN101" i="1"/>
  <c r="EM101" i="1"/>
  <c r="EL101" i="1"/>
  <c r="FK100" i="1"/>
  <c r="FJ100" i="1"/>
  <c r="FE100" i="1"/>
  <c r="FD100" i="1"/>
  <c r="ER100" i="1"/>
  <c r="EQ100" i="1"/>
  <c r="EO100" i="1"/>
  <c r="EN100" i="1"/>
  <c r="EM100" i="1"/>
  <c r="EL100" i="1"/>
  <c r="FK99" i="1"/>
  <c r="FJ99" i="1"/>
  <c r="FE99" i="1"/>
  <c r="FD99" i="1"/>
  <c r="ER99" i="1"/>
  <c r="EQ99" i="1"/>
  <c r="EO99" i="1"/>
  <c r="EN99" i="1"/>
  <c r="EM99" i="1"/>
  <c r="EL99" i="1"/>
  <c r="FK98" i="1"/>
  <c r="FJ98" i="1"/>
  <c r="FE98" i="1"/>
  <c r="FD98" i="1"/>
  <c r="ER98" i="1"/>
  <c r="EQ98" i="1"/>
  <c r="EO98" i="1"/>
  <c r="EN98" i="1"/>
  <c r="EM98" i="1"/>
  <c r="EL98" i="1"/>
  <c r="FK97" i="1"/>
  <c r="FJ97" i="1"/>
  <c r="FE97" i="1"/>
  <c r="FD97" i="1"/>
  <c r="ER97" i="1"/>
  <c r="EQ97" i="1"/>
  <c r="EO97" i="1"/>
  <c r="EN97" i="1"/>
  <c r="EM97" i="1"/>
  <c r="EL97" i="1"/>
  <c r="FK96" i="1"/>
  <c r="FJ96" i="1"/>
  <c r="FE96" i="1"/>
  <c r="FD96" i="1"/>
  <c r="ER96" i="1"/>
  <c r="EQ96" i="1"/>
  <c r="EO96" i="1"/>
  <c r="EN96" i="1"/>
  <c r="EM96" i="1"/>
  <c r="EL96" i="1"/>
  <c r="FK95" i="1"/>
  <c r="FJ95" i="1"/>
  <c r="FE95" i="1"/>
  <c r="FD95" i="1"/>
  <c r="ER95" i="1"/>
  <c r="EQ95" i="1"/>
  <c r="EO95" i="1"/>
  <c r="EN95" i="1"/>
  <c r="EM95" i="1"/>
  <c r="EL95" i="1"/>
  <c r="FK94" i="1"/>
  <c r="FJ94" i="1"/>
  <c r="FE94" i="1"/>
  <c r="FD94" i="1"/>
  <c r="ER94" i="1"/>
  <c r="EQ94" i="1"/>
  <c r="EO94" i="1"/>
  <c r="EN94" i="1"/>
  <c r="EM94" i="1"/>
  <c r="EL94" i="1"/>
  <c r="FK93" i="1"/>
  <c r="FJ93" i="1"/>
  <c r="FE93" i="1"/>
  <c r="FD93" i="1"/>
  <c r="ER93" i="1"/>
  <c r="EQ93" i="1"/>
  <c r="EO93" i="1"/>
  <c r="EN93" i="1"/>
  <c r="EM93" i="1"/>
  <c r="EL93" i="1"/>
  <c r="FK92" i="1"/>
  <c r="FJ92" i="1"/>
  <c r="FE92" i="1"/>
  <c r="FD92" i="1"/>
  <c r="ER92" i="1"/>
  <c r="EQ92" i="1"/>
  <c r="EO92" i="1"/>
  <c r="EN92" i="1"/>
  <c r="EM92" i="1"/>
  <c r="EL92" i="1"/>
  <c r="FK91" i="1"/>
  <c r="FJ91" i="1"/>
  <c r="FE91" i="1"/>
  <c r="FD91" i="1"/>
  <c r="ER91" i="1"/>
  <c r="EQ91" i="1"/>
  <c r="EO91" i="1"/>
  <c r="EN91" i="1"/>
  <c r="EM91" i="1"/>
  <c r="EL91" i="1"/>
  <c r="FK90" i="1"/>
  <c r="FJ90" i="1"/>
  <c r="FE90" i="1"/>
  <c r="FD90" i="1"/>
  <c r="ER90" i="1"/>
  <c r="EQ90" i="1"/>
  <c r="EO90" i="1"/>
  <c r="EN90" i="1"/>
  <c r="EM90" i="1"/>
  <c r="EL90" i="1"/>
  <c r="FK89" i="1"/>
  <c r="FJ89" i="1"/>
  <c r="FE89" i="1"/>
  <c r="FD89" i="1"/>
  <c r="ER89" i="1"/>
  <c r="EQ89" i="1"/>
  <c r="EO89" i="1"/>
  <c r="EN89" i="1"/>
  <c r="EM89" i="1"/>
  <c r="EL89" i="1"/>
  <c r="FK88" i="1"/>
  <c r="FJ88" i="1"/>
  <c r="FE88" i="1"/>
  <c r="FD88" i="1"/>
  <c r="ER88" i="1"/>
  <c r="EQ88" i="1"/>
  <c r="EO88" i="1"/>
  <c r="EN88" i="1"/>
  <c r="EM88" i="1"/>
  <c r="EL88" i="1"/>
  <c r="FK87" i="1"/>
  <c r="FJ87" i="1"/>
  <c r="FE87" i="1"/>
  <c r="FD87" i="1"/>
  <c r="ER87" i="1"/>
  <c r="EQ87" i="1"/>
  <c r="EO87" i="1"/>
  <c r="EN87" i="1"/>
  <c r="EM87" i="1"/>
  <c r="EL87" i="1"/>
  <c r="FK86" i="1"/>
  <c r="FJ86" i="1"/>
  <c r="FE86" i="1"/>
  <c r="FD86" i="1"/>
  <c r="ER86" i="1"/>
  <c r="EQ86" i="1"/>
  <c r="EO86" i="1"/>
  <c r="EN86" i="1"/>
  <c r="EM86" i="1"/>
  <c r="EL86" i="1"/>
  <c r="FK85" i="1"/>
  <c r="FJ85" i="1"/>
  <c r="FE85" i="1"/>
  <c r="FD85" i="1"/>
  <c r="ER85" i="1"/>
  <c r="EQ85" i="1"/>
  <c r="EO85" i="1"/>
  <c r="EN85" i="1"/>
  <c r="EM85" i="1"/>
  <c r="EL85" i="1"/>
  <c r="FK83" i="1"/>
  <c r="FJ83" i="1"/>
  <c r="FE83" i="1"/>
  <c r="FD83" i="1"/>
  <c r="ER83" i="1"/>
  <c r="EQ83" i="1"/>
  <c r="EO83" i="1"/>
  <c r="EN83" i="1"/>
  <c r="EM83" i="1"/>
  <c r="EL83" i="1"/>
  <c r="FK82" i="1"/>
  <c r="FJ82" i="1"/>
  <c r="FE82" i="1"/>
  <c r="FD82" i="1"/>
  <c r="ER82" i="1"/>
  <c r="EQ82" i="1"/>
  <c r="EO82" i="1"/>
  <c r="EN82" i="1"/>
  <c r="EM82" i="1"/>
  <c r="EL82" i="1"/>
  <c r="FK81" i="1"/>
  <c r="FJ81" i="1"/>
  <c r="FE81" i="1"/>
  <c r="FD81" i="1"/>
  <c r="ER81" i="1"/>
  <c r="EQ81" i="1"/>
  <c r="EO81" i="1"/>
  <c r="EN81" i="1"/>
  <c r="EM81" i="1"/>
  <c r="EL81" i="1"/>
  <c r="FK80" i="1"/>
  <c r="FJ80" i="1"/>
  <c r="FE80" i="1"/>
  <c r="FD80" i="1"/>
  <c r="ER80" i="1"/>
  <c r="EQ80" i="1"/>
  <c r="EO80" i="1"/>
  <c r="EN80" i="1"/>
  <c r="EM80" i="1"/>
  <c r="EL80" i="1"/>
  <c r="FK79" i="1"/>
  <c r="FJ79" i="1"/>
  <c r="FE79" i="1"/>
  <c r="FD79" i="1"/>
  <c r="ER79" i="1"/>
  <c r="EQ79" i="1"/>
  <c r="EO79" i="1"/>
  <c r="EN79" i="1"/>
  <c r="EM79" i="1"/>
  <c r="EL79" i="1"/>
  <c r="FK78" i="1"/>
  <c r="FJ78" i="1"/>
  <c r="FE78" i="1"/>
  <c r="FD78" i="1"/>
  <c r="ER78" i="1"/>
  <c r="EQ78" i="1"/>
  <c r="EO78" i="1"/>
  <c r="EN78" i="1"/>
  <c r="EM78" i="1"/>
  <c r="EL78" i="1"/>
  <c r="FK77" i="1"/>
  <c r="FJ77" i="1"/>
  <c r="FE77" i="1"/>
  <c r="FD77" i="1"/>
  <c r="ER77" i="1"/>
  <c r="EQ77" i="1"/>
  <c r="EO77" i="1"/>
  <c r="EN77" i="1"/>
  <c r="EM77" i="1"/>
  <c r="EL77" i="1"/>
  <c r="FK76" i="1"/>
  <c r="FJ76" i="1"/>
  <c r="FE76" i="1"/>
  <c r="FD76" i="1"/>
  <c r="ER76" i="1"/>
  <c r="EQ76" i="1"/>
  <c r="EO76" i="1"/>
  <c r="EN76" i="1"/>
  <c r="EM76" i="1"/>
  <c r="EL76" i="1"/>
  <c r="FK74" i="1"/>
  <c r="FJ74" i="1"/>
  <c r="FE74" i="1"/>
  <c r="FD74" i="1"/>
  <c r="ER74" i="1"/>
  <c r="EQ74" i="1"/>
  <c r="EO74" i="1"/>
  <c r="EN74" i="1"/>
  <c r="EM74" i="1"/>
  <c r="EL74" i="1"/>
  <c r="FK73" i="1"/>
  <c r="FJ73" i="1"/>
  <c r="FE73" i="1"/>
  <c r="FD73" i="1"/>
  <c r="ER73" i="1"/>
  <c r="EQ73" i="1"/>
  <c r="EO73" i="1"/>
  <c r="EN73" i="1"/>
  <c r="EM73" i="1"/>
  <c r="EL73" i="1"/>
  <c r="FK72" i="1"/>
  <c r="FJ72" i="1"/>
  <c r="FE72" i="1"/>
  <c r="FD72" i="1"/>
  <c r="ER72" i="1"/>
  <c r="EQ72" i="1"/>
  <c r="EO72" i="1"/>
  <c r="EN72" i="1"/>
  <c r="EM72" i="1"/>
  <c r="EL72" i="1"/>
  <c r="FK71" i="1"/>
  <c r="FJ71" i="1"/>
  <c r="FE71" i="1"/>
  <c r="FD71" i="1"/>
  <c r="ER71" i="1"/>
  <c r="EQ71" i="1"/>
  <c r="EO71" i="1"/>
  <c r="EN71" i="1"/>
  <c r="EM71" i="1"/>
  <c r="EL71" i="1"/>
  <c r="FK70" i="1"/>
  <c r="FJ70" i="1"/>
  <c r="FE70" i="1"/>
  <c r="FD70" i="1"/>
  <c r="ER70" i="1"/>
  <c r="EQ70" i="1"/>
  <c r="EO70" i="1"/>
  <c r="EN70" i="1"/>
  <c r="EM70" i="1"/>
  <c r="EL70" i="1"/>
  <c r="FK69" i="1"/>
  <c r="FJ69" i="1"/>
  <c r="FE69" i="1"/>
  <c r="FD69" i="1"/>
  <c r="ER69" i="1"/>
  <c r="EQ69" i="1"/>
  <c r="EO69" i="1"/>
  <c r="EN69" i="1"/>
  <c r="EM69" i="1"/>
  <c r="EL69" i="1"/>
  <c r="FK67" i="1"/>
  <c r="FJ67" i="1"/>
  <c r="FE67" i="1"/>
  <c r="FD67" i="1"/>
  <c r="ER67" i="1"/>
  <c r="EQ67" i="1"/>
  <c r="EO67" i="1"/>
  <c r="EN67" i="1"/>
  <c r="EM67" i="1"/>
  <c r="EL67" i="1"/>
  <c r="FK66" i="1"/>
  <c r="FJ66" i="1"/>
  <c r="FE66" i="1"/>
  <c r="FD66" i="1"/>
  <c r="ER66" i="1"/>
  <c r="EQ66" i="1"/>
  <c r="EO66" i="1"/>
  <c r="EN66" i="1"/>
  <c r="EM66" i="1"/>
  <c r="EL66" i="1"/>
  <c r="FK65" i="1"/>
  <c r="FJ65" i="1"/>
  <c r="FE65" i="1"/>
  <c r="FD65" i="1"/>
  <c r="ER65" i="1"/>
  <c r="EQ65" i="1"/>
  <c r="EO65" i="1"/>
  <c r="EN65" i="1"/>
  <c r="EM65" i="1"/>
  <c r="EL65" i="1"/>
  <c r="FK64" i="1"/>
  <c r="FJ64" i="1"/>
  <c r="FE64" i="1"/>
  <c r="FD64" i="1"/>
  <c r="ER64" i="1"/>
  <c r="EQ64" i="1"/>
  <c r="EO64" i="1"/>
  <c r="EN64" i="1"/>
  <c r="EM64" i="1"/>
  <c r="EL64" i="1"/>
  <c r="FK62" i="1"/>
  <c r="FJ62" i="1"/>
  <c r="FE62" i="1"/>
  <c r="FD62" i="1"/>
  <c r="ER62" i="1"/>
  <c r="EQ62" i="1"/>
  <c r="EO62" i="1"/>
  <c r="EN62" i="1"/>
  <c r="EM62" i="1"/>
  <c r="EL62" i="1"/>
  <c r="FK61" i="1"/>
  <c r="FJ61" i="1"/>
  <c r="FE61" i="1"/>
  <c r="FD61" i="1"/>
  <c r="ER61" i="1"/>
  <c r="EQ61" i="1"/>
  <c r="EO61" i="1"/>
  <c r="EN61" i="1"/>
  <c r="EM61" i="1"/>
  <c r="EL61" i="1"/>
  <c r="FK59" i="1"/>
  <c r="FJ59" i="1"/>
  <c r="FE59" i="1"/>
  <c r="FD59" i="1"/>
  <c r="ER59" i="1"/>
  <c r="EQ59" i="1"/>
  <c r="EO59" i="1"/>
  <c r="EN59" i="1"/>
  <c r="EM59" i="1"/>
  <c r="EL59" i="1"/>
  <c r="FK58" i="1"/>
  <c r="FJ58" i="1"/>
  <c r="FE58" i="1"/>
  <c r="FD58" i="1"/>
  <c r="ER58" i="1"/>
  <c r="EQ58" i="1"/>
  <c r="EO58" i="1"/>
  <c r="EN58" i="1"/>
  <c r="EM58" i="1"/>
  <c r="EL58" i="1"/>
  <c r="FK57" i="1"/>
  <c r="FJ57" i="1"/>
  <c r="FE57" i="1"/>
  <c r="FD57" i="1"/>
  <c r="ER57" i="1"/>
  <c r="EQ57" i="1"/>
  <c r="EO57" i="1"/>
  <c r="EN57" i="1"/>
  <c r="EM57" i="1"/>
  <c r="EL57" i="1"/>
  <c r="FK56" i="1"/>
  <c r="FJ56" i="1"/>
  <c r="FE56" i="1"/>
  <c r="FD56" i="1"/>
  <c r="ER56" i="1"/>
  <c r="EQ56" i="1"/>
  <c r="EO56" i="1"/>
  <c r="EN56" i="1"/>
  <c r="EM56" i="1"/>
  <c r="EL56" i="1"/>
  <c r="FK55" i="1"/>
  <c r="FJ55" i="1"/>
  <c r="FE55" i="1"/>
  <c r="FD55" i="1"/>
  <c r="ER55" i="1"/>
  <c r="EQ55" i="1"/>
  <c r="EO55" i="1"/>
  <c r="EN55" i="1"/>
  <c r="EM55" i="1"/>
  <c r="EL55" i="1"/>
  <c r="FK54" i="1"/>
  <c r="FJ54" i="1"/>
  <c r="FE54" i="1"/>
  <c r="FD54" i="1"/>
  <c r="ER54" i="1"/>
  <c r="EQ54" i="1"/>
  <c r="EO54" i="1"/>
  <c r="EN54" i="1"/>
  <c r="EM54" i="1"/>
  <c r="EL54" i="1"/>
  <c r="FK53" i="1"/>
  <c r="FJ53" i="1"/>
  <c r="FE53" i="1"/>
  <c r="FD53" i="1"/>
  <c r="ER53" i="1"/>
  <c r="EQ53" i="1"/>
  <c r="EO53" i="1"/>
  <c r="EN53" i="1"/>
  <c r="EM53" i="1"/>
  <c r="EL53" i="1"/>
  <c r="FK52" i="1"/>
  <c r="FJ52" i="1"/>
  <c r="FE52" i="1"/>
  <c r="FD52" i="1"/>
  <c r="ER52" i="1"/>
  <c r="EQ52" i="1"/>
  <c r="EO52" i="1"/>
  <c r="EN52" i="1"/>
  <c r="EM52" i="1"/>
  <c r="EL52" i="1"/>
  <c r="FK51" i="1"/>
  <c r="FJ51" i="1"/>
  <c r="FE51" i="1"/>
  <c r="FD51" i="1"/>
  <c r="ER51" i="1"/>
  <c r="EQ51" i="1"/>
  <c r="EO51" i="1"/>
  <c r="EN51" i="1"/>
  <c r="EM51" i="1"/>
  <c r="EL51" i="1"/>
  <c r="FK50" i="1"/>
  <c r="FJ50" i="1"/>
  <c r="FE50" i="1"/>
  <c r="FD50" i="1"/>
  <c r="ER50" i="1"/>
  <c r="EQ50" i="1"/>
  <c r="EO50" i="1"/>
  <c r="EN50" i="1"/>
  <c r="EM50" i="1"/>
  <c r="EL50" i="1"/>
  <c r="FK49" i="1"/>
  <c r="FJ49" i="1"/>
  <c r="FE49" i="1"/>
  <c r="FD49" i="1"/>
  <c r="ER49" i="1"/>
  <c r="EQ49" i="1"/>
  <c r="EO49" i="1"/>
  <c r="EN49" i="1"/>
  <c r="EM49" i="1"/>
  <c r="EL49" i="1"/>
  <c r="FK48" i="1"/>
  <c r="FJ48" i="1"/>
  <c r="FE48" i="1"/>
  <c r="FD48" i="1"/>
  <c r="ER48" i="1"/>
  <c r="EQ48" i="1"/>
  <c r="EO48" i="1"/>
  <c r="EN48" i="1"/>
  <c r="EM48" i="1"/>
  <c r="EL48" i="1"/>
  <c r="FK47" i="1"/>
  <c r="FJ47" i="1"/>
  <c r="FE47" i="1"/>
  <c r="FD47" i="1"/>
  <c r="ER47" i="1"/>
  <c r="EQ47" i="1"/>
  <c r="EO47" i="1"/>
  <c r="EN47" i="1"/>
  <c r="EM47" i="1"/>
  <c r="EL47" i="1"/>
  <c r="FK46" i="1"/>
  <c r="FJ46" i="1"/>
  <c r="FE46" i="1"/>
  <c r="FD46" i="1"/>
  <c r="ER46" i="1"/>
  <c r="EQ46" i="1"/>
  <c r="EO46" i="1"/>
  <c r="EN46" i="1"/>
  <c r="EM46" i="1"/>
  <c r="EL46" i="1"/>
  <c r="FK45" i="1"/>
  <c r="FJ45" i="1"/>
  <c r="FE45" i="1"/>
  <c r="FD45" i="1"/>
  <c r="ER45" i="1"/>
  <c r="EQ45" i="1"/>
  <c r="EO45" i="1"/>
  <c r="EN45" i="1"/>
  <c r="EM45" i="1"/>
  <c r="EL45" i="1"/>
  <c r="FK44" i="1"/>
  <c r="FJ44" i="1"/>
  <c r="FE44" i="1"/>
  <c r="FD44" i="1"/>
  <c r="ER44" i="1"/>
  <c r="EQ44" i="1"/>
  <c r="EO44" i="1"/>
  <c r="EN44" i="1"/>
  <c r="EM44" i="1"/>
  <c r="EL44" i="1"/>
  <c r="FK43" i="1"/>
  <c r="FJ43" i="1"/>
  <c r="FE43" i="1"/>
  <c r="FD43" i="1"/>
  <c r="ER43" i="1"/>
  <c r="EQ43" i="1"/>
  <c r="EO43" i="1"/>
  <c r="EN43" i="1"/>
  <c r="EM43" i="1"/>
  <c r="EL43" i="1"/>
  <c r="FK42" i="1"/>
  <c r="FJ42" i="1"/>
  <c r="FE42" i="1"/>
  <c r="FD42" i="1"/>
  <c r="ER42" i="1"/>
  <c r="EQ42" i="1"/>
  <c r="EO42" i="1"/>
  <c r="EN42" i="1"/>
  <c r="EM42" i="1"/>
  <c r="EL42" i="1"/>
  <c r="FK41" i="1"/>
  <c r="FJ41" i="1"/>
  <c r="FE41" i="1"/>
  <c r="FD41" i="1"/>
  <c r="ER41" i="1"/>
  <c r="EQ41" i="1"/>
  <c r="EO41" i="1"/>
  <c r="EN41" i="1"/>
  <c r="EM41" i="1"/>
  <c r="EL41" i="1"/>
  <c r="FK40" i="1"/>
  <c r="FJ40" i="1"/>
  <c r="FE40" i="1"/>
  <c r="FD40" i="1"/>
  <c r="ER40" i="1"/>
  <c r="EQ40" i="1"/>
  <c r="EO40" i="1"/>
  <c r="EN40" i="1"/>
  <c r="EM40" i="1"/>
  <c r="EL40" i="1"/>
  <c r="FK39" i="1"/>
  <c r="FJ39" i="1"/>
  <c r="FE39" i="1"/>
  <c r="FD39" i="1"/>
  <c r="ER39" i="1"/>
  <c r="EQ39" i="1"/>
  <c r="EO39" i="1"/>
  <c r="EN39" i="1"/>
  <c r="EM39" i="1"/>
  <c r="EL39" i="1"/>
  <c r="FK38" i="1"/>
  <c r="FJ38" i="1"/>
  <c r="FE38" i="1"/>
  <c r="FD38" i="1"/>
  <c r="ER38" i="1"/>
  <c r="EQ38" i="1"/>
  <c r="EO38" i="1"/>
  <c r="EN38" i="1"/>
  <c r="EM38" i="1"/>
  <c r="EL38" i="1"/>
  <c r="FK37" i="1"/>
  <c r="FJ37" i="1"/>
  <c r="FE37" i="1"/>
  <c r="FD37" i="1"/>
  <c r="ER37" i="1"/>
  <c r="EQ37" i="1"/>
  <c r="EO37" i="1"/>
  <c r="EN37" i="1"/>
  <c r="EM37" i="1"/>
  <c r="EL37" i="1"/>
  <c r="FK36" i="1"/>
  <c r="FJ36" i="1"/>
  <c r="FE36" i="1"/>
  <c r="FD36" i="1"/>
  <c r="ER36" i="1"/>
  <c r="EQ36" i="1"/>
  <c r="EO36" i="1"/>
  <c r="EN36" i="1"/>
  <c r="EM36" i="1"/>
  <c r="EL36" i="1"/>
  <c r="FK35" i="1"/>
  <c r="FJ35" i="1"/>
  <c r="FE35" i="1"/>
  <c r="FD35" i="1"/>
  <c r="ER35" i="1"/>
  <c r="EQ35" i="1"/>
  <c r="EO35" i="1"/>
  <c r="EN35" i="1"/>
  <c r="EM35" i="1"/>
  <c r="EL35" i="1"/>
  <c r="FK34" i="1"/>
  <c r="FJ34" i="1"/>
  <c r="FE34" i="1"/>
  <c r="FD34" i="1"/>
  <c r="ER34" i="1"/>
  <c r="EQ34" i="1"/>
  <c r="EO34" i="1"/>
  <c r="EN34" i="1"/>
  <c r="EM34" i="1"/>
  <c r="EL34" i="1"/>
  <c r="FK33" i="1"/>
  <c r="FJ33" i="1"/>
  <c r="FE33" i="1"/>
  <c r="FD33" i="1"/>
  <c r="ER33" i="1"/>
  <c r="EQ33" i="1"/>
  <c r="EO33" i="1"/>
  <c r="EN33" i="1"/>
  <c r="EM33" i="1"/>
  <c r="EL33" i="1"/>
  <c r="FK32" i="1"/>
  <c r="FJ32" i="1"/>
  <c r="FE32" i="1"/>
  <c r="FD32" i="1"/>
  <c r="ER32" i="1"/>
  <c r="EQ32" i="1"/>
  <c r="EO32" i="1"/>
  <c r="EN32" i="1"/>
  <c r="EM32" i="1"/>
  <c r="EL32" i="1"/>
  <c r="FK31" i="1"/>
  <c r="FJ31" i="1"/>
  <c r="FE31" i="1"/>
  <c r="FD31" i="1"/>
  <c r="ER31" i="1"/>
  <c r="EQ31" i="1"/>
  <c r="EO31" i="1"/>
  <c r="EN31" i="1"/>
  <c r="EM31" i="1"/>
  <c r="EL31" i="1"/>
  <c r="FK30" i="1"/>
  <c r="FJ30" i="1"/>
  <c r="FE30" i="1"/>
  <c r="FD30" i="1"/>
  <c r="ER30" i="1"/>
  <c r="EQ30" i="1"/>
  <c r="EO30" i="1"/>
  <c r="EN30" i="1"/>
  <c r="EM30" i="1"/>
  <c r="EL30" i="1"/>
  <c r="FK29" i="1"/>
  <c r="FJ29" i="1"/>
  <c r="FE29" i="1"/>
  <c r="FD29" i="1"/>
  <c r="ER29" i="1"/>
  <c r="EQ29" i="1"/>
  <c r="EO29" i="1"/>
  <c r="EN29" i="1"/>
  <c r="EM29" i="1"/>
  <c r="EL29" i="1"/>
  <c r="FK28" i="1"/>
  <c r="FJ28" i="1"/>
  <c r="FE28" i="1"/>
  <c r="FD28" i="1"/>
  <c r="ER28" i="1"/>
  <c r="EQ28" i="1"/>
  <c r="EO28" i="1"/>
  <c r="EN28" i="1"/>
  <c r="EM28" i="1"/>
  <c r="EL28" i="1"/>
  <c r="FK27" i="1"/>
  <c r="FJ27" i="1"/>
  <c r="FE27" i="1"/>
  <c r="FD27" i="1"/>
  <c r="ER27" i="1"/>
  <c r="EQ27" i="1"/>
  <c r="EO27" i="1"/>
  <c r="EN27" i="1"/>
  <c r="EM27" i="1"/>
  <c r="EL27" i="1"/>
  <c r="FK26" i="1"/>
  <c r="FJ26" i="1"/>
  <c r="FE26" i="1"/>
  <c r="FD26" i="1"/>
  <c r="ER26" i="1"/>
  <c r="EQ26" i="1"/>
  <c r="EO26" i="1"/>
  <c r="EN26" i="1"/>
  <c r="EM26" i="1"/>
  <c r="EL26" i="1"/>
  <c r="FK25" i="1"/>
  <c r="FJ25" i="1"/>
  <c r="FE25" i="1"/>
  <c r="FD25" i="1"/>
  <c r="ER25" i="1"/>
  <c r="EQ25" i="1"/>
  <c r="EO25" i="1"/>
  <c r="EN25" i="1"/>
  <c r="EM25" i="1"/>
  <c r="EL25" i="1"/>
  <c r="FK24" i="1"/>
  <c r="FJ24" i="1"/>
  <c r="FE24" i="1"/>
  <c r="FD24" i="1"/>
  <c r="ER24" i="1"/>
  <c r="EQ24" i="1"/>
  <c r="EO24" i="1"/>
  <c r="EN24" i="1"/>
  <c r="EM24" i="1"/>
  <c r="EL24" i="1"/>
  <c r="FK23" i="1"/>
  <c r="FJ23" i="1"/>
  <c r="FE23" i="1"/>
  <c r="FD23" i="1"/>
  <c r="ER23" i="1"/>
  <c r="EQ23" i="1"/>
  <c r="EO23" i="1"/>
  <c r="EN23" i="1"/>
  <c r="EM23" i="1"/>
  <c r="EL23" i="1"/>
  <c r="FK22" i="1"/>
  <c r="FJ22" i="1"/>
  <c r="FE22" i="1"/>
  <c r="FD22" i="1"/>
  <c r="ER22" i="1"/>
  <c r="EQ22" i="1"/>
  <c r="EO22" i="1"/>
  <c r="EN22" i="1"/>
  <c r="EM22" i="1"/>
  <c r="EL22" i="1"/>
  <c r="FK21" i="1"/>
  <c r="FJ21" i="1"/>
  <c r="FE21" i="1"/>
  <c r="FD21" i="1"/>
  <c r="ER21" i="1"/>
  <c r="EQ21" i="1"/>
  <c r="EO21" i="1"/>
  <c r="EN21" i="1"/>
  <c r="EM21" i="1"/>
  <c r="EL21" i="1"/>
  <c r="FK20" i="1"/>
  <c r="FJ20" i="1"/>
  <c r="FE20" i="1"/>
  <c r="FD20" i="1"/>
  <c r="ER20" i="1"/>
  <c r="EQ20" i="1"/>
  <c r="EO20" i="1"/>
  <c r="EN20" i="1"/>
  <c r="EM20" i="1"/>
  <c r="EL20" i="1"/>
  <c r="FK19" i="1"/>
  <c r="FJ19" i="1"/>
  <c r="FE19" i="1"/>
  <c r="FD19" i="1"/>
  <c r="ER19" i="1"/>
  <c r="EQ19" i="1"/>
  <c r="EO19" i="1"/>
  <c r="EN19" i="1"/>
  <c r="EM19" i="1"/>
  <c r="EL19" i="1"/>
  <c r="FK18" i="1"/>
  <c r="FJ18" i="1"/>
  <c r="FE18" i="1"/>
  <c r="FD18" i="1"/>
  <c r="ER18" i="1"/>
  <c r="EQ18" i="1"/>
  <c r="EO18" i="1"/>
  <c r="EN18" i="1"/>
  <c r="EM18" i="1"/>
  <c r="EL18" i="1"/>
  <c r="FK17" i="1"/>
  <c r="FJ17" i="1"/>
  <c r="FE17" i="1"/>
  <c r="FD17" i="1"/>
  <c r="ER17" i="1"/>
  <c r="EQ17" i="1"/>
  <c r="EO17" i="1"/>
  <c r="EN17" i="1"/>
  <c r="EM17" i="1"/>
  <c r="EL17" i="1"/>
  <c r="FK16" i="1"/>
  <c r="FJ16" i="1"/>
  <c r="FE16" i="1"/>
  <c r="FD16" i="1"/>
  <c r="ER16" i="1"/>
  <c r="EQ16" i="1"/>
  <c r="EO16" i="1"/>
  <c r="EN16" i="1"/>
  <c r="EM16" i="1"/>
  <c r="EL16" i="1"/>
  <c r="FK15" i="1"/>
  <c r="FJ15" i="1"/>
  <c r="FE15" i="1"/>
  <c r="FD15" i="1"/>
  <c r="ER15" i="1"/>
  <c r="EQ15" i="1"/>
  <c r="EO15" i="1"/>
  <c r="EN15" i="1"/>
  <c r="EM15" i="1"/>
  <c r="EL15" i="1"/>
  <c r="FK14" i="1"/>
  <c r="FJ14" i="1"/>
  <c r="FE14" i="1"/>
  <c r="FD14" i="1"/>
  <c r="ER14" i="1"/>
  <c r="EQ14" i="1"/>
  <c r="EO14" i="1"/>
  <c r="EN14" i="1"/>
  <c r="EM14" i="1"/>
  <c r="EL14" i="1"/>
  <c r="FK13" i="1"/>
  <c r="FJ13" i="1"/>
  <c r="FE13" i="1"/>
  <c r="FD13" i="1"/>
  <c r="ER13" i="1"/>
  <c r="EQ13" i="1"/>
  <c r="EO13" i="1"/>
  <c r="EN13" i="1"/>
  <c r="EM13" i="1"/>
  <c r="EL13" i="1"/>
  <c r="FK12" i="1"/>
  <c r="FJ12" i="1"/>
  <c r="FE12" i="1"/>
  <c r="FD12" i="1"/>
  <c r="ER12" i="1"/>
  <c r="EQ12" i="1"/>
  <c r="EO12" i="1"/>
  <c r="EN12" i="1"/>
  <c r="EM12" i="1"/>
  <c r="EL12" i="1"/>
  <c r="FK11" i="1"/>
  <c r="FJ11" i="1"/>
  <c r="FE11" i="1"/>
  <c r="FD11" i="1"/>
  <c r="ER11" i="1"/>
  <c r="EQ11" i="1"/>
  <c r="EO11" i="1"/>
  <c r="EN11" i="1"/>
  <c r="EM11" i="1"/>
  <c r="EL11" i="1"/>
  <c r="FK10" i="1"/>
  <c r="FJ10" i="1"/>
  <c r="FE10" i="1"/>
  <c r="FD10" i="1"/>
  <c r="ER10" i="1"/>
  <c r="EQ10" i="1"/>
  <c r="EO10" i="1"/>
  <c r="EN10" i="1"/>
  <c r="EM10" i="1"/>
  <c r="EL10" i="1"/>
  <c r="FK9" i="1"/>
  <c r="FJ9" i="1"/>
  <c r="FE9" i="1"/>
  <c r="FD9" i="1"/>
  <c r="ER9" i="1"/>
  <c r="EQ9" i="1"/>
  <c r="EO9" i="1"/>
  <c r="EN9" i="1"/>
  <c r="EM9" i="1"/>
  <c r="EL9" i="1"/>
  <c r="FK8" i="1"/>
  <c r="FJ8" i="1"/>
  <c r="FE8" i="1"/>
  <c r="FD8" i="1"/>
  <c r="ER8" i="1"/>
  <c r="EQ8" i="1"/>
  <c r="EO8" i="1"/>
  <c r="EN8" i="1"/>
  <c r="EM8" i="1"/>
  <c r="EL8" i="1"/>
  <c r="FK7" i="1"/>
  <c r="FJ7" i="1"/>
  <c r="FE7" i="1"/>
  <c r="FD7" i="1"/>
  <c r="ER7" i="1"/>
  <c r="EQ7" i="1"/>
  <c r="EO7" i="1"/>
  <c r="EN7" i="1"/>
  <c r="EM7" i="1"/>
  <c r="EL7" i="1"/>
  <c r="DT75" i="1"/>
  <c r="DP75" i="1"/>
  <c r="DO75" i="1"/>
  <c r="DM75" i="1"/>
  <c r="DL75" i="1"/>
  <c r="DK75" i="1"/>
  <c r="DJ75" i="1"/>
  <c r="DP165" i="1"/>
  <c r="DO165" i="1"/>
  <c r="DM165" i="1"/>
  <c r="DL165" i="1"/>
  <c r="DK165" i="1"/>
  <c r="DJ165" i="1"/>
  <c r="DP164" i="1"/>
  <c r="DO164" i="1"/>
  <c r="DM164" i="1"/>
  <c r="DL164" i="1"/>
  <c r="DK164" i="1"/>
  <c r="DJ164" i="1"/>
  <c r="DP163" i="1"/>
  <c r="DO163" i="1"/>
  <c r="DM163" i="1"/>
  <c r="DL163" i="1"/>
  <c r="DK163" i="1"/>
  <c r="DJ163" i="1"/>
  <c r="DP162" i="1"/>
  <c r="DO162" i="1"/>
  <c r="DM162" i="1"/>
  <c r="DL162" i="1"/>
  <c r="DK162" i="1"/>
  <c r="DJ162" i="1"/>
  <c r="DP161" i="1"/>
  <c r="DO161" i="1"/>
  <c r="DM161" i="1"/>
  <c r="DL161" i="1"/>
  <c r="DK161" i="1"/>
  <c r="DJ161" i="1"/>
  <c r="DT159" i="1"/>
  <c r="DP159" i="1"/>
  <c r="DO159" i="1"/>
  <c r="DM159" i="1"/>
  <c r="DL159" i="1"/>
  <c r="DK159" i="1"/>
  <c r="DJ159" i="1"/>
  <c r="DP158" i="1"/>
  <c r="DO158" i="1"/>
  <c r="DM158" i="1"/>
  <c r="DL158" i="1"/>
  <c r="DK158" i="1"/>
  <c r="DJ158" i="1"/>
  <c r="DT157" i="1"/>
  <c r="DP157" i="1"/>
  <c r="DO157" i="1"/>
  <c r="DM157" i="1"/>
  <c r="DL157" i="1"/>
  <c r="DK157" i="1"/>
  <c r="DJ157" i="1"/>
  <c r="DT156" i="1"/>
  <c r="DP156" i="1"/>
  <c r="DO156" i="1"/>
  <c r="DM156" i="1"/>
  <c r="DL156" i="1"/>
  <c r="DK156" i="1"/>
  <c r="DJ156" i="1"/>
  <c r="DT155" i="1"/>
  <c r="DP155" i="1"/>
  <c r="DO155" i="1"/>
  <c r="DM155" i="1"/>
  <c r="DL155" i="1"/>
  <c r="DK155" i="1"/>
  <c r="DJ155" i="1"/>
  <c r="DT154" i="1"/>
  <c r="DP154" i="1"/>
  <c r="DO154" i="1"/>
  <c r="DM154" i="1"/>
  <c r="DL154" i="1"/>
  <c r="DK154" i="1"/>
  <c r="DJ154" i="1"/>
  <c r="DT152" i="1"/>
  <c r="DP152" i="1"/>
  <c r="DO152" i="1"/>
  <c r="DM152" i="1"/>
  <c r="DL152" i="1"/>
  <c r="DK152" i="1"/>
  <c r="DJ152" i="1"/>
  <c r="DT151" i="1"/>
  <c r="DP151" i="1"/>
  <c r="DO151" i="1"/>
  <c r="DM151" i="1"/>
  <c r="DL151" i="1"/>
  <c r="DK151" i="1"/>
  <c r="DJ151" i="1"/>
  <c r="DT150" i="1"/>
  <c r="DP150" i="1"/>
  <c r="DO150" i="1"/>
  <c r="DM150" i="1"/>
  <c r="DL150" i="1"/>
  <c r="DK150" i="1"/>
  <c r="DJ150" i="1"/>
  <c r="DT148" i="1"/>
  <c r="DP148" i="1"/>
  <c r="DO148" i="1"/>
  <c r="DM148" i="1"/>
  <c r="DL148" i="1"/>
  <c r="DK148" i="1"/>
  <c r="DJ148" i="1"/>
  <c r="DT147" i="1"/>
  <c r="DP147" i="1"/>
  <c r="DO147" i="1"/>
  <c r="DM147" i="1"/>
  <c r="DL147" i="1"/>
  <c r="DK147" i="1"/>
  <c r="DJ147" i="1"/>
  <c r="DT146" i="1"/>
  <c r="DP146" i="1"/>
  <c r="DO146" i="1"/>
  <c r="DM146" i="1"/>
  <c r="DL146" i="1"/>
  <c r="DK146" i="1"/>
  <c r="DJ146" i="1"/>
  <c r="DT145" i="1"/>
  <c r="DP145" i="1"/>
  <c r="DO145" i="1"/>
  <c r="DM145" i="1"/>
  <c r="DL145" i="1"/>
  <c r="DK145" i="1"/>
  <c r="DJ145" i="1"/>
  <c r="DT144" i="1"/>
  <c r="DP144" i="1"/>
  <c r="DO144" i="1"/>
  <c r="DM144" i="1"/>
  <c r="DL144" i="1"/>
  <c r="DK144" i="1"/>
  <c r="DJ144" i="1"/>
  <c r="DT143" i="1"/>
  <c r="DP143" i="1"/>
  <c r="DO143" i="1"/>
  <c r="DM143" i="1"/>
  <c r="DL143" i="1"/>
  <c r="DK143" i="1"/>
  <c r="DJ143" i="1"/>
  <c r="DT142" i="1"/>
  <c r="DP142" i="1"/>
  <c r="DO142" i="1"/>
  <c r="DM142" i="1"/>
  <c r="DL142" i="1"/>
  <c r="DK142" i="1"/>
  <c r="DJ142" i="1"/>
  <c r="DT141" i="1"/>
  <c r="DP141" i="1"/>
  <c r="DO141" i="1"/>
  <c r="DM141" i="1"/>
  <c r="DL141" i="1"/>
  <c r="DK141" i="1"/>
  <c r="DJ141" i="1"/>
  <c r="DT140" i="1"/>
  <c r="DP140" i="1"/>
  <c r="DO140" i="1"/>
  <c r="DM140" i="1"/>
  <c r="DL140" i="1"/>
  <c r="DK140" i="1"/>
  <c r="DJ140" i="1"/>
  <c r="DT139" i="1"/>
  <c r="DP139" i="1"/>
  <c r="DO139" i="1"/>
  <c r="DM139" i="1"/>
  <c r="DL139" i="1"/>
  <c r="DK139" i="1"/>
  <c r="DJ139" i="1"/>
  <c r="DT138" i="1"/>
  <c r="DP138" i="1"/>
  <c r="DO138" i="1"/>
  <c r="DM138" i="1"/>
  <c r="DL138" i="1"/>
  <c r="DK138" i="1"/>
  <c r="DJ138" i="1"/>
  <c r="DT137" i="1"/>
  <c r="DP137" i="1"/>
  <c r="DO137" i="1"/>
  <c r="DM137" i="1"/>
  <c r="DL137" i="1"/>
  <c r="DK137" i="1"/>
  <c r="DJ137" i="1"/>
  <c r="DT136" i="1"/>
  <c r="DP136" i="1"/>
  <c r="DO136" i="1"/>
  <c r="DM136" i="1"/>
  <c r="DL136" i="1"/>
  <c r="DK136" i="1"/>
  <c r="DJ136" i="1"/>
  <c r="DT135" i="1"/>
  <c r="DP135" i="1"/>
  <c r="DO135" i="1"/>
  <c r="DM135" i="1"/>
  <c r="DL135" i="1"/>
  <c r="DK135" i="1"/>
  <c r="DJ135" i="1"/>
  <c r="DT134" i="1"/>
  <c r="DP134" i="1"/>
  <c r="DO134" i="1"/>
  <c r="DM134" i="1"/>
  <c r="DL134" i="1"/>
  <c r="DK134" i="1"/>
  <c r="DJ134" i="1"/>
  <c r="DT133" i="1"/>
  <c r="DP133" i="1"/>
  <c r="DO133" i="1"/>
  <c r="DM133" i="1"/>
  <c r="DL133" i="1"/>
  <c r="DK133" i="1"/>
  <c r="DJ133" i="1"/>
  <c r="DP132" i="1"/>
  <c r="DO132" i="1"/>
  <c r="DM132" i="1"/>
  <c r="DL132" i="1"/>
  <c r="DK132" i="1"/>
  <c r="DJ132" i="1"/>
  <c r="DT131" i="1"/>
  <c r="DP131" i="1"/>
  <c r="DO131" i="1"/>
  <c r="DM131" i="1"/>
  <c r="DL131" i="1"/>
  <c r="DK131" i="1"/>
  <c r="DJ131" i="1"/>
  <c r="DT130" i="1"/>
  <c r="DP130" i="1"/>
  <c r="DO130" i="1"/>
  <c r="DM130" i="1"/>
  <c r="DL130" i="1"/>
  <c r="DK130" i="1"/>
  <c r="DJ130" i="1"/>
  <c r="DT129" i="1"/>
  <c r="DP129" i="1"/>
  <c r="DO129" i="1"/>
  <c r="DM129" i="1"/>
  <c r="DL129" i="1"/>
  <c r="DK129" i="1"/>
  <c r="DJ129" i="1"/>
  <c r="DT128" i="1"/>
  <c r="DP128" i="1"/>
  <c r="DO128" i="1"/>
  <c r="DM128" i="1"/>
  <c r="DL128" i="1"/>
  <c r="DK128" i="1"/>
  <c r="DJ128" i="1"/>
  <c r="DT127" i="1"/>
  <c r="DP127" i="1"/>
  <c r="DO127" i="1"/>
  <c r="DM127" i="1"/>
  <c r="DL127" i="1"/>
  <c r="DK127" i="1"/>
  <c r="DJ127" i="1"/>
  <c r="DT126" i="1"/>
  <c r="DP126" i="1"/>
  <c r="DO126" i="1"/>
  <c r="DM126" i="1"/>
  <c r="DL126" i="1"/>
  <c r="DK126" i="1"/>
  <c r="DJ126" i="1"/>
  <c r="DT125" i="1"/>
  <c r="DP125" i="1"/>
  <c r="DO125" i="1"/>
  <c r="DM125" i="1"/>
  <c r="DL125" i="1"/>
  <c r="DK125" i="1"/>
  <c r="DJ125" i="1"/>
  <c r="DT124" i="1"/>
  <c r="DP124" i="1"/>
  <c r="DO124" i="1"/>
  <c r="DM124" i="1"/>
  <c r="DL124" i="1"/>
  <c r="DK124" i="1"/>
  <c r="DJ124" i="1"/>
  <c r="DT123" i="1"/>
  <c r="DP123" i="1"/>
  <c r="DO123" i="1"/>
  <c r="DM123" i="1"/>
  <c r="DL123" i="1"/>
  <c r="DK123" i="1"/>
  <c r="DJ123" i="1"/>
  <c r="DT122" i="1"/>
  <c r="DP122" i="1"/>
  <c r="DO122" i="1"/>
  <c r="DM122" i="1"/>
  <c r="DL122" i="1"/>
  <c r="DK122" i="1"/>
  <c r="DJ122" i="1"/>
  <c r="DT121" i="1"/>
  <c r="DP121" i="1"/>
  <c r="DO121" i="1"/>
  <c r="DM121" i="1"/>
  <c r="DL121" i="1"/>
  <c r="DK121" i="1"/>
  <c r="DJ121" i="1"/>
  <c r="DT120" i="1"/>
  <c r="DP120" i="1"/>
  <c r="DO120" i="1"/>
  <c r="DM120" i="1"/>
  <c r="DL120" i="1"/>
  <c r="DK120" i="1"/>
  <c r="DJ120" i="1"/>
  <c r="DT119" i="1"/>
  <c r="DP119" i="1"/>
  <c r="DO119" i="1"/>
  <c r="DM119" i="1"/>
  <c r="DL119" i="1"/>
  <c r="DK119" i="1"/>
  <c r="DJ119" i="1"/>
  <c r="DT118" i="1"/>
  <c r="DP118" i="1"/>
  <c r="DO118" i="1"/>
  <c r="DM118" i="1"/>
  <c r="DL118" i="1"/>
  <c r="DK118" i="1"/>
  <c r="DJ118" i="1"/>
  <c r="DT117" i="1"/>
  <c r="DP117" i="1"/>
  <c r="DO117" i="1"/>
  <c r="DM117" i="1"/>
  <c r="DL117" i="1"/>
  <c r="DK117" i="1"/>
  <c r="DJ117" i="1"/>
  <c r="DT116" i="1"/>
  <c r="DP116" i="1"/>
  <c r="DO116" i="1"/>
  <c r="DM116" i="1"/>
  <c r="DL116" i="1"/>
  <c r="DK116" i="1"/>
  <c r="DJ116" i="1"/>
  <c r="DT115" i="1"/>
  <c r="DP115" i="1"/>
  <c r="DO115" i="1"/>
  <c r="DM115" i="1"/>
  <c r="DL115" i="1"/>
  <c r="DK115" i="1"/>
  <c r="DJ115" i="1"/>
  <c r="DT114" i="1"/>
  <c r="DP114" i="1"/>
  <c r="DO114" i="1"/>
  <c r="DM114" i="1"/>
  <c r="DL114" i="1"/>
  <c r="DK114" i="1"/>
  <c r="DJ114" i="1"/>
  <c r="DP113" i="1"/>
  <c r="DO113" i="1"/>
  <c r="DM113" i="1"/>
  <c r="DL113" i="1"/>
  <c r="DK113" i="1"/>
  <c r="DJ113" i="1"/>
  <c r="DP112" i="1"/>
  <c r="DO112" i="1"/>
  <c r="DM112" i="1"/>
  <c r="DL112" i="1"/>
  <c r="DK112" i="1"/>
  <c r="DJ112" i="1"/>
  <c r="DP111" i="1"/>
  <c r="DO111" i="1"/>
  <c r="DM111" i="1"/>
  <c r="DL111" i="1"/>
  <c r="DK111" i="1"/>
  <c r="DJ111" i="1"/>
  <c r="DP110" i="1"/>
  <c r="DO110" i="1"/>
  <c r="DM110" i="1"/>
  <c r="DL110" i="1"/>
  <c r="DK110" i="1"/>
  <c r="DJ110" i="1"/>
  <c r="DP109" i="1"/>
  <c r="DO109" i="1"/>
  <c r="DM109" i="1"/>
  <c r="DL109" i="1"/>
  <c r="DK109" i="1"/>
  <c r="DJ109" i="1"/>
  <c r="DP108" i="1"/>
  <c r="DO108" i="1"/>
  <c r="DM108" i="1"/>
  <c r="DL108" i="1"/>
  <c r="DK108" i="1"/>
  <c r="DJ108" i="1"/>
  <c r="DP107" i="1"/>
  <c r="DO107" i="1"/>
  <c r="DM107" i="1"/>
  <c r="DL107" i="1"/>
  <c r="DK107" i="1"/>
  <c r="DJ107" i="1"/>
  <c r="DP106" i="1"/>
  <c r="DO106" i="1"/>
  <c r="DM106" i="1"/>
  <c r="DL106" i="1"/>
  <c r="DK106" i="1"/>
  <c r="DJ106" i="1"/>
  <c r="DP105" i="1"/>
  <c r="DO105" i="1"/>
  <c r="DM105" i="1"/>
  <c r="DL105" i="1"/>
  <c r="DK105" i="1"/>
  <c r="DJ105" i="1"/>
  <c r="DP104" i="1"/>
  <c r="DO104" i="1"/>
  <c r="DM104" i="1"/>
  <c r="DL104" i="1"/>
  <c r="DK104" i="1"/>
  <c r="DJ104" i="1"/>
  <c r="DP103" i="1"/>
  <c r="DO103" i="1"/>
  <c r="DM103" i="1"/>
  <c r="DL103" i="1"/>
  <c r="DK103" i="1"/>
  <c r="DJ103" i="1"/>
  <c r="DP102" i="1"/>
  <c r="DO102" i="1"/>
  <c r="DM102" i="1"/>
  <c r="DL102" i="1"/>
  <c r="DK102" i="1"/>
  <c r="DJ102" i="1"/>
  <c r="DP101" i="1"/>
  <c r="DO101" i="1"/>
  <c r="DM101" i="1"/>
  <c r="DL101" i="1"/>
  <c r="DK101" i="1"/>
  <c r="DJ101" i="1"/>
  <c r="DP100" i="1"/>
  <c r="DO100" i="1"/>
  <c r="DM100" i="1"/>
  <c r="DL100" i="1"/>
  <c r="DK100" i="1"/>
  <c r="DJ100" i="1"/>
  <c r="DP99" i="1"/>
  <c r="DO99" i="1"/>
  <c r="DM99" i="1"/>
  <c r="DL99" i="1"/>
  <c r="DK99" i="1"/>
  <c r="DJ99" i="1"/>
  <c r="DP98" i="1"/>
  <c r="DO98" i="1"/>
  <c r="DM98" i="1"/>
  <c r="DL98" i="1"/>
  <c r="DK98" i="1"/>
  <c r="DJ98" i="1"/>
  <c r="DP97" i="1"/>
  <c r="DO97" i="1"/>
  <c r="DM97" i="1"/>
  <c r="DL97" i="1"/>
  <c r="DK97" i="1"/>
  <c r="DJ97" i="1"/>
  <c r="DP96" i="1"/>
  <c r="DO96" i="1"/>
  <c r="DM96" i="1"/>
  <c r="DL96" i="1"/>
  <c r="DK96" i="1"/>
  <c r="DJ96" i="1"/>
  <c r="DP95" i="1"/>
  <c r="DO95" i="1"/>
  <c r="DM95" i="1"/>
  <c r="DL95" i="1"/>
  <c r="DK95" i="1"/>
  <c r="DJ95" i="1"/>
  <c r="DP94" i="1"/>
  <c r="DO94" i="1"/>
  <c r="DM94" i="1"/>
  <c r="DL94" i="1"/>
  <c r="DK94" i="1"/>
  <c r="DJ94" i="1"/>
  <c r="DP93" i="1"/>
  <c r="DO93" i="1"/>
  <c r="DM93" i="1"/>
  <c r="DL93" i="1"/>
  <c r="DK93" i="1"/>
  <c r="DJ93" i="1"/>
  <c r="DP92" i="1"/>
  <c r="DO92" i="1"/>
  <c r="DM92" i="1"/>
  <c r="DL92" i="1"/>
  <c r="DK92" i="1"/>
  <c r="DJ92" i="1"/>
  <c r="DP91" i="1"/>
  <c r="DO91" i="1"/>
  <c r="DM91" i="1"/>
  <c r="DL91" i="1"/>
  <c r="DK91" i="1"/>
  <c r="DJ91" i="1"/>
  <c r="DP90" i="1"/>
  <c r="DO90" i="1"/>
  <c r="DM90" i="1"/>
  <c r="DL90" i="1"/>
  <c r="DK90" i="1"/>
  <c r="DJ90" i="1"/>
  <c r="DP89" i="1"/>
  <c r="DO89" i="1"/>
  <c r="DM89" i="1"/>
  <c r="DL89" i="1"/>
  <c r="DK89" i="1"/>
  <c r="DJ89" i="1"/>
  <c r="DP88" i="1"/>
  <c r="DO88" i="1"/>
  <c r="DM88" i="1"/>
  <c r="DL88" i="1"/>
  <c r="DK88" i="1"/>
  <c r="DJ88" i="1"/>
  <c r="DP87" i="1"/>
  <c r="DO87" i="1"/>
  <c r="DM87" i="1"/>
  <c r="DL87" i="1"/>
  <c r="DK87" i="1"/>
  <c r="DJ87" i="1"/>
  <c r="DP86" i="1"/>
  <c r="DO86" i="1"/>
  <c r="DM86" i="1"/>
  <c r="DL86" i="1"/>
  <c r="DK86" i="1"/>
  <c r="DJ86" i="1"/>
  <c r="DP85" i="1"/>
  <c r="DO85" i="1"/>
  <c r="DM85" i="1"/>
  <c r="DL85" i="1"/>
  <c r="DK85" i="1"/>
  <c r="DJ85" i="1"/>
  <c r="DP83" i="1"/>
  <c r="DO83" i="1"/>
  <c r="DM83" i="1"/>
  <c r="DL83" i="1"/>
  <c r="DK83" i="1"/>
  <c r="DJ83" i="1"/>
  <c r="DP82" i="1"/>
  <c r="DO82" i="1"/>
  <c r="DM82" i="1"/>
  <c r="DL82" i="1"/>
  <c r="DK82" i="1"/>
  <c r="DJ82" i="1"/>
  <c r="DP81" i="1"/>
  <c r="DO81" i="1"/>
  <c r="DM81" i="1"/>
  <c r="DL81" i="1"/>
  <c r="DK81" i="1"/>
  <c r="DJ81" i="1"/>
  <c r="DP80" i="1"/>
  <c r="DO80" i="1"/>
  <c r="DM80" i="1"/>
  <c r="DL80" i="1"/>
  <c r="DK80" i="1"/>
  <c r="DJ80" i="1"/>
  <c r="DP79" i="1"/>
  <c r="DO79" i="1"/>
  <c r="DM79" i="1"/>
  <c r="DL79" i="1"/>
  <c r="DK79" i="1"/>
  <c r="DJ79" i="1"/>
  <c r="DP78" i="1"/>
  <c r="DO78" i="1"/>
  <c r="DM78" i="1"/>
  <c r="DL78" i="1"/>
  <c r="DK78" i="1"/>
  <c r="DJ78" i="1"/>
  <c r="DP77" i="1"/>
  <c r="DO77" i="1"/>
  <c r="DM77" i="1"/>
  <c r="DL77" i="1"/>
  <c r="DK77" i="1"/>
  <c r="DJ77" i="1"/>
  <c r="DP76" i="1"/>
  <c r="DO76" i="1"/>
  <c r="DM76" i="1"/>
  <c r="DL76" i="1"/>
  <c r="DK76" i="1"/>
  <c r="DJ76" i="1"/>
  <c r="DP74" i="1"/>
  <c r="DO74" i="1"/>
  <c r="DM74" i="1"/>
  <c r="DL74" i="1"/>
  <c r="DK74" i="1"/>
  <c r="DJ74" i="1"/>
  <c r="DP73" i="1"/>
  <c r="DO73" i="1"/>
  <c r="DM73" i="1"/>
  <c r="DL73" i="1"/>
  <c r="DK73" i="1"/>
  <c r="DJ73" i="1"/>
  <c r="DP72" i="1"/>
  <c r="DO72" i="1"/>
  <c r="DM72" i="1"/>
  <c r="DL72" i="1"/>
  <c r="DK72" i="1"/>
  <c r="DJ72" i="1"/>
  <c r="DP71" i="1"/>
  <c r="DO71" i="1"/>
  <c r="DM71" i="1"/>
  <c r="DL71" i="1"/>
  <c r="DK71" i="1"/>
  <c r="DJ71" i="1"/>
  <c r="DP70" i="1"/>
  <c r="DO70" i="1"/>
  <c r="DM70" i="1"/>
  <c r="DL70" i="1"/>
  <c r="DK70" i="1"/>
  <c r="DJ70" i="1"/>
  <c r="DP69" i="1"/>
  <c r="DO69" i="1"/>
  <c r="DM69" i="1"/>
  <c r="DL69" i="1"/>
  <c r="DK69" i="1"/>
  <c r="DJ69" i="1"/>
  <c r="DP67" i="1"/>
  <c r="DO67" i="1"/>
  <c r="DM67" i="1"/>
  <c r="DL67" i="1"/>
  <c r="DK67" i="1"/>
  <c r="DJ67" i="1"/>
  <c r="DP66" i="1"/>
  <c r="DO66" i="1"/>
  <c r="DM66" i="1"/>
  <c r="DL66" i="1"/>
  <c r="DK66" i="1"/>
  <c r="DJ66" i="1"/>
  <c r="DP65" i="1"/>
  <c r="DO65" i="1"/>
  <c r="DM65" i="1"/>
  <c r="DL65" i="1"/>
  <c r="DK65" i="1"/>
  <c r="DJ65" i="1"/>
  <c r="DP64" i="1"/>
  <c r="DO64" i="1"/>
  <c r="DM64" i="1"/>
  <c r="DL64" i="1"/>
  <c r="DK64" i="1"/>
  <c r="DJ64" i="1"/>
  <c r="DP62" i="1"/>
  <c r="DO62" i="1"/>
  <c r="DM62" i="1"/>
  <c r="DL62" i="1"/>
  <c r="DK62" i="1"/>
  <c r="DJ62" i="1"/>
  <c r="DP61" i="1"/>
  <c r="DO61" i="1"/>
  <c r="DM61" i="1"/>
  <c r="DL61" i="1"/>
  <c r="DK61" i="1"/>
  <c r="DJ61" i="1"/>
  <c r="DP59" i="1"/>
  <c r="DO59" i="1"/>
  <c r="DM59" i="1"/>
  <c r="DL59" i="1"/>
  <c r="DK59" i="1"/>
  <c r="DJ59" i="1"/>
  <c r="DP58" i="1"/>
  <c r="DO58" i="1"/>
  <c r="DM58" i="1"/>
  <c r="DL58" i="1"/>
  <c r="DK58" i="1"/>
  <c r="DJ58" i="1"/>
  <c r="DP57" i="1"/>
  <c r="DO57" i="1"/>
  <c r="DM57" i="1"/>
  <c r="DL57" i="1"/>
  <c r="DK57" i="1"/>
  <c r="DJ57" i="1"/>
  <c r="DP56" i="1"/>
  <c r="DO56" i="1"/>
  <c r="DM56" i="1"/>
  <c r="DL56" i="1"/>
  <c r="DK56" i="1"/>
  <c r="DJ56" i="1"/>
  <c r="DP55" i="1"/>
  <c r="DO55" i="1"/>
  <c r="DM55" i="1"/>
  <c r="DL55" i="1"/>
  <c r="DK55" i="1"/>
  <c r="DJ55" i="1"/>
  <c r="DP54" i="1"/>
  <c r="DO54" i="1"/>
  <c r="DM54" i="1"/>
  <c r="DL54" i="1"/>
  <c r="DK54" i="1"/>
  <c r="DJ54" i="1"/>
  <c r="DP53" i="1"/>
  <c r="DO53" i="1"/>
  <c r="DM53" i="1"/>
  <c r="DL53" i="1"/>
  <c r="DK53" i="1"/>
  <c r="DJ53" i="1"/>
  <c r="DP52" i="1"/>
  <c r="DO52" i="1"/>
  <c r="DM52" i="1"/>
  <c r="DL52" i="1"/>
  <c r="DK52" i="1"/>
  <c r="DJ52" i="1"/>
  <c r="DP51" i="1"/>
  <c r="DO51" i="1"/>
  <c r="DM51" i="1"/>
  <c r="DL51" i="1"/>
  <c r="DK51" i="1"/>
  <c r="DJ51" i="1"/>
  <c r="DP50" i="1"/>
  <c r="DO50" i="1"/>
  <c r="DM50" i="1"/>
  <c r="DL50" i="1"/>
  <c r="DK50" i="1"/>
  <c r="DJ50" i="1"/>
  <c r="DP49" i="1"/>
  <c r="DO49" i="1"/>
  <c r="DM49" i="1"/>
  <c r="DL49" i="1"/>
  <c r="DK49" i="1"/>
  <c r="DJ49" i="1"/>
  <c r="DP48" i="1"/>
  <c r="DO48" i="1"/>
  <c r="DM48" i="1"/>
  <c r="DL48" i="1"/>
  <c r="DK48" i="1"/>
  <c r="DJ48" i="1"/>
  <c r="DP47" i="1"/>
  <c r="DO47" i="1"/>
  <c r="DM47" i="1"/>
  <c r="DL47" i="1"/>
  <c r="DK47" i="1"/>
  <c r="DJ47" i="1"/>
  <c r="DP46" i="1"/>
  <c r="DO46" i="1"/>
  <c r="DM46" i="1"/>
  <c r="DL46" i="1"/>
  <c r="DK46" i="1"/>
  <c r="DJ46" i="1"/>
  <c r="DP45" i="1"/>
  <c r="DO45" i="1"/>
  <c r="DM45" i="1"/>
  <c r="DL45" i="1"/>
  <c r="DK45" i="1"/>
  <c r="DJ45" i="1"/>
  <c r="DP44" i="1"/>
  <c r="DO44" i="1"/>
  <c r="DM44" i="1"/>
  <c r="DL44" i="1"/>
  <c r="DK44" i="1"/>
  <c r="DJ44" i="1"/>
  <c r="DP43" i="1"/>
  <c r="DO43" i="1"/>
  <c r="DM43" i="1"/>
  <c r="DL43" i="1"/>
  <c r="DK43" i="1"/>
  <c r="DJ43" i="1"/>
  <c r="DP42" i="1"/>
  <c r="DO42" i="1"/>
  <c r="DM42" i="1"/>
  <c r="DL42" i="1"/>
  <c r="DK42" i="1"/>
  <c r="DJ42" i="1"/>
  <c r="DP41" i="1"/>
  <c r="DO41" i="1"/>
  <c r="DM41" i="1"/>
  <c r="DL41" i="1"/>
  <c r="DK41" i="1"/>
  <c r="DJ41" i="1"/>
  <c r="DP40" i="1"/>
  <c r="DO40" i="1"/>
  <c r="DM40" i="1"/>
  <c r="DL40" i="1"/>
  <c r="DK40" i="1"/>
  <c r="DJ40" i="1"/>
  <c r="DP39" i="1"/>
  <c r="DO39" i="1"/>
  <c r="DM39" i="1"/>
  <c r="DL39" i="1"/>
  <c r="DK39" i="1"/>
  <c r="DJ39" i="1"/>
  <c r="DP38" i="1"/>
  <c r="DO38" i="1"/>
  <c r="DM38" i="1"/>
  <c r="DL38" i="1"/>
  <c r="DK38" i="1"/>
  <c r="DJ38" i="1"/>
  <c r="DP37" i="1"/>
  <c r="DO37" i="1"/>
  <c r="DM37" i="1"/>
  <c r="DL37" i="1"/>
  <c r="DK37" i="1"/>
  <c r="DJ37" i="1"/>
  <c r="DP36" i="1"/>
  <c r="DO36" i="1"/>
  <c r="DM36" i="1"/>
  <c r="DL36" i="1"/>
  <c r="DK36" i="1"/>
  <c r="DJ36" i="1"/>
  <c r="DP35" i="1"/>
  <c r="DO35" i="1"/>
  <c r="DM35" i="1"/>
  <c r="DL35" i="1"/>
  <c r="DK35" i="1"/>
  <c r="DJ35" i="1"/>
  <c r="DP34" i="1"/>
  <c r="DO34" i="1"/>
  <c r="DM34" i="1"/>
  <c r="DL34" i="1"/>
  <c r="DK34" i="1"/>
  <c r="DJ34" i="1"/>
  <c r="DP33" i="1"/>
  <c r="DO33" i="1"/>
  <c r="DM33" i="1"/>
  <c r="DL33" i="1"/>
  <c r="DK33" i="1"/>
  <c r="DJ33" i="1"/>
  <c r="DP32" i="1"/>
  <c r="DO32" i="1"/>
  <c r="DM32" i="1"/>
  <c r="DL32" i="1"/>
  <c r="DK32" i="1"/>
  <c r="DJ32" i="1"/>
  <c r="DP31" i="1"/>
  <c r="DO31" i="1"/>
  <c r="DM31" i="1"/>
  <c r="DL31" i="1"/>
  <c r="DK31" i="1"/>
  <c r="DJ31" i="1"/>
  <c r="DP30" i="1"/>
  <c r="DO30" i="1"/>
  <c r="DM30" i="1"/>
  <c r="DL30" i="1"/>
  <c r="DK30" i="1"/>
  <c r="DJ30" i="1"/>
  <c r="DP29" i="1"/>
  <c r="DO29" i="1"/>
  <c r="DM29" i="1"/>
  <c r="DL29" i="1"/>
  <c r="DK29" i="1"/>
  <c r="DJ29" i="1"/>
  <c r="DP28" i="1"/>
  <c r="DO28" i="1"/>
  <c r="DM28" i="1"/>
  <c r="DL28" i="1"/>
  <c r="DK28" i="1"/>
  <c r="DJ28" i="1"/>
  <c r="DP27" i="1"/>
  <c r="DO27" i="1"/>
  <c r="DM27" i="1"/>
  <c r="DL27" i="1"/>
  <c r="DK27" i="1"/>
  <c r="DJ27" i="1"/>
  <c r="DP26" i="1"/>
  <c r="DO26" i="1"/>
  <c r="DM26" i="1"/>
  <c r="DL26" i="1"/>
  <c r="DK26" i="1"/>
  <c r="DJ26" i="1"/>
  <c r="DP25" i="1"/>
  <c r="DO25" i="1"/>
  <c r="DM25" i="1"/>
  <c r="DL25" i="1"/>
  <c r="DK25" i="1"/>
  <c r="DJ25" i="1"/>
  <c r="DP24" i="1"/>
  <c r="DO24" i="1"/>
  <c r="DM24" i="1"/>
  <c r="DL24" i="1"/>
  <c r="DK24" i="1"/>
  <c r="DJ24" i="1"/>
  <c r="DP23" i="1"/>
  <c r="DO23" i="1"/>
  <c r="DM23" i="1"/>
  <c r="DL23" i="1"/>
  <c r="DK23" i="1"/>
  <c r="DJ23" i="1"/>
  <c r="DP22" i="1"/>
  <c r="DO22" i="1"/>
  <c r="DM22" i="1"/>
  <c r="DL22" i="1"/>
  <c r="DK22" i="1"/>
  <c r="DJ22" i="1"/>
  <c r="DP21" i="1"/>
  <c r="DO21" i="1"/>
  <c r="DM21" i="1"/>
  <c r="DL21" i="1"/>
  <c r="DK21" i="1"/>
  <c r="DJ21" i="1"/>
  <c r="DP20" i="1"/>
  <c r="DO20" i="1"/>
  <c r="DM20" i="1"/>
  <c r="DL20" i="1"/>
  <c r="DK20" i="1"/>
  <c r="DJ20" i="1"/>
  <c r="DP19" i="1"/>
  <c r="DO19" i="1"/>
  <c r="DM19" i="1"/>
  <c r="DL19" i="1"/>
  <c r="DK19" i="1"/>
  <c r="DJ19" i="1"/>
  <c r="DP18" i="1"/>
  <c r="DO18" i="1"/>
  <c r="DM18" i="1"/>
  <c r="DL18" i="1"/>
  <c r="DK18" i="1"/>
  <c r="DJ18" i="1"/>
  <c r="DP17" i="1"/>
  <c r="DO17" i="1"/>
  <c r="DM17" i="1"/>
  <c r="DL17" i="1"/>
  <c r="DK17" i="1"/>
  <c r="DJ17" i="1"/>
  <c r="DP16" i="1"/>
  <c r="DO16" i="1"/>
  <c r="DM16" i="1"/>
  <c r="DL16" i="1"/>
  <c r="DK16" i="1"/>
  <c r="DJ16" i="1"/>
  <c r="DP15" i="1"/>
  <c r="DO15" i="1"/>
  <c r="DM15" i="1"/>
  <c r="DL15" i="1"/>
  <c r="DK15" i="1"/>
  <c r="DJ15" i="1"/>
  <c r="DP14" i="1"/>
  <c r="DO14" i="1"/>
  <c r="DM14" i="1"/>
  <c r="DL14" i="1"/>
  <c r="DK14" i="1"/>
  <c r="DJ14" i="1"/>
  <c r="DP13" i="1"/>
  <c r="DO13" i="1"/>
  <c r="DM13" i="1"/>
  <c r="DL13" i="1"/>
  <c r="DK13" i="1"/>
  <c r="DJ13" i="1"/>
  <c r="DP12" i="1"/>
  <c r="DO12" i="1"/>
  <c r="DM12" i="1"/>
  <c r="DL12" i="1"/>
  <c r="DK12" i="1"/>
  <c r="DJ12" i="1"/>
  <c r="DP11" i="1"/>
  <c r="DO11" i="1"/>
  <c r="DM11" i="1"/>
  <c r="DL11" i="1"/>
  <c r="DK11" i="1"/>
  <c r="DJ11" i="1"/>
  <c r="DP10" i="1"/>
  <c r="DO10" i="1"/>
  <c r="DM10" i="1"/>
  <c r="DL10" i="1"/>
  <c r="DK10" i="1"/>
  <c r="DJ10" i="1"/>
  <c r="DP9" i="1"/>
  <c r="DO9" i="1"/>
  <c r="DM9" i="1"/>
  <c r="DL9" i="1"/>
  <c r="DK9" i="1"/>
  <c r="DJ9" i="1"/>
  <c r="DP8" i="1"/>
  <c r="DO8" i="1"/>
  <c r="DM8" i="1"/>
  <c r="DL8" i="1"/>
  <c r="DK8" i="1"/>
  <c r="DJ8" i="1"/>
  <c r="DP7" i="1"/>
  <c r="DO7" i="1"/>
  <c r="DM7" i="1"/>
  <c r="DL7" i="1"/>
  <c r="DK7" i="1"/>
  <c r="DJ7" i="1"/>
  <c r="CR75" i="1"/>
  <c r="CN75" i="1"/>
  <c r="CM75" i="1"/>
  <c r="CK75" i="1"/>
  <c r="CJ75" i="1"/>
  <c r="CI75" i="1"/>
  <c r="CH75" i="1"/>
  <c r="CN165" i="1"/>
  <c r="CM165" i="1"/>
  <c r="CK165" i="1"/>
  <c r="CJ165" i="1"/>
  <c r="CI165" i="1"/>
  <c r="CH165" i="1"/>
  <c r="CN164" i="1"/>
  <c r="CM164" i="1"/>
  <c r="CK164" i="1"/>
  <c r="CJ164" i="1"/>
  <c r="CI164" i="1"/>
  <c r="CH164" i="1"/>
  <c r="CN163" i="1"/>
  <c r="CM163" i="1"/>
  <c r="CK163" i="1"/>
  <c r="CJ163" i="1"/>
  <c r="CI163" i="1"/>
  <c r="CH163" i="1"/>
  <c r="CN162" i="1"/>
  <c r="CM162" i="1"/>
  <c r="CK162" i="1"/>
  <c r="CJ162" i="1"/>
  <c r="CI162" i="1"/>
  <c r="CH162" i="1"/>
  <c r="CN161" i="1"/>
  <c r="CM161" i="1"/>
  <c r="CK161" i="1"/>
  <c r="CJ161" i="1"/>
  <c r="CI161" i="1"/>
  <c r="CH161" i="1"/>
  <c r="CR159" i="1"/>
  <c r="CN159" i="1"/>
  <c r="CM159" i="1"/>
  <c r="CK159" i="1"/>
  <c r="CJ159" i="1"/>
  <c r="CI159" i="1"/>
  <c r="CH159" i="1"/>
  <c r="CN158" i="1"/>
  <c r="CM158" i="1"/>
  <c r="CK158" i="1"/>
  <c r="CJ158" i="1"/>
  <c r="CI158" i="1"/>
  <c r="CH158" i="1"/>
  <c r="CR157" i="1"/>
  <c r="CN157" i="1"/>
  <c r="CM157" i="1"/>
  <c r="CK157" i="1"/>
  <c r="CJ157" i="1"/>
  <c r="CI157" i="1"/>
  <c r="CH157" i="1"/>
  <c r="CR156" i="1"/>
  <c r="CN156" i="1"/>
  <c r="CM156" i="1"/>
  <c r="CK156" i="1"/>
  <c r="CJ156" i="1"/>
  <c r="CI156" i="1"/>
  <c r="CH156" i="1"/>
  <c r="CR155" i="1"/>
  <c r="CN155" i="1"/>
  <c r="CM155" i="1"/>
  <c r="CK155" i="1"/>
  <c r="CJ155" i="1"/>
  <c r="CI155" i="1"/>
  <c r="CH155" i="1"/>
  <c r="CR154" i="1"/>
  <c r="CN154" i="1"/>
  <c r="CM154" i="1"/>
  <c r="CK154" i="1"/>
  <c r="CJ154" i="1"/>
  <c r="CI154" i="1"/>
  <c r="CH154" i="1"/>
  <c r="CR152" i="1"/>
  <c r="CN152" i="1"/>
  <c r="CM152" i="1"/>
  <c r="CK152" i="1"/>
  <c r="CJ152" i="1"/>
  <c r="CI152" i="1"/>
  <c r="CH152" i="1"/>
  <c r="CR151" i="1"/>
  <c r="CN151" i="1"/>
  <c r="CM151" i="1"/>
  <c r="CK151" i="1"/>
  <c r="CJ151" i="1"/>
  <c r="CI151" i="1"/>
  <c r="CH151" i="1"/>
  <c r="CR150" i="1"/>
  <c r="CN150" i="1"/>
  <c r="CM150" i="1"/>
  <c r="CK150" i="1"/>
  <c r="CJ150" i="1"/>
  <c r="CI150" i="1"/>
  <c r="CH150" i="1"/>
  <c r="CR148" i="1"/>
  <c r="CN148" i="1"/>
  <c r="CM148" i="1"/>
  <c r="CK148" i="1"/>
  <c r="CJ148" i="1"/>
  <c r="CI148" i="1"/>
  <c r="CH148" i="1"/>
  <c r="CR147" i="1"/>
  <c r="CN147" i="1"/>
  <c r="CM147" i="1"/>
  <c r="CK147" i="1"/>
  <c r="CJ147" i="1"/>
  <c r="CI147" i="1"/>
  <c r="CH147" i="1"/>
  <c r="CR146" i="1"/>
  <c r="CN146" i="1"/>
  <c r="CM146" i="1"/>
  <c r="CK146" i="1"/>
  <c r="CJ146" i="1"/>
  <c r="CI146" i="1"/>
  <c r="CH146" i="1"/>
  <c r="CR145" i="1"/>
  <c r="CN145" i="1"/>
  <c r="CM145" i="1"/>
  <c r="CK145" i="1"/>
  <c r="CJ145" i="1"/>
  <c r="CI145" i="1"/>
  <c r="CH145" i="1"/>
  <c r="CR144" i="1"/>
  <c r="CN144" i="1"/>
  <c r="CM144" i="1"/>
  <c r="CK144" i="1"/>
  <c r="CJ144" i="1"/>
  <c r="CI144" i="1"/>
  <c r="CH144" i="1"/>
  <c r="CR143" i="1"/>
  <c r="CN143" i="1"/>
  <c r="CM143" i="1"/>
  <c r="CK143" i="1"/>
  <c r="CJ143" i="1"/>
  <c r="CI143" i="1"/>
  <c r="CH143" i="1"/>
  <c r="CR142" i="1"/>
  <c r="CN142" i="1"/>
  <c r="CM142" i="1"/>
  <c r="CK142" i="1"/>
  <c r="CJ142" i="1"/>
  <c r="CI142" i="1"/>
  <c r="CH142" i="1"/>
  <c r="CR141" i="1"/>
  <c r="CN141" i="1"/>
  <c r="CM141" i="1"/>
  <c r="CK141" i="1"/>
  <c r="CJ141" i="1"/>
  <c r="CI141" i="1"/>
  <c r="CH141" i="1"/>
  <c r="CR140" i="1"/>
  <c r="CN140" i="1"/>
  <c r="CM140" i="1"/>
  <c r="CK140" i="1"/>
  <c r="CJ140" i="1"/>
  <c r="CI140" i="1"/>
  <c r="CH140" i="1"/>
  <c r="CR139" i="1"/>
  <c r="CN139" i="1"/>
  <c r="CM139" i="1"/>
  <c r="CK139" i="1"/>
  <c r="CJ139" i="1"/>
  <c r="CI139" i="1"/>
  <c r="CH139" i="1"/>
  <c r="CR138" i="1"/>
  <c r="CN138" i="1"/>
  <c r="CM138" i="1"/>
  <c r="CK138" i="1"/>
  <c r="CJ138" i="1"/>
  <c r="CI138" i="1"/>
  <c r="CH138" i="1"/>
  <c r="CR137" i="1"/>
  <c r="CN137" i="1"/>
  <c r="CM137" i="1"/>
  <c r="CK137" i="1"/>
  <c r="CJ137" i="1"/>
  <c r="CI137" i="1"/>
  <c r="CH137" i="1"/>
  <c r="CR136" i="1"/>
  <c r="CN136" i="1"/>
  <c r="CM136" i="1"/>
  <c r="CK136" i="1"/>
  <c r="CJ136" i="1"/>
  <c r="CI136" i="1"/>
  <c r="CH136" i="1"/>
  <c r="CR135" i="1"/>
  <c r="CN135" i="1"/>
  <c r="CM135" i="1"/>
  <c r="CK135" i="1"/>
  <c r="CJ135" i="1"/>
  <c r="CI135" i="1"/>
  <c r="CH135" i="1"/>
  <c r="CR134" i="1"/>
  <c r="CN134" i="1"/>
  <c r="CM134" i="1"/>
  <c r="CK134" i="1"/>
  <c r="CJ134" i="1"/>
  <c r="CI134" i="1"/>
  <c r="CH134" i="1"/>
  <c r="CR133" i="1"/>
  <c r="CN133" i="1"/>
  <c r="CM133" i="1"/>
  <c r="CK133" i="1"/>
  <c r="CJ133" i="1"/>
  <c r="CI133" i="1"/>
  <c r="CH133" i="1"/>
  <c r="CN132" i="1"/>
  <c r="CM132" i="1"/>
  <c r="CK132" i="1"/>
  <c r="CJ132" i="1"/>
  <c r="CI132" i="1"/>
  <c r="CH132" i="1"/>
  <c r="CR131" i="1"/>
  <c r="CN131" i="1"/>
  <c r="CM131" i="1"/>
  <c r="CK131" i="1"/>
  <c r="CJ131" i="1"/>
  <c r="CI131" i="1"/>
  <c r="CH131" i="1"/>
  <c r="CR130" i="1"/>
  <c r="CN130" i="1"/>
  <c r="CM130" i="1"/>
  <c r="CK130" i="1"/>
  <c r="CJ130" i="1"/>
  <c r="CI130" i="1"/>
  <c r="CH130" i="1"/>
  <c r="CR129" i="1"/>
  <c r="CN129" i="1"/>
  <c r="CM129" i="1"/>
  <c r="CK129" i="1"/>
  <c r="CJ129" i="1"/>
  <c r="CI129" i="1"/>
  <c r="CH129" i="1"/>
  <c r="CR128" i="1"/>
  <c r="CN128" i="1"/>
  <c r="CM128" i="1"/>
  <c r="CK128" i="1"/>
  <c r="CJ128" i="1"/>
  <c r="CI128" i="1"/>
  <c r="CH128" i="1"/>
  <c r="CR127" i="1"/>
  <c r="CN127" i="1"/>
  <c r="CM127" i="1"/>
  <c r="CK127" i="1"/>
  <c r="CJ127" i="1"/>
  <c r="CI127" i="1"/>
  <c r="CH127" i="1"/>
  <c r="CR126" i="1"/>
  <c r="CN126" i="1"/>
  <c r="CM126" i="1"/>
  <c r="CK126" i="1"/>
  <c r="CJ126" i="1"/>
  <c r="CI126" i="1"/>
  <c r="CH126" i="1"/>
  <c r="CR125" i="1"/>
  <c r="CN125" i="1"/>
  <c r="CM125" i="1"/>
  <c r="CK125" i="1"/>
  <c r="CJ125" i="1"/>
  <c r="CI125" i="1"/>
  <c r="CH125" i="1"/>
  <c r="CR124" i="1"/>
  <c r="CN124" i="1"/>
  <c r="CM124" i="1"/>
  <c r="CK124" i="1"/>
  <c r="CJ124" i="1"/>
  <c r="CI124" i="1"/>
  <c r="CH124" i="1"/>
  <c r="CR123" i="1"/>
  <c r="CN123" i="1"/>
  <c r="CM123" i="1"/>
  <c r="CK123" i="1"/>
  <c r="CJ123" i="1"/>
  <c r="CI123" i="1"/>
  <c r="CH123" i="1"/>
  <c r="CR122" i="1"/>
  <c r="CN122" i="1"/>
  <c r="CM122" i="1"/>
  <c r="CK122" i="1"/>
  <c r="CJ122" i="1"/>
  <c r="CI122" i="1"/>
  <c r="CH122" i="1"/>
  <c r="CR121" i="1"/>
  <c r="CN121" i="1"/>
  <c r="CM121" i="1"/>
  <c r="CK121" i="1"/>
  <c r="CJ121" i="1"/>
  <c r="CI121" i="1"/>
  <c r="CH121" i="1"/>
  <c r="CR120" i="1"/>
  <c r="CN120" i="1"/>
  <c r="CM120" i="1"/>
  <c r="CK120" i="1"/>
  <c r="CJ120" i="1"/>
  <c r="CI120" i="1"/>
  <c r="CH120" i="1"/>
  <c r="CR119" i="1"/>
  <c r="CN119" i="1"/>
  <c r="CM119" i="1"/>
  <c r="CK119" i="1"/>
  <c r="CJ119" i="1"/>
  <c r="CI119" i="1"/>
  <c r="CH119" i="1"/>
  <c r="CR118" i="1"/>
  <c r="CN118" i="1"/>
  <c r="CM118" i="1"/>
  <c r="CK118" i="1"/>
  <c r="CJ118" i="1"/>
  <c r="CI118" i="1"/>
  <c r="CH118" i="1"/>
  <c r="CR117" i="1"/>
  <c r="CN117" i="1"/>
  <c r="CM117" i="1"/>
  <c r="CK117" i="1"/>
  <c r="CJ117" i="1"/>
  <c r="CI117" i="1"/>
  <c r="CH117" i="1"/>
  <c r="CR116" i="1"/>
  <c r="CN116" i="1"/>
  <c r="CM116" i="1"/>
  <c r="CK116" i="1"/>
  <c r="CJ116" i="1"/>
  <c r="CI116" i="1"/>
  <c r="CH116" i="1"/>
  <c r="CR115" i="1"/>
  <c r="CN115" i="1"/>
  <c r="CM115" i="1"/>
  <c r="CK115" i="1"/>
  <c r="CJ115" i="1"/>
  <c r="CI115" i="1"/>
  <c r="CH115" i="1"/>
  <c r="CR114" i="1"/>
  <c r="CN114" i="1"/>
  <c r="CM114" i="1"/>
  <c r="CK114" i="1"/>
  <c r="CJ114" i="1"/>
  <c r="CI114" i="1"/>
  <c r="CH114" i="1"/>
  <c r="CN113" i="1"/>
  <c r="CM113" i="1"/>
  <c r="CK113" i="1"/>
  <c r="CJ113" i="1"/>
  <c r="CI113" i="1"/>
  <c r="CH113" i="1"/>
  <c r="CN112" i="1"/>
  <c r="CM112" i="1"/>
  <c r="CK112" i="1"/>
  <c r="CJ112" i="1"/>
  <c r="CI112" i="1"/>
  <c r="CH112" i="1"/>
  <c r="CN111" i="1"/>
  <c r="CM111" i="1"/>
  <c r="CK111" i="1"/>
  <c r="CJ111" i="1"/>
  <c r="CI111" i="1"/>
  <c r="CH111" i="1"/>
  <c r="CN110" i="1"/>
  <c r="CM110" i="1"/>
  <c r="CK110" i="1"/>
  <c r="CJ110" i="1"/>
  <c r="CI110" i="1"/>
  <c r="CH110" i="1"/>
  <c r="CN109" i="1"/>
  <c r="CM109" i="1"/>
  <c r="CK109" i="1"/>
  <c r="CJ109" i="1"/>
  <c r="CI109" i="1"/>
  <c r="CH109" i="1"/>
  <c r="CN108" i="1"/>
  <c r="CM108" i="1"/>
  <c r="CK108" i="1"/>
  <c r="CJ108" i="1"/>
  <c r="CI108" i="1"/>
  <c r="CH108" i="1"/>
  <c r="CN107" i="1"/>
  <c r="CM107" i="1"/>
  <c r="CK107" i="1"/>
  <c r="CJ107" i="1"/>
  <c r="CI107" i="1"/>
  <c r="CH107" i="1"/>
  <c r="CN106" i="1"/>
  <c r="CM106" i="1"/>
  <c r="CK106" i="1"/>
  <c r="CJ106" i="1"/>
  <c r="CI106" i="1"/>
  <c r="CH106" i="1"/>
  <c r="CN105" i="1"/>
  <c r="CM105" i="1"/>
  <c r="CK105" i="1"/>
  <c r="CJ105" i="1"/>
  <c r="CI105" i="1"/>
  <c r="CH105" i="1"/>
  <c r="CN104" i="1"/>
  <c r="CM104" i="1"/>
  <c r="CK104" i="1"/>
  <c r="CJ104" i="1"/>
  <c r="CI104" i="1"/>
  <c r="CH104" i="1"/>
  <c r="CN103" i="1"/>
  <c r="CM103" i="1"/>
  <c r="CK103" i="1"/>
  <c r="CJ103" i="1"/>
  <c r="CI103" i="1"/>
  <c r="CH103" i="1"/>
  <c r="CN102" i="1"/>
  <c r="CM102" i="1"/>
  <c r="CK102" i="1"/>
  <c r="CJ102" i="1"/>
  <c r="CI102" i="1"/>
  <c r="CH102" i="1"/>
  <c r="CN101" i="1"/>
  <c r="CM101" i="1"/>
  <c r="CK101" i="1"/>
  <c r="CJ101" i="1"/>
  <c r="CI101" i="1"/>
  <c r="CH101" i="1"/>
  <c r="CN100" i="1"/>
  <c r="CM100" i="1"/>
  <c r="CK100" i="1"/>
  <c r="CJ100" i="1"/>
  <c r="CI100" i="1"/>
  <c r="CH100" i="1"/>
  <c r="CN99" i="1"/>
  <c r="CM99" i="1"/>
  <c r="CK99" i="1"/>
  <c r="CJ99" i="1"/>
  <c r="CI99" i="1"/>
  <c r="CH99" i="1"/>
  <c r="CN98" i="1"/>
  <c r="CM98" i="1"/>
  <c r="CK98" i="1"/>
  <c r="CJ98" i="1"/>
  <c r="CI98" i="1"/>
  <c r="CH98" i="1"/>
  <c r="CN97" i="1"/>
  <c r="CM97" i="1"/>
  <c r="CK97" i="1"/>
  <c r="CJ97" i="1"/>
  <c r="CI97" i="1"/>
  <c r="CH97" i="1"/>
  <c r="CN96" i="1"/>
  <c r="CM96" i="1"/>
  <c r="CK96" i="1"/>
  <c r="CJ96" i="1"/>
  <c r="CI96" i="1"/>
  <c r="CH96" i="1"/>
  <c r="CN95" i="1"/>
  <c r="CM95" i="1"/>
  <c r="CK95" i="1"/>
  <c r="CJ95" i="1"/>
  <c r="CI95" i="1"/>
  <c r="CH95" i="1"/>
  <c r="CN94" i="1"/>
  <c r="CM94" i="1"/>
  <c r="CK94" i="1"/>
  <c r="CJ94" i="1"/>
  <c r="CI94" i="1"/>
  <c r="CH94" i="1"/>
  <c r="CN93" i="1"/>
  <c r="CM93" i="1"/>
  <c r="CK93" i="1"/>
  <c r="CJ93" i="1"/>
  <c r="CI93" i="1"/>
  <c r="CH93" i="1"/>
  <c r="CN92" i="1"/>
  <c r="CM92" i="1"/>
  <c r="CK92" i="1"/>
  <c r="CJ92" i="1"/>
  <c r="CI92" i="1"/>
  <c r="CH92" i="1"/>
  <c r="CN91" i="1"/>
  <c r="CM91" i="1"/>
  <c r="CK91" i="1"/>
  <c r="CJ91" i="1"/>
  <c r="CI91" i="1"/>
  <c r="CH91" i="1"/>
  <c r="CN90" i="1"/>
  <c r="CM90" i="1"/>
  <c r="CK90" i="1"/>
  <c r="CJ90" i="1"/>
  <c r="CI90" i="1"/>
  <c r="CH90" i="1"/>
  <c r="CN89" i="1"/>
  <c r="CM89" i="1"/>
  <c r="CK89" i="1"/>
  <c r="CJ89" i="1"/>
  <c r="CI89" i="1"/>
  <c r="CH89" i="1"/>
  <c r="CN88" i="1"/>
  <c r="CM88" i="1"/>
  <c r="CK88" i="1"/>
  <c r="CJ88" i="1"/>
  <c r="CI88" i="1"/>
  <c r="CH88" i="1"/>
  <c r="CN87" i="1"/>
  <c r="CM87" i="1"/>
  <c r="CK87" i="1"/>
  <c r="CJ87" i="1"/>
  <c r="CI87" i="1"/>
  <c r="CH87" i="1"/>
  <c r="CN86" i="1"/>
  <c r="CM86" i="1"/>
  <c r="CK86" i="1"/>
  <c r="CJ86" i="1"/>
  <c r="CI86" i="1"/>
  <c r="CH86" i="1"/>
  <c r="CN85" i="1"/>
  <c r="CM85" i="1"/>
  <c r="CK85" i="1"/>
  <c r="CJ85" i="1"/>
  <c r="CI85" i="1"/>
  <c r="CH85" i="1"/>
  <c r="CN83" i="1"/>
  <c r="CM83" i="1"/>
  <c r="CK83" i="1"/>
  <c r="CJ83" i="1"/>
  <c r="CI83" i="1"/>
  <c r="CH83" i="1"/>
  <c r="CN82" i="1"/>
  <c r="CM82" i="1"/>
  <c r="CK82" i="1"/>
  <c r="CJ82" i="1"/>
  <c r="CI82" i="1"/>
  <c r="CH82" i="1"/>
  <c r="CN81" i="1"/>
  <c r="CM81" i="1"/>
  <c r="CK81" i="1"/>
  <c r="CJ81" i="1"/>
  <c r="CI81" i="1"/>
  <c r="CH81" i="1"/>
  <c r="CN80" i="1"/>
  <c r="CM80" i="1"/>
  <c r="CK80" i="1"/>
  <c r="CJ80" i="1"/>
  <c r="CI80" i="1"/>
  <c r="CH80" i="1"/>
  <c r="CN79" i="1"/>
  <c r="CM79" i="1"/>
  <c r="CK79" i="1"/>
  <c r="CJ79" i="1"/>
  <c r="CI79" i="1"/>
  <c r="CH79" i="1"/>
  <c r="CN78" i="1"/>
  <c r="CM78" i="1"/>
  <c r="CK78" i="1"/>
  <c r="CJ78" i="1"/>
  <c r="CI78" i="1"/>
  <c r="CH78" i="1"/>
  <c r="CN77" i="1"/>
  <c r="CM77" i="1"/>
  <c r="CK77" i="1"/>
  <c r="CJ77" i="1"/>
  <c r="CI77" i="1"/>
  <c r="CH77" i="1"/>
  <c r="CN76" i="1"/>
  <c r="CM76" i="1"/>
  <c r="CK76" i="1"/>
  <c r="CJ76" i="1"/>
  <c r="CI76" i="1"/>
  <c r="CH76" i="1"/>
  <c r="CN74" i="1"/>
  <c r="CM74" i="1"/>
  <c r="CK74" i="1"/>
  <c r="CJ74" i="1"/>
  <c r="CI74" i="1"/>
  <c r="CH74" i="1"/>
  <c r="CN73" i="1"/>
  <c r="CM73" i="1"/>
  <c r="CK73" i="1"/>
  <c r="CJ73" i="1"/>
  <c r="CI73" i="1"/>
  <c r="CH73" i="1"/>
  <c r="CN72" i="1"/>
  <c r="CM72" i="1"/>
  <c r="CK72" i="1"/>
  <c r="CJ72" i="1"/>
  <c r="CI72" i="1"/>
  <c r="CH72" i="1"/>
  <c r="CN71" i="1"/>
  <c r="CM71" i="1"/>
  <c r="CK71" i="1"/>
  <c r="CJ71" i="1"/>
  <c r="CI71" i="1"/>
  <c r="CH71" i="1"/>
  <c r="CN70" i="1"/>
  <c r="CM70" i="1"/>
  <c r="CK70" i="1"/>
  <c r="CJ70" i="1"/>
  <c r="CI70" i="1"/>
  <c r="CH70" i="1"/>
  <c r="CN69" i="1"/>
  <c r="CM69" i="1"/>
  <c r="CK69" i="1"/>
  <c r="CJ69" i="1"/>
  <c r="CI69" i="1"/>
  <c r="CH69" i="1"/>
  <c r="CN67" i="1"/>
  <c r="CM67" i="1"/>
  <c r="CK67" i="1"/>
  <c r="CJ67" i="1"/>
  <c r="CI67" i="1"/>
  <c r="CH67" i="1"/>
  <c r="CN66" i="1"/>
  <c r="CM66" i="1"/>
  <c r="CK66" i="1"/>
  <c r="CJ66" i="1"/>
  <c r="CI66" i="1"/>
  <c r="CH66" i="1"/>
  <c r="CN65" i="1"/>
  <c r="CM65" i="1"/>
  <c r="CK65" i="1"/>
  <c r="CJ65" i="1"/>
  <c r="CI65" i="1"/>
  <c r="CH65" i="1"/>
  <c r="CN64" i="1"/>
  <c r="CM64" i="1"/>
  <c r="CK64" i="1"/>
  <c r="CJ64" i="1"/>
  <c r="CI64" i="1"/>
  <c r="CH64" i="1"/>
  <c r="CN62" i="1"/>
  <c r="CM62" i="1"/>
  <c r="CK62" i="1"/>
  <c r="CJ62" i="1"/>
  <c r="CI62" i="1"/>
  <c r="CH62" i="1"/>
  <c r="CN61" i="1"/>
  <c r="CM61" i="1"/>
  <c r="CK61" i="1"/>
  <c r="CJ61" i="1"/>
  <c r="CI61" i="1"/>
  <c r="CH61" i="1"/>
  <c r="CN59" i="1"/>
  <c r="CM59" i="1"/>
  <c r="CK59" i="1"/>
  <c r="CJ59" i="1"/>
  <c r="CI59" i="1"/>
  <c r="CH59" i="1"/>
  <c r="CN58" i="1"/>
  <c r="CM58" i="1"/>
  <c r="CK58" i="1"/>
  <c r="CJ58" i="1"/>
  <c r="CI58" i="1"/>
  <c r="CH58" i="1"/>
  <c r="CN57" i="1"/>
  <c r="CM57" i="1"/>
  <c r="CK57" i="1"/>
  <c r="CJ57" i="1"/>
  <c r="CI57" i="1"/>
  <c r="CH57" i="1"/>
  <c r="CN56" i="1"/>
  <c r="CM56" i="1"/>
  <c r="CK56" i="1"/>
  <c r="CJ56" i="1"/>
  <c r="CI56" i="1"/>
  <c r="CH56" i="1"/>
  <c r="CN55" i="1"/>
  <c r="CM55" i="1"/>
  <c r="CK55" i="1"/>
  <c r="CJ55" i="1"/>
  <c r="CI55" i="1"/>
  <c r="CH55" i="1"/>
  <c r="CN54" i="1"/>
  <c r="CM54" i="1"/>
  <c r="CK54" i="1"/>
  <c r="CJ54" i="1"/>
  <c r="CI54" i="1"/>
  <c r="CH54" i="1"/>
  <c r="CN53" i="1"/>
  <c r="CM53" i="1"/>
  <c r="CK53" i="1"/>
  <c r="CJ53" i="1"/>
  <c r="CI53" i="1"/>
  <c r="CH53" i="1"/>
  <c r="CN52" i="1"/>
  <c r="CM52" i="1"/>
  <c r="CK52" i="1"/>
  <c r="CJ52" i="1"/>
  <c r="CI52" i="1"/>
  <c r="CH52" i="1"/>
  <c r="CN51" i="1"/>
  <c r="CM51" i="1"/>
  <c r="CK51" i="1"/>
  <c r="CJ51" i="1"/>
  <c r="CI51" i="1"/>
  <c r="CH51" i="1"/>
  <c r="CN50" i="1"/>
  <c r="CM50" i="1"/>
  <c r="CK50" i="1"/>
  <c r="CJ50" i="1"/>
  <c r="CI50" i="1"/>
  <c r="CH50" i="1"/>
  <c r="CN49" i="1"/>
  <c r="CM49" i="1"/>
  <c r="CK49" i="1"/>
  <c r="CJ49" i="1"/>
  <c r="CI49" i="1"/>
  <c r="CH49" i="1"/>
  <c r="CN48" i="1"/>
  <c r="CM48" i="1"/>
  <c r="CK48" i="1"/>
  <c r="CJ48" i="1"/>
  <c r="CI48" i="1"/>
  <c r="CH48" i="1"/>
  <c r="CN47" i="1"/>
  <c r="CM47" i="1"/>
  <c r="CK47" i="1"/>
  <c r="CJ47" i="1"/>
  <c r="CI47" i="1"/>
  <c r="CH47" i="1"/>
  <c r="CN46" i="1"/>
  <c r="CM46" i="1"/>
  <c r="CK46" i="1"/>
  <c r="CJ46" i="1"/>
  <c r="CI46" i="1"/>
  <c r="CH46" i="1"/>
  <c r="CN45" i="1"/>
  <c r="CM45" i="1"/>
  <c r="CK45" i="1"/>
  <c r="CJ45" i="1"/>
  <c r="CI45" i="1"/>
  <c r="CH45" i="1"/>
  <c r="CN44" i="1"/>
  <c r="CM44" i="1"/>
  <c r="CK44" i="1"/>
  <c r="CJ44" i="1"/>
  <c r="CI44" i="1"/>
  <c r="CH44" i="1"/>
  <c r="CN43" i="1"/>
  <c r="CM43" i="1"/>
  <c r="CK43" i="1"/>
  <c r="CJ43" i="1"/>
  <c r="CI43" i="1"/>
  <c r="CH43" i="1"/>
  <c r="CN42" i="1"/>
  <c r="CM42" i="1"/>
  <c r="CK42" i="1"/>
  <c r="CJ42" i="1"/>
  <c r="CI42" i="1"/>
  <c r="CH42" i="1"/>
  <c r="CN41" i="1"/>
  <c r="CM41" i="1"/>
  <c r="CK41" i="1"/>
  <c r="CJ41" i="1"/>
  <c r="CI41" i="1"/>
  <c r="CH41" i="1"/>
  <c r="CN40" i="1"/>
  <c r="CM40" i="1"/>
  <c r="CK40" i="1"/>
  <c r="CJ40" i="1"/>
  <c r="CI40" i="1"/>
  <c r="CH40" i="1"/>
  <c r="CN39" i="1"/>
  <c r="CM39" i="1"/>
  <c r="CK39" i="1"/>
  <c r="CJ39" i="1"/>
  <c r="CI39" i="1"/>
  <c r="CH39" i="1"/>
  <c r="CN38" i="1"/>
  <c r="CM38" i="1"/>
  <c r="CK38" i="1"/>
  <c r="CJ38" i="1"/>
  <c r="CI38" i="1"/>
  <c r="CH38" i="1"/>
  <c r="CN37" i="1"/>
  <c r="CM37" i="1"/>
  <c r="CK37" i="1"/>
  <c r="CJ37" i="1"/>
  <c r="CI37" i="1"/>
  <c r="CH37" i="1"/>
  <c r="CN36" i="1"/>
  <c r="CM36" i="1"/>
  <c r="CK36" i="1"/>
  <c r="CJ36" i="1"/>
  <c r="CI36" i="1"/>
  <c r="CH36" i="1"/>
  <c r="CN35" i="1"/>
  <c r="CM35" i="1"/>
  <c r="CK35" i="1"/>
  <c r="CJ35" i="1"/>
  <c r="CI35" i="1"/>
  <c r="CH35" i="1"/>
  <c r="CN34" i="1"/>
  <c r="CM34" i="1"/>
  <c r="CK34" i="1"/>
  <c r="CJ34" i="1"/>
  <c r="CI34" i="1"/>
  <c r="CH34" i="1"/>
  <c r="CN33" i="1"/>
  <c r="CM33" i="1"/>
  <c r="CK33" i="1"/>
  <c r="CJ33" i="1"/>
  <c r="CI33" i="1"/>
  <c r="CH33" i="1"/>
  <c r="CN32" i="1"/>
  <c r="CM32" i="1"/>
  <c r="CK32" i="1"/>
  <c r="CJ32" i="1"/>
  <c r="CI32" i="1"/>
  <c r="CH32" i="1"/>
  <c r="CN31" i="1"/>
  <c r="CM31" i="1"/>
  <c r="CK31" i="1"/>
  <c r="CJ31" i="1"/>
  <c r="CI31" i="1"/>
  <c r="CH31" i="1"/>
  <c r="CN30" i="1"/>
  <c r="CM30" i="1"/>
  <c r="CK30" i="1"/>
  <c r="CJ30" i="1"/>
  <c r="CI30" i="1"/>
  <c r="CH30" i="1"/>
  <c r="CN29" i="1"/>
  <c r="CM29" i="1"/>
  <c r="CK29" i="1"/>
  <c r="CJ29" i="1"/>
  <c r="CI29" i="1"/>
  <c r="CH29" i="1"/>
  <c r="CN28" i="1"/>
  <c r="CM28" i="1"/>
  <c r="CK28" i="1"/>
  <c r="CJ28" i="1"/>
  <c r="CI28" i="1"/>
  <c r="CH28" i="1"/>
  <c r="CN27" i="1"/>
  <c r="CM27" i="1"/>
  <c r="CK27" i="1"/>
  <c r="CJ27" i="1"/>
  <c r="CI27" i="1"/>
  <c r="CH27" i="1"/>
  <c r="CN26" i="1"/>
  <c r="CM26" i="1"/>
  <c r="CK26" i="1"/>
  <c r="CJ26" i="1"/>
  <c r="CI26" i="1"/>
  <c r="CH26" i="1"/>
  <c r="CN25" i="1"/>
  <c r="CM25" i="1"/>
  <c r="CK25" i="1"/>
  <c r="CJ25" i="1"/>
  <c r="CI25" i="1"/>
  <c r="CH25" i="1"/>
  <c r="CN24" i="1"/>
  <c r="CM24" i="1"/>
  <c r="CK24" i="1"/>
  <c r="CJ24" i="1"/>
  <c r="CI24" i="1"/>
  <c r="CH24" i="1"/>
  <c r="CN23" i="1"/>
  <c r="CM23" i="1"/>
  <c r="CK23" i="1"/>
  <c r="CJ23" i="1"/>
  <c r="CI23" i="1"/>
  <c r="CH23" i="1"/>
  <c r="CN22" i="1"/>
  <c r="CM22" i="1"/>
  <c r="CK22" i="1"/>
  <c r="CJ22" i="1"/>
  <c r="CI22" i="1"/>
  <c r="CH22" i="1"/>
  <c r="CN21" i="1"/>
  <c r="CM21" i="1"/>
  <c r="CK21" i="1"/>
  <c r="CJ21" i="1"/>
  <c r="CI21" i="1"/>
  <c r="CH21" i="1"/>
  <c r="CN20" i="1"/>
  <c r="CM20" i="1"/>
  <c r="CK20" i="1"/>
  <c r="CJ20" i="1"/>
  <c r="CI20" i="1"/>
  <c r="CH20" i="1"/>
  <c r="CN19" i="1"/>
  <c r="CM19" i="1"/>
  <c r="CK19" i="1"/>
  <c r="CJ19" i="1"/>
  <c r="CI19" i="1"/>
  <c r="CH19" i="1"/>
  <c r="CN18" i="1"/>
  <c r="CM18" i="1"/>
  <c r="CK18" i="1"/>
  <c r="CJ18" i="1"/>
  <c r="CI18" i="1"/>
  <c r="CH18" i="1"/>
  <c r="CN17" i="1"/>
  <c r="CM17" i="1"/>
  <c r="CK17" i="1"/>
  <c r="CJ17" i="1"/>
  <c r="CI17" i="1"/>
  <c r="CH17" i="1"/>
  <c r="CN16" i="1"/>
  <c r="CM16" i="1"/>
  <c r="CK16" i="1"/>
  <c r="CJ16" i="1"/>
  <c r="CI16" i="1"/>
  <c r="CH16" i="1"/>
  <c r="CN15" i="1"/>
  <c r="CM15" i="1"/>
  <c r="CK15" i="1"/>
  <c r="CJ15" i="1"/>
  <c r="CI15" i="1"/>
  <c r="CH15" i="1"/>
  <c r="CN14" i="1"/>
  <c r="CM14" i="1"/>
  <c r="CK14" i="1"/>
  <c r="CJ14" i="1"/>
  <c r="CI14" i="1"/>
  <c r="CH14" i="1"/>
  <c r="CN13" i="1"/>
  <c r="CM13" i="1"/>
  <c r="CK13" i="1"/>
  <c r="CJ13" i="1"/>
  <c r="CI13" i="1"/>
  <c r="CH13" i="1"/>
  <c r="CN12" i="1"/>
  <c r="CM12" i="1"/>
  <c r="CK12" i="1"/>
  <c r="CJ12" i="1"/>
  <c r="CI12" i="1"/>
  <c r="CH12" i="1"/>
  <c r="CN11" i="1"/>
  <c r="CM11" i="1"/>
  <c r="CK11" i="1"/>
  <c r="CJ11" i="1"/>
  <c r="CI11" i="1"/>
  <c r="CH11" i="1"/>
  <c r="CN10" i="1"/>
  <c r="CM10" i="1"/>
  <c r="CK10" i="1"/>
  <c r="CJ10" i="1"/>
  <c r="CI10" i="1"/>
  <c r="CH10" i="1"/>
  <c r="CN9" i="1"/>
  <c r="CM9" i="1"/>
  <c r="CK9" i="1"/>
  <c r="CJ9" i="1"/>
  <c r="CI9" i="1"/>
  <c r="CH9" i="1"/>
  <c r="CN8" i="1"/>
  <c r="CM8" i="1"/>
  <c r="CK8" i="1"/>
  <c r="CJ8" i="1"/>
  <c r="CI8" i="1"/>
  <c r="CH8" i="1"/>
  <c r="CN7" i="1"/>
  <c r="CM7" i="1"/>
  <c r="CK7" i="1"/>
  <c r="CJ7" i="1"/>
  <c r="CI7" i="1"/>
  <c r="CH7" i="1"/>
  <c r="BP75" i="1"/>
  <c r="BL75" i="1"/>
  <c r="BK75" i="1"/>
  <c r="BI75" i="1"/>
  <c r="BH75" i="1"/>
  <c r="BG75" i="1"/>
  <c r="BF75" i="1"/>
  <c r="BL165" i="1"/>
  <c r="BK165" i="1"/>
  <c r="BI165" i="1"/>
  <c r="BH165" i="1"/>
  <c r="BG165" i="1"/>
  <c r="BF165" i="1"/>
  <c r="BL164" i="1"/>
  <c r="BK164" i="1"/>
  <c r="BI164" i="1"/>
  <c r="BH164" i="1"/>
  <c r="BG164" i="1"/>
  <c r="BF164" i="1"/>
  <c r="BL163" i="1"/>
  <c r="BK163" i="1"/>
  <c r="BI163" i="1"/>
  <c r="BH163" i="1"/>
  <c r="BG163" i="1"/>
  <c r="BF163" i="1"/>
  <c r="BL162" i="1"/>
  <c r="BK162" i="1"/>
  <c r="BI162" i="1"/>
  <c r="BH162" i="1"/>
  <c r="BG162" i="1"/>
  <c r="BF162" i="1"/>
  <c r="BL161" i="1"/>
  <c r="BK161" i="1"/>
  <c r="BI161" i="1"/>
  <c r="BH161" i="1"/>
  <c r="BG161" i="1"/>
  <c r="BF161" i="1"/>
  <c r="BP159" i="1"/>
  <c r="BL159" i="1"/>
  <c r="BK159" i="1"/>
  <c r="BI159" i="1"/>
  <c r="BH159" i="1"/>
  <c r="BG159" i="1"/>
  <c r="BF159" i="1"/>
  <c r="BL158" i="1"/>
  <c r="BK158" i="1"/>
  <c r="BI158" i="1"/>
  <c r="BH158" i="1"/>
  <c r="BG158" i="1"/>
  <c r="BF158" i="1"/>
  <c r="BP157" i="1"/>
  <c r="BL157" i="1"/>
  <c r="BK157" i="1"/>
  <c r="BI157" i="1"/>
  <c r="BH157" i="1"/>
  <c r="BG157" i="1"/>
  <c r="BF157" i="1"/>
  <c r="BP156" i="1"/>
  <c r="BL156" i="1"/>
  <c r="BK156" i="1"/>
  <c r="BI156" i="1"/>
  <c r="BH156" i="1"/>
  <c r="BG156" i="1"/>
  <c r="BF156" i="1"/>
  <c r="BP155" i="1"/>
  <c r="BL155" i="1"/>
  <c r="BK155" i="1"/>
  <c r="BI155" i="1"/>
  <c r="BH155" i="1"/>
  <c r="BG155" i="1"/>
  <c r="BF155" i="1"/>
  <c r="BP154" i="1"/>
  <c r="BL154" i="1"/>
  <c r="BK154" i="1"/>
  <c r="BI154" i="1"/>
  <c r="BH154" i="1"/>
  <c r="BG154" i="1"/>
  <c r="BF154" i="1"/>
  <c r="BP152" i="1"/>
  <c r="BL152" i="1"/>
  <c r="BK152" i="1"/>
  <c r="BI152" i="1"/>
  <c r="BH152" i="1"/>
  <c r="BG152" i="1"/>
  <c r="BF152" i="1"/>
  <c r="BP151" i="1"/>
  <c r="BL151" i="1"/>
  <c r="BK151" i="1"/>
  <c r="BI151" i="1"/>
  <c r="BH151" i="1"/>
  <c r="BG151" i="1"/>
  <c r="BF151" i="1"/>
  <c r="BP150" i="1"/>
  <c r="BL150" i="1"/>
  <c r="BK150" i="1"/>
  <c r="BI150" i="1"/>
  <c r="BH150" i="1"/>
  <c r="BG150" i="1"/>
  <c r="BF150" i="1"/>
  <c r="BP148" i="1"/>
  <c r="BL148" i="1"/>
  <c r="BK148" i="1"/>
  <c r="BI148" i="1"/>
  <c r="BH148" i="1"/>
  <c r="BG148" i="1"/>
  <c r="BF148" i="1"/>
  <c r="BP147" i="1"/>
  <c r="BL147" i="1"/>
  <c r="BK147" i="1"/>
  <c r="BI147" i="1"/>
  <c r="BH147" i="1"/>
  <c r="BG147" i="1"/>
  <c r="BF147" i="1"/>
  <c r="BP146" i="1"/>
  <c r="BL146" i="1"/>
  <c r="BK146" i="1"/>
  <c r="BI146" i="1"/>
  <c r="BH146" i="1"/>
  <c r="BG146" i="1"/>
  <c r="BF146" i="1"/>
  <c r="BP145" i="1"/>
  <c r="BL145" i="1"/>
  <c r="BK145" i="1"/>
  <c r="BI145" i="1"/>
  <c r="BH145" i="1"/>
  <c r="BG145" i="1"/>
  <c r="BF145" i="1"/>
  <c r="BP144" i="1"/>
  <c r="BL144" i="1"/>
  <c r="BK144" i="1"/>
  <c r="BI144" i="1"/>
  <c r="BH144" i="1"/>
  <c r="BG144" i="1"/>
  <c r="BF144" i="1"/>
  <c r="BP143" i="1"/>
  <c r="BL143" i="1"/>
  <c r="BK143" i="1"/>
  <c r="BI143" i="1"/>
  <c r="BH143" i="1"/>
  <c r="BG143" i="1"/>
  <c r="BF143" i="1"/>
  <c r="BP142" i="1"/>
  <c r="BL142" i="1"/>
  <c r="BK142" i="1"/>
  <c r="BI142" i="1"/>
  <c r="BH142" i="1"/>
  <c r="BG142" i="1"/>
  <c r="BF142" i="1"/>
  <c r="BP141" i="1"/>
  <c r="BL141" i="1"/>
  <c r="BK141" i="1"/>
  <c r="BI141" i="1"/>
  <c r="BH141" i="1"/>
  <c r="BG141" i="1"/>
  <c r="BF141" i="1"/>
  <c r="BP140" i="1"/>
  <c r="BL140" i="1"/>
  <c r="BK140" i="1"/>
  <c r="BI140" i="1"/>
  <c r="BH140" i="1"/>
  <c r="BG140" i="1"/>
  <c r="BF140" i="1"/>
  <c r="BP139" i="1"/>
  <c r="BL139" i="1"/>
  <c r="BK139" i="1"/>
  <c r="BI139" i="1"/>
  <c r="BH139" i="1"/>
  <c r="BG139" i="1"/>
  <c r="BF139" i="1"/>
  <c r="BP138" i="1"/>
  <c r="BL138" i="1"/>
  <c r="BK138" i="1"/>
  <c r="BI138" i="1"/>
  <c r="BH138" i="1"/>
  <c r="BG138" i="1"/>
  <c r="BF138" i="1"/>
  <c r="BP137" i="1"/>
  <c r="BL137" i="1"/>
  <c r="BK137" i="1"/>
  <c r="BI137" i="1"/>
  <c r="BH137" i="1"/>
  <c r="BG137" i="1"/>
  <c r="BF137" i="1"/>
  <c r="BP136" i="1"/>
  <c r="BL136" i="1"/>
  <c r="BK136" i="1"/>
  <c r="BI136" i="1"/>
  <c r="BH136" i="1"/>
  <c r="BG136" i="1"/>
  <c r="BF136" i="1"/>
  <c r="BP135" i="1"/>
  <c r="BL135" i="1"/>
  <c r="BK135" i="1"/>
  <c r="BI135" i="1"/>
  <c r="BH135" i="1"/>
  <c r="BG135" i="1"/>
  <c r="BF135" i="1"/>
  <c r="BP134" i="1"/>
  <c r="BL134" i="1"/>
  <c r="BK134" i="1"/>
  <c r="BI134" i="1"/>
  <c r="BH134" i="1"/>
  <c r="BG134" i="1"/>
  <c r="BF134" i="1"/>
  <c r="BP133" i="1"/>
  <c r="BL133" i="1"/>
  <c r="BK133" i="1"/>
  <c r="BI133" i="1"/>
  <c r="BH133" i="1"/>
  <c r="BG133" i="1"/>
  <c r="BF133" i="1"/>
  <c r="BL132" i="1"/>
  <c r="BK132" i="1"/>
  <c r="BI132" i="1"/>
  <c r="BH132" i="1"/>
  <c r="BG132" i="1"/>
  <c r="BF132" i="1"/>
  <c r="BL131" i="1"/>
  <c r="BK131" i="1"/>
  <c r="BI131" i="1"/>
  <c r="BH131" i="1"/>
  <c r="BG131" i="1"/>
  <c r="BF131" i="1"/>
  <c r="BP130" i="1"/>
  <c r="BL130" i="1"/>
  <c r="BK130" i="1"/>
  <c r="BI130" i="1"/>
  <c r="BH130" i="1"/>
  <c r="BG130" i="1"/>
  <c r="BF130" i="1"/>
  <c r="BP129" i="1"/>
  <c r="BL129" i="1"/>
  <c r="BK129" i="1"/>
  <c r="BI129" i="1"/>
  <c r="BH129" i="1"/>
  <c r="BG129" i="1"/>
  <c r="BF129" i="1"/>
  <c r="BL128" i="1"/>
  <c r="BK128" i="1"/>
  <c r="BI128" i="1"/>
  <c r="BH128" i="1"/>
  <c r="BG128" i="1"/>
  <c r="BF128" i="1"/>
  <c r="BP127" i="1"/>
  <c r="BL127" i="1"/>
  <c r="BK127" i="1"/>
  <c r="BI127" i="1"/>
  <c r="BH127" i="1"/>
  <c r="BG127" i="1"/>
  <c r="BF127" i="1"/>
  <c r="BP126" i="1"/>
  <c r="BL126" i="1"/>
  <c r="BK126" i="1"/>
  <c r="BI126" i="1"/>
  <c r="BH126" i="1"/>
  <c r="BG126" i="1"/>
  <c r="BF126" i="1"/>
  <c r="BP125" i="1"/>
  <c r="BL125" i="1"/>
  <c r="BK125" i="1"/>
  <c r="BI125" i="1"/>
  <c r="BH125" i="1"/>
  <c r="BG125" i="1"/>
  <c r="BF125" i="1"/>
  <c r="BP124" i="1"/>
  <c r="BL124" i="1"/>
  <c r="BK124" i="1"/>
  <c r="BI124" i="1"/>
  <c r="BH124" i="1"/>
  <c r="BG124" i="1"/>
  <c r="BF124" i="1"/>
  <c r="BP123" i="1"/>
  <c r="BL123" i="1"/>
  <c r="BK123" i="1"/>
  <c r="BI123" i="1"/>
  <c r="BH123" i="1"/>
  <c r="BG123" i="1"/>
  <c r="BF123" i="1"/>
  <c r="BP122" i="1"/>
  <c r="BL122" i="1"/>
  <c r="BK122" i="1"/>
  <c r="BI122" i="1"/>
  <c r="BH122" i="1"/>
  <c r="BG122" i="1"/>
  <c r="BF122" i="1"/>
  <c r="BP121" i="1"/>
  <c r="BL121" i="1"/>
  <c r="BK121" i="1"/>
  <c r="BI121" i="1"/>
  <c r="BH121" i="1"/>
  <c r="BG121" i="1"/>
  <c r="BF121" i="1"/>
  <c r="BP120" i="1"/>
  <c r="BL120" i="1"/>
  <c r="BK120" i="1"/>
  <c r="BI120" i="1"/>
  <c r="BH120" i="1"/>
  <c r="BG120" i="1"/>
  <c r="BF120" i="1"/>
  <c r="BP119" i="1"/>
  <c r="BL119" i="1"/>
  <c r="BK119" i="1"/>
  <c r="BI119" i="1"/>
  <c r="BH119" i="1"/>
  <c r="BG119" i="1"/>
  <c r="BF119" i="1"/>
  <c r="BP118" i="1"/>
  <c r="BL118" i="1"/>
  <c r="BK118" i="1"/>
  <c r="BI118" i="1"/>
  <c r="BH118" i="1"/>
  <c r="BG118" i="1"/>
  <c r="BF118" i="1"/>
  <c r="BL117" i="1"/>
  <c r="BK117" i="1"/>
  <c r="BI117" i="1"/>
  <c r="BH117" i="1"/>
  <c r="BG117" i="1"/>
  <c r="BF117" i="1"/>
  <c r="BP116" i="1"/>
  <c r="BL116" i="1"/>
  <c r="BK116" i="1"/>
  <c r="BI116" i="1"/>
  <c r="BH116" i="1"/>
  <c r="BG116" i="1"/>
  <c r="BF116" i="1"/>
  <c r="BP115" i="1"/>
  <c r="BL115" i="1"/>
  <c r="BK115" i="1"/>
  <c r="BI115" i="1"/>
  <c r="BH115" i="1"/>
  <c r="BG115" i="1"/>
  <c r="BF115" i="1"/>
  <c r="BP114" i="1"/>
  <c r="BL114" i="1"/>
  <c r="BK114" i="1"/>
  <c r="BI114" i="1"/>
  <c r="BH114" i="1"/>
  <c r="BG114" i="1"/>
  <c r="BF114" i="1"/>
  <c r="BL113" i="1"/>
  <c r="BK113" i="1"/>
  <c r="BI113" i="1"/>
  <c r="BH113" i="1"/>
  <c r="BG113" i="1"/>
  <c r="BF113" i="1"/>
  <c r="BL112" i="1"/>
  <c r="BK112" i="1"/>
  <c r="BI112" i="1"/>
  <c r="BH112" i="1"/>
  <c r="BG112" i="1"/>
  <c r="BF112" i="1"/>
  <c r="BL111" i="1"/>
  <c r="BK111" i="1"/>
  <c r="BI111" i="1"/>
  <c r="BH111" i="1"/>
  <c r="BG111" i="1"/>
  <c r="BF111" i="1"/>
  <c r="BL110" i="1"/>
  <c r="BK110" i="1"/>
  <c r="BI110" i="1"/>
  <c r="BH110" i="1"/>
  <c r="BG110" i="1"/>
  <c r="BF110" i="1"/>
  <c r="BL109" i="1"/>
  <c r="BK109" i="1"/>
  <c r="BI109" i="1"/>
  <c r="BH109" i="1"/>
  <c r="BG109" i="1"/>
  <c r="BF109" i="1"/>
  <c r="BL108" i="1"/>
  <c r="BK108" i="1"/>
  <c r="BI108" i="1"/>
  <c r="BH108" i="1"/>
  <c r="BG108" i="1"/>
  <c r="BF108" i="1"/>
  <c r="BL107" i="1"/>
  <c r="BK107" i="1"/>
  <c r="BI107" i="1"/>
  <c r="BH107" i="1"/>
  <c r="BG107" i="1"/>
  <c r="BF107" i="1"/>
  <c r="BL106" i="1"/>
  <c r="BK106" i="1"/>
  <c r="BI106" i="1"/>
  <c r="BH106" i="1"/>
  <c r="BG106" i="1"/>
  <c r="BF106" i="1"/>
  <c r="BL105" i="1"/>
  <c r="BK105" i="1"/>
  <c r="BI105" i="1"/>
  <c r="BH105" i="1"/>
  <c r="BG105" i="1"/>
  <c r="BF105" i="1"/>
  <c r="BL103" i="1"/>
  <c r="BK103" i="1"/>
  <c r="BI103" i="1"/>
  <c r="BH103" i="1"/>
  <c r="BG103" i="1"/>
  <c r="BF103" i="1"/>
  <c r="BL102" i="1"/>
  <c r="BK102" i="1"/>
  <c r="BI102" i="1"/>
  <c r="BH102" i="1"/>
  <c r="BG102" i="1"/>
  <c r="BF102" i="1"/>
  <c r="BL101" i="1"/>
  <c r="BK101" i="1"/>
  <c r="BI101" i="1"/>
  <c r="BH101" i="1"/>
  <c r="BG101" i="1"/>
  <c r="BF101" i="1"/>
  <c r="BL100" i="1"/>
  <c r="BK100" i="1"/>
  <c r="BI100" i="1"/>
  <c r="BH100" i="1"/>
  <c r="BG100" i="1"/>
  <c r="BF100" i="1"/>
  <c r="BL99" i="1"/>
  <c r="BK99" i="1"/>
  <c r="BI99" i="1"/>
  <c r="BH99" i="1"/>
  <c r="BG99" i="1"/>
  <c r="BF99" i="1"/>
  <c r="BL98" i="1"/>
  <c r="BK98" i="1"/>
  <c r="BI98" i="1"/>
  <c r="BH98" i="1"/>
  <c r="BG98" i="1"/>
  <c r="BF98" i="1"/>
  <c r="BL97" i="1"/>
  <c r="BK97" i="1"/>
  <c r="BI97" i="1"/>
  <c r="BH97" i="1"/>
  <c r="BG97" i="1"/>
  <c r="BF97" i="1"/>
  <c r="BL96" i="1"/>
  <c r="BK96" i="1"/>
  <c r="BI96" i="1"/>
  <c r="BH96" i="1"/>
  <c r="BG96" i="1"/>
  <c r="BF96" i="1"/>
  <c r="BL95" i="1"/>
  <c r="BK95" i="1"/>
  <c r="BI95" i="1"/>
  <c r="BH95" i="1"/>
  <c r="BG95" i="1"/>
  <c r="BF95" i="1"/>
  <c r="BL94" i="1"/>
  <c r="BK94" i="1"/>
  <c r="BI94" i="1"/>
  <c r="BH94" i="1"/>
  <c r="BG94" i="1"/>
  <c r="BF94" i="1"/>
  <c r="BL93" i="1"/>
  <c r="BK93" i="1"/>
  <c r="BI93" i="1"/>
  <c r="BH93" i="1"/>
  <c r="BG93" i="1"/>
  <c r="BF93" i="1"/>
  <c r="BL92" i="1"/>
  <c r="BK92" i="1"/>
  <c r="BI92" i="1"/>
  <c r="BH92" i="1"/>
  <c r="BG92" i="1"/>
  <c r="BF92" i="1"/>
  <c r="BL91" i="1"/>
  <c r="BK91" i="1"/>
  <c r="BI91" i="1"/>
  <c r="BH91" i="1"/>
  <c r="BG91" i="1"/>
  <c r="BF91" i="1"/>
  <c r="BL90" i="1"/>
  <c r="BK90" i="1"/>
  <c r="BI90" i="1"/>
  <c r="BH90" i="1"/>
  <c r="BG90" i="1"/>
  <c r="BF90" i="1"/>
  <c r="BL89" i="1"/>
  <c r="BK89" i="1"/>
  <c r="BI89" i="1"/>
  <c r="BH89" i="1"/>
  <c r="BG89" i="1"/>
  <c r="BF89" i="1"/>
  <c r="BL88" i="1"/>
  <c r="BK88" i="1"/>
  <c r="BI88" i="1"/>
  <c r="BH88" i="1"/>
  <c r="BG88" i="1"/>
  <c r="BF88" i="1"/>
  <c r="BL87" i="1"/>
  <c r="BK87" i="1"/>
  <c r="BI87" i="1"/>
  <c r="BH87" i="1"/>
  <c r="BG87" i="1"/>
  <c r="BF87" i="1"/>
  <c r="BL86" i="1"/>
  <c r="BK86" i="1"/>
  <c r="BI86" i="1"/>
  <c r="BH86" i="1"/>
  <c r="BG86" i="1"/>
  <c r="BF86" i="1"/>
  <c r="BL85" i="1"/>
  <c r="BK85" i="1"/>
  <c r="BI85" i="1"/>
  <c r="BH85" i="1"/>
  <c r="BG85" i="1"/>
  <c r="BF85" i="1"/>
  <c r="BL83" i="1"/>
  <c r="BK83" i="1"/>
  <c r="BI83" i="1"/>
  <c r="BH83" i="1"/>
  <c r="BG83" i="1"/>
  <c r="BF83" i="1"/>
  <c r="BL82" i="1"/>
  <c r="BK82" i="1"/>
  <c r="BI82" i="1"/>
  <c r="BH82" i="1"/>
  <c r="BG82" i="1"/>
  <c r="BF82" i="1"/>
  <c r="BL81" i="1"/>
  <c r="BK81" i="1"/>
  <c r="BI81" i="1"/>
  <c r="BH81" i="1"/>
  <c r="BG81" i="1"/>
  <c r="BF81" i="1"/>
  <c r="BL80" i="1"/>
  <c r="BK80" i="1"/>
  <c r="BI80" i="1"/>
  <c r="BH80" i="1"/>
  <c r="BG80" i="1"/>
  <c r="BF80" i="1"/>
  <c r="BL79" i="1"/>
  <c r="BK79" i="1"/>
  <c r="BI79" i="1"/>
  <c r="BH79" i="1"/>
  <c r="BG79" i="1"/>
  <c r="BF79" i="1"/>
  <c r="BL78" i="1"/>
  <c r="BK78" i="1"/>
  <c r="BI78" i="1"/>
  <c r="BH78" i="1"/>
  <c r="BG78" i="1"/>
  <c r="BF78" i="1"/>
  <c r="BL77" i="1"/>
  <c r="BK77" i="1"/>
  <c r="BI77" i="1"/>
  <c r="BH77" i="1"/>
  <c r="BG77" i="1"/>
  <c r="BF77" i="1"/>
  <c r="BL76" i="1"/>
  <c r="BK76" i="1"/>
  <c r="BI76" i="1"/>
  <c r="BH76" i="1"/>
  <c r="BG76" i="1"/>
  <c r="BF76" i="1"/>
  <c r="BL74" i="1"/>
  <c r="BK74" i="1"/>
  <c r="BI74" i="1"/>
  <c r="BH74" i="1"/>
  <c r="BG74" i="1"/>
  <c r="BF74" i="1"/>
  <c r="BL73" i="1"/>
  <c r="BK73" i="1"/>
  <c r="BI73" i="1"/>
  <c r="BH73" i="1"/>
  <c r="BG73" i="1"/>
  <c r="BF73" i="1"/>
  <c r="BL72" i="1"/>
  <c r="BK72" i="1"/>
  <c r="BI72" i="1"/>
  <c r="BH72" i="1"/>
  <c r="BG72" i="1"/>
  <c r="BF72" i="1"/>
  <c r="BL71" i="1"/>
  <c r="BK71" i="1"/>
  <c r="BI71" i="1"/>
  <c r="BH71" i="1"/>
  <c r="BG71" i="1"/>
  <c r="BF71" i="1"/>
  <c r="BL70" i="1"/>
  <c r="BK70" i="1"/>
  <c r="BI70" i="1"/>
  <c r="BH70" i="1"/>
  <c r="BG70" i="1"/>
  <c r="BF70" i="1"/>
  <c r="BL69" i="1"/>
  <c r="BK69" i="1"/>
  <c r="BI69" i="1"/>
  <c r="BH69" i="1"/>
  <c r="BG69" i="1"/>
  <c r="BF69" i="1"/>
  <c r="BL67" i="1"/>
  <c r="BK67" i="1"/>
  <c r="BI67" i="1"/>
  <c r="BH67" i="1"/>
  <c r="BG67" i="1"/>
  <c r="BF67" i="1"/>
  <c r="BL66" i="1"/>
  <c r="BK66" i="1"/>
  <c r="BI66" i="1"/>
  <c r="BH66" i="1"/>
  <c r="BG66" i="1"/>
  <c r="BF66" i="1"/>
  <c r="BL65" i="1"/>
  <c r="BK65" i="1"/>
  <c r="BI65" i="1"/>
  <c r="BH65" i="1"/>
  <c r="BG65" i="1"/>
  <c r="BF65" i="1"/>
  <c r="BL64" i="1"/>
  <c r="BK64" i="1"/>
  <c r="BI64" i="1"/>
  <c r="BH64" i="1"/>
  <c r="BG64" i="1"/>
  <c r="BF64" i="1"/>
  <c r="BL62" i="1"/>
  <c r="BK62" i="1"/>
  <c r="BI62" i="1"/>
  <c r="BH62" i="1"/>
  <c r="BG62" i="1"/>
  <c r="BF62" i="1"/>
  <c r="BL61" i="1"/>
  <c r="BK61" i="1"/>
  <c r="BI61" i="1"/>
  <c r="BH61" i="1"/>
  <c r="BG61" i="1"/>
  <c r="BF61" i="1"/>
  <c r="BL59" i="1"/>
  <c r="BK59" i="1"/>
  <c r="BI59" i="1"/>
  <c r="BH59" i="1"/>
  <c r="BG59" i="1"/>
  <c r="BF59" i="1"/>
  <c r="BL58" i="1"/>
  <c r="BK58" i="1"/>
  <c r="BI58" i="1"/>
  <c r="BH58" i="1"/>
  <c r="BG58" i="1"/>
  <c r="BF58" i="1"/>
  <c r="BL57" i="1"/>
  <c r="BK57" i="1"/>
  <c r="BI57" i="1"/>
  <c r="BH57" i="1"/>
  <c r="BG57" i="1"/>
  <c r="BF57" i="1"/>
  <c r="BL56" i="1"/>
  <c r="BK56" i="1"/>
  <c r="BI56" i="1"/>
  <c r="BH56" i="1"/>
  <c r="BG56" i="1"/>
  <c r="BF56" i="1"/>
  <c r="BL55" i="1"/>
  <c r="BK55" i="1"/>
  <c r="BI55" i="1"/>
  <c r="BH55" i="1"/>
  <c r="BG55" i="1"/>
  <c r="BF55" i="1"/>
  <c r="BL54" i="1"/>
  <c r="BK54" i="1"/>
  <c r="BI54" i="1"/>
  <c r="BH54" i="1"/>
  <c r="BG54" i="1"/>
  <c r="BF54" i="1"/>
  <c r="BL53" i="1"/>
  <c r="BK53" i="1"/>
  <c r="BI53" i="1"/>
  <c r="BH53" i="1"/>
  <c r="BG53" i="1"/>
  <c r="BF53" i="1"/>
  <c r="BL52" i="1"/>
  <c r="BK52" i="1"/>
  <c r="BI52" i="1"/>
  <c r="BH52" i="1"/>
  <c r="BG52" i="1"/>
  <c r="BF52" i="1"/>
  <c r="BL51" i="1"/>
  <c r="BK51" i="1"/>
  <c r="BI51" i="1"/>
  <c r="BH51" i="1"/>
  <c r="BG51" i="1"/>
  <c r="BF51" i="1"/>
  <c r="BL50" i="1"/>
  <c r="BK50" i="1"/>
  <c r="BI50" i="1"/>
  <c r="BH50" i="1"/>
  <c r="BG50" i="1"/>
  <c r="BF50" i="1"/>
  <c r="BL49" i="1"/>
  <c r="BK49" i="1"/>
  <c r="BI49" i="1"/>
  <c r="BH49" i="1"/>
  <c r="BG49" i="1"/>
  <c r="BF49" i="1"/>
  <c r="BL48" i="1"/>
  <c r="BK48" i="1"/>
  <c r="BI48" i="1"/>
  <c r="BH48" i="1"/>
  <c r="BG48" i="1"/>
  <c r="BF48" i="1"/>
  <c r="BL47" i="1"/>
  <c r="BK47" i="1"/>
  <c r="BI47" i="1"/>
  <c r="BH47" i="1"/>
  <c r="BG47" i="1"/>
  <c r="BF47" i="1"/>
  <c r="BL46" i="1"/>
  <c r="BK46" i="1"/>
  <c r="BI46" i="1"/>
  <c r="BH46" i="1"/>
  <c r="BG46" i="1"/>
  <c r="BF46" i="1"/>
  <c r="BL45" i="1"/>
  <c r="BK45" i="1"/>
  <c r="BI45" i="1"/>
  <c r="BH45" i="1"/>
  <c r="BG45" i="1"/>
  <c r="BF45" i="1"/>
  <c r="BL44" i="1"/>
  <c r="BK44" i="1"/>
  <c r="BI44" i="1"/>
  <c r="BH44" i="1"/>
  <c r="BG44" i="1"/>
  <c r="BF44" i="1"/>
  <c r="BL43" i="1"/>
  <c r="BK43" i="1"/>
  <c r="BI43" i="1"/>
  <c r="BH43" i="1"/>
  <c r="BG43" i="1"/>
  <c r="BF43" i="1"/>
  <c r="BL42" i="1"/>
  <c r="BK42" i="1"/>
  <c r="BI42" i="1"/>
  <c r="BH42" i="1"/>
  <c r="BG42" i="1"/>
  <c r="BF42" i="1"/>
  <c r="BL41" i="1"/>
  <c r="BK41" i="1"/>
  <c r="BI41" i="1"/>
  <c r="BH41" i="1"/>
  <c r="BG41" i="1"/>
  <c r="BF41" i="1"/>
  <c r="BL40" i="1"/>
  <c r="BK40" i="1"/>
  <c r="BI40" i="1"/>
  <c r="BH40" i="1"/>
  <c r="BG40" i="1"/>
  <c r="BF40" i="1"/>
  <c r="BL39" i="1"/>
  <c r="BK39" i="1"/>
  <c r="BI39" i="1"/>
  <c r="BH39" i="1"/>
  <c r="BG39" i="1"/>
  <c r="BF39" i="1"/>
  <c r="BL38" i="1"/>
  <c r="BK38" i="1"/>
  <c r="BI38" i="1"/>
  <c r="BH38" i="1"/>
  <c r="BG38" i="1"/>
  <c r="BF38" i="1"/>
  <c r="BL37" i="1"/>
  <c r="BK37" i="1"/>
  <c r="BI37" i="1"/>
  <c r="BH37" i="1"/>
  <c r="BG37" i="1"/>
  <c r="BF37" i="1"/>
  <c r="BL36" i="1"/>
  <c r="BK36" i="1"/>
  <c r="BI36" i="1"/>
  <c r="BH36" i="1"/>
  <c r="BG36" i="1"/>
  <c r="BF36" i="1"/>
  <c r="BL35" i="1"/>
  <c r="BK35" i="1"/>
  <c r="BI35" i="1"/>
  <c r="BH35" i="1"/>
  <c r="BG35" i="1"/>
  <c r="BF35" i="1"/>
  <c r="BL34" i="1"/>
  <c r="BK34" i="1"/>
  <c r="BI34" i="1"/>
  <c r="BH34" i="1"/>
  <c r="BG34" i="1"/>
  <c r="BF34" i="1"/>
  <c r="BL33" i="1"/>
  <c r="BK33" i="1"/>
  <c r="BI33" i="1"/>
  <c r="BH33" i="1"/>
  <c r="BG33" i="1"/>
  <c r="BF33" i="1"/>
  <c r="BL32" i="1"/>
  <c r="BK32" i="1"/>
  <c r="BI32" i="1"/>
  <c r="BH32" i="1"/>
  <c r="BG32" i="1"/>
  <c r="BF32" i="1"/>
  <c r="BL31" i="1"/>
  <c r="BK31" i="1"/>
  <c r="BI31" i="1"/>
  <c r="BH31" i="1"/>
  <c r="BG31" i="1"/>
  <c r="BF31" i="1"/>
  <c r="BL30" i="1"/>
  <c r="BK30" i="1"/>
  <c r="BI30" i="1"/>
  <c r="BH30" i="1"/>
  <c r="BG30" i="1"/>
  <c r="BF30" i="1"/>
  <c r="BL29" i="1"/>
  <c r="BK29" i="1"/>
  <c r="BI29" i="1"/>
  <c r="BH29" i="1"/>
  <c r="BG29" i="1"/>
  <c r="BF29" i="1"/>
  <c r="BL28" i="1"/>
  <c r="BK28" i="1"/>
  <c r="BI28" i="1"/>
  <c r="BH28" i="1"/>
  <c r="BG28" i="1"/>
  <c r="BF28" i="1"/>
  <c r="BL27" i="1"/>
  <c r="BK27" i="1"/>
  <c r="BI27" i="1"/>
  <c r="BH27" i="1"/>
  <c r="BG27" i="1"/>
  <c r="BF27" i="1"/>
  <c r="BL26" i="1"/>
  <c r="BK26" i="1"/>
  <c r="BI26" i="1"/>
  <c r="BH26" i="1"/>
  <c r="BG26" i="1"/>
  <c r="BF26" i="1"/>
  <c r="BL25" i="1"/>
  <c r="BK25" i="1"/>
  <c r="BI25" i="1"/>
  <c r="BH25" i="1"/>
  <c r="BG25" i="1"/>
  <c r="BF25" i="1"/>
  <c r="BL24" i="1"/>
  <c r="BK24" i="1"/>
  <c r="BI24" i="1"/>
  <c r="BH24" i="1"/>
  <c r="BG24" i="1"/>
  <c r="BF24" i="1"/>
  <c r="BL23" i="1"/>
  <c r="BK23" i="1"/>
  <c r="BI23" i="1"/>
  <c r="BH23" i="1"/>
  <c r="BG23" i="1"/>
  <c r="BF23" i="1"/>
  <c r="BL22" i="1"/>
  <c r="BK22" i="1"/>
  <c r="BI22" i="1"/>
  <c r="BH22" i="1"/>
  <c r="BG22" i="1"/>
  <c r="BF22" i="1"/>
  <c r="BL21" i="1"/>
  <c r="BK21" i="1"/>
  <c r="BI21" i="1"/>
  <c r="BH21" i="1"/>
  <c r="BG21" i="1"/>
  <c r="BF21" i="1"/>
  <c r="BL20" i="1"/>
  <c r="BK20" i="1"/>
  <c r="BI20" i="1"/>
  <c r="BH20" i="1"/>
  <c r="BG20" i="1"/>
  <c r="BF20" i="1"/>
  <c r="BL19" i="1"/>
  <c r="BK19" i="1"/>
  <c r="BI19" i="1"/>
  <c r="BH19" i="1"/>
  <c r="BG19" i="1"/>
  <c r="BF19" i="1"/>
  <c r="BL18" i="1"/>
  <c r="BK18" i="1"/>
  <c r="BI18" i="1"/>
  <c r="BH18" i="1"/>
  <c r="BG18" i="1"/>
  <c r="BF18" i="1"/>
  <c r="BL17" i="1"/>
  <c r="BK17" i="1"/>
  <c r="BI17" i="1"/>
  <c r="BH17" i="1"/>
  <c r="BG17" i="1"/>
  <c r="BF17" i="1"/>
  <c r="BL16" i="1"/>
  <c r="BK16" i="1"/>
  <c r="BI16" i="1"/>
  <c r="BH16" i="1"/>
  <c r="BG16" i="1"/>
  <c r="BF16" i="1"/>
  <c r="BL15" i="1"/>
  <c r="BK15" i="1"/>
  <c r="BI15" i="1"/>
  <c r="BH15" i="1"/>
  <c r="BG15" i="1"/>
  <c r="BF15" i="1"/>
  <c r="BL14" i="1"/>
  <c r="BK14" i="1"/>
  <c r="BI14" i="1"/>
  <c r="BH14" i="1"/>
  <c r="BG14" i="1"/>
  <c r="BF14" i="1"/>
  <c r="BL13" i="1"/>
  <c r="BK13" i="1"/>
  <c r="BI13" i="1"/>
  <c r="BH13" i="1"/>
  <c r="BG13" i="1"/>
  <c r="BF13" i="1"/>
  <c r="BL12" i="1"/>
  <c r="BK12" i="1"/>
  <c r="BI12" i="1"/>
  <c r="BH12" i="1"/>
  <c r="BG12" i="1"/>
  <c r="BF12" i="1"/>
  <c r="BL11" i="1"/>
  <c r="BK11" i="1"/>
  <c r="BI11" i="1"/>
  <c r="BH11" i="1"/>
  <c r="BG11" i="1"/>
  <c r="BF11" i="1"/>
  <c r="BL10" i="1"/>
  <c r="BK10" i="1"/>
  <c r="BI10" i="1"/>
  <c r="BH10" i="1"/>
  <c r="BG10" i="1"/>
  <c r="BF10" i="1"/>
  <c r="BL9" i="1"/>
  <c r="BK9" i="1"/>
  <c r="BI9" i="1"/>
  <c r="BH9" i="1"/>
  <c r="BG9" i="1"/>
  <c r="BF9" i="1"/>
  <c r="BL8" i="1"/>
  <c r="BK8" i="1"/>
  <c r="BI8" i="1"/>
  <c r="BH8" i="1"/>
  <c r="BG8" i="1"/>
  <c r="BF8" i="1"/>
  <c r="BL7" i="1"/>
  <c r="BK7" i="1"/>
  <c r="BI7" i="1"/>
  <c r="BH7" i="1"/>
  <c r="BG7" i="1"/>
  <c r="BF7" i="1"/>
  <c r="E35" i="4"/>
  <c r="M20" i="4"/>
  <c r="M12" i="4"/>
  <c r="F9" i="4"/>
  <c r="A9" i="4" s="1"/>
  <c r="E9" i="4"/>
  <c r="F8" i="4"/>
  <c r="A8" i="4" s="1"/>
  <c r="E8" i="4"/>
  <c r="F7" i="4"/>
  <c r="E7" i="4"/>
  <c r="F6" i="4"/>
  <c r="A6" i="4" s="1"/>
  <c r="E6" i="4"/>
  <c r="E35" i="3"/>
  <c r="M20" i="3"/>
  <c r="M12" i="3"/>
  <c r="F9" i="3"/>
  <c r="E9" i="3"/>
  <c r="F8" i="3"/>
  <c r="E8" i="3"/>
  <c r="F7" i="3"/>
  <c r="A7" i="3" s="1"/>
  <c r="E7" i="3"/>
  <c r="F6" i="3"/>
  <c r="A6" i="3" s="1"/>
  <c r="E6" i="3"/>
  <c r="G3" i="3"/>
  <c r="G3" i="4" s="1"/>
  <c r="GO75" i="1"/>
  <c r="GN75" i="1"/>
  <c r="GM75" i="1"/>
  <c r="GL75" i="1"/>
  <c r="FP75" i="1"/>
  <c r="FZ75" i="1"/>
  <c r="FY75" i="1"/>
  <c r="FX75" i="1"/>
  <c r="GE75" i="1"/>
  <c r="GD75" i="1"/>
  <c r="GC75" i="1"/>
  <c r="GB75" i="1"/>
  <c r="AN75" i="1"/>
  <c r="AM75" i="1"/>
  <c r="GO165" i="1"/>
  <c r="GN165" i="1"/>
  <c r="GM165" i="1"/>
  <c r="GL165" i="1"/>
  <c r="FP165" i="1"/>
  <c r="FZ165" i="1"/>
  <c r="FY165" i="1"/>
  <c r="FX165" i="1"/>
  <c r="GE165" i="1"/>
  <c r="GD165" i="1"/>
  <c r="GC165" i="1"/>
  <c r="AN165" i="1"/>
  <c r="AM165" i="1"/>
  <c r="GO164" i="1"/>
  <c r="GN164" i="1"/>
  <c r="GM164" i="1"/>
  <c r="GL164" i="1"/>
  <c r="FP164" i="1"/>
  <c r="FZ164" i="1"/>
  <c r="FY164" i="1"/>
  <c r="FX164" i="1"/>
  <c r="GE164" i="1"/>
  <c r="GD164" i="1"/>
  <c r="GC164" i="1"/>
  <c r="AN164" i="1"/>
  <c r="AM164" i="1"/>
  <c r="GO163" i="1"/>
  <c r="GN163" i="1"/>
  <c r="GM163" i="1"/>
  <c r="GL163" i="1"/>
  <c r="FP163" i="1"/>
  <c r="FZ163" i="1"/>
  <c r="FY163" i="1"/>
  <c r="FX163" i="1"/>
  <c r="FW163" i="1"/>
  <c r="GE163" i="1"/>
  <c r="GD163" i="1"/>
  <c r="GC163" i="1"/>
  <c r="GB163" i="1"/>
  <c r="AN163" i="1"/>
  <c r="AM163" i="1"/>
  <c r="GO162" i="1"/>
  <c r="GN162" i="1"/>
  <c r="GM162" i="1"/>
  <c r="GL162" i="1"/>
  <c r="FP162" i="1"/>
  <c r="FZ162" i="1"/>
  <c r="FY162" i="1"/>
  <c r="FX162" i="1"/>
  <c r="GE162" i="1"/>
  <c r="GD162" i="1"/>
  <c r="GC162" i="1"/>
  <c r="AN162" i="1"/>
  <c r="AM162" i="1"/>
  <c r="GO161" i="1"/>
  <c r="GN161" i="1"/>
  <c r="GM161" i="1"/>
  <c r="GL161" i="1"/>
  <c r="FP161" i="1"/>
  <c r="FZ161" i="1"/>
  <c r="FY161" i="1"/>
  <c r="FX161" i="1"/>
  <c r="FW161" i="1"/>
  <c r="GE161" i="1"/>
  <c r="GD161" i="1"/>
  <c r="GC161" i="1"/>
  <c r="GB161" i="1"/>
  <c r="AN161" i="1"/>
  <c r="AM161" i="1"/>
  <c r="GO159" i="1"/>
  <c r="GN159" i="1"/>
  <c r="GM159" i="1"/>
  <c r="GL159" i="1"/>
  <c r="GC159" i="1"/>
  <c r="FP159" i="1"/>
  <c r="FZ159" i="1"/>
  <c r="FY159" i="1"/>
  <c r="FX159" i="1"/>
  <c r="GE159" i="1"/>
  <c r="GD159" i="1"/>
  <c r="GB159" i="1"/>
  <c r="AN159" i="1"/>
  <c r="AM159" i="1"/>
  <c r="GO158" i="1"/>
  <c r="GN158" i="1"/>
  <c r="GM158" i="1"/>
  <c r="GL158" i="1"/>
  <c r="FP158" i="1"/>
  <c r="FZ158" i="1"/>
  <c r="FY158" i="1"/>
  <c r="FX158" i="1"/>
  <c r="GE158" i="1"/>
  <c r="GD158" i="1"/>
  <c r="GC158" i="1"/>
  <c r="GB158" i="1"/>
  <c r="AN158" i="1"/>
  <c r="AM158" i="1"/>
  <c r="GO157" i="1"/>
  <c r="GN157" i="1"/>
  <c r="GM157" i="1"/>
  <c r="GL157" i="1"/>
  <c r="FP157" i="1"/>
  <c r="FZ157" i="1"/>
  <c r="FY157" i="1"/>
  <c r="FX157" i="1"/>
  <c r="GE157" i="1"/>
  <c r="GD157" i="1"/>
  <c r="GC157" i="1"/>
  <c r="GB157" i="1"/>
  <c r="AN157" i="1"/>
  <c r="AM157" i="1"/>
  <c r="GO156" i="1"/>
  <c r="GN156" i="1"/>
  <c r="GM156" i="1"/>
  <c r="GL156" i="1"/>
  <c r="FP156" i="1"/>
  <c r="FZ156" i="1"/>
  <c r="FY156" i="1"/>
  <c r="FX156" i="1"/>
  <c r="GE156" i="1"/>
  <c r="GD156" i="1"/>
  <c r="GC156" i="1"/>
  <c r="AN156" i="1"/>
  <c r="AM156" i="1"/>
  <c r="GO155" i="1"/>
  <c r="GN155" i="1"/>
  <c r="GM155" i="1"/>
  <c r="GL155" i="1"/>
  <c r="FZ155" i="1"/>
  <c r="FP155" i="1"/>
  <c r="FY155" i="1"/>
  <c r="FX155" i="1"/>
  <c r="FW155" i="1"/>
  <c r="GE155" i="1"/>
  <c r="GD155" i="1"/>
  <c r="GC155" i="1"/>
  <c r="GB155" i="1"/>
  <c r="AN155" i="1"/>
  <c r="AM155" i="1"/>
  <c r="GO154" i="1"/>
  <c r="GN154" i="1"/>
  <c r="GM154" i="1"/>
  <c r="GL154" i="1"/>
  <c r="FP154" i="1"/>
  <c r="FZ154" i="1"/>
  <c r="FY154" i="1"/>
  <c r="FX154" i="1"/>
  <c r="GE154" i="1"/>
  <c r="GD154" i="1"/>
  <c r="GC154" i="1"/>
  <c r="AN154" i="1"/>
  <c r="AM154" i="1"/>
  <c r="GO152" i="1"/>
  <c r="GN152" i="1"/>
  <c r="GM152" i="1"/>
  <c r="GL152" i="1"/>
  <c r="FP152" i="1"/>
  <c r="FZ152" i="1"/>
  <c r="FY152" i="1"/>
  <c r="FX152" i="1"/>
  <c r="GE152" i="1"/>
  <c r="GD152" i="1"/>
  <c r="GC152" i="1"/>
  <c r="AN152" i="1"/>
  <c r="AM152" i="1"/>
  <c r="GO151" i="1"/>
  <c r="GN151" i="1"/>
  <c r="GM151" i="1"/>
  <c r="GL151" i="1"/>
  <c r="FP151" i="1"/>
  <c r="FZ151" i="1"/>
  <c r="FY151" i="1"/>
  <c r="FX151" i="1"/>
  <c r="GE151" i="1"/>
  <c r="GD151" i="1"/>
  <c r="GC151" i="1"/>
  <c r="GB151" i="1"/>
  <c r="AN151" i="1"/>
  <c r="AM151" i="1"/>
  <c r="GO150" i="1"/>
  <c r="GN150" i="1"/>
  <c r="GM150" i="1"/>
  <c r="GL150" i="1"/>
  <c r="FP150" i="1"/>
  <c r="FZ150" i="1"/>
  <c r="FY150" i="1"/>
  <c r="FX150" i="1"/>
  <c r="GE150" i="1"/>
  <c r="GD150" i="1"/>
  <c r="GC150" i="1"/>
  <c r="GB150" i="1"/>
  <c r="AN150" i="1"/>
  <c r="AM150" i="1"/>
  <c r="GO148" i="1"/>
  <c r="GN148" i="1"/>
  <c r="GM148" i="1"/>
  <c r="GL148" i="1"/>
  <c r="FP148" i="1"/>
  <c r="FZ148" i="1"/>
  <c r="FY148" i="1"/>
  <c r="FX148" i="1"/>
  <c r="GE148" i="1"/>
  <c r="GD148" i="1"/>
  <c r="GC148" i="1"/>
  <c r="AN148" i="1"/>
  <c r="AM148" i="1"/>
  <c r="GO147" i="1"/>
  <c r="GN147" i="1"/>
  <c r="GM147" i="1"/>
  <c r="GL147" i="1"/>
  <c r="FP147" i="1"/>
  <c r="FZ147" i="1"/>
  <c r="FY147" i="1"/>
  <c r="FX147" i="1"/>
  <c r="GE147" i="1"/>
  <c r="GD147" i="1"/>
  <c r="GC147" i="1"/>
  <c r="AN147" i="1"/>
  <c r="AM147" i="1"/>
  <c r="GO146" i="1"/>
  <c r="GN146" i="1"/>
  <c r="GM146" i="1"/>
  <c r="GL146" i="1"/>
  <c r="FP146" i="1"/>
  <c r="FZ146" i="1"/>
  <c r="FY146" i="1"/>
  <c r="FX146" i="1"/>
  <c r="GE146" i="1"/>
  <c r="GD146" i="1"/>
  <c r="GC146" i="1"/>
  <c r="GB146" i="1"/>
  <c r="AN146" i="1"/>
  <c r="AM146" i="1"/>
  <c r="GO145" i="1"/>
  <c r="GN145" i="1"/>
  <c r="GM145" i="1"/>
  <c r="GL145" i="1"/>
  <c r="FP145" i="1"/>
  <c r="FZ145" i="1"/>
  <c r="FY145" i="1"/>
  <c r="FX145" i="1"/>
  <c r="GE145" i="1"/>
  <c r="GD145" i="1"/>
  <c r="GC145" i="1"/>
  <c r="AN145" i="1"/>
  <c r="AM145" i="1"/>
  <c r="GO144" i="1"/>
  <c r="GN144" i="1"/>
  <c r="GM144" i="1"/>
  <c r="GL144" i="1"/>
  <c r="FP144" i="1"/>
  <c r="FZ144" i="1"/>
  <c r="FY144" i="1"/>
  <c r="FX144" i="1"/>
  <c r="GE144" i="1"/>
  <c r="GD144" i="1"/>
  <c r="GC144" i="1"/>
  <c r="GB144" i="1"/>
  <c r="AN144" i="1"/>
  <c r="AM144" i="1"/>
  <c r="GO143" i="1"/>
  <c r="GN143" i="1"/>
  <c r="GM143" i="1"/>
  <c r="GL143" i="1"/>
  <c r="FP143" i="1"/>
  <c r="FZ143" i="1"/>
  <c r="FY143" i="1"/>
  <c r="FX143" i="1"/>
  <c r="GE143" i="1"/>
  <c r="GD143" i="1"/>
  <c r="GC143" i="1"/>
  <c r="AN143" i="1"/>
  <c r="AM143" i="1"/>
  <c r="GO142" i="1"/>
  <c r="GN142" i="1"/>
  <c r="GM142" i="1"/>
  <c r="GL142" i="1"/>
  <c r="FP142" i="1"/>
  <c r="FZ142" i="1"/>
  <c r="FY142" i="1"/>
  <c r="FX142" i="1"/>
  <c r="FW142" i="1"/>
  <c r="GE142" i="1"/>
  <c r="GD142" i="1"/>
  <c r="GC142" i="1"/>
  <c r="GB142" i="1"/>
  <c r="AN142" i="1"/>
  <c r="AM142" i="1"/>
  <c r="GO141" i="1"/>
  <c r="GN141" i="1"/>
  <c r="GM141" i="1"/>
  <c r="GL141" i="1"/>
  <c r="GC141" i="1"/>
  <c r="FP141" i="1"/>
  <c r="FZ141" i="1"/>
  <c r="FY141" i="1"/>
  <c r="FX141" i="1"/>
  <c r="GE141" i="1"/>
  <c r="GD141" i="1"/>
  <c r="AN141" i="1"/>
  <c r="AM141" i="1"/>
  <c r="GO140" i="1"/>
  <c r="GN140" i="1"/>
  <c r="GM140" i="1"/>
  <c r="GL140" i="1"/>
  <c r="FP140" i="1"/>
  <c r="FZ140" i="1"/>
  <c r="FY140" i="1"/>
  <c r="FX140" i="1"/>
  <c r="GE140" i="1"/>
  <c r="GD140" i="1"/>
  <c r="GC140" i="1"/>
  <c r="AN140" i="1"/>
  <c r="AM140" i="1"/>
  <c r="GO139" i="1"/>
  <c r="GN139" i="1"/>
  <c r="GM139" i="1"/>
  <c r="GL139" i="1"/>
  <c r="FZ139" i="1"/>
  <c r="FP139" i="1"/>
  <c r="FY139" i="1"/>
  <c r="FX139" i="1"/>
  <c r="GE139" i="1"/>
  <c r="GD139" i="1"/>
  <c r="GC139" i="1"/>
  <c r="GB139" i="1"/>
  <c r="AN139" i="1"/>
  <c r="AM139" i="1"/>
  <c r="GO138" i="1"/>
  <c r="GN138" i="1"/>
  <c r="GM138" i="1"/>
  <c r="GL138" i="1"/>
  <c r="FP138" i="1"/>
  <c r="FZ138" i="1"/>
  <c r="FY138" i="1"/>
  <c r="FX138" i="1"/>
  <c r="GE138" i="1"/>
  <c r="GD138" i="1"/>
  <c r="GC138" i="1"/>
  <c r="GB138" i="1"/>
  <c r="AN138" i="1"/>
  <c r="AM138" i="1"/>
  <c r="GO137" i="1"/>
  <c r="GN137" i="1"/>
  <c r="GM137" i="1"/>
  <c r="GL137" i="1"/>
  <c r="FP137" i="1"/>
  <c r="FZ137" i="1"/>
  <c r="FY137" i="1"/>
  <c r="FX137" i="1"/>
  <c r="GE137" i="1"/>
  <c r="GD137" i="1"/>
  <c r="GC137" i="1"/>
  <c r="GB137" i="1"/>
  <c r="AN137" i="1"/>
  <c r="AM137" i="1"/>
  <c r="GO136" i="1"/>
  <c r="GN136" i="1"/>
  <c r="GM136" i="1"/>
  <c r="GL136" i="1"/>
  <c r="FP136" i="1"/>
  <c r="FZ136" i="1"/>
  <c r="FY136" i="1"/>
  <c r="FX136" i="1"/>
  <c r="GE136" i="1"/>
  <c r="GD136" i="1"/>
  <c r="GC136" i="1"/>
  <c r="AN136" i="1"/>
  <c r="AM136" i="1"/>
  <c r="GO135" i="1"/>
  <c r="GN135" i="1"/>
  <c r="GM135" i="1"/>
  <c r="GL135" i="1"/>
  <c r="FP135" i="1"/>
  <c r="FZ135" i="1"/>
  <c r="FY135" i="1"/>
  <c r="FX135" i="1"/>
  <c r="GE135" i="1"/>
  <c r="GD135" i="1"/>
  <c r="GC135" i="1"/>
  <c r="GB135" i="1"/>
  <c r="AN135" i="1"/>
  <c r="AM135" i="1"/>
  <c r="GO134" i="1"/>
  <c r="GN134" i="1"/>
  <c r="GM134" i="1"/>
  <c r="GL134" i="1"/>
  <c r="FP134" i="1"/>
  <c r="FZ134" i="1"/>
  <c r="FY134" i="1"/>
  <c r="FX134" i="1"/>
  <c r="FW134" i="1"/>
  <c r="GE134" i="1"/>
  <c r="GD134" i="1"/>
  <c r="GC134" i="1"/>
  <c r="GB134" i="1"/>
  <c r="AN134" i="1"/>
  <c r="AM134" i="1"/>
  <c r="GO133" i="1"/>
  <c r="GN133" i="1"/>
  <c r="GM133" i="1"/>
  <c r="GL133" i="1"/>
  <c r="FP133" i="1"/>
  <c r="FZ133" i="1"/>
  <c r="FY133" i="1"/>
  <c r="FX133" i="1"/>
  <c r="GE133" i="1"/>
  <c r="GD133" i="1"/>
  <c r="GC133" i="1"/>
  <c r="GB133" i="1"/>
  <c r="AN133" i="1"/>
  <c r="AM133" i="1"/>
  <c r="GO132" i="1"/>
  <c r="GN132" i="1"/>
  <c r="GM132" i="1"/>
  <c r="GL132" i="1"/>
  <c r="FY132" i="1"/>
  <c r="FP132" i="1"/>
  <c r="FZ132" i="1"/>
  <c r="FX132" i="1"/>
  <c r="GE132" i="1"/>
  <c r="GD132" i="1"/>
  <c r="GC132" i="1"/>
  <c r="GB132" i="1"/>
  <c r="AN132" i="1"/>
  <c r="AM132" i="1"/>
  <c r="GO131" i="1"/>
  <c r="GN131" i="1"/>
  <c r="GM131" i="1"/>
  <c r="GL131" i="1"/>
  <c r="FP131" i="1"/>
  <c r="FZ131" i="1"/>
  <c r="FY131" i="1"/>
  <c r="FX131" i="1"/>
  <c r="GE131" i="1"/>
  <c r="GD131" i="1"/>
  <c r="GC131" i="1"/>
  <c r="GB131" i="1"/>
  <c r="AN131" i="1"/>
  <c r="AM131" i="1"/>
  <c r="GO130" i="1"/>
  <c r="GN130" i="1"/>
  <c r="GM130" i="1"/>
  <c r="GL130" i="1"/>
  <c r="FY130" i="1"/>
  <c r="FP130" i="1"/>
  <c r="FZ130" i="1"/>
  <c r="FX130" i="1"/>
  <c r="GE130" i="1"/>
  <c r="GD130" i="1"/>
  <c r="GC130" i="1"/>
  <c r="GB130" i="1"/>
  <c r="AN130" i="1"/>
  <c r="AM130" i="1"/>
  <c r="GO129" i="1"/>
  <c r="GN129" i="1"/>
  <c r="GM129" i="1"/>
  <c r="GL129" i="1"/>
  <c r="FP129" i="1"/>
  <c r="FZ129" i="1"/>
  <c r="FY129" i="1"/>
  <c r="FX129" i="1"/>
  <c r="GE129" i="1"/>
  <c r="GD129" i="1"/>
  <c r="GC129" i="1"/>
  <c r="AN129" i="1"/>
  <c r="AM129" i="1"/>
  <c r="GO128" i="1"/>
  <c r="GN128" i="1"/>
  <c r="GM128" i="1"/>
  <c r="GL128" i="1"/>
  <c r="FP128" i="1"/>
  <c r="FZ128" i="1"/>
  <c r="FY128" i="1"/>
  <c r="FX128" i="1"/>
  <c r="FW128" i="1"/>
  <c r="GE128" i="1"/>
  <c r="GD128" i="1"/>
  <c r="GC128" i="1"/>
  <c r="GB128" i="1"/>
  <c r="AN128" i="1"/>
  <c r="AM128" i="1"/>
  <c r="GO127" i="1"/>
  <c r="GN127" i="1"/>
  <c r="GM127" i="1"/>
  <c r="GL127" i="1"/>
  <c r="FP127" i="1"/>
  <c r="FZ127" i="1"/>
  <c r="FY127" i="1"/>
  <c r="FX127" i="1"/>
  <c r="GE127" i="1"/>
  <c r="GD127" i="1"/>
  <c r="GC127" i="1"/>
  <c r="AN127" i="1"/>
  <c r="AM127" i="1"/>
  <c r="GO126" i="1"/>
  <c r="GN126" i="1"/>
  <c r="GM126" i="1"/>
  <c r="GL126" i="1"/>
  <c r="FP126" i="1"/>
  <c r="FZ126" i="1"/>
  <c r="FY126" i="1"/>
  <c r="FX126" i="1"/>
  <c r="FW126" i="1"/>
  <c r="GE126" i="1"/>
  <c r="GD126" i="1"/>
  <c r="GC126" i="1"/>
  <c r="GB126" i="1"/>
  <c r="AN126" i="1"/>
  <c r="AM126" i="1"/>
  <c r="GO125" i="1"/>
  <c r="GN125" i="1"/>
  <c r="GM125" i="1"/>
  <c r="GL125" i="1"/>
  <c r="FP125" i="1"/>
  <c r="FZ125" i="1"/>
  <c r="FY125" i="1"/>
  <c r="FX125" i="1"/>
  <c r="GE125" i="1"/>
  <c r="GD125" i="1"/>
  <c r="GC125" i="1"/>
  <c r="AN125" i="1"/>
  <c r="AM125" i="1"/>
  <c r="GO124" i="1"/>
  <c r="GN124" i="1"/>
  <c r="GM124" i="1"/>
  <c r="GL124" i="1"/>
  <c r="FY124" i="1"/>
  <c r="FP124" i="1"/>
  <c r="FZ124" i="1"/>
  <c r="FX124" i="1"/>
  <c r="GE124" i="1"/>
  <c r="GD124" i="1"/>
  <c r="GC124" i="1"/>
  <c r="GB124" i="1"/>
  <c r="AN124" i="1"/>
  <c r="AM124" i="1"/>
  <c r="GO123" i="1"/>
  <c r="GN123" i="1"/>
  <c r="GM123" i="1"/>
  <c r="GL123" i="1"/>
  <c r="FP123" i="1"/>
  <c r="FZ123" i="1"/>
  <c r="FY123" i="1"/>
  <c r="FX123" i="1"/>
  <c r="GE123" i="1"/>
  <c r="GD123" i="1"/>
  <c r="GC123" i="1"/>
  <c r="GB123" i="1"/>
  <c r="AN123" i="1"/>
  <c r="AM123" i="1"/>
  <c r="GO122" i="1"/>
  <c r="GN122" i="1"/>
  <c r="GM122" i="1"/>
  <c r="GL122" i="1"/>
  <c r="FY122" i="1"/>
  <c r="FP122" i="1"/>
  <c r="FZ122" i="1"/>
  <c r="FX122" i="1"/>
  <c r="FW122" i="1"/>
  <c r="GE122" i="1"/>
  <c r="GD122" i="1"/>
  <c r="GC122" i="1"/>
  <c r="GB122" i="1"/>
  <c r="AN122" i="1"/>
  <c r="AM122" i="1"/>
  <c r="GO121" i="1"/>
  <c r="GN121" i="1"/>
  <c r="GM121" i="1"/>
  <c r="GL121" i="1"/>
  <c r="FP121" i="1"/>
  <c r="FZ121" i="1"/>
  <c r="FY121" i="1"/>
  <c r="FX121" i="1"/>
  <c r="GE121" i="1"/>
  <c r="GD121" i="1"/>
  <c r="GC121" i="1"/>
  <c r="AN121" i="1"/>
  <c r="AM121" i="1"/>
  <c r="GO120" i="1"/>
  <c r="GN120" i="1"/>
  <c r="GM120" i="1"/>
  <c r="GL120" i="1"/>
  <c r="FP120" i="1"/>
  <c r="FZ120" i="1"/>
  <c r="FY120" i="1"/>
  <c r="FX120" i="1"/>
  <c r="GE120" i="1"/>
  <c r="GD120" i="1"/>
  <c r="GC120" i="1"/>
  <c r="GB120" i="1"/>
  <c r="AN120" i="1"/>
  <c r="AM120" i="1"/>
  <c r="GO119" i="1"/>
  <c r="GN119" i="1"/>
  <c r="GM119" i="1"/>
  <c r="GL119" i="1"/>
  <c r="FP119" i="1"/>
  <c r="FZ119" i="1"/>
  <c r="FY119" i="1"/>
  <c r="FX119" i="1"/>
  <c r="GE119" i="1"/>
  <c r="GD119" i="1"/>
  <c r="GC119" i="1"/>
  <c r="GB119" i="1"/>
  <c r="AN119" i="1"/>
  <c r="AM119" i="1"/>
  <c r="GO118" i="1"/>
  <c r="GN118" i="1"/>
  <c r="GM118" i="1"/>
  <c r="GL118" i="1"/>
  <c r="FP118" i="1"/>
  <c r="FZ118" i="1"/>
  <c r="FY118" i="1"/>
  <c r="FX118" i="1"/>
  <c r="FW118" i="1"/>
  <c r="GE118" i="1"/>
  <c r="GD118" i="1"/>
  <c r="GC118" i="1"/>
  <c r="AN118" i="1"/>
  <c r="AM118" i="1"/>
  <c r="GO117" i="1"/>
  <c r="GN117" i="1"/>
  <c r="GM117" i="1"/>
  <c r="GL117" i="1"/>
  <c r="FP117" i="1"/>
  <c r="FZ117" i="1"/>
  <c r="FY117" i="1"/>
  <c r="FX117" i="1"/>
  <c r="FW117" i="1"/>
  <c r="GE117" i="1"/>
  <c r="GD117" i="1"/>
  <c r="GC117" i="1"/>
  <c r="AN117" i="1"/>
  <c r="AM117" i="1"/>
  <c r="GO116" i="1"/>
  <c r="GN116" i="1"/>
  <c r="GM116" i="1"/>
  <c r="GL116" i="1"/>
  <c r="FP116" i="1"/>
  <c r="FZ116" i="1"/>
  <c r="FY116" i="1"/>
  <c r="FX116" i="1"/>
  <c r="FW116" i="1"/>
  <c r="GE116" i="1"/>
  <c r="GD116" i="1"/>
  <c r="GC116" i="1"/>
  <c r="AN116" i="1"/>
  <c r="AM116" i="1"/>
  <c r="GO115" i="1"/>
  <c r="GN115" i="1"/>
  <c r="GM115" i="1"/>
  <c r="GL115" i="1"/>
  <c r="FZ115" i="1"/>
  <c r="FP115" i="1"/>
  <c r="FY115" i="1"/>
  <c r="FX115" i="1"/>
  <c r="FW115" i="1"/>
  <c r="GE115" i="1"/>
  <c r="GD115" i="1"/>
  <c r="GC115" i="1"/>
  <c r="AN115" i="1"/>
  <c r="AM115" i="1"/>
  <c r="GO114" i="1"/>
  <c r="GN114" i="1"/>
  <c r="GM114" i="1"/>
  <c r="GL114" i="1"/>
  <c r="FP114" i="1"/>
  <c r="FZ114" i="1"/>
  <c r="FY114" i="1"/>
  <c r="FX114" i="1"/>
  <c r="FW114" i="1"/>
  <c r="GE114" i="1"/>
  <c r="GD114" i="1"/>
  <c r="GC114" i="1"/>
  <c r="AN114" i="1"/>
  <c r="AM114" i="1"/>
  <c r="M32" i="3"/>
  <c r="A32" i="3" s="1"/>
  <c r="M31" i="3"/>
  <c r="A31" i="3" s="1"/>
  <c r="M30" i="3"/>
  <c r="A30" i="3" s="1"/>
  <c r="GO113" i="1"/>
  <c r="GN113" i="1"/>
  <c r="GM113" i="1"/>
  <c r="GL113" i="1"/>
  <c r="FP113" i="1"/>
  <c r="FZ113" i="1"/>
  <c r="FY113" i="1"/>
  <c r="FX113" i="1"/>
  <c r="GE113" i="1"/>
  <c r="GD113" i="1"/>
  <c r="GC113" i="1"/>
  <c r="GB113" i="1"/>
  <c r="AN113" i="1"/>
  <c r="AM113" i="1"/>
  <c r="T113" i="1"/>
  <c r="BP113" i="1" s="1"/>
  <c r="GO112" i="1"/>
  <c r="GN112" i="1"/>
  <c r="GM112" i="1"/>
  <c r="GL112" i="1"/>
  <c r="FP112" i="1"/>
  <c r="FZ112" i="1"/>
  <c r="FY112" i="1"/>
  <c r="FX112" i="1"/>
  <c r="FW112" i="1"/>
  <c r="GE112" i="1"/>
  <c r="GD112" i="1"/>
  <c r="GC112" i="1"/>
  <c r="AN112" i="1"/>
  <c r="AM112" i="1"/>
  <c r="T112" i="1"/>
  <c r="GO111" i="1"/>
  <c r="GN111" i="1"/>
  <c r="GM111" i="1"/>
  <c r="GL111" i="1"/>
  <c r="FP111" i="1"/>
  <c r="FZ111" i="1"/>
  <c r="FY111" i="1"/>
  <c r="FX111" i="1"/>
  <c r="FW111" i="1"/>
  <c r="GE111" i="1"/>
  <c r="GD111" i="1"/>
  <c r="GC111" i="1"/>
  <c r="AN111" i="1"/>
  <c r="AM111" i="1"/>
  <c r="T111" i="1"/>
  <c r="BP111" i="1" s="1"/>
  <c r="GO110" i="1"/>
  <c r="GN110" i="1"/>
  <c r="GM110" i="1"/>
  <c r="GL110" i="1"/>
  <c r="FP110" i="1"/>
  <c r="FZ110" i="1"/>
  <c r="FY110" i="1"/>
  <c r="FX110" i="1"/>
  <c r="GE110" i="1"/>
  <c r="GD110" i="1"/>
  <c r="GC110" i="1"/>
  <c r="GB110" i="1"/>
  <c r="AN110" i="1"/>
  <c r="AM110" i="1"/>
  <c r="T110" i="1"/>
  <c r="GO109" i="1"/>
  <c r="GN109" i="1"/>
  <c r="GM109" i="1"/>
  <c r="GL109" i="1"/>
  <c r="FP109" i="1"/>
  <c r="FZ109" i="1"/>
  <c r="FY109" i="1"/>
  <c r="FX109" i="1"/>
  <c r="FW109" i="1"/>
  <c r="GE109" i="1"/>
  <c r="GD109" i="1"/>
  <c r="GC109" i="1"/>
  <c r="AN109" i="1"/>
  <c r="AM109" i="1"/>
  <c r="T109" i="1"/>
  <c r="BP109" i="1" s="1"/>
  <c r="GO108" i="1"/>
  <c r="GN108" i="1"/>
  <c r="GM108" i="1"/>
  <c r="GL108" i="1"/>
  <c r="FP108" i="1"/>
  <c r="FZ108" i="1"/>
  <c r="FY108" i="1"/>
  <c r="FX108" i="1"/>
  <c r="GE108" i="1"/>
  <c r="GD108" i="1"/>
  <c r="GC108" i="1"/>
  <c r="GB108" i="1"/>
  <c r="AN108" i="1"/>
  <c r="AM108" i="1"/>
  <c r="T108" i="1"/>
  <c r="EV108" i="1" s="1"/>
  <c r="GO107" i="1"/>
  <c r="GN107" i="1"/>
  <c r="GM107" i="1"/>
  <c r="GL107" i="1"/>
  <c r="FP107" i="1"/>
  <c r="FZ107" i="1"/>
  <c r="FY107" i="1"/>
  <c r="FX107" i="1"/>
  <c r="FW107" i="1"/>
  <c r="GE107" i="1"/>
  <c r="GD107" i="1"/>
  <c r="GC107" i="1"/>
  <c r="AN107" i="1"/>
  <c r="AM107" i="1"/>
  <c r="T107" i="1"/>
  <c r="BP107" i="1" s="1"/>
  <c r="GO106" i="1"/>
  <c r="GN106" i="1"/>
  <c r="GM106" i="1"/>
  <c r="GL106" i="1"/>
  <c r="FP106" i="1"/>
  <c r="FZ106" i="1"/>
  <c r="FY106" i="1"/>
  <c r="FX106" i="1"/>
  <c r="GE106" i="1"/>
  <c r="GD106" i="1"/>
  <c r="GC106" i="1"/>
  <c r="GB106" i="1"/>
  <c r="AN106" i="1"/>
  <c r="AM106" i="1"/>
  <c r="T106" i="1"/>
  <c r="DT106" i="1" s="1"/>
  <c r="GO105" i="1"/>
  <c r="GN105" i="1"/>
  <c r="GM105" i="1"/>
  <c r="GL105" i="1"/>
  <c r="FP105" i="1"/>
  <c r="FZ105" i="1"/>
  <c r="FY105" i="1"/>
  <c r="FX105" i="1"/>
  <c r="FW105" i="1"/>
  <c r="GE105" i="1"/>
  <c r="GD105" i="1"/>
  <c r="GC105" i="1"/>
  <c r="AN105" i="1"/>
  <c r="AM105" i="1"/>
  <c r="T105" i="1"/>
  <c r="BP105" i="1" s="1"/>
  <c r="GO104" i="1"/>
  <c r="GN104" i="1"/>
  <c r="GM104" i="1"/>
  <c r="GL104" i="1"/>
  <c r="FP104" i="1"/>
  <c r="FZ104" i="1"/>
  <c r="FY104" i="1"/>
  <c r="FX104" i="1"/>
  <c r="GE104" i="1"/>
  <c r="GD104" i="1"/>
  <c r="GC104" i="1"/>
  <c r="GB104" i="1"/>
  <c r="AN104" i="1"/>
  <c r="AM104" i="1"/>
  <c r="T104" i="1"/>
  <c r="EV104" i="1" s="1"/>
  <c r="GO103" i="1"/>
  <c r="GN103" i="1"/>
  <c r="GM103" i="1"/>
  <c r="GL103" i="1"/>
  <c r="FP103" i="1"/>
  <c r="FZ103" i="1"/>
  <c r="FY103" i="1"/>
  <c r="FX103" i="1"/>
  <c r="FW103" i="1"/>
  <c r="GE103" i="1"/>
  <c r="GD103" i="1"/>
  <c r="GC103" i="1"/>
  <c r="AN103" i="1"/>
  <c r="AM103" i="1"/>
  <c r="T103" i="1"/>
  <c r="BP103" i="1" s="1"/>
  <c r="GO102" i="1"/>
  <c r="GN102" i="1"/>
  <c r="GM102" i="1"/>
  <c r="GL102" i="1"/>
  <c r="FP102" i="1"/>
  <c r="FZ102" i="1"/>
  <c r="FY102" i="1"/>
  <c r="FX102" i="1"/>
  <c r="FW102" i="1"/>
  <c r="GE102" i="1"/>
  <c r="GD102" i="1"/>
  <c r="GC102" i="1"/>
  <c r="AN102" i="1"/>
  <c r="AM102" i="1"/>
  <c r="T102" i="1"/>
  <c r="GO101" i="1"/>
  <c r="GN101" i="1"/>
  <c r="GM101" i="1"/>
  <c r="GL101" i="1"/>
  <c r="FP101" i="1"/>
  <c r="FZ101" i="1"/>
  <c r="FY101" i="1"/>
  <c r="FX101" i="1"/>
  <c r="GE101" i="1"/>
  <c r="GD101" i="1"/>
  <c r="GC101" i="1"/>
  <c r="GB101" i="1"/>
  <c r="AN101" i="1"/>
  <c r="AM101" i="1"/>
  <c r="T101" i="1"/>
  <c r="GO100" i="1"/>
  <c r="GN100" i="1"/>
  <c r="GM100" i="1"/>
  <c r="GL100" i="1"/>
  <c r="FP100" i="1"/>
  <c r="FZ100" i="1"/>
  <c r="FY100" i="1"/>
  <c r="FX100" i="1"/>
  <c r="FW100" i="1"/>
  <c r="GE100" i="1"/>
  <c r="GD100" i="1"/>
  <c r="GC100" i="1"/>
  <c r="AN100" i="1"/>
  <c r="AM100" i="1"/>
  <c r="T100" i="1"/>
  <c r="BP100" i="1" s="1"/>
  <c r="GO99" i="1"/>
  <c r="GN99" i="1"/>
  <c r="GM99" i="1"/>
  <c r="GL99" i="1"/>
  <c r="FP99" i="1"/>
  <c r="FZ99" i="1"/>
  <c r="FY99" i="1"/>
  <c r="FX99" i="1"/>
  <c r="FW99" i="1"/>
  <c r="GE99" i="1"/>
  <c r="GD99" i="1"/>
  <c r="GC99" i="1"/>
  <c r="AN99" i="1"/>
  <c r="AM99" i="1"/>
  <c r="T99" i="1"/>
  <c r="BP99" i="1" s="1"/>
  <c r="GO98" i="1"/>
  <c r="GN98" i="1"/>
  <c r="GM98" i="1"/>
  <c r="GL98" i="1"/>
  <c r="FP98" i="1"/>
  <c r="FZ98" i="1"/>
  <c r="FY98" i="1"/>
  <c r="FX98" i="1"/>
  <c r="GE98" i="1"/>
  <c r="GD98" i="1"/>
  <c r="GC98" i="1"/>
  <c r="GB98" i="1"/>
  <c r="AN98" i="1"/>
  <c r="AM98" i="1"/>
  <c r="T98" i="1"/>
  <c r="BP98" i="1" s="1"/>
  <c r="GO97" i="1"/>
  <c r="GN97" i="1"/>
  <c r="GM97" i="1"/>
  <c r="GL97" i="1"/>
  <c r="FP97" i="1"/>
  <c r="FZ97" i="1"/>
  <c r="FY97" i="1"/>
  <c r="FX97" i="1"/>
  <c r="FW97" i="1"/>
  <c r="GE97" i="1"/>
  <c r="GD97" i="1"/>
  <c r="GC97" i="1"/>
  <c r="AN97" i="1"/>
  <c r="AM97" i="1"/>
  <c r="T97" i="1"/>
  <c r="BP97" i="1" s="1"/>
  <c r="GO96" i="1"/>
  <c r="GN96" i="1"/>
  <c r="GM96" i="1"/>
  <c r="GL96" i="1"/>
  <c r="FP96" i="1"/>
  <c r="FZ96" i="1"/>
  <c r="FY96" i="1"/>
  <c r="FX96" i="1"/>
  <c r="GE96" i="1"/>
  <c r="GD96" i="1"/>
  <c r="GC96" i="1"/>
  <c r="GB96" i="1"/>
  <c r="AN96" i="1"/>
  <c r="AM96" i="1"/>
  <c r="T96" i="1"/>
  <c r="GO95" i="1"/>
  <c r="GN95" i="1"/>
  <c r="GM95" i="1"/>
  <c r="GL95" i="1"/>
  <c r="FP95" i="1"/>
  <c r="FZ95" i="1"/>
  <c r="FY95" i="1"/>
  <c r="FX95" i="1"/>
  <c r="FW95" i="1"/>
  <c r="GE95" i="1"/>
  <c r="GD95" i="1"/>
  <c r="GC95" i="1"/>
  <c r="AN95" i="1"/>
  <c r="AM95" i="1"/>
  <c r="T95" i="1"/>
  <c r="BP95" i="1" s="1"/>
  <c r="GO94" i="1"/>
  <c r="GN94" i="1"/>
  <c r="GM94" i="1"/>
  <c r="GL94" i="1"/>
  <c r="FP94" i="1"/>
  <c r="FZ94" i="1"/>
  <c r="FY94" i="1"/>
  <c r="FX94" i="1"/>
  <c r="GE94" i="1"/>
  <c r="GD94" i="1"/>
  <c r="GC94" i="1"/>
  <c r="GB94" i="1"/>
  <c r="AN94" i="1"/>
  <c r="AM94" i="1"/>
  <c r="T94" i="1"/>
  <c r="BP94" i="1" s="1"/>
  <c r="GO93" i="1"/>
  <c r="GN93" i="1"/>
  <c r="GM93" i="1"/>
  <c r="GL93" i="1"/>
  <c r="FP93" i="1"/>
  <c r="FZ93" i="1"/>
  <c r="FY93" i="1"/>
  <c r="FX93" i="1"/>
  <c r="GE93" i="1"/>
  <c r="GD93" i="1"/>
  <c r="GC93" i="1"/>
  <c r="GB93" i="1"/>
  <c r="AN93" i="1"/>
  <c r="AM93" i="1"/>
  <c r="T93" i="1"/>
  <c r="GO92" i="1"/>
  <c r="GN92" i="1"/>
  <c r="GM92" i="1"/>
  <c r="GL92" i="1"/>
  <c r="FP92" i="1"/>
  <c r="FZ92" i="1"/>
  <c r="FY92" i="1"/>
  <c r="FX92" i="1"/>
  <c r="FW92" i="1"/>
  <c r="GE92" i="1"/>
  <c r="GD92" i="1"/>
  <c r="GC92" i="1"/>
  <c r="AN92" i="1"/>
  <c r="AM92" i="1"/>
  <c r="T92" i="1"/>
  <c r="BP92" i="1" s="1"/>
  <c r="GO91" i="1"/>
  <c r="GN91" i="1"/>
  <c r="GM91" i="1"/>
  <c r="GL91" i="1"/>
  <c r="FP91" i="1"/>
  <c r="FZ91" i="1"/>
  <c r="FY91" i="1"/>
  <c r="FX91" i="1"/>
  <c r="GE91" i="1"/>
  <c r="GD91" i="1"/>
  <c r="GC91" i="1"/>
  <c r="GB91" i="1"/>
  <c r="AN91" i="1"/>
  <c r="AM91" i="1"/>
  <c r="T91" i="1"/>
  <c r="GO90" i="1"/>
  <c r="GN90" i="1"/>
  <c r="GM90" i="1"/>
  <c r="GL90" i="1"/>
  <c r="FP90" i="1"/>
  <c r="FZ90" i="1"/>
  <c r="FY90" i="1"/>
  <c r="FX90" i="1"/>
  <c r="FW90" i="1"/>
  <c r="GE90" i="1"/>
  <c r="GD90" i="1"/>
  <c r="GC90" i="1"/>
  <c r="AN90" i="1"/>
  <c r="AM90" i="1"/>
  <c r="T90" i="1"/>
  <c r="GO89" i="1"/>
  <c r="GN89" i="1"/>
  <c r="GM89" i="1"/>
  <c r="GL89" i="1"/>
  <c r="FP89" i="1"/>
  <c r="FZ89" i="1"/>
  <c r="FY89" i="1"/>
  <c r="FX89" i="1"/>
  <c r="GE89" i="1"/>
  <c r="GD89" i="1"/>
  <c r="GC89" i="1"/>
  <c r="GB89" i="1"/>
  <c r="AN89" i="1"/>
  <c r="AM89" i="1"/>
  <c r="T89" i="1"/>
  <c r="GO88" i="1"/>
  <c r="GN88" i="1"/>
  <c r="GM88" i="1"/>
  <c r="GL88" i="1"/>
  <c r="FP88" i="1"/>
  <c r="FZ88" i="1"/>
  <c r="FY88" i="1"/>
  <c r="FX88" i="1"/>
  <c r="FW88" i="1"/>
  <c r="GE88" i="1"/>
  <c r="GD88" i="1"/>
  <c r="GC88" i="1"/>
  <c r="AN88" i="1"/>
  <c r="AM88" i="1"/>
  <c r="T88" i="1"/>
  <c r="BP88" i="1" s="1"/>
  <c r="GO87" i="1"/>
  <c r="GN87" i="1"/>
  <c r="GM87" i="1"/>
  <c r="GL87" i="1"/>
  <c r="FX87" i="1"/>
  <c r="FP87" i="1"/>
  <c r="FZ87" i="1"/>
  <c r="FY87" i="1"/>
  <c r="FW87" i="1"/>
  <c r="GE87" i="1"/>
  <c r="GD87" i="1"/>
  <c r="GC87" i="1"/>
  <c r="AN87" i="1"/>
  <c r="AM87" i="1"/>
  <c r="T87" i="1"/>
  <c r="BP87" i="1" s="1"/>
  <c r="GO86" i="1"/>
  <c r="GN86" i="1"/>
  <c r="GM86" i="1"/>
  <c r="GL86" i="1"/>
  <c r="FP86" i="1"/>
  <c r="FZ86" i="1"/>
  <c r="FY86" i="1"/>
  <c r="FX86" i="1"/>
  <c r="GE86" i="1"/>
  <c r="GD86" i="1"/>
  <c r="GC86" i="1"/>
  <c r="GB86" i="1"/>
  <c r="AN86" i="1"/>
  <c r="AM86" i="1"/>
  <c r="T86" i="1"/>
  <c r="GO85" i="1"/>
  <c r="GN85" i="1"/>
  <c r="GM85" i="1"/>
  <c r="GL85" i="1"/>
  <c r="FP85" i="1"/>
  <c r="FZ85" i="1"/>
  <c r="FY85" i="1"/>
  <c r="FX85" i="1"/>
  <c r="FW85" i="1"/>
  <c r="GE85" i="1"/>
  <c r="GD85" i="1"/>
  <c r="GC85" i="1"/>
  <c r="AN85" i="1"/>
  <c r="AM85" i="1"/>
  <c r="T85" i="1"/>
  <c r="GO83" i="1"/>
  <c r="GN83" i="1"/>
  <c r="GM83" i="1"/>
  <c r="GL83" i="1"/>
  <c r="FY83" i="1"/>
  <c r="FP83" i="1"/>
  <c r="FZ83" i="1"/>
  <c r="FX83" i="1"/>
  <c r="GE83" i="1"/>
  <c r="GD83" i="1"/>
  <c r="GC83" i="1"/>
  <c r="GB83" i="1"/>
  <c r="AN83" i="1"/>
  <c r="AM83" i="1"/>
  <c r="T83" i="1"/>
  <c r="BP83" i="1" s="1"/>
  <c r="GO82" i="1"/>
  <c r="GN82" i="1"/>
  <c r="GM82" i="1"/>
  <c r="GL82" i="1"/>
  <c r="FP82" i="1"/>
  <c r="FZ82" i="1"/>
  <c r="FY82" i="1"/>
  <c r="FX82" i="1"/>
  <c r="FW82" i="1"/>
  <c r="GE82" i="1"/>
  <c r="GD82" i="1"/>
  <c r="GC82" i="1"/>
  <c r="AN82" i="1"/>
  <c r="AM82" i="1"/>
  <c r="T82" i="1"/>
  <c r="CR82" i="1" s="1"/>
  <c r="GO81" i="1"/>
  <c r="GN81" i="1"/>
  <c r="GM81" i="1"/>
  <c r="GL81" i="1"/>
  <c r="FP81" i="1"/>
  <c r="FZ81" i="1"/>
  <c r="FY81" i="1"/>
  <c r="FX81" i="1"/>
  <c r="GE81" i="1"/>
  <c r="GD81" i="1"/>
  <c r="GC81" i="1"/>
  <c r="GB81" i="1"/>
  <c r="AN81" i="1"/>
  <c r="AM81" i="1"/>
  <c r="T81" i="1"/>
  <c r="GO80" i="1"/>
  <c r="GN80" i="1"/>
  <c r="GM80" i="1"/>
  <c r="GL80" i="1"/>
  <c r="FP80" i="1"/>
  <c r="FZ80" i="1"/>
  <c r="FY80" i="1"/>
  <c r="FX80" i="1"/>
  <c r="FW80" i="1"/>
  <c r="GE80" i="1"/>
  <c r="GD80" i="1"/>
  <c r="GC80" i="1"/>
  <c r="AN80" i="1"/>
  <c r="AM80" i="1"/>
  <c r="T80" i="1"/>
  <c r="BP80" i="1" s="1"/>
  <c r="GO79" i="1"/>
  <c r="GN79" i="1"/>
  <c r="GM79" i="1"/>
  <c r="GL79" i="1"/>
  <c r="FP79" i="1"/>
  <c r="FZ79" i="1"/>
  <c r="FY79" i="1"/>
  <c r="FX79" i="1"/>
  <c r="GE79" i="1"/>
  <c r="GD79" i="1"/>
  <c r="GC79" i="1"/>
  <c r="GB79" i="1"/>
  <c r="AN79" i="1"/>
  <c r="AM79" i="1"/>
  <c r="T79" i="1"/>
  <c r="GO78" i="1"/>
  <c r="GN78" i="1"/>
  <c r="GM78" i="1"/>
  <c r="GL78" i="1"/>
  <c r="FZ78" i="1"/>
  <c r="FP78" i="1"/>
  <c r="FY78" i="1"/>
  <c r="FX78" i="1"/>
  <c r="FW78" i="1"/>
  <c r="GE78" i="1"/>
  <c r="GD78" i="1"/>
  <c r="GC78" i="1"/>
  <c r="AN78" i="1"/>
  <c r="AM78" i="1"/>
  <c r="T78" i="1"/>
  <c r="EV78" i="1" s="1"/>
  <c r="GO77" i="1"/>
  <c r="GN77" i="1"/>
  <c r="GM77" i="1"/>
  <c r="GL77" i="1"/>
  <c r="FP77" i="1"/>
  <c r="FZ77" i="1"/>
  <c r="FY77" i="1"/>
  <c r="FX77" i="1"/>
  <c r="GE77" i="1"/>
  <c r="GD77" i="1"/>
  <c r="GC77" i="1"/>
  <c r="GB77" i="1"/>
  <c r="AN77" i="1"/>
  <c r="AM77" i="1"/>
  <c r="T77" i="1"/>
  <c r="GO76" i="1"/>
  <c r="GN76" i="1"/>
  <c r="GM76" i="1"/>
  <c r="GL76" i="1"/>
  <c r="FP76" i="1"/>
  <c r="FZ76" i="1"/>
  <c r="FY76" i="1"/>
  <c r="FX76" i="1"/>
  <c r="FW76" i="1"/>
  <c r="GE76" i="1"/>
  <c r="GD76" i="1"/>
  <c r="GC76" i="1"/>
  <c r="AN76" i="1"/>
  <c r="AM76" i="1"/>
  <c r="T76" i="1"/>
  <c r="BP76" i="1" s="1"/>
  <c r="GO74" i="1"/>
  <c r="GN74" i="1"/>
  <c r="GM74" i="1"/>
  <c r="GL74" i="1"/>
  <c r="FP74" i="1"/>
  <c r="FZ74" i="1"/>
  <c r="FY74" i="1"/>
  <c r="FX74" i="1"/>
  <c r="GE74" i="1"/>
  <c r="GD74" i="1"/>
  <c r="GC74" i="1"/>
  <c r="GB74" i="1"/>
  <c r="AN74" i="1"/>
  <c r="AM74" i="1"/>
  <c r="T74" i="1"/>
  <c r="BP74" i="1" s="1"/>
  <c r="GO73" i="1"/>
  <c r="GN73" i="1"/>
  <c r="GM73" i="1"/>
  <c r="GL73" i="1"/>
  <c r="FP73" i="1"/>
  <c r="FZ73" i="1"/>
  <c r="FY73" i="1"/>
  <c r="FX73" i="1"/>
  <c r="FW73" i="1"/>
  <c r="GE73" i="1"/>
  <c r="GD73" i="1"/>
  <c r="GC73" i="1"/>
  <c r="AN73" i="1"/>
  <c r="AM73" i="1"/>
  <c r="T73" i="1"/>
  <c r="BP73" i="1" s="1"/>
  <c r="GO72" i="1"/>
  <c r="GN72" i="1"/>
  <c r="GM72" i="1"/>
  <c r="GL72" i="1"/>
  <c r="FP72" i="1"/>
  <c r="FZ72" i="1"/>
  <c r="FY72" i="1"/>
  <c r="FX72" i="1"/>
  <c r="GE72" i="1"/>
  <c r="GD72" i="1"/>
  <c r="GC72" i="1"/>
  <c r="GB72" i="1"/>
  <c r="AN72" i="1"/>
  <c r="AM72" i="1"/>
  <c r="T72" i="1"/>
  <c r="GO71" i="1"/>
  <c r="GN71" i="1"/>
  <c r="GM71" i="1"/>
  <c r="GL71" i="1"/>
  <c r="FX71" i="1"/>
  <c r="FP71" i="1"/>
  <c r="FZ71" i="1"/>
  <c r="FY71" i="1"/>
  <c r="FW71" i="1"/>
  <c r="GE71" i="1"/>
  <c r="GD71" i="1"/>
  <c r="GC71" i="1"/>
  <c r="AN71" i="1"/>
  <c r="AM71" i="1"/>
  <c r="T71" i="1"/>
  <c r="BP71" i="1" s="1"/>
  <c r="GO70" i="1"/>
  <c r="GN70" i="1"/>
  <c r="GM70" i="1"/>
  <c r="GL70" i="1"/>
  <c r="FP70" i="1"/>
  <c r="FZ70" i="1"/>
  <c r="FY70" i="1"/>
  <c r="FX70" i="1"/>
  <c r="GE70" i="1"/>
  <c r="GD70" i="1"/>
  <c r="GC70" i="1"/>
  <c r="GB70" i="1"/>
  <c r="AN70" i="1"/>
  <c r="AM70" i="1"/>
  <c r="T70" i="1"/>
  <c r="BP70" i="1" s="1"/>
  <c r="GO69" i="1"/>
  <c r="GN69" i="1"/>
  <c r="GM69" i="1"/>
  <c r="GL69" i="1"/>
  <c r="FP69" i="1"/>
  <c r="FZ69" i="1"/>
  <c r="FY69" i="1"/>
  <c r="FX69" i="1"/>
  <c r="GE69" i="1"/>
  <c r="GD69" i="1"/>
  <c r="GC69" i="1"/>
  <c r="GB69" i="1"/>
  <c r="AN69" i="1"/>
  <c r="AM69" i="1"/>
  <c r="T69" i="1"/>
  <c r="CR69" i="1" s="1"/>
  <c r="GO67" i="1"/>
  <c r="GN67" i="1"/>
  <c r="GM67" i="1"/>
  <c r="GL67" i="1"/>
  <c r="FX67" i="1"/>
  <c r="FP67" i="1"/>
  <c r="FZ67" i="1"/>
  <c r="FY67" i="1"/>
  <c r="FW67" i="1"/>
  <c r="GE67" i="1"/>
  <c r="GD67" i="1"/>
  <c r="GC67" i="1"/>
  <c r="AN67" i="1"/>
  <c r="AM67" i="1"/>
  <c r="T67" i="1"/>
  <c r="GO66" i="1"/>
  <c r="GN66" i="1"/>
  <c r="GM66" i="1"/>
  <c r="GL66" i="1"/>
  <c r="FP66" i="1"/>
  <c r="FZ66" i="1"/>
  <c r="FY66" i="1"/>
  <c r="FX66" i="1"/>
  <c r="GE66" i="1"/>
  <c r="GD66" i="1"/>
  <c r="GC66" i="1"/>
  <c r="GB66" i="1"/>
  <c r="AN66" i="1"/>
  <c r="AM66" i="1"/>
  <c r="T66" i="1"/>
  <c r="GO65" i="1"/>
  <c r="GN65" i="1"/>
  <c r="GM65" i="1"/>
  <c r="GL65" i="1"/>
  <c r="FP65" i="1"/>
  <c r="FZ65" i="1"/>
  <c r="FY65" i="1"/>
  <c r="FX65" i="1"/>
  <c r="FW65" i="1"/>
  <c r="GE65" i="1"/>
  <c r="GD65" i="1"/>
  <c r="GC65" i="1"/>
  <c r="AN65" i="1"/>
  <c r="AM65" i="1"/>
  <c r="T65" i="1"/>
  <c r="BP65" i="1" s="1"/>
  <c r="GO64" i="1"/>
  <c r="GN64" i="1"/>
  <c r="GM64" i="1"/>
  <c r="GL64" i="1"/>
  <c r="FP64" i="1"/>
  <c r="FZ64" i="1"/>
  <c r="FY64" i="1"/>
  <c r="FX64" i="1"/>
  <c r="GE64" i="1"/>
  <c r="GD64" i="1"/>
  <c r="GC64" i="1"/>
  <c r="GB64" i="1"/>
  <c r="AN64" i="1"/>
  <c r="AM64" i="1"/>
  <c r="T64" i="1"/>
  <c r="GO62" i="1"/>
  <c r="GN62" i="1"/>
  <c r="GM62" i="1"/>
  <c r="GL62" i="1"/>
  <c r="FP62" i="1"/>
  <c r="FZ62" i="1"/>
  <c r="FY62" i="1"/>
  <c r="FX62" i="1"/>
  <c r="FW62" i="1"/>
  <c r="GE62" i="1"/>
  <c r="GD62" i="1"/>
  <c r="GC62" i="1"/>
  <c r="AN62" i="1"/>
  <c r="AM62" i="1"/>
  <c r="T62" i="1"/>
  <c r="BP62" i="1" s="1"/>
  <c r="GO61" i="1"/>
  <c r="GN61" i="1"/>
  <c r="GM61" i="1"/>
  <c r="GL61" i="1"/>
  <c r="FP61" i="1"/>
  <c r="FZ61" i="1"/>
  <c r="FY61" i="1"/>
  <c r="FX61" i="1"/>
  <c r="GE61" i="1"/>
  <c r="GD61" i="1"/>
  <c r="GC61" i="1"/>
  <c r="GB61" i="1"/>
  <c r="AN61" i="1"/>
  <c r="AM61" i="1"/>
  <c r="T61" i="1"/>
  <c r="EV61" i="1" s="1"/>
  <c r="GO59" i="1"/>
  <c r="GN59" i="1"/>
  <c r="GM59" i="1"/>
  <c r="GL59" i="1"/>
  <c r="FZ59" i="1"/>
  <c r="FP59" i="1"/>
  <c r="FY59" i="1"/>
  <c r="FX59" i="1"/>
  <c r="FW59" i="1"/>
  <c r="GE59" i="1"/>
  <c r="GD59" i="1"/>
  <c r="GC59" i="1"/>
  <c r="AN59" i="1"/>
  <c r="AM59" i="1"/>
  <c r="T59" i="1"/>
  <c r="BP59" i="1" s="1"/>
  <c r="GO58" i="1"/>
  <c r="GN58" i="1"/>
  <c r="GM58" i="1"/>
  <c r="GL58" i="1"/>
  <c r="FP58" i="1"/>
  <c r="FZ58" i="1"/>
  <c r="FY58" i="1"/>
  <c r="FX58" i="1"/>
  <c r="FW58" i="1"/>
  <c r="GE58" i="1"/>
  <c r="GD58" i="1"/>
  <c r="GC58" i="1"/>
  <c r="AN58" i="1"/>
  <c r="AM58" i="1"/>
  <c r="T58" i="1"/>
  <c r="BP58" i="1" s="1"/>
  <c r="GO57" i="1"/>
  <c r="GN57" i="1"/>
  <c r="GM57" i="1"/>
  <c r="GL57" i="1"/>
  <c r="FP57" i="1"/>
  <c r="FZ57" i="1"/>
  <c r="FY57" i="1"/>
  <c r="FX57" i="1"/>
  <c r="GE57" i="1"/>
  <c r="GD57" i="1"/>
  <c r="GC57" i="1"/>
  <c r="GB57" i="1"/>
  <c r="AN57" i="1"/>
  <c r="AM57" i="1"/>
  <c r="T57" i="1"/>
  <c r="BP57" i="1" s="1"/>
  <c r="GO56" i="1"/>
  <c r="GN56" i="1"/>
  <c r="GM56" i="1"/>
  <c r="GL56" i="1"/>
  <c r="FP56" i="1"/>
  <c r="FZ56" i="1"/>
  <c r="FY56" i="1"/>
  <c r="FX56" i="1"/>
  <c r="GE56" i="1"/>
  <c r="GD56" i="1"/>
  <c r="GC56" i="1"/>
  <c r="AN56" i="1"/>
  <c r="AM56" i="1"/>
  <c r="T56" i="1"/>
  <c r="BP56" i="1" s="1"/>
  <c r="GO55" i="1"/>
  <c r="GN55" i="1"/>
  <c r="GM55" i="1"/>
  <c r="GL55" i="1"/>
  <c r="FP55" i="1"/>
  <c r="FZ55" i="1"/>
  <c r="FY55" i="1"/>
  <c r="FX55" i="1"/>
  <c r="FW55" i="1"/>
  <c r="GE55" i="1"/>
  <c r="GD55" i="1"/>
  <c r="GC55" i="1"/>
  <c r="AN55" i="1"/>
  <c r="AM55" i="1"/>
  <c r="T55" i="1"/>
  <c r="GO54" i="1"/>
  <c r="GN54" i="1"/>
  <c r="GM54" i="1"/>
  <c r="GL54" i="1"/>
  <c r="FP54" i="1"/>
  <c r="FZ54" i="1"/>
  <c r="FY54" i="1"/>
  <c r="FX54" i="1"/>
  <c r="GE54" i="1"/>
  <c r="GD54" i="1"/>
  <c r="GC54" i="1"/>
  <c r="GB54" i="1"/>
  <c r="AN54" i="1"/>
  <c r="AM54" i="1"/>
  <c r="T54" i="1"/>
  <c r="BP54" i="1" s="1"/>
  <c r="GO53" i="1"/>
  <c r="GN53" i="1"/>
  <c r="GM53" i="1"/>
  <c r="GL53" i="1"/>
  <c r="FP53" i="1"/>
  <c r="FZ53" i="1"/>
  <c r="FY53" i="1"/>
  <c r="FX53" i="1"/>
  <c r="GE53" i="1"/>
  <c r="GD53" i="1"/>
  <c r="GC53" i="1"/>
  <c r="AN53" i="1"/>
  <c r="AM53" i="1"/>
  <c r="T53" i="1"/>
  <c r="GO52" i="1"/>
  <c r="GN52" i="1"/>
  <c r="GM52" i="1"/>
  <c r="GL52" i="1"/>
  <c r="FP52" i="1"/>
  <c r="FZ52" i="1"/>
  <c r="FY52" i="1"/>
  <c r="FX52" i="1"/>
  <c r="GE52" i="1"/>
  <c r="GD52" i="1"/>
  <c r="GC52" i="1"/>
  <c r="GB52" i="1"/>
  <c r="AN52" i="1"/>
  <c r="AM52" i="1"/>
  <c r="T52" i="1"/>
  <c r="EV52" i="1" s="1"/>
  <c r="GO51" i="1"/>
  <c r="GN51" i="1"/>
  <c r="GM51" i="1"/>
  <c r="GL51" i="1"/>
  <c r="FP51" i="1"/>
  <c r="FZ51" i="1"/>
  <c r="FY51" i="1"/>
  <c r="FX51" i="1"/>
  <c r="FW51" i="1"/>
  <c r="GE51" i="1"/>
  <c r="GD51" i="1"/>
  <c r="GC51" i="1"/>
  <c r="AN51" i="1"/>
  <c r="AM51" i="1"/>
  <c r="T51" i="1"/>
  <c r="BP51" i="1" s="1"/>
  <c r="GO50" i="1"/>
  <c r="GN50" i="1"/>
  <c r="GM50" i="1"/>
  <c r="GL50" i="1"/>
  <c r="FP50" i="1"/>
  <c r="FZ50" i="1"/>
  <c r="FY50" i="1"/>
  <c r="FX50" i="1"/>
  <c r="GE50" i="1"/>
  <c r="GD50" i="1"/>
  <c r="GC50" i="1"/>
  <c r="AN50" i="1"/>
  <c r="AM50" i="1"/>
  <c r="T50" i="1"/>
  <c r="BP50" i="1" s="1"/>
  <c r="GO49" i="1"/>
  <c r="GN49" i="1"/>
  <c r="GM49" i="1"/>
  <c r="GL49" i="1"/>
  <c r="FP49" i="1"/>
  <c r="FZ49" i="1"/>
  <c r="FY49" i="1"/>
  <c r="FX49" i="1"/>
  <c r="GE49" i="1"/>
  <c r="GD49" i="1"/>
  <c r="GC49" i="1"/>
  <c r="GB49" i="1"/>
  <c r="AN49" i="1"/>
  <c r="AM49" i="1"/>
  <c r="T49" i="1"/>
  <c r="EV49" i="1" s="1"/>
  <c r="GO48" i="1"/>
  <c r="GN48" i="1"/>
  <c r="GM48" i="1"/>
  <c r="GL48" i="1"/>
  <c r="FP48" i="1"/>
  <c r="FZ48" i="1"/>
  <c r="FY48" i="1"/>
  <c r="FX48" i="1"/>
  <c r="GE48" i="1"/>
  <c r="GD48" i="1"/>
  <c r="GC48" i="1"/>
  <c r="AN48" i="1"/>
  <c r="AM48" i="1"/>
  <c r="T48" i="1"/>
  <c r="BP48" i="1" s="1"/>
  <c r="GO47" i="1"/>
  <c r="GN47" i="1"/>
  <c r="GM47" i="1"/>
  <c r="GL47" i="1"/>
  <c r="FP47" i="1"/>
  <c r="FZ47" i="1"/>
  <c r="FY47" i="1"/>
  <c r="FX47" i="1"/>
  <c r="FW47" i="1"/>
  <c r="GE47" i="1"/>
  <c r="GD47" i="1"/>
  <c r="GC47" i="1"/>
  <c r="GB47" i="1"/>
  <c r="AN47" i="1"/>
  <c r="AM47" i="1"/>
  <c r="T47" i="1"/>
  <c r="GO46" i="1"/>
  <c r="GN46" i="1"/>
  <c r="GM46" i="1"/>
  <c r="GL46" i="1"/>
  <c r="FP46" i="1"/>
  <c r="FZ46" i="1"/>
  <c r="FY46" i="1"/>
  <c r="FX46" i="1"/>
  <c r="GE46" i="1"/>
  <c r="GD46" i="1"/>
  <c r="GC46" i="1"/>
  <c r="GB46" i="1"/>
  <c r="AN46" i="1"/>
  <c r="AM46" i="1"/>
  <c r="T46" i="1"/>
  <c r="BP46" i="1" s="1"/>
  <c r="GO45" i="1"/>
  <c r="GN45" i="1"/>
  <c r="GM45" i="1"/>
  <c r="GL45" i="1"/>
  <c r="FP45" i="1"/>
  <c r="FZ45" i="1"/>
  <c r="FY45" i="1"/>
  <c r="FX45" i="1"/>
  <c r="GE45" i="1"/>
  <c r="GD45" i="1"/>
  <c r="GC45" i="1"/>
  <c r="GB45" i="1"/>
  <c r="AN45" i="1"/>
  <c r="AM45" i="1"/>
  <c r="T45" i="1"/>
  <c r="BP45" i="1" s="1"/>
  <c r="GO44" i="1"/>
  <c r="GN44" i="1"/>
  <c r="GM44" i="1"/>
  <c r="GL44" i="1"/>
  <c r="FP44" i="1"/>
  <c r="FZ44" i="1"/>
  <c r="FY44" i="1"/>
  <c r="FX44" i="1"/>
  <c r="GE44" i="1"/>
  <c r="GD44" i="1"/>
  <c r="GC44" i="1"/>
  <c r="GB44" i="1"/>
  <c r="AN44" i="1"/>
  <c r="AM44" i="1"/>
  <c r="T44" i="1"/>
  <c r="CR44" i="1" s="1"/>
  <c r="GO43" i="1"/>
  <c r="GN43" i="1"/>
  <c r="GM43" i="1"/>
  <c r="GL43" i="1"/>
  <c r="FX43" i="1"/>
  <c r="FP43" i="1"/>
  <c r="FZ43" i="1"/>
  <c r="FY43" i="1"/>
  <c r="FW43" i="1"/>
  <c r="GE43" i="1"/>
  <c r="GD43" i="1"/>
  <c r="GC43" i="1"/>
  <c r="GB43" i="1"/>
  <c r="AN43" i="1"/>
  <c r="AM43" i="1"/>
  <c r="T43" i="1"/>
  <c r="EV43" i="1" s="1"/>
  <c r="GO42" i="1"/>
  <c r="GN42" i="1"/>
  <c r="GM42" i="1"/>
  <c r="GL42" i="1"/>
  <c r="FP42" i="1"/>
  <c r="FZ42" i="1"/>
  <c r="FY42" i="1"/>
  <c r="FX42" i="1"/>
  <c r="GE42" i="1"/>
  <c r="GD42" i="1"/>
  <c r="GC42" i="1"/>
  <c r="AN42" i="1"/>
  <c r="AM42" i="1"/>
  <c r="T42" i="1"/>
  <c r="GO41" i="1"/>
  <c r="GN41" i="1"/>
  <c r="GM41" i="1"/>
  <c r="GL41" i="1"/>
  <c r="FP41" i="1"/>
  <c r="FZ41" i="1"/>
  <c r="FY41" i="1"/>
  <c r="FX41" i="1"/>
  <c r="GE41" i="1"/>
  <c r="GD41" i="1"/>
  <c r="GC41" i="1"/>
  <c r="GB41" i="1"/>
  <c r="AN41" i="1"/>
  <c r="AM41" i="1"/>
  <c r="T41" i="1"/>
  <c r="BP41" i="1" s="1"/>
  <c r="GO40" i="1"/>
  <c r="GN40" i="1"/>
  <c r="GM40" i="1"/>
  <c r="GL40" i="1"/>
  <c r="FP40" i="1"/>
  <c r="FZ40" i="1"/>
  <c r="FY40" i="1"/>
  <c r="FX40" i="1"/>
  <c r="FW40" i="1"/>
  <c r="GE40" i="1"/>
  <c r="GD40" i="1"/>
  <c r="GC40" i="1"/>
  <c r="GB40" i="1"/>
  <c r="AN40" i="1"/>
  <c r="AM40" i="1"/>
  <c r="T40" i="1"/>
  <c r="GO39" i="1"/>
  <c r="GN39" i="1"/>
  <c r="GM39" i="1"/>
  <c r="GL39" i="1"/>
  <c r="FP39" i="1"/>
  <c r="FZ39" i="1"/>
  <c r="FY39" i="1"/>
  <c r="FX39" i="1"/>
  <c r="GE39" i="1"/>
  <c r="GD39" i="1"/>
  <c r="GC39" i="1"/>
  <c r="GB39" i="1"/>
  <c r="AN39" i="1"/>
  <c r="AM39" i="1"/>
  <c r="T39" i="1"/>
  <c r="CR39" i="1" s="1"/>
  <c r="GO38" i="1"/>
  <c r="GN38" i="1"/>
  <c r="GM38" i="1"/>
  <c r="GL38" i="1"/>
  <c r="FP38" i="1"/>
  <c r="FZ38" i="1"/>
  <c r="FY38" i="1"/>
  <c r="FX38" i="1"/>
  <c r="GE38" i="1"/>
  <c r="GD38" i="1"/>
  <c r="GC38" i="1"/>
  <c r="AN38" i="1"/>
  <c r="AM38" i="1"/>
  <c r="T38" i="1"/>
  <c r="EV38" i="1" s="1"/>
  <c r="GO37" i="1"/>
  <c r="GN37" i="1"/>
  <c r="GM37" i="1"/>
  <c r="GL37" i="1"/>
  <c r="FP37" i="1"/>
  <c r="FZ37" i="1"/>
  <c r="FY37" i="1"/>
  <c r="FX37" i="1"/>
  <c r="GE37" i="1"/>
  <c r="GD37" i="1"/>
  <c r="GC37" i="1"/>
  <c r="GB37" i="1"/>
  <c r="AN37" i="1"/>
  <c r="AM37" i="1"/>
  <c r="T37" i="1"/>
  <c r="BP37" i="1" s="1"/>
  <c r="GO36" i="1"/>
  <c r="GN36" i="1"/>
  <c r="GM36" i="1"/>
  <c r="GL36" i="1"/>
  <c r="FZ36" i="1"/>
  <c r="FP36" i="1"/>
  <c r="FY36" i="1"/>
  <c r="FX36" i="1"/>
  <c r="FW36" i="1"/>
  <c r="GE36" i="1"/>
  <c r="GD36" i="1"/>
  <c r="GC36" i="1"/>
  <c r="GB36" i="1"/>
  <c r="AN36" i="1"/>
  <c r="AM36" i="1"/>
  <c r="T36" i="1"/>
  <c r="BP36" i="1" s="1"/>
  <c r="GO35" i="1"/>
  <c r="GN35" i="1"/>
  <c r="GM35" i="1"/>
  <c r="GL35" i="1"/>
  <c r="FP35" i="1"/>
  <c r="FZ35" i="1"/>
  <c r="FY35" i="1"/>
  <c r="FX35" i="1"/>
  <c r="GE35" i="1"/>
  <c r="GD35" i="1"/>
  <c r="GC35" i="1"/>
  <c r="GB35" i="1"/>
  <c r="AN35" i="1"/>
  <c r="AM35" i="1"/>
  <c r="T35" i="1"/>
  <c r="CR35" i="1" s="1"/>
  <c r="GO34" i="1"/>
  <c r="GN34" i="1"/>
  <c r="GM34" i="1"/>
  <c r="GL34" i="1"/>
  <c r="FP34" i="1"/>
  <c r="FZ34" i="1"/>
  <c r="FY34" i="1"/>
  <c r="FX34" i="1"/>
  <c r="GE34" i="1"/>
  <c r="GD34" i="1"/>
  <c r="GC34" i="1"/>
  <c r="AN34" i="1"/>
  <c r="AM34" i="1"/>
  <c r="T34" i="1"/>
  <c r="GO33" i="1"/>
  <c r="GN33" i="1"/>
  <c r="GM33" i="1"/>
  <c r="GL33" i="1"/>
  <c r="FP33" i="1"/>
  <c r="FZ33" i="1"/>
  <c r="FY33" i="1"/>
  <c r="FX33" i="1"/>
  <c r="GE33" i="1"/>
  <c r="GD33" i="1"/>
  <c r="GC33" i="1"/>
  <c r="GB33" i="1"/>
  <c r="AN33" i="1"/>
  <c r="AM33" i="1"/>
  <c r="T33" i="1"/>
  <c r="GO32" i="1"/>
  <c r="GN32" i="1"/>
  <c r="GM32" i="1"/>
  <c r="GL32" i="1"/>
  <c r="FP32" i="1"/>
  <c r="FZ32" i="1"/>
  <c r="FY32" i="1"/>
  <c r="FX32" i="1"/>
  <c r="FW32" i="1"/>
  <c r="GE32" i="1"/>
  <c r="GD32" i="1"/>
  <c r="GC32" i="1"/>
  <c r="GB32" i="1"/>
  <c r="AN32" i="1"/>
  <c r="AM32" i="1"/>
  <c r="T32" i="1"/>
  <c r="BP32" i="1" s="1"/>
  <c r="GO31" i="1"/>
  <c r="GN31" i="1"/>
  <c r="GM31" i="1"/>
  <c r="GL31" i="1"/>
  <c r="FP31" i="1"/>
  <c r="FZ31" i="1"/>
  <c r="FY31" i="1"/>
  <c r="FX31" i="1"/>
  <c r="GE31" i="1"/>
  <c r="GD31" i="1"/>
  <c r="GC31" i="1"/>
  <c r="GB31" i="1"/>
  <c r="AN31" i="1"/>
  <c r="AM31" i="1"/>
  <c r="T31" i="1"/>
  <c r="BP31" i="1" s="1"/>
  <c r="GO30" i="1"/>
  <c r="GN30" i="1"/>
  <c r="GM30" i="1"/>
  <c r="GL30" i="1"/>
  <c r="FP30" i="1"/>
  <c r="FZ30" i="1"/>
  <c r="FY30" i="1"/>
  <c r="FX30" i="1"/>
  <c r="GE30" i="1"/>
  <c r="GD30" i="1"/>
  <c r="GC30" i="1"/>
  <c r="AN30" i="1"/>
  <c r="AM30" i="1"/>
  <c r="T30" i="1"/>
  <c r="BP30" i="1" s="1"/>
  <c r="GO29" i="1"/>
  <c r="GN29" i="1"/>
  <c r="GM29" i="1"/>
  <c r="GL29" i="1"/>
  <c r="FP29" i="1"/>
  <c r="FZ29" i="1"/>
  <c r="FY29" i="1"/>
  <c r="FX29" i="1"/>
  <c r="GE29" i="1"/>
  <c r="GD29" i="1"/>
  <c r="GC29" i="1"/>
  <c r="GB29" i="1"/>
  <c r="AN29" i="1"/>
  <c r="AM29" i="1"/>
  <c r="T29" i="1"/>
  <c r="BP29" i="1" s="1"/>
  <c r="GO28" i="1"/>
  <c r="GN28" i="1"/>
  <c r="GM28" i="1"/>
  <c r="GL28" i="1"/>
  <c r="FZ28" i="1"/>
  <c r="FP28" i="1"/>
  <c r="FY28" i="1"/>
  <c r="FX28" i="1"/>
  <c r="FW28" i="1"/>
  <c r="GE28" i="1"/>
  <c r="GD28" i="1"/>
  <c r="GC28" i="1"/>
  <c r="GB28" i="1"/>
  <c r="AN28" i="1"/>
  <c r="AM28" i="1"/>
  <c r="T28" i="1"/>
  <c r="CR28" i="1" s="1"/>
  <c r="GO27" i="1"/>
  <c r="GN27" i="1"/>
  <c r="GM27" i="1"/>
  <c r="GL27" i="1"/>
  <c r="FP27" i="1"/>
  <c r="FZ27" i="1"/>
  <c r="FY27" i="1"/>
  <c r="FX27" i="1"/>
  <c r="GE27" i="1"/>
  <c r="GD27" i="1"/>
  <c r="GC27" i="1"/>
  <c r="GB27" i="1"/>
  <c r="AN27" i="1"/>
  <c r="AM27" i="1"/>
  <c r="T27" i="1"/>
  <c r="CR27" i="1" s="1"/>
  <c r="GO26" i="1"/>
  <c r="GN26" i="1"/>
  <c r="GM26" i="1"/>
  <c r="GL26" i="1"/>
  <c r="FP26" i="1"/>
  <c r="FZ26" i="1"/>
  <c r="FY26" i="1"/>
  <c r="FX26" i="1"/>
  <c r="GE26" i="1"/>
  <c r="GD26" i="1"/>
  <c r="GC26" i="1"/>
  <c r="AN26" i="1"/>
  <c r="AM26" i="1"/>
  <c r="T26" i="1"/>
  <c r="GO25" i="1"/>
  <c r="GN25" i="1"/>
  <c r="GM25" i="1"/>
  <c r="GL25" i="1"/>
  <c r="FP25" i="1"/>
  <c r="FZ25" i="1"/>
  <c r="FY25" i="1"/>
  <c r="FX25" i="1"/>
  <c r="GE25" i="1"/>
  <c r="GD25" i="1"/>
  <c r="GC25" i="1"/>
  <c r="GB25" i="1"/>
  <c r="AN25" i="1"/>
  <c r="AM25" i="1"/>
  <c r="T25" i="1"/>
  <c r="BP25" i="1" s="1"/>
  <c r="GO24" i="1"/>
  <c r="GN24" i="1"/>
  <c r="GM24" i="1"/>
  <c r="GL24" i="1"/>
  <c r="FP24" i="1"/>
  <c r="FZ24" i="1"/>
  <c r="FY24" i="1"/>
  <c r="FX24" i="1"/>
  <c r="FW24" i="1"/>
  <c r="GE24" i="1"/>
  <c r="GD24" i="1"/>
  <c r="GC24" i="1"/>
  <c r="GB24" i="1"/>
  <c r="AN24" i="1"/>
  <c r="AM24" i="1"/>
  <c r="T24" i="1"/>
  <c r="EV24" i="1" s="1"/>
  <c r="GO23" i="1"/>
  <c r="GN23" i="1"/>
  <c r="GM23" i="1"/>
  <c r="GL23" i="1"/>
  <c r="FP23" i="1"/>
  <c r="FZ23" i="1"/>
  <c r="FY23" i="1"/>
  <c r="FX23" i="1"/>
  <c r="GE23" i="1"/>
  <c r="GD23" i="1"/>
  <c r="GC23" i="1"/>
  <c r="GB23" i="1"/>
  <c r="AN23" i="1"/>
  <c r="AM23" i="1"/>
  <c r="T23" i="1"/>
  <c r="GO22" i="1"/>
  <c r="GN22" i="1"/>
  <c r="GM22" i="1"/>
  <c r="GL22" i="1"/>
  <c r="FP22" i="1"/>
  <c r="FZ22" i="1"/>
  <c r="FY22" i="1"/>
  <c r="FX22" i="1"/>
  <c r="GE22" i="1"/>
  <c r="GD22" i="1"/>
  <c r="GC22" i="1"/>
  <c r="AN22" i="1"/>
  <c r="AM22" i="1"/>
  <c r="T22" i="1"/>
  <c r="BP22" i="1" s="1"/>
  <c r="GO21" i="1"/>
  <c r="GN21" i="1"/>
  <c r="GM21" i="1"/>
  <c r="GL21" i="1"/>
  <c r="FP21" i="1"/>
  <c r="FZ21" i="1"/>
  <c r="FY21" i="1"/>
  <c r="FX21" i="1"/>
  <c r="GE21" i="1"/>
  <c r="GD21" i="1"/>
  <c r="GC21" i="1"/>
  <c r="GB21" i="1"/>
  <c r="AN21" i="1"/>
  <c r="AM21" i="1"/>
  <c r="T21" i="1"/>
  <c r="GO20" i="1"/>
  <c r="GN20" i="1"/>
  <c r="GM20" i="1"/>
  <c r="GL20" i="1"/>
  <c r="FP20" i="1"/>
  <c r="FZ20" i="1"/>
  <c r="FY20" i="1"/>
  <c r="FX20" i="1"/>
  <c r="FW20" i="1"/>
  <c r="GE20" i="1"/>
  <c r="GD20" i="1"/>
  <c r="GC20" i="1"/>
  <c r="GB20" i="1"/>
  <c r="AN20" i="1"/>
  <c r="AM20" i="1"/>
  <c r="T20" i="1"/>
  <c r="GO19" i="1"/>
  <c r="GN19" i="1"/>
  <c r="GM19" i="1"/>
  <c r="GL19" i="1"/>
  <c r="FP19" i="1"/>
  <c r="FZ19" i="1"/>
  <c r="FY19" i="1"/>
  <c r="FX19" i="1"/>
  <c r="GE19" i="1"/>
  <c r="GD19" i="1"/>
  <c r="GC19" i="1"/>
  <c r="GB19" i="1"/>
  <c r="AN19" i="1"/>
  <c r="AM19" i="1"/>
  <c r="T19" i="1"/>
  <c r="BP19" i="1" s="1"/>
  <c r="GO18" i="1"/>
  <c r="GN18" i="1"/>
  <c r="GM18" i="1"/>
  <c r="GL18" i="1"/>
  <c r="FZ18" i="1"/>
  <c r="FP18" i="1"/>
  <c r="FY18" i="1"/>
  <c r="FX18" i="1"/>
  <c r="GE18" i="1"/>
  <c r="GD18" i="1"/>
  <c r="GC18" i="1"/>
  <c r="AN18" i="1"/>
  <c r="AM18" i="1"/>
  <c r="T18" i="1"/>
  <c r="GO17" i="1"/>
  <c r="GN17" i="1"/>
  <c r="GM17" i="1"/>
  <c r="GL17" i="1"/>
  <c r="FP17" i="1"/>
  <c r="FZ17" i="1"/>
  <c r="FY17" i="1"/>
  <c r="FX17" i="1"/>
  <c r="GE17" i="1"/>
  <c r="GD17" i="1"/>
  <c r="GC17" i="1"/>
  <c r="GB17" i="1"/>
  <c r="AN17" i="1"/>
  <c r="AM17" i="1"/>
  <c r="T17" i="1"/>
  <c r="BP17" i="1" s="1"/>
  <c r="GO16" i="1"/>
  <c r="GN16" i="1"/>
  <c r="GM16" i="1"/>
  <c r="GL16" i="1"/>
  <c r="FX16" i="1"/>
  <c r="FP16" i="1"/>
  <c r="FZ16" i="1"/>
  <c r="FY16" i="1"/>
  <c r="FW16" i="1"/>
  <c r="GE16" i="1"/>
  <c r="GD16" i="1"/>
  <c r="GC16" i="1"/>
  <c r="GB16" i="1"/>
  <c r="AN16" i="1"/>
  <c r="AM16" i="1"/>
  <c r="T16" i="1"/>
  <c r="BP16" i="1" s="1"/>
  <c r="GO15" i="1"/>
  <c r="GN15" i="1"/>
  <c r="GM15" i="1"/>
  <c r="GL15" i="1"/>
  <c r="FP15" i="1"/>
  <c r="FZ15" i="1"/>
  <c r="FY15" i="1"/>
  <c r="FX15" i="1"/>
  <c r="GE15" i="1"/>
  <c r="GD15" i="1"/>
  <c r="GC15" i="1"/>
  <c r="GB15" i="1"/>
  <c r="AN15" i="1"/>
  <c r="AM15" i="1"/>
  <c r="T15" i="1"/>
  <c r="CR15" i="1" s="1"/>
  <c r="GO14" i="1"/>
  <c r="GN14" i="1"/>
  <c r="GM14" i="1"/>
  <c r="GL14" i="1"/>
  <c r="FP14" i="1"/>
  <c r="FZ14" i="1"/>
  <c r="FY14" i="1"/>
  <c r="FX14" i="1"/>
  <c r="GE14" i="1"/>
  <c r="GD14" i="1"/>
  <c r="GC14" i="1"/>
  <c r="GB14" i="1"/>
  <c r="AN14" i="1"/>
  <c r="AM14" i="1"/>
  <c r="T14" i="1"/>
  <c r="BP14" i="1" s="1"/>
  <c r="GO13" i="1"/>
  <c r="GN13" i="1"/>
  <c r="GM13" i="1"/>
  <c r="GL13" i="1"/>
  <c r="FX13" i="1"/>
  <c r="FP13" i="1"/>
  <c r="FZ13" i="1"/>
  <c r="FY13" i="1"/>
  <c r="FW13" i="1"/>
  <c r="GE13" i="1"/>
  <c r="GD13" i="1"/>
  <c r="GC13" i="1"/>
  <c r="GB13" i="1"/>
  <c r="AN13" i="1"/>
  <c r="AM13" i="1"/>
  <c r="T13" i="1"/>
  <c r="GO12" i="1"/>
  <c r="GN12" i="1"/>
  <c r="GM12" i="1"/>
  <c r="GL12" i="1"/>
  <c r="FP12" i="1"/>
  <c r="FZ12" i="1"/>
  <c r="FY12" i="1"/>
  <c r="FX12" i="1"/>
  <c r="GE12" i="1"/>
  <c r="GD12" i="1"/>
  <c r="GC12" i="1"/>
  <c r="GB12" i="1"/>
  <c r="AN12" i="1"/>
  <c r="AM12" i="1"/>
  <c r="T12" i="1"/>
  <c r="BP12" i="1" s="1"/>
  <c r="GO11" i="1"/>
  <c r="GN11" i="1"/>
  <c r="GM11" i="1"/>
  <c r="GL11" i="1"/>
  <c r="FP11" i="1"/>
  <c r="FZ11" i="1"/>
  <c r="FY11" i="1"/>
  <c r="FX11" i="1"/>
  <c r="GE11" i="1"/>
  <c r="GD11" i="1"/>
  <c r="GC11" i="1"/>
  <c r="AN11" i="1"/>
  <c r="AM11" i="1"/>
  <c r="T11" i="1"/>
  <c r="GO10" i="1"/>
  <c r="GN10" i="1"/>
  <c r="GM10" i="1"/>
  <c r="GL10" i="1"/>
  <c r="FP10" i="1"/>
  <c r="FZ10" i="1"/>
  <c r="FY10" i="1"/>
  <c r="FX10" i="1"/>
  <c r="GE10" i="1"/>
  <c r="GD10" i="1"/>
  <c r="GC10" i="1"/>
  <c r="GB10" i="1"/>
  <c r="AN10" i="1"/>
  <c r="AM10" i="1"/>
  <c r="T10" i="1"/>
  <c r="BP10" i="1" s="1"/>
  <c r="GO9" i="1"/>
  <c r="GN9" i="1"/>
  <c r="GM9" i="1"/>
  <c r="GL9" i="1"/>
  <c r="FZ9" i="1"/>
  <c r="FP9" i="1"/>
  <c r="FY9" i="1"/>
  <c r="FX9" i="1"/>
  <c r="FW9" i="1"/>
  <c r="GE9" i="1"/>
  <c r="GD9" i="1"/>
  <c r="GC9" i="1"/>
  <c r="GB9" i="1"/>
  <c r="AN9" i="1"/>
  <c r="AM9" i="1"/>
  <c r="T9" i="1"/>
  <c r="BP9" i="1" s="1"/>
  <c r="GO8" i="1"/>
  <c r="GN8" i="1"/>
  <c r="GM8" i="1"/>
  <c r="GL8" i="1"/>
  <c r="FP8" i="1"/>
  <c r="FZ8" i="1"/>
  <c r="FY8" i="1"/>
  <c r="FX8" i="1"/>
  <c r="GE8" i="1"/>
  <c r="GD8" i="1"/>
  <c r="GC8" i="1"/>
  <c r="GB8" i="1"/>
  <c r="AN8" i="1"/>
  <c r="AM8" i="1"/>
  <c r="T8" i="1"/>
  <c r="BP8" i="1" s="1"/>
  <c r="GO7" i="1"/>
  <c r="GN7" i="1"/>
  <c r="GM7" i="1"/>
  <c r="GL7" i="1"/>
  <c r="FP7" i="1"/>
  <c r="FZ7" i="1"/>
  <c r="FY7" i="1"/>
  <c r="FX7" i="1"/>
  <c r="GE7" i="1"/>
  <c r="GD7" i="1"/>
  <c r="GC7" i="1"/>
  <c r="GB7" i="1"/>
  <c r="AN7" i="1"/>
  <c r="AM7" i="1"/>
  <c r="T7" i="1"/>
  <c r="BP7" i="1" s="1"/>
  <c r="GO6" i="1"/>
  <c r="GN6" i="1"/>
  <c r="GM6" i="1"/>
  <c r="GL6" i="1"/>
  <c r="FZ6" i="1"/>
  <c r="FP6" i="1"/>
  <c r="FY6" i="1"/>
  <c r="FX6" i="1"/>
  <c r="FW6" i="1"/>
  <c r="GE6" i="1"/>
  <c r="GD6" i="1"/>
  <c r="GC6" i="1"/>
  <c r="GB6" i="1"/>
  <c r="ER6" i="1"/>
  <c r="EQ6" i="1"/>
  <c r="EO6" i="1"/>
  <c r="EN6" i="1"/>
  <c r="EM6" i="1"/>
  <c r="EL6" i="1"/>
  <c r="DP6" i="1"/>
  <c r="DO6" i="1"/>
  <c r="DM6" i="1"/>
  <c r="DL6" i="1"/>
  <c r="DK6" i="1"/>
  <c r="DJ6" i="1"/>
  <c r="CN6" i="1"/>
  <c r="CM6" i="1"/>
  <c r="CK6" i="1"/>
  <c r="CJ6" i="1"/>
  <c r="CI6" i="1"/>
  <c r="CH6" i="1"/>
  <c r="BL6" i="1"/>
  <c r="BK6" i="1"/>
  <c r="BI6" i="1"/>
  <c r="BH6" i="1"/>
  <c r="BG6" i="1"/>
  <c r="BF6" i="1"/>
  <c r="AN6" i="1"/>
  <c r="AM6" i="1"/>
  <c r="T6" i="1"/>
  <c r="EV6" i="1" s="1"/>
  <c r="M32" i="4"/>
  <c r="A32" i="4" s="1"/>
  <c r="M31" i="4"/>
  <c r="A31" i="4" s="1"/>
  <c r="M30" i="4"/>
  <c r="A30" i="4" s="1"/>
  <c r="CP11" i="22" l="1"/>
  <c r="CQ11" i="22" s="1"/>
  <c r="CS11" i="22" s="1"/>
  <c r="BN19" i="22"/>
  <c r="BO19" i="22" s="1"/>
  <c r="CP12" i="22"/>
  <c r="CQ12" i="22" s="1"/>
  <c r="CS12" i="22" s="1"/>
  <c r="CP93" i="22"/>
  <c r="CQ93" i="22" s="1"/>
  <c r="CS93" i="22" s="1"/>
  <c r="ET9" i="22"/>
  <c r="EU9" i="22" s="1"/>
  <c r="EW9" i="22" s="1"/>
  <c r="DR37" i="22"/>
  <c r="DS37" i="22" s="1"/>
  <c r="DU37" i="22" s="1"/>
  <c r="CP76" i="22"/>
  <c r="CQ76" i="22" s="1"/>
  <c r="CS76" i="22" s="1"/>
  <c r="DR48" i="22"/>
  <c r="DS48" i="22" s="1"/>
  <c r="DU48" i="22" s="1"/>
  <c r="CP95" i="22"/>
  <c r="CQ95" i="22" s="1"/>
  <c r="CS95" i="22" s="1"/>
  <c r="CP117" i="22"/>
  <c r="CQ117" i="22" s="1"/>
  <c r="CS117" i="22" s="1"/>
  <c r="CP106" i="22"/>
  <c r="CQ106" i="22" s="1"/>
  <c r="CS106" i="22" s="1"/>
  <c r="DR145" i="22"/>
  <c r="DS145" i="22" s="1"/>
  <c r="DU145" i="22" s="1"/>
  <c r="BN148" i="22"/>
  <c r="BO148" i="22" s="1"/>
  <c r="CP193" i="22"/>
  <c r="CQ193" i="22" s="1"/>
  <c r="CS193" i="22" s="1"/>
  <c r="DR162" i="22"/>
  <c r="DS162" i="22" s="1"/>
  <c r="DU162" i="22" s="1"/>
  <c r="DR47" i="22"/>
  <c r="DS47" i="22" s="1"/>
  <c r="DU47" i="22" s="1"/>
  <c r="DR14" i="22"/>
  <c r="DS14" i="22" s="1"/>
  <c r="DU14" i="22" s="1"/>
  <c r="CP98" i="22"/>
  <c r="CQ98" i="22" s="1"/>
  <c r="CS98" i="22" s="1"/>
  <c r="ET126" i="22"/>
  <c r="EU126" i="22" s="1"/>
  <c r="EW126" i="22" s="1"/>
  <c r="DR148" i="22"/>
  <c r="DS148" i="22" s="1"/>
  <c r="DU148" i="22" s="1"/>
  <c r="DR185" i="22"/>
  <c r="DS185" i="22" s="1"/>
  <c r="DU185" i="22" s="1"/>
  <c r="DR128" i="22"/>
  <c r="DS128" i="22" s="1"/>
  <c r="DU128" i="22" s="1"/>
  <c r="CP171" i="22"/>
  <c r="CQ171" i="22" s="1"/>
  <c r="CS171" i="22" s="1"/>
  <c r="ET162" i="22"/>
  <c r="EU162" i="22" s="1"/>
  <c r="EW162" i="22" s="1"/>
  <c r="DR191" i="22"/>
  <c r="DS191" i="22" s="1"/>
  <c r="DU191" i="22" s="1"/>
  <c r="DR11" i="22"/>
  <c r="DS11" i="22" s="1"/>
  <c r="DU11" i="22" s="1"/>
  <c r="ET23" i="22"/>
  <c r="EU23" i="22" s="1"/>
  <c r="EW23" i="22" s="1"/>
  <c r="CP41" i="22"/>
  <c r="CQ41" i="22" s="1"/>
  <c r="CS41" i="22" s="1"/>
  <c r="CP42" i="22"/>
  <c r="CQ42" i="22" s="1"/>
  <c r="CS42" i="22" s="1"/>
  <c r="ET8" i="22"/>
  <c r="EU8" i="22" s="1"/>
  <c r="EW8" i="22" s="1"/>
  <c r="CP35" i="22"/>
  <c r="CQ35" i="22" s="1"/>
  <c r="CS35" i="22" s="1"/>
  <c r="CP23" i="22"/>
  <c r="CQ23" i="22" s="1"/>
  <c r="CS23" i="22" s="1"/>
  <c r="CP72" i="22"/>
  <c r="CQ72" i="22" s="1"/>
  <c r="CS72" i="22" s="1"/>
  <c r="CP75" i="22"/>
  <c r="CQ75" i="22" s="1"/>
  <c r="CS75" i="22" s="1"/>
  <c r="CP89" i="22"/>
  <c r="CQ89" i="22" s="1"/>
  <c r="CS89" i="22" s="1"/>
  <c r="DR193" i="22"/>
  <c r="DS193" i="22" s="1"/>
  <c r="DU193" i="22" s="1"/>
  <c r="CP155" i="22"/>
  <c r="CQ155" i="22" s="1"/>
  <c r="CS155" i="22" s="1"/>
  <c r="DR154" i="22"/>
  <c r="DS154" i="22" s="1"/>
  <c r="DU154" i="22" s="1"/>
  <c r="CP166" i="22"/>
  <c r="CQ166" i="22" s="1"/>
  <c r="CS166" i="22" s="1"/>
  <c r="DR192" i="22"/>
  <c r="DS192" i="22" s="1"/>
  <c r="DU192" i="22" s="1"/>
  <c r="CP8" i="22"/>
  <c r="CQ8" i="22" s="1"/>
  <c r="CP24" i="22"/>
  <c r="CQ24" i="22" s="1"/>
  <c r="CS24" i="22" s="1"/>
  <c r="DR21" i="22"/>
  <c r="DS21" i="22" s="1"/>
  <c r="DU21" i="22" s="1"/>
  <c r="CP53" i="22"/>
  <c r="CQ53" i="22" s="1"/>
  <c r="CS53" i="22" s="1"/>
  <c r="DR40" i="22"/>
  <c r="DS40" i="22" s="1"/>
  <c r="DU40" i="22" s="1"/>
  <c r="CP97" i="22"/>
  <c r="CQ97" i="22" s="1"/>
  <c r="CS97" i="22" s="1"/>
  <c r="CP74" i="22"/>
  <c r="CQ74" i="22" s="1"/>
  <c r="CS74" i="22" s="1"/>
  <c r="CP82" i="22"/>
  <c r="CQ82" i="22" s="1"/>
  <c r="CS82" i="22" s="1"/>
  <c r="CP109" i="22"/>
  <c r="CQ109" i="22" s="1"/>
  <c r="CS109" i="22" s="1"/>
  <c r="ET117" i="22"/>
  <c r="EU117" i="22" s="1"/>
  <c r="EW117" i="22" s="1"/>
  <c r="CP165" i="22"/>
  <c r="CQ165" i="22" s="1"/>
  <c r="CS165" i="22" s="1"/>
  <c r="DR176" i="22"/>
  <c r="DS176" i="22" s="1"/>
  <c r="DU176" i="22" s="1"/>
  <c r="ET169" i="22"/>
  <c r="EU169" i="22" s="1"/>
  <c r="EW169" i="22" s="1"/>
  <c r="DR23" i="22"/>
  <c r="DS23" i="22" s="1"/>
  <c r="DU23" i="22" s="1"/>
  <c r="CP9" i="22"/>
  <c r="CQ9" i="22" s="1"/>
  <c r="CS9" i="22" s="1"/>
  <c r="DR18" i="22"/>
  <c r="DS18" i="22" s="1"/>
  <c r="DU18" i="22" s="1"/>
  <c r="DR44" i="22"/>
  <c r="DS44" i="22" s="1"/>
  <c r="DU44" i="22" s="1"/>
  <c r="CP87" i="22"/>
  <c r="CQ87" i="22" s="1"/>
  <c r="CS87" i="22" s="1"/>
  <c r="ET49" i="22"/>
  <c r="EU49" i="22" s="1"/>
  <c r="EW49" i="22" s="1"/>
  <c r="ET83" i="22"/>
  <c r="EU83" i="22" s="1"/>
  <c r="EW83" i="22" s="1"/>
  <c r="CP96" i="22"/>
  <c r="CQ96" i="22" s="1"/>
  <c r="CS96" i="22" s="1"/>
  <c r="ET107" i="22"/>
  <c r="EU107" i="22" s="1"/>
  <c r="EW107" i="22" s="1"/>
  <c r="DR135" i="22"/>
  <c r="DS135" i="22" s="1"/>
  <c r="DU135" i="22" s="1"/>
  <c r="BN177" i="22"/>
  <c r="BO177" i="22" s="1"/>
  <c r="CP175" i="22"/>
  <c r="CQ175" i="22" s="1"/>
  <c r="CS175" i="22" s="1"/>
  <c r="DR8" i="22"/>
  <c r="DS8" i="22" s="1"/>
  <c r="CP33" i="22"/>
  <c r="CQ33" i="22" s="1"/>
  <c r="CS33" i="22" s="1"/>
  <c r="DR6" i="22"/>
  <c r="DS6" i="22" s="1"/>
  <c r="DR61" i="22"/>
  <c r="DS61" i="22" s="1"/>
  <c r="DU61" i="22" s="1"/>
  <c r="ET28" i="22"/>
  <c r="EU28" i="22" s="1"/>
  <c r="EW28" i="22" s="1"/>
  <c r="ET16" i="22"/>
  <c r="EU16" i="22" s="1"/>
  <c r="EW16" i="22" s="1"/>
  <c r="CP51" i="22"/>
  <c r="CQ51" i="22" s="1"/>
  <c r="CS51" i="22" s="1"/>
  <c r="ET20" i="22"/>
  <c r="EU20" i="22" s="1"/>
  <c r="EW20" i="22" s="1"/>
  <c r="ET54" i="22"/>
  <c r="EU54" i="22" s="1"/>
  <c r="EW54" i="22" s="1"/>
  <c r="DR102" i="22"/>
  <c r="DS102" i="22" s="1"/>
  <c r="DU102" i="22" s="1"/>
  <c r="ET110" i="22"/>
  <c r="EU110" i="22" s="1"/>
  <c r="EW110" i="22" s="1"/>
  <c r="ET178" i="22"/>
  <c r="EU178" i="22" s="1"/>
  <c r="EW178" i="22" s="1"/>
  <c r="CP168" i="22"/>
  <c r="CQ168" i="22" s="1"/>
  <c r="CS168" i="22" s="1"/>
  <c r="ET179" i="22"/>
  <c r="EU179" i="22" s="1"/>
  <c r="EW179" i="22" s="1"/>
  <c r="ET21" i="22"/>
  <c r="EU21" i="22" s="1"/>
  <c r="EW21" i="22" s="1"/>
  <c r="DR49" i="22"/>
  <c r="DS49" i="22" s="1"/>
  <c r="DU49" i="22" s="1"/>
  <c r="CP21" i="22"/>
  <c r="CQ21" i="22" s="1"/>
  <c r="CS21" i="22" s="1"/>
  <c r="CP86" i="22"/>
  <c r="CQ86" i="22" s="1"/>
  <c r="CS86" i="22" s="1"/>
  <c r="BN28" i="22"/>
  <c r="BO28" i="22" s="1"/>
  <c r="DR51" i="22"/>
  <c r="DS51" i="22" s="1"/>
  <c r="DU51" i="22" s="1"/>
  <c r="ET24" i="22"/>
  <c r="EU24" i="22" s="1"/>
  <c r="EW24" i="22" s="1"/>
  <c r="ET74" i="22"/>
  <c r="EU74" i="22" s="1"/>
  <c r="EW74" i="22" s="1"/>
  <c r="CP104" i="22"/>
  <c r="CQ104" i="22" s="1"/>
  <c r="CS104" i="22" s="1"/>
  <c r="CP146" i="22"/>
  <c r="CQ146" i="22" s="1"/>
  <c r="CS146" i="22" s="1"/>
  <c r="CP136" i="22"/>
  <c r="CQ136" i="22" s="1"/>
  <c r="CS136" i="22" s="1"/>
  <c r="ET114" i="22"/>
  <c r="EU114" i="22" s="1"/>
  <c r="EW114" i="22" s="1"/>
  <c r="CP189" i="22"/>
  <c r="CQ189" i="22" s="1"/>
  <c r="CS189" i="22" s="1"/>
  <c r="CP121" i="22"/>
  <c r="CQ121" i="22" s="1"/>
  <c r="CS121" i="22" s="1"/>
  <c r="CP107" i="22"/>
  <c r="CQ107" i="22" s="1"/>
  <c r="CS107" i="22" s="1"/>
  <c r="DR188" i="22"/>
  <c r="DS188" i="22" s="1"/>
  <c r="DU188" i="22" s="1"/>
  <c r="CP186" i="22"/>
  <c r="CQ186" i="22" s="1"/>
  <c r="CS186" i="22" s="1"/>
  <c r="DR27" i="22"/>
  <c r="DS27" i="22" s="1"/>
  <c r="DU27" i="22" s="1"/>
  <c r="ET129" i="22"/>
  <c r="EU129" i="22" s="1"/>
  <c r="EW129" i="22" s="1"/>
  <c r="CP29" i="22"/>
  <c r="CQ29" i="22" s="1"/>
  <c r="CS29" i="22" s="1"/>
  <c r="ET86" i="22"/>
  <c r="EU86" i="22" s="1"/>
  <c r="EW86" i="22" s="1"/>
  <c r="DR25" i="22"/>
  <c r="DS25" i="22" s="1"/>
  <c r="DU25" i="22" s="1"/>
  <c r="ET122" i="22"/>
  <c r="EU122" i="22" s="1"/>
  <c r="EW122" i="22" s="1"/>
  <c r="ET190" i="22"/>
  <c r="EU190" i="22" s="1"/>
  <c r="EW190" i="22" s="1"/>
  <c r="CP13" i="22"/>
  <c r="CQ13" i="22" s="1"/>
  <c r="CS13" i="22" s="1"/>
  <c r="ET75" i="22"/>
  <c r="EU75" i="22" s="1"/>
  <c r="EW75" i="22" s="1"/>
  <c r="CP115" i="22"/>
  <c r="CQ115" i="22" s="1"/>
  <c r="CS115" i="22" s="1"/>
  <c r="ET189" i="22"/>
  <c r="EU189" i="22" s="1"/>
  <c r="EW189" i="22" s="1"/>
  <c r="CP80" i="22"/>
  <c r="CQ80" i="22" s="1"/>
  <c r="CS80" i="22" s="1"/>
  <c r="CP90" i="22"/>
  <c r="CQ90" i="22" s="1"/>
  <c r="CS90" i="22" s="1"/>
  <c r="CP178" i="22"/>
  <c r="CQ178" i="22" s="1"/>
  <c r="CS178" i="22" s="1"/>
  <c r="BN173" i="22"/>
  <c r="BO173" i="22" s="1"/>
  <c r="DR125" i="22"/>
  <c r="DS125" i="22" s="1"/>
  <c r="DU125" i="22" s="1"/>
  <c r="BN135" i="22"/>
  <c r="BO135" i="22" s="1"/>
  <c r="BN87" i="22"/>
  <c r="BO87" i="22" s="1"/>
  <c r="ET183" i="22"/>
  <c r="EU183" i="22" s="1"/>
  <c r="EW183" i="22" s="1"/>
  <c r="DR100" i="22"/>
  <c r="DS100" i="22" s="1"/>
  <c r="DU100" i="22" s="1"/>
  <c r="CP79" i="22"/>
  <c r="CQ79" i="22" s="1"/>
  <c r="CS79" i="22" s="1"/>
  <c r="ET25" i="22"/>
  <c r="EU25" i="22" s="1"/>
  <c r="EW25" i="22" s="1"/>
  <c r="CP20" i="22"/>
  <c r="CQ20" i="22" s="1"/>
  <c r="CS20" i="22" s="1"/>
  <c r="BN151" i="22"/>
  <c r="BO151" i="22" s="1"/>
  <c r="ET101" i="22"/>
  <c r="EU101" i="22" s="1"/>
  <c r="EW101" i="22" s="1"/>
  <c r="ET71" i="22"/>
  <c r="EU71" i="22" s="1"/>
  <c r="EW71" i="22" s="1"/>
  <c r="DR69" i="22"/>
  <c r="DS69" i="22" s="1"/>
  <c r="DU69" i="22" s="1"/>
  <c r="CP184" i="22"/>
  <c r="CQ184" i="22" s="1"/>
  <c r="CS184" i="22" s="1"/>
  <c r="CP144" i="22"/>
  <c r="CQ144" i="22" s="1"/>
  <c r="CS144" i="22" s="1"/>
  <c r="DR83" i="22"/>
  <c r="DS83" i="22" s="1"/>
  <c r="DU83" i="22" s="1"/>
  <c r="BN55" i="22"/>
  <c r="BO55" i="22" s="1"/>
  <c r="ET166" i="22"/>
  <c r="EU166" i="22" s="1"/>
  <c r="EW166" i="22" s="1"/>
  <c r="BN192" i="22"/>
  <c r="BO192" i="22" s="1"/>
  <c r="BN147" i="22"/>
  <c r="BO147" i="22" s="1"/>
  <c r="DR86" i="22"/>
  <c r="DS86" i="22" s="1"/>
  <c r="DU86" i="22" s="1"/>
  <c r="ET56" i="22"/>
  <c r="EU56" i="22" s="1"/>
  <c r="EW56" i="22" s="1"/>
  <c r="BN166" i="22"/>
  <c r="BO166" i="22" s="1"/>
  <c r="ET123" i="22"/>
  <c r="EU123" i="22" s="1"/>
  <c r="EW123" i="22" s="1"/>
  <c r="CP83" i="22"/>
  <c r="CQ83" i="22" s="1"/>
  <c r="CS83" i="22" s="1"/>
  <c r="BN154" i="22"/>
  <c r="BO154" i="22" s="1"/>
  <c r="CP105" i="22"/>
  <c r="CQ105" i="22" s="1"/>
  <c r="CS105" i="22" s="1"/>
  <c r="BN104" i="22"/>
  <c r="BO104" i="22" s="1"/>
  <c r="DR70" i="22"/>
  <c r="DS70" i="22" s="1"/>
  <c r="DU70" i="22" s="1"/>
  <c r="DR187" i="22"/>
  <c r="DS187" i="22" s="1"/>
  <c r="DU187" i="22" s="1"/>
  <c r="ET151" i="22"/>
  <c r="EU151" i="22" s="1"/>
  <c r="EW151" i="22" s="1"/>
  <c r="ET128" i="22"/>
  <c r="EU128" i="22" s="1"/>
  <c r="EW128" i="22" s="1"/>
  <c r="ET70" i="22"/>
  <c r="EU70" i="22" s="1"/>
  <c r="EW70" i="22" s="1"/>
  <c r="ET22" i="22"/>
  <c r="EU22" i="22" s="1"/>
  <c r="EW22" i="22" s="1"/>
  <c r="CP163" i="22"/>
  <c r="CQ163" i="22" s="1"/>
  <c r="CS163" i="22" s="1"/>
  <c r="CP113" i="22"/>
  <c r="CQ113" i="22" s="1"/>
  <c r="CS113" i="22" s="1"/>
  <c r="DR82" i="22"/>
  <c r="DS82" i="22" s="1"/>
  <c r="DU82" i="22" s="1"/>
  <c r="CP46" i="22"/>
  <c r="CQ46" i="22" s="1"/>
  <c r="CS46" i="22" s="1"/>
  <c r="BN65" i="22"/>
  <c r="BO65" i="22" s="1"/>
  <c r="BN17" i="22"/>
  <c r="BO17" i="22" s="1"/>
  <c r="CP147" i="22"/>
  <c r="CQ147" i="22" s="1"/>
  <c r="CS147" i="22" s="1"/>
  <c r="DR142" i="22"/>
  <c r="DS142" i="22" s="1"/>
  <c r="DU142" i="22" s="1"/>
  <c r="CP103" i="22"/>
  <c r="CQ103" i="22" s="1"/>
  <c r="CS103" i="22" s="1"/>
  <c r="CP67" i="22"/>
  <c r="CQ67" i="22" s="1"/>
  <c r="CS67" i="22" s="1"/>
  <c r="ET163" i="22"/>
  <c r="EU163" i="22" s="1"/>
  <c r="EW163" i="22" s="1"/>
  <c r="ET148" i="22"/>
  <c r="EU148" i="22" s="1"/>
  <c r="EW148" i="22" s="1"/>
  <c r="CP81" i="22"/>
  <c r="CQ81" i="22" s="1"/>
  <c r="CS81" i="22" s="1"/>
  <c r="DR22" i="22"/>
  <c r="DS22" i="22" s="1"/>
  <c r="DU22" i="22" s="1"/>
  <c r="BN35" i="22"/>
  <c r="BO35" i="22" s="1"/>
  <c r="DR92" i="22"/>
  <c r="DS92" i="22" s="1"/>
  <c r="DU92" i="22" s="1"/>
  <c r="CP149" i="22"/>
  <c r="CQ149" i="22" s="1"/>
  <c r="CS149" i="22" s="1"/>
  <c r="ET113" i="22"/>
  <c r="EU113" i="22" s="1"/>
  <c r="EW113" i="22" s="1"/>
  <c r="BN79" i="22"/>
  <c r="BO79" i="22" s="1"/>
  <c r="ET167" i="22"/>
  <c r="EU167" i="22" s="1"/>
  <c r="EW167" i="22" s="1"/>
  <c r="DR181" i="22"/>
  <c r="DS181" i="22" s="1"/>
  <c r="DU181" i="22" s="1"/>
  <c r="DR116" i="22"/>
  <c r="DS116" i="22" s="1"/>
  <c r="DU116" i="22" s="1"/>
  <c r="CP6" i="22"/>
  <c r="CQ6" i="22" s="1"/>
  <c r="DR28" i="22"/>
  <c r="DS28" i="22" s="1"/>
  <c r="DU28" i="22" s="1"/>
  <c r="BN23" i="22"/>
  <c r="BO23" i="22" s="1"/>
  <c r="DR183" i="22"/>
  <c r="DS183" i="22" s="1"/>
  <c r="DU183" i="22" s="1"/>
  <c r="DR157" i="22"/>
  <c r="DS157" i="22" s="1"/>
  <c r="DU157" i="22" s="1"/>
  <c r="DR108" i="22"/>
  <c r="DS108" i="22" s="1"/>
  <c r="DU108" i="22" s="1"/>
  <c r="DR34" i="22"/>
  <c r="DS34" i="22" s="1"/>
  <c r="DU34" i="22" s="1"/>
  <c r="ET6" i="22"/>
  <c r="EU6" i="22" s="1"/>
  <c r="EW6" i="22" s="1"/>
  <c r="BN47" i="22"/>
  <c r="BO47" i="22" s="1"/>
  <c r="CP110" i="22"/>
  <c r="CQ110" i="22" s="1"/>
  <c r="CS110" i="22" s="1"/>
  <c r="CP160" i="22"/>
  <c r="CQ160" i="22" s="1"/>
  <c r="CS160" i="22" s="1"/>
  <c r="ET135" i="22"/>
  <c r="EU135" i="22" s="1"/>
  <c r="EW135" i="22" s="1"/>
  <c r="DR115" i="22"/>
  <c r="DS115" i="22" s="1"/>
  <c r="DU115" i="22" s="1"/>
  <c r="DR90" i="22"/>
  <c r="DS90" i="22" s="1"/>
  <c r="DU90" i="22" s="1"/>
  <c r="ET175" i="22"/>
  <c r="EU175" i="22" s="1"/>
  <c r="EW175" i="22" s="1"/>
  <c r="ET131" i="22"/>
  <c r="EU131" i="22" s="1"/>
  <c r="EW131" i="22" s="1"/>
  <c r="DR106" i="22"/>
  <c r="DS106" i="22" s="1"/>
  <c r="DU106" i="22" s="1"/>
  <c r="CP66" i="22"/>
  <c r="CQ66" i="22" s="1"/>
  <c r="CS66" i="22" s="1"/>
  <c r="ET68" i="22"/>
  <c r="EU68" i="22" s="1"/>
  <c r="EW68" i="22" s="1"/>
  <c r="DR10" i="22"/>
  <c r="DS10" i="22" s="1"/>
  <c r="DU10" i="22" s="1"/>
  <c r="CP148" i="22"/>
  <c r="CQ148" i="22" s="1"/>
  <c r="CS148" i="22" s="1"/>
  <c r="BN106" i="22"/>
  <c r="BO106" i="22" s="1"/>
  <c r="CP68" i="22"/>
  <c r="CQ68" i="22" s="1"/>
  <c r="CS68" i="22" s="1"/>
  <c r="BN37" i="22"/>
  <c r="BO37" i="22" s="1"/>
  <c r="CP16" i="22"/>
  <c r="CQ16" i="22" s="1"/>
  <c r="CS16" i="22" s="1"/>
  <c r="DR117" i="22"/>
  <c r="DS117" i="22" s="1"/>
  <c r="DU117" i="22" s="1"/>
  <c r="CP179" i="22"/>
  <c r="CQ179" i="22" s="1"/>
  <c r="CS179" i="22" s="1"/>
  <c r="CP181" i="22"/>
  <c r="CQ181" i="22" s="1"/>
  <c r="CS181" i="22" s="1"/>
  <c r="BN161" i="22"/>
  <c r="BO161" i="22" s="1"/>
  <c r="BN117" i="22"/>
  <c r="BO117" i="22" s="1"/>
  <c r="BN191" i="22"/>
  <c r="BO191" i="22" s="1"/>
  <c r="ET76" i="22"/>
  <c r="EU76" i="22" s="1"/>
  <c r="EW76" i="22" s="1"/>
  <c r="BN185" i="22"/>
  <c r="BO185" i="22" s="1"/>
  <c r="ET138" i="22"/>
  <c r="EU138" i="22" s="1"/>
  <c r="EW138" i="22" s="1"/>
  <c r="BN132" i="22"/>
  <c r="BO132" i="22" s="1"/>
  <c r="DR89" i="22"/>
  <c r="DS89" i="22" s="1"/>
  <c r="DU89" i="22" s="1"/>
  <c r="DR55" i="22"/>
  <c r="DS55" i="22" s="1"/>
  <c r="DU55" i="22" s="1"/>
  <c r="CP183" i="22"/>
  <c r="CQ183" i="22" s="1"/>
  <c r="CS183" i="22" s="1"/>
  <c r="DR146" i="22"/>
  <c r="DS146" i="22" s="1"/>
  <c r="DU146" i="22" s="1"/>
  <c r="BN133" i="22"/>
  <c r="BO133" i="22" s="1"/>
  <c r="CP88" i="22"/>
  <c r="CQ88" i="22" s="1"/>
  <c r="CS88" i="22" s="1"/>
  <c r="CP49" i="22"/>
  <c r="CQ49" i="22" s="1"/>
  <c r="CS49" i="22" s="1"/>
  <c r="CP25" i="22"/>
  <c r="CQ25" i="22" s="1"/>
  <c r="CS25" i="22" s="1"/>
  <c r="DR189" i="22"/>
  <c r="DS189" i="22" s="1"/>
  <c r="DU189" i="22" s="1"/>
  <c r="ET119" i="22"/>
  <c r="EU119" i="22" s="1"/>
  <c r="EW119" i="22" s="1"/>
  <c r="ET57" i="22"/>
  <c r="EU57" i="22" s="1"/>
  <c r="EW57" i="22" s="1"/>
  <c r="CP63" i="22"/>
  <c r="CQ63" i="22" s="1"/>
  <c r="CS63" i="22" s="1"/>
  <c r="DR62" i="22"/>
  <c r="DS62" i="22" s="1"/>
  <c r="DU62" i="22" s="1"/>
  <c r="ET132" i="22"/>
  <c r="EU132" i="22" s="1"/>
  <c r="EW132" i="22" s="1"/>
  <c r="CP111" i="22"/>
  <c r="CQ111" i="22" s="1"/>
  <c r="CS111" i="22" s="1"/>
  <c r="ET72" i="22"/>
  <c r="EU72" i="22" s="1"/>
  <c r="EW72" i="22" s="1"/>
  <c r="DR42" i="22"/>
  <c r="DS42" i="22" s="1"/>
  <c r="DU42" i="22" s="1"/>
  <c r="BN22" i="22"/>
  <c r="BO22" i="22" s="1"/>
  <c r="DR180" i="22"/>
  <c r="DS180" i="22" s="1"/>
  <c r="DU180" i="22" s="1"/>
  <c r="CP140" i="22"/>
  <c r="CQ140" i="22" s="1"/>
  <c r="CS140" i="22" s="1"/>
  <c r="ET161" i="22"/>
  <c r="EU161" i="22" s="1"/>
  <c r="EW161" i="22" s="1"/>
  <c r="CP43" i="22"/>
  <c r="CQ43" i="22" s="1"/>
  <c r="CS43" i="22" s="1"/>
  <c r="DR15" i="22"/>
  <c r="DS15" i="22" s="1"/>
  <c r="DU15" i="22" s="1"/>
  <c r="BN34" i="22"/>
  <c r="BO34" i="22" s="1"/>
  <c r="ET143" i="22"/>
  <c r="EU143" i="22" s="1"/>
  <c r="EW143" i="22" s="1"/>
  <c r="BN71" i="22"/>
  <c r="BO71" i="22" s="1"/>
  <c r="BN58" i="22"/>
  <c r="BO58" i="22" s="1"/>
  <c r="CP7" i="22"/>
  <c r="CQ7" i="22" s="1"/>
  <c r="CS7" i="22" s="1"/>
  <c r="ET187" i="22"/>
  <c r="EU187" i="22" s="1"/>
  <c r="EW187" i="22" s="1"/>
  <c r="ET108" i="22"/>
  <c r="EU108" i="22" s="1"/>
  <c r="EW108" i="22" s="1"/>
  <c r="CP38" i="22"/>
  <c r="CQ38" i="22" s="1"/>
  <c r="CS38" i="22" s="1"/>
  <c r="ET30" i="22"/>
  <c r="EU30" i="22" s="1"/>
  <c r="EW30" i="22" s="1"/>
  <c r="BN10" i="22"/>
  <c r="BO10" i="22" s="1"/>
  <c r="DR155" i="22"/>
  <c r="DS155" i="22" s="1"/>
  <c r="DU155" i="22" s="1"/>
  <c r="CP85" i="22"/>
  <c r="CQ85" i="22" s="1"/>
  <c r="CS85" i="22" s="1"/>
  <c r="DR53" i="22"/>
  <c r="DS53" i="22" s="1"/>
  <c r="DU53" i="22" s="1"/>
  <c r="ET13" i="22"/>
  <c r="EU13" i="22" s="1"/>
  <c r="EW13" i="22" s="1"/>
  <c r="BN36" i="22"/>
  <c r="BO36" i="22" s="1"/>
  <c r="ET181" i="22"/>
  <c r="EU181" i="22" s="1"/>
  <c r="EW181" i="22" s="1"/>
  <c r="DR137" i="22"/>
  <c r="DS137" i="22" s="1"/>
  <c r="DU137" i="22" s="1"/>
  <c r="CP78" i="22"/>
  <c r="CQ78" i="22" s="1"/>
  <c r="CS78" i="22" s="1"/>
  <c r="DR30" i="22"/>
  <c r="DS30" i="22" s="1"/>
  <c r="DU30" i="22" s="1"/>
  <c r="ET17" i="22"/>
  <c r="EU17" i="22" s="1"/>
  <c r="EW17" i="22" s="1"/>
  <c r="BN159" i="22"/>
  <c r="BO159" i="22" s="1"/>
  <c r="DR122" i="22"/>
  <c r="DS122" i="22" s="1"/>
  <c r="DU122" i="22" s="1"/>
  <c r="CP122" i="22"/>
  <c r="CQ122" i="22" s="1"/>
  <c r="CS122" i="22" s="1"/>
  <c r="BN187" i="22"/>
  <c r="BO187" i="22" s="1"/>
  <c r="CP135" i="22"/>
  <c r="CQ135" i="22" s="1"/>
  <c r="CS135" i="22" s="1"/>
  <c r="DR107" i="22"/>
  <c r="DS107" i="22" s="1"/>
  <c r="DU107" i="22" s="1"/>
  <c r="BN18" i="22"/>
  <c r="BO18" i="22" s="1"/>
  <c r="ET80" i="22"/>
  <c r="EU80" i="22" s="1"/>
  <c r="EW80" i="22" s="1"/>
  <c r="CP22" i="22"/>
  <c r="CQ22" i="22" s="1"/>
  <c r="CS22" i="22" s="1"/>
  <c r="CP10" i="22"/>
  <c r="CQ10" i="22" s="1"/>
  <c r="CS10" i="22" s="1"/>
  <c r="BN193" i="22"/>
  <c r="BO193" i="22" s="1"/>
  <c r="ET133" i="22"/>
  <c r="EU133" i="22" s="1"/>
  <c r="EW133" i="22" s="1"/>
  <c r="DR129" i="22"/>
  <c r="DS129" i="22" s="1"/>
  <c r="DU129" i="22" s="1"/>
  <c r="CP62" i="22"/>
  <c r="CQ62" i="22" s="1"/>
  <c r="CS62" i="22" s="1"/>
  <c r="BN60" i="22"/>
  <c r="BO60" i="22" s="1"/>
  <c r="CP156" i="22"/>
  <c r="CQ156" i="22" s="1"/>
  <c r="CS156" i="22" s="1"/>
  <c r="DR170" i="22"/>
  <c r="DS170" i="22" s="1"/>
  <c r="DU170" i="22" s="1"/>
  <c r="BN131" i="22"/>
  <c r="BO131" i="22" s="1"/>
  <c r="BN120" i="22"/>
  <c r="BO120" i="22" s="1"/>
  <c r="ET79" i="22"/>
  <c r="EU79" i="22" s="1"/>
  <c r="EW79" i="22" s="1"/>
  <c r="ET191" i="22"/>
  <c r="EU191" i="22" s="1"/>
  <c r="EW191" i="22" s="1"/>
  <c r="CP92" i="22"/>
  <c r="CQ92" i="22" s="1"/>
  <c r="CS92" i="22" s="1"/>
  <c r="CP154" i="22"/>
  <c r="CQ154" i="22" s="1"/>
  <c r="CS154" i="22" s="1"/>
  <c r="BN136" i="22"/>
  <c r="BO136" i="22" s="1"/>
  <c r="DR111" i="22"/>
  <c r="DS111" i="22" s="1"/>
  <c r="DU111" i="22" s="1"/>
  <c r="ET84" i="22"/>
  <c r="EU84" i="22" s="1"/>
  <c r="EW84" i="22" s="1"/>
  <c r="BN77" i="22"/>
  <c r="BO77" i="22" s="1"/>
  <c r="CP157" i="22"/>
  <c r="CQ157" i="22" s="1"/>
  <c r="CS157" i="22" s="1"/>
  <c r="CP176" i="22"/>
  <c r="CQ176" i="22" s="1"/>
  <c r="CS176" i="22" s="1"/>
  <c r="DR103" i="22"/>
  <c r="DS103" i="22" s="1"/>
  <c r="DU103" i="22" s="1"/>
  <c r="CP84" i="22"/>
  <c r="CQ84" i="22" s="1"/>
  <c r="CS84" i="22" s="1"/>
  <c r="ET32" i="22"/>
  <c r="EU32" i="22" s="1"/>
  <c r="EW32" i="22" s="1"/>
  <c r="BN53" i="22"/>
  <c r="BO53" i="22" s="1"/>
  <c r="CP191" i="22"/>
  <c r="CQ191" i="22" s="1"/>
  <c r="CS191" i="22" s="1"/>
  <c r="DR75" i="22"/>
  <c r="DS75" i="22" s="1"/>
  <c r="DU75" i="22" s="1"/>
  <c r="BN78" i="22"/>
  <c r="BO78" i="22" s="1"/>
  <c r="DR35" i="22"/>
  <c r="DS35" i="22" s="1"/>
  <c r="DU35" i="22" s="1"/>
  <c r="ET35" i="22"/>
  <c r="EU35" i="22" s="1"/>
  <c r="EW35" i="22" s="1"/>
  <c r="CP185" i="22"/>
  <c r="CQ185" i="22" s="1"/>
  <c r="CS185" i="22" s="1"/>
  <c r="ET141" i="22"/>
  <c r="EU141" i="22" s="1"/>
  <c r="EW141" i="22" s="1"/>
  <c r="DR164" i="22"/>
  <c r="DS164" i="22" s="1"/>
  <c r="DU164" i="22" s="1"/>
  <c r="DR65" i="22"/>
  <c r="DS65" i="22" s="1"/>
  <c r="DU65" i="22" s="1"/>
  <c r="ET45" i="22"/>
  <c r="EU45" i="22" s="1"/>
  <c r="EW45" i="22" s="1"/>
  <c r="ET37" i="22"/>
  <c r="EU37" i="22" s="1"/>
  <c r="EW37" i="22" s="1"/>
  <c r="DR167" i="22"/>
  <c r="DS167" i="22" s="1"/>
  <c r="DU167" i="22" s="1"/>
  <c r="DR139" i="22"/>
  <c r="DS139" i="22" s="1"/>
  <c r="DU139" i="22" s="1"/>
  <c r="BN61" i="22"/>
  <c r="BO61" i="22" s="1"/>
  <c r="BQ61" i="22" s="1"/>
  <c r="DR59" i="22"/>
  <c r="DS59" i="22" s="1"/>
  <c r="DR26" i="22"/>
  <c r="DS26" i="22" s="1"/>
  <c r="DU26" i="22" s="1"/>
  <c r="ET193" i="22"/>
  <c r="EU193" i="22" s="1"/>
  <c r="EW193" i="22" s="1"/>
  <c r="ET147" i="22"/>
  <c r="EU147" i="22" s="1"/>
  <c r="EW147" i="22" s="1"/>
  <c r="CP102" i="22"/>
  <c r="CQ102" i="22" s="1"/>
  <c r="CS102" i="22" s="1"/>
  <c r="DR58" i="22"/>
  <c r="DS58" i="22" s="1"/>
  <c r="DU58" i="22" s="1"/>
  <c r="DR13" i="22"/>
  <c r="DS13" i="22" s="1"/>
  <c r="DU13" i="22" s="1"/>
  <c r="DR171" i="22"/>
  <c r="DS171" i="22" s="1"/>
  <c r="DU171" i="22" s="1"/>
  <c r="ET115" i="22"/>
  <c r="EU115" i="22" s="1"/>
  <c r="EW115" i="22" s="1"/>
  <c r="ET106" i="22"/>
  <c r="EU106" i="22" s="1"/>
  <c r="EW106" i="22" s="1"/>
  <c r="CP73" i="22"/>
  <c r="CQ73" i="22" s="1"/>
  <c r="CS73" i="22" s="1"/>
  <c r="ET42" i="22"/>
  <c r="EU42" i="22" s="1"/>
  <c r="EW42" i="22" s="1"/>
  <c r="DR79" i="22"/>
  <c r="DS79" i="22" s="1"/>
  <c r="DU79" i="22" s="1"/>
  <c r="DR190" i="22"/>
  <c r="DS190" i="22" s="1"/>
  <c r="DU190" i="22" s="1"/>
  <c r="ET140" i="22"/>
  <c r="EU140" i="22" s="1"/>
  <c r="EW140" i="22" s="1"/>
  <c r="DR85" i="22"/>
  <c r="DS85" i="22" s="1"/>
  <c r="DU85" i="22" s="1"/>
  <c r="ET26" i="22"/>
  <c r="EU26" i="22" s="1"/>
  <c r="EW26" i="22" s="1"/>
  <c r="DR54" i="22"/>
  <c r="DS54" i="22" s="1"/>
  <c r="DU54" i="22" s="1"/>
  <c r="CP192" i="22"/>
  <c r="CQ192" i="22" s="1"/>
  <c r="CS192" i="22" s="1"/>
  <c r="ET130" i="22"/>
  <c r="EU130" i="22" s="1"/>
  <c r="EW130" i="22" s="1"/>
  <c r="DR87" i="22"/>
  <c r="DS87" i="22" s="1"/>
  <c r="DU87" i="22" s="1"/>
  <c r="DR46" i="22"/>
  <c r="DS46" i="22" s="1"/>
  <c r="DU46" i="22" s="1"/>
  <c r="ET39" i="22"/>
  <c r="EU39" i="22" s="1"/>
  <c r="EW39" i="22" s="1"/>
  <c r="DR186" i="22"/>
  <c r="DS186" i="22" s="1"/>
  <c r="DU186" i="22" s="1"/>
  <c r="CP150" i="22"/>
  <c r="CQ150" i="22" s="1"/>
  <c r="CS150" i="22" s="1"/>
  <c r="BN82" i="22"/>
  <c r="BO82" i="22" s="1"/>
  <c r="BN183" i="22"/>
  <c r="BO183" i="22" s="1"/>
  <c r="BN158" i="22"/>
  <c r="BO158" i="22" s="1"/>
  <c r="BN118" i="22"/>
  <c r="BO118" i="22" s="1"/>
  <c r="DR68" i="22"/>
  <c r="DS68" i="22" s="1"/>
  <c r="DU68" i="22" s="1"/>
  <c r="BN179" i="22"/>
  <c r="BO179" i="22" s="1"/>
  <c r="BN145" i="22"/>
  <c r="BO145" i="22" s="1"/>
  <c r="CP94" i="22"/>
  <c r="CQ94" i="22" s="1"/>
  <c r="CS94" i="22" s="1"/>
  <c r="ET120" i="22"/>
  <c r="EU120" i="22" s="1"/>
  <c r="EW120" i="22" s="1"/>
  <c r="DR172" i="22"/>
  <c r="DS172" i="22" s="1"/>
  <c r="DU172" i="22" s="1"/>
  <c r="BN186" i="22"/>
  <c r="BO186" i="22" s="1"/>
  <c r="CP128" i="22"/>
  <c r="CQ128" i="22" s="1"/>
  <c r="CS128" i="22" s="1"/>
  <c r="DR121" i="22"/>
  <c r="DS121" i="22" s="1"/>
  <c r="DU121" i="22" s="1"/>
  <c r="DR80" i="22"/>
  <c r="DS80" i="22" s="1"/>
  <c r="DU80" i="22" s="1"/>
  <c r="BN15" i="22"/>
  <c r="BO15" i="22" s="1"/>
  <c r="ET156" i="22"/>
  <c r="EU156" i="22" s="1"/>
  <c r="EW156" i="22" s="1"/>
  <c r="ET160" i="22"/>
  <c r="EU160" i="22" s="1"/>
  <c r="EW160" i="22" s="1"/>
  <c r="CP137" i="22"/>
  <c r="CQ137" i="22" s="1"/>
  <c r="CS137" i="22" s="1"/>
  <c r="CP108" i="22"/>
  <c r="CQ108" i="22" s="1"/>
  <c r="CS108" i="22" s="1"/>
  <c r="ET144" i="22"/>
  <c r="EU144" i="22" s="1"/>
  <c r="EW144" i="22" s="1"/>
  <c r="DR126" i="22"/>
  <c r="DS126" i="22" s="1"/>
  <c r="DU126" i="22" s="1"/>
  <c r="ET87" i="22"/>
  <c r="EU87" i="22" s="1"/>
  <c r="EW87" i="22" s="1"/>
  <c r="CP58" i="22"/>
  <c r="CQ58" i="22" s="1"/>
  <c r="CS58" i="22" s="1"/>
  <c r="DR163" i="22"/>
  <c r="DS163" i="22" s="1"/>
  <c r="DU163" i="22" s="1"/>
  <c r="CP130" i="22"/>
  <c r="CQ130" i="22" s="1"/>
  <c r="CS130" i="22" s="1"/>
  <c r="BN100" i="22"/>
  <c r="BO100" i="22" s="1"/>
  <c r="DR56" i="22"/>
  <c r="DS56" i="22" s="1"/>
  <c r="DU56" i="22" s="1"/>
  <c r="BN75" i="22"/>
  <c r="BO75" i="22" s="1"/>
  <c r="DR173" i="22"/>
  <c r="DS173" i="22" s="1"/>
  <c r="DU173" i="22" s="1"/>
  <c r="ET171" i="22"/>
  <c r="EU171" i="22" s="1"/>
  <c r="EW171" i="22" s="1"/>
  <c r="CP141" i="22"/>
  <c r="CQ141" i="22" s="1"/>
  <c r="CS141" i="22" s="1"/>
  <c r="ET81" i="22"/>
  <c r="EU81" i="22" s="1"/>
  <c r="EW81" i="22" s="1"/>
  <c r="BN45" i="22"/>
  <c r="BO45" i="22" s="1"/>
  <c r="ET177" i="22"/>
  <c r="EU177" i="22" s="1"/>
  <c r="EW177" i="22" s="1"/>
  <c r="CP118" i="22"/>
  <c r="CQ118" i="22" s="1"/>
  <c r="CS118" i="22" s="1"/>
  <c r="ET53" i="22"/>
  <c r="EU53" i="22" s="1"/>
  <c r="EW53" i="22" s="1"/>
  <c r="ET41" i="22"/>
  <c r="EU41" i="22" s="1"/>
  <c r="EW41" i="22" s="1"/>
  <c r="BN44" i="22"/>
  <c r="BO44" i="22" s="1"/>
  <c r="CP169" i="22"/>
  <c r="CQ169" i="22" s="1"/>
  <c r="CS169" i="22" s="1"/>
  <c r="DR169" i="22"/>
  <c r="DS169" i="22" s="1"/>
  <c r="DU169" i="22" s="1"/>
  <c r="CP143" i="22"/>
  <c r="CQ143" i="22" s="1"/>
  <c r="CS143" i="22" s="1"/>
  <c r="CP14" i="22"/>
  <c r="CQ14" i="22" s="1"/>
  <c r="CS14" i="22" s="1"/>
  <c r="BN38" i="22"/>
  <c r="BO38" i="22" s="1"/>
  <c r="BN168" i="22"/>
  <c r="BO168" i="22" s="1"/>
  <c r="DR175" i="22"/>
  <c r="DS175" i="22" s="1"/>
  <c r="DU175" i="22" s="1"/>
  <c r="BN101" i="22"/>
  <c r="BO101" i="22" s="1"/>
  <c r="ET31" i="22"/>
  <c r="EU31" i="22" s="1"/>
  <c r="EW31" i="22" s="1"/>
  <c r="CP44" i="22"/>
  <c r="CQ44" i="22" s="1"/>
  <c r="CS44" i="22" s="1"/>
  <c r="DR178" i="22"/>
  <c r="DS178" i="22" s="1"/>
  <c r="DU178" i="22" s="1"/>
  <c r="DR140" i="22"/>
  <c r="DS140" i="22" s="1"/>
  <c r="DU140" i="22" s="1"/>
  <c r="ET103" i="22"/>
  <c r="EU103" i="22" s="1"/>
  <c r="EW103" i="22" s="1"/>
  <c r="CP39" i="22"/>
  <c r="CQ39" i="22" s="1"/>
  <c r="CS39" i="22" s="1"/>
  <c r="BN14" i="22"/>
  <c r="BO14" i="22" s="1"/>
  <c r="DR143" i="22"/>
  <c r="DS143" i="22" s="1"/>
  <c r="DU143" i="22" s="1"/>
  <c r="CP100" i="22"/>
  <c r="CQ100" i="22" s="1"/>
  <c r="CS100" i="22" s="1"/>
  <c r="CP56" i="22"/>
  <c r="CQ56" i="22" s="1"/>
  <c r="CS56" i="22" s="1"/>
  <c r="CP30" i="22"/>
  <c r="CQ30" i="22" s="1"/>
  <c r="CS30" i="22" s="1"/>
  <c r="ET188" i="22"/>
  <c r="EU188" i="22" s="1"/>
  <c r="EW188" i="22" s="1"/>
  <c r="BN139" i="22"/>
  <c r="BO139" i="22" s="1"/>
  <c r="ET94" i="22"/>
  <c r="EU94" i="22" s="1"/>
  <c r="EW94" i="22" s="1"/>
  <c r="BN74" i="22"/>
  <c r="BO74" i="22" s="1"/>
  <c r="ET192" i="22"/>
  <c r="EU192" i="22" s="1"/>
  <c r="EW192" i="22" s="1"/>
  <c r="CP132" i="22"/>
  <c r="CQ132" i="22" s="1"/>
  <c r="CS132" i="22" s="1"/>
  <c r="DR71" i="22"/>
  <c r="DS71" i="22" s="1"/>
  <c r="DU71" i="22" s="1"/>
  <c r="DR67" i="22"/>
  <c r="DS67" i="22" s="1"/>
  <c r="DU67" i="22" s="1"/>
  <c r="BN180" i="22"/>
  <c r="BO180" i="22" s="1"/>
  <c r="DR114" i="22"/>
  <c r="DS114" i="22" s="1"/>
  <c r="DU114" i="22" s="1"/>
  <c r="CP77" i="22"/>
  <c r="CQ77" i="22" s="1"/>
  <c r="CS77" i="22" s="1"/>
  <c r="BN76" i="22"/>
  <c r="BO76" i="22" s="1"/>
  <c r="DR112" i="22"/>
  <c r="DS112" i="22" s="1"/>
  <c r="DU112" i="22" s="1"/>
  <c r="BN172" i="22"/>
  <c r="BO172" i="22" s="1"/>
  <c r="ET93" i="22"/>
  <c r="EU93" i="22" s="1"/>
  <c r="EW93" i="22" s="1"/>
  <c r="DR93" i="22"/>
  <c r="DS93" i="22" s="1"/>
  <c r="DU93" i="22" s="1"/>
  <c r="DR120" i="22"/>
  <c r="DS120" i="22" s="1"/>
  <c r="DU120" i="22" s="1"/>
  <c r="BN176" i="22"/>
  <c r="BO176" i="22" s="1"/>
  <c r="BN141" i="22"/>
  <c r="BO141" i="22" s="1"/>
  <c r="CP116" i="22"/>
  <c r="CQ116" i="22" s="1"/>
  <c r="CS116" i="22" s="1"/>
  <c r="BN189" i="22"/>
  <c r="BO189" i="22" s="1"/>
  <c r="CP145" i="22"/>
  <c r="CQ145" i="22" s="1"/>
  <c r="CS145" i="22" s="1"/>
  <c r="DR91" i="22"/>
  <c r="DS91" i="22" s="1"/>
  <c r="DU91" i="22" s="1"/>
  <c r="DR84" i="22"/>
  <c r="DS84" i="22" s="1"/>
  <c r="DU84" i="22" s="1"/>
  <c r="BN150" i="22"/>
  <c r="BO150" i="22" s="1"/>
  <c r="DR119" i="22"/>
  <c r="DS119" i="22" s="1"/>
  <c r="DU119" i="22" s="1"/>
  <c r="ET109" i="22"/>
  <c r="EU109" i="22" s="1"/>
  <c r="EW109" i="22" s="1"/>
  <c r="BN84" i="22"/>
  <c r="BO84" i="22" s="1"/>
  <c r="ET153" i="22"/>
  <c r="EU153" i="22" s="1"/>
  <c r="EW153" i="22" s="1"/>
  <c r="ET158" i="22"/>
  <c r="EU158" i="22" s="1"/>
  <c r="EW158" i="22" s="1"/>
  <c r="ET125" i="22"/>
  <c r="EU125" i="22" s="1"/>
  <c r="EW125" i="22" s="1"/>
  <c r="BN107" i="22"/>
  <c r="BO107" i="22" s="1"/>
  <c r="CP70" i="22"/>
  <c r="CQ70" i="22" s="1"/>
  <c r="CS70" i="22" s="1"/>
  <c r="CP45" i="22"/>
  <c r="CQ45" i="22" s="1"/>
  <c r="CS45" i="22" s="1"/>
  <c r="ET10" i="22"/>
  <c r="EU10" i="22" s="1"/>
  <c r="EW10" i="22" s="1"/>
  <c r="CP112" i="22"/>
  <c r="CQ112" i="22" s="1"/>
  <c r="CS112" i="22" s="1"/>
  <c r="BN97" i="22"/>
  <c r="BO97" i="22" s="1"/>
  <c r="ET89" i="22"/>
  <c r="EU89" i="22" s="1"/>
  <c r="EW89" i="22" s="1"/>
  <c r="CP27" i="22"/>
  <c r="CQ27" i="22" s="1"/>
  <c r="CS27" i="22" s="1"/>
  <c r="BN9" i="22"/>
  <c r="BO9" i="22" s="1"/>
  <c r="CP188" i="22"/>
  <c r="CQ188" i="22" s="1"/>
  <c r="CS188" i="22" s="1"/>
  <c r="ET150" i="22"/>
  <c r="EU150" i="22" s="1"/>
  <c r="EW150" i="22" s="1"/>
  <c r="ET118" i="22"/>
  <c r="EU118" i="22" s="1"/>
  <c r="EW118" i="22" s="1"/>
  <c r="CP54" i="22"/>
  <c r="CQ54" i="22" s="1"/>
  <c r="CS54" i="22" s="1"/>
  <c r="DR41" i="22"/>
  <c r="DS41" i="22" s="1"/>
  <c r="DU41" i="22" s="1"/>
  <c r="CP174" i="22"/>
  <c r="CQ174" i="22" s="1"/>
  <c r="CS174" i="22" s="1"/>
  <c r="DR166" i="22"/>
  <c r="DS166" i="22" s="1"/>
  <c r="DR72" i="22"/>
  <c r="DS72" i="22" s="1"/>
  <c r="DU72" i="22" s="1"/>
  <c r="DR20" i="22"/>
  <c r="DS20" i="22" s="1"/>
  <c r="DU20" i="22" s="1"/>
  <c r="DR60" i="22"/>
  <c r="DS60" i="22" s="1"/>
  <c r="DU60" i="22" s="1"/>
  <c r="ET185" i="22"/>
  <c r="EU185" i="22" s="1"/>
  <c r="EW185" i="22" s="1"/>
  <c r="DR109" i="22"/>
  <c r="DS109" i="22" s="1"/>
  <c r="DU109" i="22" s="1"/>
  <c r="BN181" i="22"/>
  <c r="BO181" i="22" s="1"/>
  <c r="BN160" i="22"/>
  <c r="BO160" i="22" s="1"/>
  <c r="ET124" i="22"/>
  <c r="EU124" i="22" s="1"/>
  <c r="EW124" i="22" s="1"/>
  <c r="BN114" i="22"/>
  <c r="BO114" i="22" s="1"/>
  <c r="ET184" i="22"/>
  <c r="EU184" i="22" s="1"/>
  <c r="EW184" i="22" s="1"/>
  <c r="CP151" i="22"/>
  <c r="CQ151" i="22" s="1"/>
  <c r="CS151" i="22" s="1"/>
  <c r="BN140" i="22"/>
  <c r="BO140" i="22" s="1"/>
  <c r="BN63" i="22"/>
  <c r="BO63" i="22" s="1"/>
  <c r="ET91" i="22"/>
  <c r="EU91" i="22" s="1"/>
  <c r="EW91" i="22" s="1"/>
  <c r="DR168" i="22"/>
  <c r="DS168" i="22" s="1"/>
  <c r="DU168" i="22" s="1"/>
  <c r="DR134" i="22"/>
  <c r="DS134" i="22" s="1"/>
  <c r="DU134" i="22" s="1"/>
  <c r="BN88" i="22"/>
  <c r="BO88" i="22" s="1"/>
  <c r="BN128" i="22"/>
  <c r="BO128" i="22" s="1"/>
  <c r="DR152" i="22"/>
  <c r="DS152" i="22" s="1"/>
  <c r="DU152" i="22" s="1"/>
  <c r="CP125" i="22"/>
  <c r="CQ125" i="22" s="1"/>
  <c r="CS125" i="22" s="1"/>
  <c r="BN102" i="22"/>
  <c r="BO102" i="22" s="1"/>
  <c r="CP170" i="22"/>
  <c r="CQ170" i="22" s="1"/>
  <c r="CS170" i="22" s="1"/>
  <c r="DR104" i="22"/>
  <c r="DS104" i="22" s="1"/>
  <c r="DU104" i="22" s="1"/>
  <c r="ET127" i="22"/>
  <c r="EU127" i="22" s="1"/>
  <c r="EW127" i="22" s="1"/>
  <c r="ET92" i="22"/>
  <c r="EU92" i="22" s="1"/>
  <c r="EW92" i="22" s="1"/>
  <c r="BN188" i="22"/>
  <c r="BO188" i="22" s="1"/>
  <c r="CP139" i="22"/>
  <c r="CQ139" i="22" s="1"/>
  <c r="CS139" i="22" s="1"/>
  <c r="CP52" i="22"/>
  <c r="CQ52" i="22" s="1"/>
  <c r="CS52" i="22" s="1"/>
  <c r="BN143" i="22"/>
  <c r="BO143" i="22" s="1"/>
  <c r="DR179" i="22"/>
  <c r="DS179" i="22" s="1"/>
  <c r="DU179" i="22" s="1"/>
  <c r="CP138" i="22"/>
  <c r="CQ138" i="22" s="1"/>
  <c r="CS138" i="22" s="1"/>
  <c r="BN108" i="22"/>
  <c r="BO108" i="22" s="1"/>
  <c r="BN83" i="22"/>
  <c r="BO83" i="22" s="1"/>
  <c r="DR12" i="22"/>
  <c r="DS12" i="22" s="1"/>
  <c r="DU12" i="22" s="1"/>
  <c r="BN109" i="22"/>
  <c r="BO109" i="22" s="1"/>
  <c r="DR118" i="22"/>
  <c r="DS118" i="22" s="1"/>
  <c r="DU118" i="22" s="1"/>
  <c r="DR63" i="22"/>
  <c r="DS63" i="22" s="1"/>
  <c r="DU63" i="22" s="1"/>
  <c r="CP50" i="22"/>
  <c r="CQ50" i="22" s="1"/>
  <c r="CS50" i="22" s="1"/>
  <c r="DR24" i="22"/>
  <c r="DS24" i="22" s="1"/>
  <c r="DU24" i="22" s="1"/>
  <c r="DR174" i="22"/>
  <c r="DS174" i="22" s="1"/>
  <c r="DU174" i="22" s="1"/>
  <c r="CP161" i="22"/>
  <c r="CQ161" i="22" s="1"/>
  <c r="CS161" i="22" s="1"/>
  <c r="DR123" i="22"/>
  <c r="DS123" i="22" s="1"/>
  <c r="DU123" i="22" s="1"/>
  <c r="ET77" i="22"/>
  <c r="EU77" i="22" s="1"/>
  <c r="EW77" i="22" s="1"/>
  <c r="ET19" i="22"/>
  <c r="EU19" i="22" s="1"/>
  <c r="EW19" i="22" s="1"/>
  <c r="BN7" i="22"/>
  <c r="BO7" i="22" s="1"/>
  <c r="DR159" i="22"/>
  <c r="DS159" i="22" s="1"/>
  <c r="DU159" i="22" s="1"/>
  <c r="DR161" i="22"/>
  <c r="DS161" i="22" s="1"/>
  <c r="DU161" i="22" s="1"/>
  <c r="BN169" i="22"/>
  <c r="BO169" i="22" s="1"/>
  <c r="CP40" i="22"/>
  <c r="CQ40" i="22" s="1"/>
  <c r="CS40" i="22" s="1"/>
  <c r="DR36" i="22"/>
  <c r="DS36" i="22" s="1"/>
  <c r="DU36" i="22" s="1"/>
  <c r="DR165" i="22"/>
  <c r="DS165" i="22" s="1"/>
  <c r="DU165" i="22" s="1"/>
  <c r="CP134" i="22"/>
  <c r="CQ134" i="22" s="1"/>
  <c r="CS134" i="22" s="1"/>
  <c r="BN52" i="22"/>
  <c r="BO52" i="22" s="1"/>
  <c r="DR9" i="22"/>
  <c r="DS9" i="22" s="1"/>
  <c r="DU9" i="22" s="1"/>
  <c r="CP172" i="22"/>
  <c r="CQ172" i="22" s="1"/>
  <c r="CS172" i="22" s="1"/>
  <c r="DR77" i="22"/>
  <c r="DS77" i="22" s="1"/>
  <c r="DU77" i="22" s="1"/>
  <c r="ET111" i="22"/>
  <c r="EU111" i="22" s="1"/>
  <c r="EW111" i="22" s="1"/>
  <c r="CP19" i="22"/>
  <c r="CQ19" i="22" s="1"/>
  <c r="CS19" i="22" s="1"/>
  <c r="CP65" i="22"/>
  <c r="CQ65" i="22" s="1"/>
  <c r="CS65" i="22" s="1"/>
  <c r="ET172" i="22"/>
  <c r="EU172" i="22" s="1"/>
  <c r="EW172" i="22" s="1"/>
  <c r="ET104" i="22"/>
  <c r="EU104" i="22" s="1"/>
  <c r="EW104" i="22" s="1"/>
  <c r="BN124" i="22"/>
  <c r="BO124" i="22" s="1"/>
  <c r="ET36" i="22"/>
  <c r="EU36" i="22" s="1"/>
  <c r="EW36" i="22" s="1"/>
  <c r="ET43" i="22"/>
  <c r="EU43" i="22" s="1"/>
  <c r="EW43" i="22" s="1"/>
  <c r="DR32" i="22"/>
  <c r="DS32" i="22" s="1"/>
  <c r="DU32" i="22" s="1"/>
  <c r="DR29" i="22"/>
  <c r="DS29" i="22" s="1"/>
  <c r="DU29" i="22" s="1"/>
  <c r="CP69" i="22"/>
  <c r="CQ69" i="22" s="1"/>
  <c r="CS69" i="22" s="1"/>
  <c r="DR43" i="22"/>
  <c r="DS43" i="22" s="1"/>
  <c r="DU43" i="22" s="1"/>
  <c r="ET176" i="22"/>
  <c r="EU176" i="22" s="1"/>
  <c r="EW176" i="22" s="1"/>
  <c r="CP133" i="22"/>
  <c r="CQ133" i="22" s="1"/>
  <c r="CS133" i="22" s="1"/>
  <c r="BN110" i="22"/>
  <c r="BO110" i="22" s="1"/>
  <c r="DR45" i="22"/>
  <c r="DS45" i="22" s="1"/>
  <c r="DU45" i="22" s="1"/>
  <c r="DR184" i="22"/>
  <c r="DS184" i="22" s="1"/>
  <c r="DU184" i="22" s="1"/>
  <c r="ET139" i="22"/>
  <c r="EU139" i="22" s="1"/>
  <c r="EW139" i="22" s="1"/>
  <c r="ET121" i="22"/>
  <c r="EU121" i="22" s="1"/>
  <c r="EW121" i="22" s="1"/>
  <c r="DR97" i="22"/>
  <c r="DS97" i="22" s="1"/>
  <c r="DU97" i="22" s="1"/>
  <c r="ET40" i="22"/>
  <c r="EU40" i="22" s="1"/>
  <c r="EW40" i="22" s="1"/>
  <c r="BN57" i="22"/>
  <c r="BO57" i="22" s="1"/>
  <c r="BN127" i="22"/>
  <c r="BO127" i="22" s="1"/>
  <c r="CP26" i="22"/>
  <c r="CQ26" i="22" s="1"/>
  <c r="CS26" i="22" s="1"/>
  <c r="ET99" i="22"/>
  <c r="EU99" i="22" s="1"/>
  <c r="EW99" i="22" s="1"/>
  <c r="BN184" i="22"/>
  <c r="BO184" i="22" s="1"/>
  <c r="DR127" i="22"/>
  <c r="DS127" i="22" s="1"/>
  <c r="DU127" i="22" s="1"/>
  <c r="DR50" i="22"/>
  <c r="DS50" i="22" s="1"/>
  <c r="DU50" i="22" s="1"/>
  <c r="ET164" i="22"/>
  <c r="EU164" i="22" s="1"/>
  <c r="EW164" i="22" s="1"/>
  <c r="BN95" i="22"/>
  <c r="BO95" i="22" s="1"/>
  <c r="ET149" i="22"/>
  <c r="EU149" i="22" s="1"/>
  <c r="EW149" i="22" s="1"/>
  <c r="CP127" i="22"/>
  <c r="CQ127" i="22" s="1"/>
  <c r="CS127" i="22" s="1"/>
  <c r="DR98" i="22"/>
  <c r="DS98" i="22" s="1"/>
  <c r="DU98" i="22" s="1"/>
  <c r="ET69" i="22"/>
  <c r="EU69" i="22" s="1"/>
  <c r="EW69" i="22" s="1"/>
  <c r="ET173" i="22"/>
  <c r="EU173" i="22" s="1"/>
  <c r="EW173" i="22" s="1"/>
  <c r="DR130" i="22"/>
  <c r="DS130" i="22" s="1"/>
  <c r="DU130" i="22" s="1"/>
  <c r="ET105" i="22"/>
  <c r="EU105" i="22" s="1"/>
  <c r="EW105" i="22" s="1"/>
  <c r="BN85" i="22"/>
  <c r="BO85" i="22" s="1"/>
  <c r="ET27" i="22"/>
  <c r="EU27" i="22" s="1"/>
  <c r="EW27" i="22" s="1"/>
  <c r="DR144" i="22"/>
  <c r="DS144" i="22" s="1"/>
  <c r="DU144" i="22" s="1"/>
  <c r="ET96" i="22"/>
  <c r="EU96" i="22" s="1"/>
  <c r="EW96" i="22" s="1"/>
  <c r="CP64" i="22"/>
  <c r="CQ64" i="22" s="1"/>
  <c r="CS64" i="22" s="1"/>
  <c r="BN69" i="22"/>
  <c r="BO69" i="22" s="1"/>
  <c r="CP129" i="22"/>
  <c r="CQ129" i="22" s="1"/>
  <c r="CS129" i="22" s="1"/>
  <c r="DR160" i="22"/>
  <c r="DS160" i="22" s="1"/>
  <c r="DU160" i="22" s="1"/>
  <c r="ET137" i="22"/>
  <c r="EU137" i="22" s="1"/>
  <c r="EW137" i="22" s="1"/>
  <c r="BN8" i="22"/>
  <c r="BO8" i="22" s="1"/>
  <c r="CP173" i="22"/>
  <c r="CQ173" i="22" s="1"/>
  <c r="CS173" i="22" s="1"/>
  <c r="DR124" i="22"/>
  <c r="DS124" i="22" s="1"/>
  <c r="DU124" i="22" s="1"/>
  <c r="BN73" i="22"/>
  <c r="BO73" i="22" s="1"/>
  <c r="CP17" i="22"/>
  <c r="CQ17" i="22" s="1"/>
  <c r="CS17" i="22" s="1"/>
  <c r="ET7" i="22"/>
  <c r="EU7" i="22" s="1"/>
  <c r="EW7" i="22" s="1"/>
  <c r="CP187" i="22"/>
  <c r="CQ187" i="22" s="1"/>
  <c r="CS187" i="22" s="1"/>
  <c r="BN142" i="22"/>
  <c r="BO142" i="22" s="1"/>
  <c r="ET90" i="22"/>
  <c r="EU90" i="22" s="1"/>
  <c r="EW90" i="22" s="1"/>
  <c r="DR96" i="22"/>
  <c r="DS96" i="22" s="1"/>
  <c r="DU96" i="22" s="1"/>
  <c r="ET47" i="22"/>
  <c r="EU47" i="22" s="1"/>
  <c r="EW47" i="22" s="1"/>
  <c r="DR95" i="22"/>
  <c r="DS95" i="22" s="1"/>
  <c r="DU95" i="22" s="1"/>
  <c r="CP190" i="22"/>
  <c r="CQ190" i="22" s="1"/>
  <c r="CS190" i="22" s="1"/>
  <c r="CP142" i="22"/>
  <c r="CQ142" i="22" s="1"/>
  <c r="CS142" i="22" s="1"/>
  <c r="CP91" i="22"/>
  <c r="CQ91" i="22" s="1"/>
  <c r="CS91" i="22" s="1"/>
  <c r="ET38" i="22"/>
  <c r="EU38" i="22" s="1"/>
  <c r="EW38" i="22" s="1"/>
  <c r="BN49" i="22"/>
  <c r="BO49" i="22" s="1"/>
  <c r="ET174" i="22"/>
  <c r="EU174" i="22" s="1"/>
  <c r="EW174" i="22" s="1"/>
  <c r="CP123" i="22"/>
  <c r="CQ123" i="22" s="1"/>
  <c r="CS123" i="22" s="1"/>
  <c r="ET102" i="22"/>
  <c r="EU102" i="22" s="1"/>
  <c r="EW102" i="22" s="1"/>
  <c r="BN59" i="22"/>
  <c r="BO59" i="22" s="1"/>
  <c r="BQ59" i="22" s="1"/>
  <c r="DR81" i="22"/>
  <c r="DS81" i="22" s="1"/>
  <c r="DU81" i="22" s="1"/>
  <c r="CP152" i="22"/>
  <c r="CQ152" i="22" s="1"/>
  <c r="CS152" i="22" s="1"/>
  <c r="CP153" i="22"/>
  <c r="CQ153" i="22" s="1"/>
  <c r="CS153" i="22" s="1"/>
  <c r="ET78" i="22"/>
  <c r="EU78" i="22" s="1"/>
  <c r="EW78" i="22" s="1"/>
  <c r="DR57" i="22"/>
  <c r="DS57" i="22" s="1"/>
  <c r="DU57" i="22" s="1"/>
  <c r="BN43" i="22"/>
  <c r="BO43" i="22" s="1"/>
  <c r="BN51" i="22"/>
  <c r="BO51" i="22" s="1"/>
  <c r="CP164" i="22"/>
  <c r="CQ164" i="22" s="1"/>
  <c r="CS164" i="22" s="1"/>
  <c r="CP159" i="22"/>
  <c r="CQ159" i="22" s="1"/>
  <c r="CS159" i="22" s="1"/>
  <c r="ET100" i="22"/>
  <c r="EU100" i="22" s="1"/>
  <c r="EW100" i="22" s="1"/>
  <c r="CP36" i="22"/>
  <c r="CQ36" i="22" s="1"/>
  <c r="CS36" i="22" s="1"/>
  <c r="CP57" i="22"/>
  <c r="CQ57" i="22" s="1"/>
  <c r="CS57" i="22" s="1"/>
  <c r="DR94" i="22"/>
  <c r="DS94" i="22" s="1"/>
  <c r="DU94" i="22" s="1"/>
  <c r="ET116" i="22"/>
  <c r="EU116" i="22" s="1"/>
  <c r="EW116" i="22" s="1"/>
  <c r="DR88" i="22"/>
  <c r="DS88" i="22" s="1"/>
  <c r="DU88" i="22" s="1"/>
  <c r="BN174" i="22"/>
  <c r="BO174" i="22" s="1"/>
  <c r="BN115" i="22"/>
  <c r="BO115" i="22" s="1"/>
  <c r="BN99" i="22"/>
  <c r="BO99" i="22" s="1"/>
  <c r="BN152" i="22"/>
  <c r="BO152" i="22" s="1"/>
  <c r="BN116" i="22"/>
  <c r="BO116" i="22" s="1"/>
  <c r="ET82" i="22"/>
  <c r="EU82" i="22" s="1"/>
  <c r="EW82" i="22" s="1"/>
  <c r="BN46" i="22"/>
  <c r="BO46" i="22" s="1"/>
  <c r="BN157" i="22"/>
  <c r="BO157" i="22" s="1"/>
  <c r="BN121" i="22"/>
  <c r="BO121" i="22" s="1"/>
  <c r="ET73" i="22"/>
  <c r="EU73" i="22" s="1"/>
  <c r="EW73" i="22" s="1"/>
  <c r="DR76" i="22"/>
  <c r="DS76" i="22" s="1"/>
  <c r="DU76" i="22" s="1"/>
  <c r="BN149" i="22"/>
  <c r="BO149" i="22" s="1"/>
  <c r="ET88" i="22"/>
  <c r="EU88" i="22" s="1"/>
  <c r="EW88" i="22" s="1"/>
  <c r="ET44" i="22"/>
  <c r="EU44" i="22" s="1"/>
  <c r="EW44" i="22" s="1"/>
  <c r="BN190" i="22"/>
  <c r="BO190" i="22" s="1"/>
  <c r="DR31" i="22"/>
  <c r="DS31" i="22" s="1"/>
  <c r="DU31" i="22" s="1"/>
  <c r="CP158" i="22"/>
  <c r="CQ158" i="22" s="1"/>
  <c r="CS158" i="22" s="1"/>
  <c r="ET97" i="22"/>
  <c r="EU97" i="22" s="1"/>
  <c r="EW97" i="22" s="1"/>
  <c r="ET33" i="22"/>
  <c r="EU33" i="22" s="1"/>
  <c r="EW33" i="22" s="1"/>
  <c r="CP131" i="22"/>
  <c r="CQ131" i="22" s="1"/>
  <c r="CS131" i="22" s="1"/>
  <c r="ET98" i="22"/>
  <c r="EU98" i="22" s="1"/>
  <c r="EW98" i="22" s="1"/>
  <c r="ET95" i="22"/>
  <c r="EU95" i="22" s="1"/>
  <c r="EW95" i="22" s="1"/>
  <c r="ET11" i="22"/>
  <c r="EU11" i="22" s="1"/>
  <c r="EW11" i="22" s="1"/>
  <c r="DR141" i="22"/>
  <c r="DS141" i="22" s="1"/>
  <c r="DU141" i="22" s="1"/>
  <c r="DR131" i="22"/>
  <c r="DS131" i="22" s="1"/>
  <c r="DU131" i="22" s="1"/>
  <c r="CP101" i="22"/>
  <c r="CQ101" i="22" s="1"/>
  <c r="CS101" i="22" s="1"/>
  <c r="CP60" i="22"/>
  <c r="CQ60" i="22" s="1"/>
  <c r="CS60" i="22" s="1"/>
  <c r="BN12" i="22"/>
  <c r="BO12" i="22" s="1"/>
  <c r="BN163" i="22"/>
  <c r="BO163" i="22" s="1"/>
  <c r="DR147" i="22"/>
  <c r="DS147" i="22" s="1"/>
  <c r="DU147" i="22" s="1"/>
  <c r="ET112" i="22"/>
  <c r="EU112" i="22" s="1"/>
  <c r="EW112" i="22" s="1"/>
  <c r="CP99" i="22"/>
  <c r="CQ99" i="22" s="1"/>
  <c r="CS99" i="22" s="1"/>
  <c r="BN86" i="22"/>
  <c r="BO86" i="22" s="1"/>
  <c r="ET29" i="22"/>
  <c r="EU29" i="22" s="1"/>
  <c r="EW29" i="22" s="1"/>
  <c r="CP180" i="22"/>
  <c r="CQ180" i="22" s="1"/>
  <c r="CS180" i="22" s="1"/>
  <c r="BN153" i="22"/>
  <c r="BO153" i="22" s="1"/>
  <c r="DR105" i="22"/>
  <c r="DS105" i="22" s="1"/>
  <c r="DU105" i="22" s="1"/>
  <c r="DR17" i="22"/>
  <c r="DS17" i="22" s="1"/>
  <c r="DU17" i="22" s="1"/>
  <c r="ET15" i="22"/>
  <c r="EU15" i="22" s="1"/>
  <c r="EW15" i="22" s="1"/>
  <c r="BN11" i="22"/>
  <c r="BO11" i="22" s="1"/>
  <c r="DR177" i="22"/>
  <c r="DS177" i="22" s="1"/>
  <c r="DU177" i="22" s="1"/>
  <c r="CP114" i="22"/>
  <c r="CQ114" i="22" s="1"/>
  <c r="CS114" i="22" s="1"/>
  <c r="DR133" i="22"/>
  <c r="DS133" i="22" s="1"/>
  <c r="DU133" i="22" s="1"/>
  <c r="ET52" i="22"/>
  <c r="EU52" i="22" s="1"/>
  <c r="EW52" i="22" s="1"/>
  <c r="CP34" i="22"/>
  <c r="CQ34" i="22" s="1"/>
  <c r="CS34" i="22" s="1"/>
  <c r="DR113" i="22"/>
  <c r="DS113" i="22" s="1"/>
  <c r="DU113" i="22" s="1"/>
  <c r="CP177" i="22"/>
  <c r="CQ177" i="22" s="1"/>
  <c r="CS177" i="22" s="1"/>
  <c r="BN111" i="22"/>
  <c r="BO111" i="22" s="1"/>
  <c r="DR64" i="22"/>
  <c r="DS64" i="22" s="1"/>
  <c r="DU64" i="22" s="1"/>
  <c r="DR7" i="22"/>
  <c r="DS7" i="22" s="1"/>
  <c r="DU7" i="22" s="1"/>
  <c r="CP32" i="22"/>
  <c r="CQ32" i="22" s="1"/>
  <c r="CS32" i="22" s="1"/>
  <c r="BN13" i="22"/>
  <c r="BO13" i="22" s="1"/>
  <c r="DR138" i="22"/>
  <c r="DS138" i="22" s="1"/>
  <c r="DU138" i="22" s="1"/>
  <c r="CP59" i="22"/>
  <c r="CQ59" i="22" s="1"/>
  <c r="CS59" i="22" s="1"/>
  <c r="ET46" i="22"/>
  <c r="EU46" i="22" s="1"/>
  <c r="EW46" i="22" s="1"/>
  <c r="DR182" i="22"/>
  <c r="DS182" i="22" s="1"/>
  <c r="CP120" i="22"/>
  <c r="CQ120" i="22" s="1"/>
  <c r="CS120" i="22" s="1"/>
  <c r="ET136" i="22"/>
  <c r="EU136" i="22" s="1"/>
  <c r="EW136" i="22" s="1"/>
  <c r="BN56" i="22"/>
  <c r="BO56" i="22" s="1"/>
  <c r="ET34" i="22"/>
  <c r="EU34" i="22" s="1"/>
  <c r="EW34" i="22" s="1"/>
  <c r="CP71" i="22"/>
  <c r="CQ71" i="22" s="1"/>
  <c r="CS71" i="22" s="1"/>
  <c r="BN30" i="22"/>
  <c r="BO30" i="22" s="1"/>
  <c r="ET186" i="22"/>
  <c r="EU186" i="22" s="1"/>
  <c r="EW186" i="22" s="1"/>
  <c r="ET145" i="22"/>
  <c r="EU145" i="22" s="1"/>
  <c r="EW145" i="22" s="1"/>
  <c r="DR99" i="22"/>
  <c r="DS99" i="22" s="1"/>
  <c r="DU99" i="22" s="1"/>
  <c r="ET55" i="22"/>
  <c r="EU55" i="22" s="1"/>
  <c r="EW55" i="22" s="1"/>
  <c r="DR66" i="22"/>
  <c r="DS66" i="22" s="1"/>
  <c r="DU66" i="22" s="1"/>
  <c r="CP47" i="22"/>
  <c r="CQ47" i="22" s="1"/>
  <c r="CS47" i="22" s="1"/>
  <c r="CP31" i="22"/>
  <c r="CQ31" i="22" s="1"/>
  <c r="CS31" i="22" s="1"/>
  <c r="CP126" i="22"/>
  <c r="CQ126" i="22" s="1"/>
  <c r="CS126" i="22" s="1"/>
  <c r="DR101" i="22"/>
  <c r="DS101" i="22" s="1"/>
  <c r="DU101" i="22" s="1"/>
  <c r="BN48" i="22"/>
  <c r="BO48" i="22" s="1"/>
  <c r="DR33" i="22"/>
  <c r="DS33" i="22" s="1"/>
  <c r="DU33" i="22" s="1"/>
  <c r="DR136" i="22"/>
  <c r="DS136" i="22" s="1"/>
  <c r="DU136" i="22" s="1"/>
  <c r="ET12" i="22"/>
  <c r="EU12" i="22" s="1"/>
  <c r="EW12" i="22" s="1"/>
  <c r="DR73" i="22"/>
  <c r="DS73" i="22" s="1"/>
  <c r="DU73" i="22" s="1"/>
  <c r="BN134" i="22"/>
  <c r="BO134" i="22" s="1"/>
  <c r="BN93" i="22"/>
  <c r="BO93" i="22" s="1"/>
  <c r="DR19" i="22"/>
  <c r="DS19" i="22" s="1"/>
  <c r="DU19" i="22" s="1"/>
  <c r="ET50" i="22"/>
  <c r="EU50" i="22" s="1"/>
  <c r="EW50" i="22" s="1"/>
  <c r="BN119" i="22"/>
  <c r="BO119" i="22" s="1"/>
  <c r="DR39" i="22"/>
  <c r="DS39" i="22" s="1"/>
  <c r="DU39" i="22" s="1"/>
  <c r="BN21" i="22"/>
  <c r="BO21" i="22" s="1"/>
  <c r="ET85" i="22"/>
  <c r="EU85" i="22" s="1"/>
  <c r="EW85" i="22" s="1"/>
  <c r="ET51" i="22"/>
  <c r="EU51" i="22" s="1"/>
  <c r="EW51" i="22" s="1"/>
  <c r="DR38" i="22"/>
  <c r="DS38" i="22" s="1"/>
  <c r="DU38" i="22" s="1"/>
  <c r="BN32" i="22"/>
  <c r="BO32" i="22" s="1"/>
  <c r="ET170" i="22"/>
  <c r="EU170" i="22" s="1"/>
  <c r="EW170" i="22" s="1"/>
  <c r="CP15" i="22"/>
  <c r="CQ15" i="22" s="1"/>
  <c r="CS15" i="22" s="1"/>
  <c r="BN6" i="22"/>
  <c r="BO6" i="22" s="1"/>
  <c r="DR132" i="22"/>
  <c r="DS132" i="22" s="1"/>
  <c r="DU132" i="22" s="1"/>
  <c r="DR16" i="22"/>
  <c r="DS16" i="22" s="1"/>
  <c r="DU16" i="22" s="1"/>
  <c r="ET146" i="22"/>
  <c r="EU146" i="22" s="1"/>
  <c r="EW146" i="22" s="1"/>
  <c r="DR52" i="22"/>
  <c r="DS52" i="22" s="1"/>
  <c r="DU52" i="22" s="1"/>
  <c r="ET134" i="22"/>
  <c r="EU134" i="22" s="1"/>
  <c r="EW134" i="22" s="1"/>
  <c r="BN29" i="22"/>
  <c r="BO29" i="22" s="1"/>
  <c r="ET168" i="22"/>
  <c r="EU168" i="22" s="1"/>
  <c r="EW168" i="22" s="1"/>
  <c r="BN105" i="22"/>
  <c r="BO105" i="22" s="1"/>
  <c r="CP48" i="22"/>
  <c r="CQ48" i="22" s="1"/>
  <c r="CS48" i="22" s="1"/>
  <c r="CP119" i="22"/>
  <c r="CQ119" i="22" s="1"/>
  <c r="CS119" i="22" s="1"/>
  <c r="CP18" i="22"/>
  <c r="CQ18" i="22" s="1"/>
  <c r="CS18" i="22" s="1"/>
  <c r="BN89" i="22"/>
  <c r="BO89" i="22" s="1"/>
  <c r="ET180" i="22"/>
  <c r="EU180" i="22" s="1"/>
  <c r="EW180" i="22" s="1"/>
  <c r="CP55" i="22"/>
  <c r="CQ55" i="22" s="1"/>
  <c r="CS55" i="22" s="1"/>
  <c r="ET18" i="22"/>
  <c r="EU18" i="22" s="1"/>
  <c r="EW18" i="22" s="1"/>
  <c r="BN27" i="22"/>
  <c r="BO27" i="22" s="1"/>
  <c r="BN98" i="22"/>
  <c r="BO98" i="22" s="1"/>
  <c r="BN20" i="22"/>
  <c r="BO20" i="22" s="1"/>
  <c r="BN123" i="22"/>
  <c r="BO123" i="22" s="1"/>
  <c r="BN138" i="22"/>
  <c r="BO138" i="22" s="1"/>
  <c r="BN126" i="22"/>
  <c r="BO126" i="22" s="1"/>
  <c r="BN62" i="22"/>
  <c r="BO62" i="22" s="1"/>
  <c r="BN24" i="22"/>
  <c r="BO24" i="22" s="1"/>
  <c r="BN94" i="22"/>
  <c r="BO94" i="22" s="1"/>
  <c r="ET142" i="22"/>
  <c r="EU142" i="22" s="1"/>
  <c r="EW142" i="22" s="1"/>
  <c r="DR78" i="22"/>
  <c r="DS78" i="22" s="1"/>
  <c r="DU78" i="22" s="1"/>
  <c r="BN41" i="22"/>
  <c r="BO41" i="22" s="1"/>
  <c r="BN175" i="22"/>
  <c r="BO175" i="22" s="1"/>
  <c r="BN171" i="22"/>
  <c r="BO171" i="22" s="1"/>
  <c r="BN165" i="22"/>
  <c r="BO165" i="22" s="1"/>
  <c r="BN16" i="22"/>
  <c r="BO16" i="22" s="1"/>
  <c r="BN68" i="22"/>
  <c r="BO68" i="22" s="1"/>
  <c r="BN25" i="22"/>
  <c r="BO25" i="22" s="1"/>
  <c r="BN164" i="22"/>
  <c r="BO164" i="22" s="1"/>
  <c r="BN54" i="22"/>
  <c r="BO54" i="22" s="1"/>
  <c r="BN40" i="22"/>
  <c r="BO40" i="22" s="1"/>
  <c r="BN39" i="22"/>
  <c r="BO39" i="22" s="1"/>
  <c r="BN103" i="22"/>
  <c r="BO103" i="22" s="1"/>
  <c r="BN67" i="22"/>
  <c r="BO67" i="22" s="1"/>
  <c r="BN137" i="22"/>
  <c r="BO137" i="22" s="1"/>
  <c r="BN113" i="22"/>
  <c r="BO113" i="22" s="1"/>
  <c r="ET48" i="22"/>
  <c r="EU48" i="22" s="1"/>
  <c r="EW48" i="22" s="1"/>
  <c r="BN167" i="22"/>
  <c r="BO167" i="22" s="1"/>
  <c r="BN162" i="22"/>
  <c r="BO162" i="22" s="1"/>
  <c r="BN26" i="22"/>
  <c r="BO26" i="22" s="1"/>
  <c r="BN130" i="22"/>
  <c r="BO130" i="22" s="1"/>
  <c r="BN64" i="22"/>
  <c r="BO64" i="22" s="1"/>
  <c r="CP124" i="22"/>
  <c r="CQ124" i="22" s="1"/>
  <c r="CS124" i="22" s="1"/>
  <c r="BN80" i="22"/>
  <c r="BO80" i="22" s="1"/>
  <c r="BN33" i="22"/>
  <c r="BO33" i="22" s="1"/>
  <c r="BN144" i="22"/>
  <c r="BO144" i="22" s="1"/>
  <c r="BN96" i="22"/>
  <c r="BO96" i="22" s="1"/>
  <c r="BN70" i="22"/>
  <c r="BO70" i="22" s="1"/>
  <c r="ET182" i="22"/>
  <c r="EU182" i="22" s="1"/>
  <c r="EW182" i="22" s="1"/>
  <c r="DR74" i="22"/>
  <c r="DS74" i="22" s="1"/>
  <c r="DU74" i="22" s="1"/>
  <c r="BN122" i="22"/>
  <c r="BO122" i="22" s="1"/>
  <c r="BN42" i="22"/>
  <c r="BO42" i="22" s="1"/>
  <c r="BN156" i="22"/>
  <c r="BO156" i="22" s="1"/>
  <c r="BN129" i="22"/>
  <c r="BO129" i="22" s="1"/>
  <c r="BN81" i="22"/>
  <c r="BO81" i="22" s="1"/>
  <c r="BN170" i="22"/>
  <c r="BO170" i="22" s="1"/>
  <c r="BN125" i="22"/>
  <c r="BO125" i="22" s="1"/>
  <c r="BN72" i="22"/>
  <c r="BO72" i="22" s="1"/>
  <c r="BN92" i="22"/>
  <c r="BO92" i="22" s="1"/>
  <c r="CP37" i="22"/>
  <c r="CQ37" i="22" s="1"/>
  <c r="CS37" i="22" s="1"/>
  <c r="BN178" i="22"/>
  <c r="BO178" i="22" s="1"/>
  <c r="BN50" i="22"/>
  <c r="BO50" i="22" s="1"/>
  <c r="BN90" i="22"/>
  <c r="BO90" i="22" s="1"/>
  <c r="CP28" i="22"/>
  <c r="CQ28" i="22" s="1"/>
  <c r="CS28" i="22" s="1"/>
  <c r="ET14" i="22"/>
  <c r="EU14" i="22" s="1"/>
  <c r="EW14" i="22" s="1"/>
  <c r="BN31" i="22"/>
  <c r="BO31" i="22" s="1"/>
  <c r="BN91" i="22"/>
  <c r="BO91" i="22" s="1"/>
  <c r="BN155" i="22"/>
  <c r="BO155" i="22" s="1"/>
  <c r="BN66" i="22"/>
  <c r="BO66" i="22" s="1"/>
  <c r="BN112" i="22"/>
  <c r="BO112" i="22" s="1"/>
  <c r="BN146" i="22"/>
  <c r="BO146" i="22" s="1"/>
  <c r="CP61" i="22"/>
  <c r="CQ61" i="22" s="1"/>
  <c r="CP181" i="1"/>
  <c r="CQ181" i="1" s="1"/>
  <c r="ET181" i="1"/>
  <c r="EU181" i="1" s="1"/>
  <c r="EW181" i="1" s="1"/>
  <c r="DR181" i="1"/>
  <c r="DS181" i="1" s="1"/>
  <c r="DU181" i="1" s="1"/>
  <c r="DR180" i="1"/>
  <c r="DS180" i="1" s="1"/>
  <c r="DU180" i="1" s="1"/>
  <c r="BN180" i="1"/>
  <c r="BO180" i="1" s="1"/>
  <c r="CP180" i="1"/>
  <c r="CQ180" i="1" s="1"/>
  <c r="CS180" i="1" s="1"/>
  <c r="ET180" i="1"/>
  <c r="EU180" i="1" s="1"/>
  <c r="EW180" i="1" s="1"/>
  <c r="DR179" i="1"/>
  <c r="DS179" i="1" s="1"/>
  <c r="DU179" i="1" s="1"/>
  <c r="ET179" i="1"/>
  <c r="EU179" i="1" s="1"/>
  <c r="EW179" i="1" s="1"/>
  <c r="CP179" i="1"/>
  <c r="CQ179" i="1" s="1"/>
  <c r="BN181" i="1"/>
  <c r="BO181" i="1" s="1"/>
  <c r="BN179" i="1"/>
  <c r="BO179" i="1" s="1"/>
  <c r="DR172" i="1"/>
  <c r="DS172" i="1" s="1"/>
  <c r="DU172" i="1" s="1"/>
  <c r="BN169" i="1"/>
  <c r="BO169" i="1" s="1"/>
  <c r="ET170" i="1"/>
  <c r="EU170" i="1" s="1"/>
  <c r="EW170" i="1" s="1"/>
  <c r="DR175" i="1"/>
  <c r="DS175" i="1" s="1"/>
  <c r="DU175" i="1" s="1"/>
  <c r="BN176" i="1"/>
  <c r="BO176" i="1" s="1"/>
  <c r="BN172" i="1"/>
  <c r="BO172" i="1" s="1"/>
  <c r="CP177" i="1"/>
  <c r="CQ177" i="1" s="1"/>
  <c r="CS177" i="1" s="1"/>
  <c r="ET168" i="1"/>
  <c r="EU168" i="1" s="1"/>
  <c r="EW168" i="1" s="1"/>
  <c r="DR176" i="1"/>
  <c r="DS176" i="1" s="1"/>
  <c r="DU176" i="1" s="1"/>
  <c r="CP174" i="1"/>
  <c r="CQ174" i="1" s="1"/>
  <c r="ET175" i="1"/>
  <c r="EU175" i="1" s="1"/>
  <c r="EW175" i="1" s="1"/>
  <c r="CP172" i="1"/>
  <c r="CQ172" i="1" s="1"/>
  <c r="CS172" i="1" s="1"/>
  <c r="DR169" i="1"/>
  <c r="DS169" i="1" s="1"/>
  <c r="DU169" i="1" s="1"/>
  <c r="CP176" i="1"/>
  <c r="CQ176" i="1" s="1"/>
  <c r="CS176" i="1" s="1"/>
  <c r="CP169" i="1"/>
  <c r="CQ169" i="1" s="1"/>
  <c r="CS169" i="1" s="1"/>
  <c r="CP171" i="1"/>
  <c r="CQ171" i="1" s="1"/>
  <c r="CS171" i="1" s="1"/>
  <c r="CP178" i="1"/>
  <c r="CQ178" i="1" s="1"/>
  <c r="CS178" i="1" s="1"/>
  <c r="ET177" i="1"/>
  <c r="EU177" i="1" s="1"/>
  <c r="EW177" i="1" s="1"/>
  <c r="ET174" i="1"/>
  <c r="EU174" i="1" s="1"/>
  <c r="EW174" i="1" s="1"/>
  <c r="BN174" i="1"/>
  <c r="BO174" i="1" s="1"/>
  <c r="BN178" i="1"/>
  <c r="BO178" i="1" s="1"/>
  <c r="ET171" i="1"/>
  <c r="EU171" i="1" s="1"/>
  <c r="EW171" i="1" s="1"/>
  <c r="ET169" i="1"/>
  <c r="EU169" i="1" s="1"/>
  <c r="EW169" i="1" s="1"/>
  <c r="ET178" i="1"/>
  <c r="EU178" i="1" s="1"/>
  <c r="EW178" i="1" s="1"/>
  <c r="CP175" i="1"/>
  <c r="CQ175" i="1" s="1"/>
  <c r="CS175" i="1" s="1"/>
  <c r="BN170" i="1"/>
  <c r="BO170" i="1" s="1"/>
  <c r="DR174" i="1"/>
  <c r="DS174" i="1" s="1"/>
  <c r="DU174" i="1" s="1"/>
  <c r="CP170" i="1"/>
  <c r="CQ170" i="1" s="1"/>
  <c r="CS170" i="1" s="1"/>
  <c r="ET173" i="1"/>
  <c r="EU173" i="1" s="1"/>
  <c r="EW173" i="1" s="1"/>
  <c r="DR178" i="1"/>
  <c r="DS178" i="1" s="1"/>
  <c r="DU178" i="1" s="1"/>
  <c r="CP173" i="1"/>
  <c r="CQ173" i="1" s="1"/>
  <c r="CS173" i="1" s="1"/>
  <c r="ET172" i="1"/>
  <c r="EU172" i="1" s="1"/>
  <c r="EW172" i="1" s="1"/>
  <c r="DR173" i="1"/>
  <c r="DS173" i="1" s="1"/>
  <c r="DU173" i="1" s="1"/>
  <c r="ET176" i="1"/>
  <c r="EU176" i="1" s="1"/>
  <c r="EW176" i="1" s="1"/>
  <c r="DR177" i="1"/>
  <c r="DS177" i="1" s="1"/>
  <c r="DU177" i="1" s="1"/>
  <c r="DR171" i="1"/>
  <c r="DS171" i="1" s="1"/>
  <c r="DU171" i="1" s="1"/>
  <c r="DR170" i="1"/>
  <c r="DS170" i="1" s="1"/>
  <c r="DU170" i="1" s="1"/>
  <c r="BN173" i="1"/>
  <c r="BO173" i="1" s="1"/>
  <c r="BN171" i="1"/>
  <c r="BO171" i="1" s="1"/>
  <c r="BN177" i="1"/>
  <c r="BO177" i="1" s="1"/>
  <c r="BN175" i="1"/>
  <c r="BO175" i="1" s="1"/>
  <c r="CP166" i="1"/>
  <c r="CQ166" i="1" s="1"/>
  <c r="CS166" i="1" s="1"/>
  <c r="CP168" i="1"/>
  <c r="CQ168" i="1" s="1"/>
  <c r="CS168" i="1" s="1"/>
  <c r="BN166" i="1"/>
  <c r="BO166" i="1" s="1"/>
  <c r="ET166" i="1"/>
  <c r="EU166" i="1" s="1"/>
  <c r="EW166" i="1" s="1"/>
  <c r="DR166" i="1"/>
  <c r="DS166" i="1" s="1"/>
  <c r="DR167" i="1"/>
  <c r="DS167" i="1" s="1"/>
  <c r="DU167" i="1" s="1"/>
  <c r="ET167" i="1"/>
  <c r="EU167" i="1" s="1"/>
  <c r="EW167" i="1" s="1"/>
  <c r="DR168" i="1"/>
  <c r="DS168" i="1" s="1"/>
  <c r="DU168" i="1" s="1"/>
  <c r="BN167" i="1"/>
  <c r="BO167" i="1" s="1"/>
  <c r="BN168" i="1"/>
  <c r="BO168" i="1" s="1"/>
  <c r="CR55" i="1"/>
  <c r="BP55" i="1"/>
  <c r="DT53" i="1"/>
  <c r="BP53" i="1"/>
  <c r="BN160" i="1"/>
  <c r="BO160" i="1" s="1"/>
  <c r="DR160" i="1"/>
  <c r="DS160" i="1" s="1"/>
  <c r="DU160" i="1" s="1"/>
  <c r="ET160" i="1"/>
  <c r="EU160" i="1" s="1"/>
  <c r="EW160" i="1" s="1"/>
  <c r="CP160" i="1"/>
  <c r="CQ160" i="1" s="1"/>
  <c r="CS160" i="1" s="1"/>
  <c r="CP84" i="1"/>
  <c r="CQ84" i="1" s="1"/>
  <c r="CS84" i="1" s="1"/>
  <c r="ET84" i="1"/>
  <c r="EU84" i="1" s="1"/>
  <c r="EW84" i="1" s="1"/>
  <c r="DR84" i="1"/>
  <c r="DS84" i="1" s="1"/>
  <c r="DU84" i="1" s="1"/>
  <c r="BN84" i="1"/>
  <c r="BO84" i="1" s="1"/>
  <c r="GT165" i="1"/>
  <c r="GT164" i="1"/>
  <c r="GT163" i="1"/>
  <c r="GT162" i="1"/>
  <c r="GT161" i="1"/>
  <c r="DN6" i="1"/>
  <c r="CP60" i="1"/>
  <c r="CQ60" i="1" s="1"/>
  <c r="CS60" i="1" s="1"/>
  <c r="BN60" i="1"/>
  <c r="BO60" i="1" s="1"/>
  <c r="BQ60" i="1" s="1"/>
  <c r="DR60" i="1"/>
  <c r="DS60" i="1" s="1"/>
  <c r="DU60" i="1" s="1"/>
  <c r="BN104" i="1"/>
  <c r="BO104" i="1" s="1"/>
  <c r="BN149" i="1"/>
  <c r="BO149" i="1" s="1"/>
  <c r="BQ149" i="1" s="1"/>
  <c r="CP149" i="1"/>
  <c r="CQ149" i="1" s="1"/>
  <c r="CS149" i="1" s="1"/>
  <c r="ET149" i="1"/>
  <c r="EU149" i="1" s="1"/>
  <c r="EW149" i="1" s="1"/>
  <c r="BQ104" i="1"/>
  <c r="EP64" i="1"/>
  <c r="EP69" i="1"/>
  <c r="EP57" i="1"/>
  <c r="EP66" i="1"/>
  <c r="EP49" i="1"/>
  <c r="EP54" i="1"/>
  <c r="EP61" i="1"/>
  <c r="CP63" i="1"/>
  <c r="CQ63" i="1" s="1"/>
  <c r="CS63" i="1" s="1"/>
  <c r="DR63" i="1"/>
  <c r="DS63" i="1" s="1"/>
  <c r="DU63" i="1" s="1"/>
  <c r="BN63" i="1"/>
  <c r="BO63" i="1" s="1"/>
  <c r="BQ63" i="1" s="1"/>
  <c r="ET153" i="1"/>
  <c r="EU153" i="1" s="1"/>
  <c r="EW153" i="1" s="1"/>
  <c r="DR153" i="1"/>
  <c r="DS153" i="1" s="1"/>
  <c r="DU153" i="1" s="1"/>
  <c r="BN153" i="1"/>
  <c r="BO153" i="1" s="1"/>
  <c r="BQ153" i="1" s="1"/>
  <c r="CP153" i="1"/>
  <c r="CQ153" i="1" s="1"/>
  <c r="CS153" i="1" s="1"/>
  <c r="BN68" i="1"/>
  <c r="BO68" i="1" s="1"/>
  <c r="BQ68" i="1" s="1"/>
  <c r="DR68" i="1"/>
  <c r="DS68" i="1" s="1"/>
  <c r="DU68" i="1" s="1"/>
  <c r="CP68" i="1"/>
  <c r="CQ68" i="1" s="1"/>
  <c r="CS68" i="1" s="1"/>
  <c r="ET68" i="1"/>
  <c r="EU68" i="1" s="1"/>
  <c r="EW68" i="1" s="1"/>
  <c r="EP67" i="1"/>
  <c r="CL70" i="1"/>
  <c r="CL74" i="1"/>
  <c r="CL79" i="1"/>
  <c r="CL83" i="1"/>
  <c r="CL91" i="1"/>
  <c r="CL94" i="1"/>
  <c r="CL98" i="1"/>
  <c r="CL101" i="1"/>
  <c r="CL104" i="1"/>
  <c r="CL108" i="1"/>
  <c r="CL116" i="1"/>
  <c r="CL123" i="1"/>
  <c r="CL131" i="1"/>
  <c r="CL138" i="1"/>
  <c r="CL146" i="1"/>
  <c r="CL161" i="1"/>
  <c r="BJ8" i="1"/>
  <c r="BJ12" i="1"/>
  <c r="EP65" i="1"/>
  <c r="EP161" i="1"/>
  <c r="EP51" i="1"/>
  <c r="EP55" i="1"/>
  <c r="EP58" i="1"/>
  <c r="EP62" i="1"/>
  <c r="BJ15" i="1"/>
  <c r="BJ19" i="1"/>
  <c r="BJ23" i="1"/>
  <c r="BJ27" i="1"/>
  <c r="BJ31" i="1"/>
  <c r="BJ35" i="1"/>
  <c r="BJ39" i="1"/>
  <c r="BJ45" i="1"/>
  <c r="BJ48" i="1"/>
  <c r="BJ50" i="1"/>
  <c r="BJ53" i="1"/>
  <c r="BJ56" i="1"/>
  <c r="BJ59" i="1"/>
  <c r="BJ65" i="1"/>
  <c r="BJ71" i="1"/>
  <c r="BJ76" i="1"/>
  <c r="BJ80" i="1"/>
  <c r="BJ85" i="1"/>
  <c r="BJ88" i="1"/>
  <c r="BJ92" i="1"/>
  <c r="BJ95" i="1"/>
  <c r="BJ99" i="1"/>
  <c r="BJ102" i="1"/>
  <c r="BJ107" i="1"/>
  <c r="BJ111" i="1"/>
  <c r="BJ114" i="1"/>
  <c r="BJ121" i="1"/>
  <c r="BJ129" i="1"/>
  <c r="BJ136" i="1"/>
  <c r="BJ144" i="1"/>
  <c r="BJ151" i="1"/>
  <c r="BJ159" i="1"/>
  <c r="BJ75" i="1"/>
  <c r="DN71" i="1"/>
  <c r="DN76" i="1"/>
  <c r="DN80" i="1"/>
  <c r="DN85" i="1"/>
  <c r="DN88" i="1"/>
  <c r="DN92" i="1"/>
  <c r="DN95" i="1"/>
  <c r="DN99" i="1"/>
  <c r="DN102" i="1"/>
  <c r="DN105" i="1"/>
  <c r="DN109" i="1"/>
  <c r="DN112" i="1"/>
  <c r="DN118" i="1"/>
  <c r="DN125" i="1"/>
  <c r="DN133" i="1"/>
  <c r="DN140" i="1"/>
  <c r="DN155" i="1"/>
  <c r="DN163" i="1"/>
  <c r="BJ9" i="1"/>
  <c r="BJ13" i="1"/>
  <c r="BJ16" i="1"/>
  <c r="BJ20" i="1"/>
  <c r="BJ24" i="1"/>
  <c r="BJ28" i="1"/>
  <c r="BJ32" i="1"/>
  <c r="BJ36" i="1"/>
  <c r="BJ40" i="1"/>
  <c r="BJ43" i="1"/>
  <c r="BJ49" i="1"/>
  <c r="BJ54" i="1"/>
  <c r="BJ57" i="1"/>
  <c r="BJ61" i="1"/>
  <c r="BJ66" i="1"/>
  <c r="BJ72" i="1"/>
  <c r="BJ77" i="1"/>
  <c r="BJ81" i="1"/>
  <c r="BJ86" i="1"/>
  <c r="BJ89" i="1"/>
  <c r="BJ93" i="1"/>
  <c r="BJ96" i="1"/>
  <c r="BJ108" i="1"/>
  <c r="BJ116" i="1"/>
  <c r="BJ123" i="1"/>
  <c r="BJ131" i="1"/>
  <c r="BJ138" i="1"/>
  <c r="BJ146" i="1"/>
  <c r="BJ161" i="1"/>
  <c r="CL71" i="1"/>
  <c r="CL76" i="1"/>
  <c r="CL80" i="1"/>
  <c r="CL85" i="1"/>
  <c r="CL88" i="1"/>
  <c r="CL92" i="1"/>
  <c r="CL95" i="1"/>
  <c r="CL99" i="1"/>
  <c r="CL102" i="1"/>
  <c r="CL105" i="1"/>
  <c r="CL109" i="1"/>
  <c r="CL112" i="1"/>
  <c r="CL118" i="1"/>
  <c r="CL125" i="1"/>
  <c r="CL133" i="1"/>
  <c r="CL140" i="1"/>
  <c r="CL155" i="1"/>
  <c r="CL163" i="1"/>
  <c r="DN72" i="1"/>
  <c r="DN77" i="1"/>
  <c r="DN81" i="1"/>
  <c r="DN86" i="1"/>
  <c r="DN89" i="1"/>
  <c r="DN93" i="1"/>
  <c r="DN96" i="1"/>
  <c r="DN106" i="1"/>
  <c r="DN110" i="1"/>
  <c r="DN113" i="1"/>
  <c r="DN119" i="1"/>
  <c r="DN127" i="1"/>
  <c r="DN135" i="1"/>
  <c r="DN142" i="1"/>
  <c r="DN150" i="1"/>
  <c r="DN157" i="1"/>
  <c r="EP155" i="1"/>
  <c r="EP163" i="1"/>
  <c r="GP17" i="1"/>
  <c r="GP26" i="1"/>
  <c r="GP34" i="1"/>
  <c r="GP69" i="1"/>
  <c r="GP70" i="1"/>
  <c r="GP79" i="1"/>
  <c r="GP146" i="1"/>
  <c r="GP165" i="1"/>
  <c r="GP120" i="1"/>
  <c r="GP124" i="1"/>
  <c r="GP128" i="1"/>
  <c r="GP145" i="1"/>
  <c r="GP151" i="1"/>
  <c r="GP154" i="1"/>
  <c r="GP158" i="1"/>
  <c r="EP118" i="1"/>
  <c r="EP125" i="1"/>
  <c r="EP133" i="1"/>
  <c r="EP140" i="1"/>
  <c r="GP8" i="1"/>
  <c r="GP10" i="1"/>
  <c r="GP11" i="1"/>
  <c r="GP19" i="1"/>
  <c r="GP29" i="1"/>
  <c r="GP37" i="1"/>
  <c r="GP54" i="1"/>
  <c r="GP72" i="1"/>
  <c r="GP81" i="1"/>
  <c r="GP89" i="1"/>
  <c r="EP116" i="1"/>
  <c r="EP123" i="1"/>
  <c r="EP131" i="1"/>
  <c r="EP35" i="1"/>
  <c r="EP39" i="1"/>
  <c r="EP45" i="1"/>
  <c r="EP48" i="1"/>
  <c r="EP50" i="1"/>
  <c r="EP53" i="1"/>
  <c r="EP56" i="1"/>
  <c r="EP59" i="1"/>
  <c r="EP52" i="1"/>
  <c r="EP138" i="1"/>
  <c r="EP146" i="1"/>
  <c r="EP113" i="1"/>
  <c r="GP23" i="1"/>
  <c r="GP31" i="1"/>
  <c r="GP41" i="1"/>
  <c r="GP64" i="1"/>
  <c r="GP93" i="1"/>
  <c r="GP106" i="1"/>
  <c r="GP113" i="1"/>
  <c r="GP130" i="1"/>
  <c r="GP137" i="1"/>
  <c r="GP147" i="1"/>
  <c r="GP164" i="1"/>
  <c r="BJ126" i="1"/>
  <c r="BJ134" i="1"/>
  <c r="BJ141" i="1"/>
  <c r="BJ148" i="1"/>
  <c r="BJ156" i="1"/>
  <c r="BJ164" i="1"/>
  <c r="CL7" i="1"/>
  <c r="CL10" i="1"/>
  <c r="CL14" i="1"/>
  <c r="CL17" i="1"/>
  <c r="CL21" i="1"/>
  <c r="CL25" i="1"/>
  <c r="CL29" i="1"/>
  <c r="CL33" i="1"/>
  <c r="CL37" i="1"/>
  <c r="CL41" i="1"/>
  <c r="CL44" i="1"/>
  <c r="CL46" i="1"/>
  <c r="CL51" i="1"/>
  <c r="CL55" i="1"/>
  <c r="CL58" i="1"/>
  <c r="CL62" i="1"/>
  <c r="CL67" i="1"/>
  <c r="CL120" i="1"/>
  <c r="CL128" i="1"/>
  <c r="CL143" i="1"/>
  <c r="CL158" i="1"/>
  <c r="CL165" i="1"/>
  <c r="DN11" i="1"/>
  <c r="DN18" i="1"/>
  <c r="DN22" i="1"/>
  <c r="DN26" i="1"/>
  <c r="DN30" i="1"/>
  <c r="DN34" i="1"/>
  <c r="DN38" i="1"/>
  <c r="DN42" i="1"/>
  <c r="DN47" i="1"/>
  <c r="DN52" i="1"/>
  <c r="DN64" i="1"/>
  <c r="DN69" i="1"/>
  <c r="DN115" i="1"/>
  <c r="DN122" i="1"/>
  <c r="DN130" i="1"/>
  <c r="DN137" i="1"/>
  <c r="DN145" i="1"/>
  <c r="DN152" i="1"/>
  <c r="EP8" i="1"/>
  <c r="EP12" i="1"/>
  <c r="EP15" i="1"/>
  <c r="EP19" i="1"/>
  <c r="EP23" i="1"/>
  <c r="EP27" i="1"/>
  <c r="EP31" i="1"/>
  <c r="EP117" i="1"/>
  <c r="EP124" i="1"/>
  <c r="EP132" i="1"/>
  <c r="EP139" i="1"/>
  <c r="EP147" i="1"/>
  <c r="EP154" i="1"/>
  <c r="EP162" i="1"/>
  <c r="GP14" i="1"/>
  <c r="GP22" i="1"/>
  <c r="GP30" i="1"/>
  <c r="GP39" i="1"/>
  <c r="GP46" i="1"/>
  <c r="GP74" i="1"/>
  <c r="GP83" i="1"/>
  <c r="GP126" i="1"/>
  <c r="GP134" i="1"/>
  <c r="GP140" i="1"/>
  <c r="GP156" i="1"/>
  <c r="BJ7" i="1"/>
  <c r="BJ10" i="1"/>
  <c r="BJ14" i="1"/>
  <c r="BJ17" i="1"/>
  <c r="BJ21" i="1"/>
  <c r="BJ25" i="1"/>
  <c r="BJ29" i="1"/>
  <c r="BJ33" i="1"/>
  <c r="BJ37" i="1"/>
  <c r="BJ41" i="1"/>
  <c r="BJ44" i="1"/>
  <c r="BJ46" i="1"/>
  <c r="BJ51" i="1"/>
  <c r="BJ55" i="1"/>
  <c r="BJ58" i="1"/>
  <c r="BJ62" i="1"/>
  <c r="BJ67" i="1"/>
  <c r="BJ73" i="1"/>
  <c r="BJ78" i="1"/>
  <c r="BJ82" i="1"/>
  <c r="BJ87" i="1"/>
  <c r="BJ90" i="1"/>
  <c r="BJ97" i="1"/>
  <c r="BJ100" i="1"/>
  <c r="BJ103" i="1"/>
  <c r="BJ105" i="1"/>
  <c r="BJ109" i="1"/>
  <c r="BJ112" i="1"/>
  <c r="BJ118" i="1"/>
  <c r="BJ125" i="1"/>
  <c r="BJ133" i="1"/>
  <c r="BJ140" i="1"/>
  <c r="BJ155" i="1"/>
  <c r="BJ163" i="1"/>
  <c r="CL72" i="1"/>
  <c r="CL77" i="1"/>
  <c r="CL81" i="1"/>
  <c r="CL86" i="1"/>
  <c r="CL89" i="1"/>
  <c r="CL93" i="1"/>
  <c r="CL96" i="1"/>
  <c r="CL106" i="1"/>
  <c r="CL110" i="1"/>
  <c r="CL113" i="1"/>
  <c r="CL119" i="1"/>
  <c r="CL127" i="1"/>
  <c r="CL135" i="1"/>
  <c r="CL142" i="1"/>
  <c r="CL150" i="1"/>
  <c r="CL157" i="1"/>
  <c r="DN73" i="1"/>
  <c r="DN78" i="1"/>
  <c r="DN82" i="1"/>
  <c r="DN87" i="1"/>
  <c r="DN90" i="1"/>
  <c r="DN97" i="1"/>
  <c r="DN100" i="1"/>
  <c r="DN103" i="1"/>
  <c r="DN107" i="1"/>
  <c r="DN111" i="1"/>
  <c r="DN114" i="1"/>
  <c r="DN121" i="1"/>
  <c r="DN129" i="1"/>
  <c r="DN136" i="1"/>
  <c r="DN144" i="1"/>
  <c r="DN151" i="1"/>
  <c r="DN159" i="1"/>
  <c r="DN75" i="1"/>
  <c r="EP135" i="1"/>
  <c r="EP38" i="1"/>
  <c r="EP42" i="1"/>
  <c r="EP47" i="1"/>
  <c r="EP126" i="1"/>
  <c r="EP134" i="1"/>
  <c r="EP141" i="1"/>
  <c r="EP148" i="1"/>
  <c r="EP156" i="1"/>
  <c r="EP164" i="1"/>
  <c r="GP25" i="1"/>
  <c r="GP33" i="1"/>
  <c r="GP77" i="1"/>
  <c r="GP86" i="1"/>
  <c r="GP119" i="1"/>
  <c r="GP123" i="1"/>
  <c r="GP135" i="1"/>
  <c r="EP119" i="1"/>
  <c r="EP127" i="1"/>
  <c r="EP32" i="1"/>
  <c r="EP36" i="1"/>
  <c r="EP40" i="1"/>
  <c r="EP43" i="1"/>
  <c r="EP145" i="1"/>
  <c r="EP152" i="1"/>
  <c r="GP35" i="1"/>
  <c r="EP33" i="1"/>
  <c r="EP37" i="1"/>
  <c r="EP41" i="1"/>
  <c r="EP44" i="1"/>
  <c r="EP46" i="1"/>
  <c r="EP120" i="1"/>
  <c r="EP128" i="1"/>
  <c r="EP143" i="1"/>
  <c r="EP158" i="1"/>
  <c r="EP165" i="1"/>
  <c r="GP66" i="1"/>
  <c r="EP34" i="1"/>
  <c r="GP157" i="1"/>
  <c r="GP161" i="1"/>
  <c r="BJ11" i="1"/>
  <c r="BJ18" i="1"/>
  <c r="BJ22" i="1"/>
  <c r="BJ26" i="1"/>
  <c r="BJ30" i="1"/>
  <c r="BJ34" i="1"/>
  <c r="BJ38" i="1"/>
  <c r="BJ42" i="1"/>
  <c r="BJ47" i="1"/>
  <c r="BJ52" i="1"/>
  <c r="BJ64" i="1"/>
  <c r="BJ69" i="1"/>
  <c r="BJ70" i="1"/>
  <c r="BJ74" i="1"/>
  <c r="BJ79" i="1"/>
  <c r="BJ83" i="1"/>
  <c r="BJ91" i="1"/>
  <c r="BJ94" i="1"/>
  <c r="BJ98" i="1"/>
  <c r="BJ101" i="1"/>
  <c r="BJ106" i="1"/>
  <c r="BJ110" i="1"/>
  <c r="BJ113" i="1"/>
  <c r="BJ119" i="1"/>
  <c r="BJ127" i="1"/>
  <c r="BJ135" i="1"/>
  <c r="BJ142" i="1"/>
  <c r="BJ150" i="1"/>
  <c r="BJ157" i="1"/>
  <c r="CL73" i="1"/>
  <c r="CL78" i="1"/>
  <c r="CL82" i="1"/>
  <c r="CL87" i="1"/>
  <c r="CL90" i="1"/>
  <c r="CL97" i="1"/>
  <c r="CL100" i="1"/>
  <c r="CL103" i="1"/>
  <c r="CL107" i="1"/>
  <c r="CL111" i="1"/>
  <c r="CL114" i="1"/>
  <c r="CL121" i="1"/>
  <c r="CL129" i="1"/>
  <c r="CL136" i="1"/>
  <c r="CL144" i="1"/>
  <c r="CL151" i="1"/>
  <c r="CL159" i="1"/>
  <c r="CL75" i="1"/>
  <c r="DN70" i="1"/>
  <c r="DN74" i="1"/>
  <c r="DN79" i="1"/>
  <c r="DN83" i="1"/>
  <c r="DN91" i="1"/>
  <c r="DN94" i="1"/>
  <c r="DN98" i="1"/>
  <c r="DN101" i="1"/>
  <c r="DN104" i="1"/>
  <c r="DN108" i="1"/>
  <c r="DN116" i="1"/>
  <c r="DN123" i="1"/>
  <c r="DN131" i="1"/>
  <c r="DN138" i="1"/>
  <c r="DN146" i="1"/>
  <c r="DN161" i="1"/>
  <c r="GP12" i="1"/>
  <c r="GP21" i="1"/>
  <c r="GP38" i="1"/>
  <c r="GP45" i="1"/>
  <c r="GP61" i="1"/>
  <c r="GP91" i="1"/>
  <c r="GP98" i="1"/>
  <c r="GP104" i="1"/>
  <c r="GP18" i="1"/>
  <c r="GP27" i="1"/>
  <c r="EP6" i="1"/>
  <c r="GP15" i="1"/>
  <c r="GP42" i="1"/>
  <c r="GP49" i="1"/>
  <c r="GP52" i="1"/>
  <c r="EP70" i="1"/>
  <c r="EP74" i="1"/>
  <c r="EP79" i="1"/>
  <c r="EP83" i="1"/>
  <c r="EP91" i="1"/>
  <c r="EP94" i="1"/>
  <c r="EP98" i="1"/>
  <c r="EP101" i="1"/>
  <c r="EP104" i="1"/>
  <c r="EP108" i="1"/>
  <c r="EP142" i="1"/>
  <c r="EP150" i="1"/>
  <c r="EP157" i="1"/>
  <c r="GP121" i="1"/>
  <c r="GP125" i="1"/>
  <c r="GP129" i="1"/>
  <c r="GP133" i="1"/>
  <c r="GP136" i="1"/>
  <c r="GP143" i="1"/>
  <c r="GP152" i="1"/>
  <c r="BJ117" i="1"/>
  <c r="BJ124" i="1"/>
  <c r="BJ132" i="1"/>
  <c r="BJ139" i="1"/>
  <c r="BJ147" i="1"/>
  <c r="BJ154" i="1"/>
  <c r="BJ162" i="1"/>
  <c r="CL9" i="1"/>
  <c r="CL13" i="1"/>
  <c r="CL16" i="1"/>
  <c r="CL20" i="1"/>
  <c r="CL24" i="1"/>
  <c r="CL28" i="1"/>
  <c r="CL32" i="1"/>
  <c r="CL36" i="1"/>
  <c r="CL40" i="1"/>
  <c r="CL43" i="1"/>
  <c r="CL49" i="1"/>
  <c r="CL54" i="1"/>
  <c r="CL57" i="1"/>
  <c r="CL61" i="1"/>
  <c r="CL66" i="1"/>
  <c r="CL126" i="1"/>
  <c r="CL134" i="1"/>
  <c r="CL141" i="1"/>
  <c r="CL148" i="1"/>
  <c r="CL156" i="1"/>
  <c r="CL164" i="1"/>
  <c r="DN7" i="1"/>
  <c r="DN10" i="1"/>
  <c r="DN14" i="1"/>
  <c r="DN17" i="1"/>
  <c r="DN21" i="1"/>
  <c r="DN25" i="1"/>
  <c r="DN29" i="1"/>
  <c r="DN33" i="1"/>
  <c r="DN37" i="1"/>
  <c r="DN41" i="1"/>
  <c r="DN44" i="1"/>
  <c r="DN46" i="1"/>
  <c r="DN51" i="1"/>
  <c r="DN55" i="1"/>
  <c r="DN58" i="1"/>
  <c r="DN62" i="1"/>
  <c r="DN67" i="1"/>
  <c r="DN120" i="1"/>
  <c r="DN128" i="1"/>
  <c r="DN143" i="1"/>
  <c r="DN158" i="1"/>
  <c r="DN165" i="1"/>
  <c r="EP9" i="1"/>
  <c r="EP13" i="1"/>
  <c r="EP16" i="1"/>
  <c r="EP20" i="1"/>
  <c r="EP24" i="1"/>
  <c r="EP28" i="1"/>
  <c r="EP115" i="1"/>
  <c r="EP122" i="1"/>
  <c r="EP130" i="1"/>
  <c r="EP137" i="1"/>
  <c r="EP71" i="1"/>
  <c r="EP76" i="1"/>
  <c r="EP80" i="1"/>
  <c r="EP85" i="1"/>
  <c r="EP88" i="1"/>
  <c r="EP92" i="1"/>
  <c r="EP95" i="1"/>
  <c r="EP99" i="1"/>
  <c r="EP102" i="1"/>
  <c r="EP105" i="1"/>
  <c r="EP109" i="1"/>
  <c r="EP112" i="1"/>
  <c r="GP44" i="1"/>
  <c r="GP96" i="1"/>
  <c r="GP110" i="1"/>
  <c r="GP132" i="1"/>
  <c r="GP148" i="1"/>
  <c r="GP162" i="1"/>
  <c r="BJ115" i="1"/>
  <c r="BJ122" i="1"/>
  <c r="BJ130" i="1"/>
  <c r="BJ137" i="1"/>
  <c r="BJ145" i="1"/>
  <c r="BJ152" i="1"/>
  <c r="CL8" i="1"/>
  <c r="CL12" i="1"/>
  <c r="CL15" i="1"/>
  <c r="CL19" i="1"/>
  <c r="CL23" i="1"/>
  <c r="CL27" i="1"/>
  <c r="CL31" i="1"/>
  <c r="CL35" i="1"/>
  <c r="CL39" i="1"/>
  <c r="CL45" i="1"/>
  <c r="CL48" i="1"/>
  <c r="CL50" i="1"/>
  <c r="CL53" i="1"/>
  <c r="CL56" i="1"/>
  <c r="CL59" i="1"/>
  <c r="CL65" i="1"/>
  <c r="CL117" i="1"/>
  <c r="CL124" i="1"/>
  <c r="CL132" i="1"/>
  <c r="CL139" i="1"/>
  <c r="CL147" i="1"/>
  <c r="CL154" i="1"/>
  <c r="CL162" i="1"/>
  <c r="DN9" i="1"/>
  <c r="DN13" i="1"/>
  <c r="DN16" i="1"/>
  <c r="DN20" i="1"/>
  <c r="DN24" i="1"/>
  <c r="DN28" i="1"/>
  <c r="DN32" i="1"/>
  <c r="DN36" i="1"/>
  <c r="DN40" i="1"/>
  <c r="DN43" i="1"/>
  <c r="DN49" i="1"/>
  <c r="DN54" i="1"/>
  <c r="DN57" i="1"/>
  <c r="DN61" i="1"/>
  <c r="DN66" i="1"/>
  <c r="DN126" i="1"/>
  <c r="DN134" i="1"/>
  <c r="DN141" i="1"/>
  <c r="DN148" i="1"/>
  <c r="DN156" i="1"/>
  <c r="DN164" i="1"/>
  <c r="EP7" i="1"/>
  <c r="EP10" i="1"/>
  <c r="EP14" i="1"/>
  <c r="EP17" i="1"/>
  <c r="EP21" i="1"/>
  <c r="EP25" i="1"/>
  <c r="EP29" i="1"/>
  <c r="EP72" i="1"/>
  <c r="EP77" i="1"/>
  <c r="EP81" i="1"/>
  <c r="EP86" i="1"/>
  <c r="EP89" i="1"/>
  <c r="EP93" i="1"/>
  <c r="EP96" i="1"/>
  <c r="EP106" i="1"/>
  <c r="EP110" i="1"/>
  <c r="GP57" i="1"/>
  <c r="GP94" i="1"/>
  <c r="GP101" i="1"/>
  <c r="GP108" i="1"/>
  <c r="GP127" i="1"/>
  <c r="GP131" i="1"/>
  <c r="GP138" i="1"/>
  <c r="GP141" i="1"/>
  <c r="BJ120" i="1"/>
  <c r="BJ128" i="1"/>
  <c r="BJ143" i="1"/>
  <c r="BJ158" i="1"/>
  <c r="BJ165" i="1"/>
  <c r="CL11" i="1"/>
  <c r="CL18" i="1"/>
  <c r="CL22" i="1"/>
  <c r="CL26" i="1"/>
  <c r="CL30" i="1"/>
  <c r="CL34" i="1"/>
  <c r="CL38" i="1"/>
  <c r="CL42" i="1"/>
  <c r="CL47" i="1"/>
  <c r="CL52" i="1"/>
  <c r="CL64" i="1"/>
  <c r="CL69" i="1"/>
  <c r="CL115" i="1"/>
  <c r="CL122" i="1"/>
  <c r="CL130" i="1"/>
  <c r="CL137" i="1"/>
  <c r="CL145" i="1"/>
  <c r="CL152" i="1"/>
  <c r="DN8" i="1"/>
  <c r="DN12" i="1"/>
  <c r="DN15" i="1"/>
  <c r="DN19" i="1"/>
  <c r="DN23" i="1"/>
  <c r="DN27" i="1"/>
  <c r="DN31" i="1"/>
  <c r="DN35" i="1"/>
  <c r="DN39" i="1"/>
  <c r="DN45" i="1"/>
  <c r="DN48" i="1"/>
  <c r="DN50" i="1"/>
  <c r="DN53" i="1"/>
  <c r="DN56" i="1"/>
  <c r="DN59" i="1"/>
  <c r="DN65" i="1"/>
  <c r="DN117" i="1"/>
  <c r="DN124" i="1"/>
  <c r="DN132" i="1"/>
  <c r="DN139" i="1"/>
  <c r="DN147" i="1"/>
  <c r="DN154" i="1"/>
  <c r="DN162" i="1"/>
  <c r="EP11" i="1"/>
  <c r="EP18" i="1"/>
  <c r="EP22" i="1"/>
  <c r="EP26" i="1"/>
  <c r="EP30" i="1"/>
  <c r="EP73" i="1"/>
  <c r="EP78" i="1"/>
  <c r="EP82" i="1"/>
  <c r="EP87" i="1"/>
  <c r="EP90" i="1"/>
  <c r="EP97" i="1"/>
  <c r="EP100" i="1"/>
  <c r="EP103" i="1"/>
  <c r="EP107" i="1"/>
  <c r="EP111" i="1"/>
  <c r="EP114" i="1"/>
  <c r="EP121" i="1"/>
  <c r="EP129" i="1"/>
  <c r="EP136" i="1"/>
  <c r="EP144" i="1"/>
  <c r="EP151" i="1"/>
  <c r="EP159" i="1"/>
  <c r="EP75" i="1"/>
  <c r="M16" i="4"/>
  <c r="E16" i="4" s="1"/>
  <c r="M16" i="3"/>
  <c r="A16" i="3" s="1"/>
  <c r="M14" i="4"/>
  <c r="E14" i="4" s="1"/>
  <c r="M28" i="3"/>
  <c r="E28" i="3" s="1"/>
  <c r="M14" i="3"/>
  <c r="E14" i="3" s="1"/>
  <c r="M15" i="4"/>
  <c r="E15" i="4" s="1"/>
  <c r="M28" i="4"/>
  <c r="A28" i="4" s="1"/>
  <c r="M13" i="3"/>
  <c r="A13" i="3" s="1"/>
  <c r="M15" i="3"/>
  <c r="E15" i="3" s="1"/>
  <c r="GF6" i="1"/>
  <c r="GH9" i="1"/>
  <c r="GF43" i="1"/>
  <c r="GH80" i="1"/>
  <c r="GH88" i="1"/>
  <c r="GG95" i="1"/>
  <c r="GI97" i="1"/>
  <c r="GI103" i="1"/>
  <c r="GI111" i="1"/>
  <c r="GG128" i="1"/>
  <c r="GG142" i="1"/>
  <c r="GF16" i="1"/>
  <c r="GH28" i="1"/>
  <c r="GH36" i="1"/>
  <c r="GH59" i="1"/>
  <c r="GI80" i="1"/>
  <c r="GH95" i="1"/>
  <c r="GH102" i="1"/>
  <c r="GH109" i="1"/>
  <c r="GH117" i="1"/>
  <c r="GH16" i="1"/>
  <c r="GH78" i="1"/>
  <c r="GF24" i="1"/>
  <c r="GF32" i="1"/>
  <c r="GH107" i="1"/>
  <c r="GH116" i="1"/>
  <c r="GH100" i="1"/>
  <c r="GG161" i="1"/>
  <c r="GT122" i="1"/>
  <c r="GP7" i="1"/>
  <c r="M13" i="4"/>
  <c r="A13" i="4" s="1"/>
  <c r="GT146" i="1"/>
  <c r="GF28" i="1"/>
  <c r="GF36" i="1"/>
  <c r="GI47" i="1"/>
  <c r="GH62" i="1"/>
  <c r="GI90" i="1"/>
  <c r="GH97" i="1"/>
  <c r="GH103" i="1"/>
  <c r="GH111" i="1"/>
  <c r="GH118" i="1"/>
  <c r="GF142" i="1"/>
  <c r="GG163" i="1"/>
  <c r="GT53" i="1"/>
  <c r="GF40" i="1"/>
  <c r="GH51" i="1"/>
  <c r="GH76" i="1"/>
  <c r="GI100" i="1"/>
  <c r="GI107" i="1"/>
  <c r="GF13" i="1"/>
  <c r="GI76" i="1"/>
  <c r="GH115" i="1"/>
  <c r="GH24" i="1"/>
  <c r="GH32" i="1"/>
  <c r="GH56" i="1"/>
  <c r="GH65" i="1"/>
  <c r="GI85" i="1"/>
  <c r="GH92" i="1"/>
  <c r="GH99" i="1"/>
  <c r="GH105" i="1"/>
  <c r="GH112" i="1"/>
  <c r="GH134" i="1"/>
  <c r="BP28" i="1"/>
  <c r="GF9" i="1"/>
  <c r="GH40" i="1"/>
  <c r="GI65" i="1"/>
  <c r="GH73" i="1"/>
  <c r="GH82" i="1"/>
  <c r="GH114" i="1"/>
  <c r="GG118" i="1"/>
  <c r="GI134" i="1"/>
  <c r="GF163" i="1"/>
  <c r="BP27" i="1"/>
  <c r="GT67" i="1"/>
  <c r="GT158" i="1"/>
  <c r="EV33" i="1"/>
  <c r="DT33" i="1"/>
  <c r="GI88" i="1"/>
  <c r="EV101" i="1"/>
  <c r="BP101" i="1"/>
  <c r="DT101" i="1"/>
  <c r="EV13" i="1"/>
  <c r="DT13" i="1"/>
  <c r="GQ21" i="1"/>
  <c r="EV28" i="1"/>
  <c r="DT28" i="1"/>
  <c r="BP15" i="1"/>
  <c r="BP39" i="1"/>
  <c r="CR13" i="1"/>
  <c r="CR19" i="1"/>
  <c r="CR24" i="1"/>
  <c r="CR59" i="1"/>
  <c r="GH85" i="1"/>
  <c r="GI118" i="1"/>
  <c r="BP33" i="1"/>
  <c r="BP49" i="1"/>
  <c r="BP82" i="1"/>
  <c r="CR30" i="1"/>
  <c r="CR101" i="1"/>
  <c r="BP40" i="1"/>
  <c r="CR40" i="1"/>
  <c r="CR49" i="1"/>
  <c r="GG44" i="1"/>
  <c r="BP24" i="1"/>
  <c r="EV22" i="1"/>
  <c r="DT22" i="1"/>
  <c r="CR73" i="1"/>
  <c r="DT73" i="1"/>
  <c r="EV73" i="1"/>
  <c r="EV92" i="1"/>
  <c r="DT92" i="1"/>
  <c r="BP35" i="1"/>
  <c r="BP44" i="1"/>
  <c r="CR22" i="1"/>
  <c r="EV7" i="1"/>
  <c r="DT7" i="1"/>
  <c r="CR7" i="1"/>
  <c r="EV21" i="1"/>
  <c r="DT21" i="1"/>
  <c r="EV77" i="1"/>
  <c r="DT77" i="1"/>
  <c r="CR77" i="1"/>
  <c r="EV93" i="1"/>
  <c r="DT93" i="1"/>
  <c r="CR93" i="1"/>
  <c r="EV110" i="1"/>
  <c r="DT110" i="1"/>
  <c r="EV8" i="1"/>
  <c r="CR8" i="1"/>
  <c r="EV11" i="1"/>
  <c r="DT11" i="1"/>
  <c r="CR11" i="1"/>
  <c r="EV20" i="1"/>
  <c r="DT20" i="1"/>
  <c r="EV31" i="1"/>
  <c r="DT31" i="1"/>
  <c r="EV67" i="1"/>
  <c r="DT67" i="1"/>
  <c r="EV79" i="1"/>
  <c r="DT79" i="1"/>
  <c r="CR79" i="1"/>
  <c r="EV96" i="1"/>
  <c r="DT96" i="1"/>
  <c r="CR96" i="1"/>
  <c r="EV102" i="1"/>
  <c r="DT102" i="1"/>
  <c r="CR102" i="1"/>
  <c r="BP21" i="1"/>
  <c r="BP67" i="1"/>
  <c r="EV12" i="1"/>
  <c r="DT12" i="1"/>
  <c r="EV23" i="1"/>
  <c r="DT23" i="1"/>
  <c r="EV36" i="1"/>
  <c r="EV88" i="1"/>
  <c r="DT88" i="1"/>
  <c r="CR88" i="1"/>
  <c r="EV9" i="1"/>
  <c r="DT9" i="1"/>
  <c r="CR9" i="1"/>
  <c r="DT16" i="1"/>
  <c r="EV16" i="1"/>
  <c r="EV18" i="1"/>
  <c r="CR18" i="1"/>
  <c r="EV29" i="1"/>
  <c r="DT29" i="1"/>
  <c r="EV45" i="1"/>
  <c r="DT45" i="1"/>
  <c r="EV56" i="1"/>
  <c r="EV64" i="1"/>
  <c r="DT64" i="1"/>
  <c r="DT81" i="1"/>
  <c r="EV81" i="1"/>
  <c r="CR81" i="1"/>
  <c r="DT85" i="1"/>
  <c r="CR85" i="1"/>
  <c r="GH90" i="1"/>
  <c r="EV91" i="1"/>
  <c r="DT91" i="1"/>
  <c r="CR91" i="1"/>
  <c r="EV99" i="1"/>
  <c r="DT99" i="1"/>
  <c r="EV112" i="1"/>
  <c r="DT112" i="1"/>
  <c r="CR112" i="1"/>
  <c r="BP85" i="1"/>
  <c r="BP102" i="1"/>
  <c r="BP110" i="1"/>
  <c r="CR12" i="1"/>
  <c r="CR21" i="1"/>
  <c r="CR31" i="1"/>
  <c r="CR43" i="1"/>
  <c r="CR64" i="1"/>
  <c r="CR99" i="1"/>
  <c r="CR104" i="1"/>
  <c r="DT43" i="1"/>
  <c r="DT61" i="1"/>
  <c r="EV106" i="1"/>
  <c r="EV10" i="1"/>
  <c r="DT10" i="1"/>
  <c r="CR10" i="1"/>
  <c r="EV14" i="1"/>
  <c r="DT14" i="1"/>
  <c r="DT15" i="1"/>
  <c r="EV15" i="1"/>
  <c r="EV26" i="1"/>
  <c r="CR26" i="1"/>
  <c r="EV27" i="1"/>
  <c r="DT27" i="1"/>
  <c r="EV42" i="1"/>
  <c r="CR42" i="1"/>
  <c r="EV48" i="1"/>
  <c r="DT48" i="1"/>
  <c r="EV62" i="1"/>
  <c r="DT62" i="1"/>
  <c r="CR62" i="1"/>
  <c r="EV66" i="1"/>
  <c r="DT66" i="1"/>
  <c r="CR66" i="1"/>
  <c r="EV69" i="1"/>
  <c r="DT69" i="1"/>
  <c r="EV71" i="1"/>
  <c r="DT71" i="1"/>
  <c r="DT76" i="1"/>
  <c r="EV76" i="1"/>
  <c r="EV87" i="1"/>
  <c r="DT87" i="1"/>
  <c r="CR87" i="1"/>
  <c r="DT89" i="1"/>
  <c r="EV89" i="1"/>
  <c r="CR89" i="1"/>
  <c r="BP13" i="1"/>
  <c r="BP20" i="1"/>
  <c r="BP43" i="1"/>
  <c r="BP61" i="1"/>
  <c r="BP66" i="1"/>
  <c r="BP79" i="1"/>
  <c r="GT86" i="1"/>
  <c r="BP91" i="1"/>
  <c r="BP108" i="1"/>
  <c r="CR14" i="1"/>
  <c r="CR16" i="1"/>
  <c r="CR23" i="1"/>
  <c r="CR67" i="1"/>
  <c r="CR76" i="1"/>
  <c r="CR106" i="1"/>
  <c r="DT8" i="1"/>
  <c r="DT52" i="1"/>
  <c r="DT104" i="1"/>
  <c r="EV85" i="1"/>
  <c r="EV34" i="1"/>
  <c r="CR34" i="1"/>
  <c r="EV37" i="1"/>
  <c r="DT37" i="1"/>
  <c r="EV47" i="1"/>
  <c r="CR47" i="1"/>
  <c r="EV74" i="1"/>
  <c r="DT74" i="1"/>
  <c r="CR74" i="1"/>
  <c r="EV86" i="1"/>
  <c r="CR86" i="1"/>
  <c r="DT86" i="1"/>
  <c r="EV90" i="1"/>
  <c r="DT90" i="1"/>
  <c r="CR90" i="1"/>
  <c r="EV100" i="1"/>
  <c r="BP23" i="1"/>
  <c r="BP78" i="1"/>
  <c r="BP90" i="1"/>
  <c r="CR37" i="1"/>
  <c r="CR38" i="1"/>
  <c r="CR45" i="1"/>
  <c r="CR52" i="1"/>
  <c r="CR61" i="1"/>
  <c r="CR78" i="1"/>
  <c r="CR108" i="1"/>
  <c r="DT38" i="1"/>
  <c r="DT108" i="1"/>
  <c r="EV17" i="1"/>
  <c r="CR17" i="1"/>
  <c r="EV25" i="1"/>
  <c r="DT25" i="1"/>
  <c r="CR25" i="1"/>
  <c r="DT32" i="1"/>
  <c r="EV32" i="1"/>
  <c r="EV35" i="1"/>
  <c r="DT35" i="1"/>
  <c r="EV40" i="1"/>
  <c r="DT40" i="1"/>
  <c r="EV41" i="1"/>
  <c r="DT41" i="1"/>
  <c r="CR41" i="1"/>
  <c r="EV44" i="1"/>
  <c r="DT44" i="1"/>
  <c r="EV46" i="1"/>
  <c r="CR46" i="1"/>
  <c r="EV51" i="1"/>
  <c r="DT51" i="1"/>
  <c r="GQ53" i="1"/>
  <c r="EV54" i="1"/>
  <c r="DT54" i="1"/>
  <c r="CR54" i="1"/>
  <c r="EV55" i="1"/>
  <c r="DT55" i="1"/>
  <c r="DT57" i="1"/>
  <c r="EV57" i="1"/>
  <c r="CR57" i="1"/>
  <c r="EV58" i="1"/>
  <c r="CR58" i="1"/>
  <c r="DT58" i="1"/>
  <c r="EV72" i="1"/>
  <c r="DT72" i="1"/>
  <c r="CR72" i="1"/>
  <c r="EV80" i="1"/>
  <c r="DT80" i="1"/>
  <c r="DT82" i="1"/>
  <c r="EV82" i="1"/>
  <c r="EV94" i="1"/>
  <c r="DT94" i="1"/>
  <c r="CR94" i="1"/>
  <c r="EV97" i="1"/>
  <c r="DT97" i="1"/>
  <c r="CR97" i="1"/>
  <c r="EV105" i="1"/>
  <c r="DT105" i="1"/>
  <c r="CR105" i="1"/>
  <c r="EV109" i="1"/>
  <c r="DT109" i="1"/>
  <c r="CR109" i="1"/>
  <c r="EV113" i="1"/>
  <c r="BP11" i="1"/>
  <c r="BP18" i="1"/>
  <c r="BP26" i="1"/>
  <c r="BP34" i="1"/>
  <c r="BP38" i="1"/>
  <c r="BP42" i="1"/>
  <c r="BP47" i="1"/>
  <c r="BP52" i="1"/>
  <c r="BP64" i="1"/>
  <c r="BP69" i="1"/>
  <c r="BP72" i="1"/>
  <c r="BP77" i="1"/>
  <c r="BP81" i="1"/>
  <c r="BP86" i="1"/>
  <c r="BP89" i="1"/>
  <c r="BP93" i="1"/>
  <c r="BP96" i="1"/>
  <c r="BP106" i="1"/>
  <c r="BP112" i="1"/>
  <c r="CR20" i="1"/>
  <c r="CR29" i="1"/>
  <c r="CR32" i="1"/>
  <c r="CR48" i="1"/>
  <c r="CR51" i="1"/>
  <c r="CR71" i="1"/>
  <c r="CR80" i="1"/>
  <c r="CR110" i="1"/>
  <c r="DT17" i="1"/>
  <c r="DT18" i="1"/>
  <c r="DT26" i="1"/>
  <c r="DT34" i="1"/>
  <c r="DT42" i="1"/>
  <c r="DT46" i="1"/>
  <c r="DT47" i="1"/>
  <c r="DT78" i="1"/>
  <c r="EV19" i="1"/>
  <c r="DT19" i="1"/>
  <c r="EV30" i="1"/>
  <c r="DT30" i="1"/>
  <c r="GH30" i="1"/>
  <c r="EV39" i="1"/>
  <c r="DT39" i="1"/>
  <c r="EV50" i="1"/>
  <c r="CR50" i="1"/>
  <c r="GH53" i="1"/>
  <c r="EV59" i="1"/>
  <c r="DT59" i="1"/>
  <c r="EV65" i="1"/>
  <c r="DT65" i="1"/>
  <c r="CR65" i="1"/>
  <c r="EV70" i="1"/>
  <c r="DT70" i="1"/>
  <c r="EV83" i="1"/>
  <c r="DT83" i="1"/>
  <c r="EV95" i="1"/>
  <c r="DT95" i="1"/>
  <c r="EV98" i="1"/>
  <c r="DT98" i="1"/>
  <c r="EV103" i="1"/>
  <c r="DT103" i="1"/>
  <c r="EV107" i="1"/>
  <c r="DT107" i="1"/>
  <c r="EV111" i="1"/>
  <c r="DT111" i="1"/>
  <c r="CR33" i="1"/>
  <c r="CR53" i="1"/>
  <c r="CR83" i="1"/>
  <c r="CR92" i="1"/>
  <c r="CR95" i="1"/>
  <c r="CR98" i="1"/>
  <c r="CR103" i="1"/>
  <c r="CR107" i="1"/>
  <c r="CR111" i="1"/>
  <c r="DT24" i="1"/>
  <c r="DT49" i="1"/>
  <c r="DT50" i="1"/>
  <c r="CR70" i="1"/>
  <c r="EV53" i="1"/>
  <c r="GT50" i="1"/>
  <c r="GT112" i="1"/>
  <c r="GI119" i="1"/>
  <c r="GI123" i="1"/>
  <c r="GG124" i="1"/>
  <c r="GF20" i="1"/>
  <c r="GH58" i="1"/>
  <c r="GG8" i="1"/>
  <c r="GH13" i="1"/>
  <c r="GG27" i="1"/>
  <c r="GI67" i="1"/>
  <c r="GI71" i="1"/>
  <c r="GI143" i="1"/>
  <c r="GG144" i="1"/>
  <c r="GI151" i="1"/>
  <c r="GI156" i="1"/>
  <c r="GG157" i="1"/>
  <c r="GI158" i="1"/>
  <c r="GT123" i="1"/>
  <c r="GH22" i="1"/>
  <c r="GG23" i="1"/>
  <c r="GG41" i="1"/>
  <c r="GH43" i="1"/>
  <c r="GG49" i="1"/>
  <c r="GI52" i="1"/>
  <c r="GI146" i="1"/>
  <c r="GI152" i="1"/>
  <c r="GI159" i="1"/>
  <c r="GG162" i="1"/>
  <c r="GH26" i="1"/>
  <c r="GG164" i="1"/>
  <c r="GG35" i="1"/>
  <c r="GG46" i="1"/>
  <c r="GI49" i="1"/>
  <c r="GH50" i="1"/>
  <c r="GH87" i="1"/>
  <c r="GI120" i="1"/>
  <c r="GG123" i="1"/>
  <c r="GG135" i="1"/>
  <c r="GG143" i="1"/>
  <c r="GI144" i="1"/>
  <c r="GI147" i="1"/>
  <c r="GG154" i="1"/>
  <c r="GG159" i="1"/>
  <c r="GI165" i="1"/>
  <c r="GG75" i="1"/>
  <c r="GH11" i="1"/>
  <c r="GG12" i="1"/>
  <c r="GG15" i="1"/>
  <c r="GH18" i="1"/>
  <c r="GG19" i="1"/>
  <c r="GG31" i="1"/>
  <c r="GH34" i="1"/>
  <c r="GH38" i="1"/>
  <c r="GH42" i="1"/>
  <c r="GH48" i="1"/>
  <c r="GI54" i="1"/>
  <c r="GH67" i="1"/>
  <c r="GH71" i="1"/>
  <c r="GI121" i="1"/>
  <c r="GI127" i="1"/>
  <c r="GI129" i="1"/>
  <c r="GI136" i="1"/>
  <c r="GI138" i="1"/>
  <c r="GI148" i="1"/>
  <c r="GG150" i="1"/>
  <c r="GG152" i="1"/>
  <c r="GI164" i="1"/>
  <c r="GT159" i="1"/>
  <c r="GQ10" i="1"/>
  <c r="GQ61" i="1"/>
  <c r="GQ17" i="1"/>
  <c r="GT30" i="1"/>
  <c r="GT45" i="1"/>
  <c r="GG37" i="1"/>
  <c r="GB50" i="1"/>
  <c r="GT96" i="1"/>
  <c r="GT106" i="1"/>
  <c r="GT140" i="1"/>
  <c r="GT66" i="1"/>
  <c r="GT77" i="1"/>
  <c r="GQ111" i="1"/>
  <c r="GQ117" i="1"/>
  <c r="GQ118" i="1"/>
  <c r="GQ127" i="1"/>
  <c r="GQ128" i="1"/>
  <c r="GT130" i="1"/>
  <c r="GT131" i="1"/>
  <c r="GT138" i="1"/>
  <c r="GT147" i="1"/>
  <c r="GT152" i="1"/>
  <c r="GT75" i="1"/>
  <c r="GQ97" i="1"/>
  <c r="GT126" i="1"/>
  <c r="GT127" i="1"/>
  <c r="GT129" i="1"/>
  <c r="GQ157" i="1"/>
  <c r="FW25" i="1"/>
  <c r="GF25" i="1" s="1"/>
  <c r="FW33" i="1"/>
  <c r="GF33" i="1" s="1"/>
  <c r="GQ7" i="1"/>
  <c r="GT15" i="1"/>
  <c r="GA16" i="1"/>
  <c r="GQ23" i="1"/>
  <c r="GQ31" i="1"/>
  <c r="GQ44" i="1"/>
  <c r="GQ37" i="1"/>
  <c r="FW66" i="1"/>
  <c r="GF66" i="1" s="1"/>
  <c r="FW70" i="1"/>
  <c r="GF70" i="1" s="1"/>
  <c r="GH72" i="1"/>
  <c r="GH74" i="1"/>
  <c r="FW79" i="1"/>
  <c r="GA79" i="1" s="1"/>
  <c r="GH81" i="1"/>
  <c r="FW86" i="1"/>
  <c r="GF86" i="1" s="1"/>
  <c r="GT93" i="1"/>
  <c r="GQ14" i="1"/>
  <c r="GT21" i="1"/>
  <c r="GT31" i="1"/>
  <c r="GQ35" i="1"/>
  <c r="GT36" i="1"/>
  <c r="GT40" i="1"/>
  <c r="GA40" i="1"/>
  <c r="GQ41" i="1"/>
  <c r="GQ47" i="1"/>
  <c r="FW49" i="1"/>
  <c r="GF49" i="1" s="1"/>
  <c r="FW54" i="1"/>
  <c r="GF54" i="1" s="1"/>
  <c r="FW57" i="1"/>
  <c r="GF57" i="1" s="1"/>
  <c r="GT71" i="1"/>
  <c r="FW77" i="1"/>
  <c r="GF77" i="1" s="1"/>
  <c r="GQ80" i="1"/>
  <c r="GT80" i="1"/>
  <c r="FW83" i="1"/>
  <c r="GF83" i="1" s="1"/>
  <c r="GQ90" i="1"/>
  <c r="GT104" i="1"/>
  <c r="FW104" i="1"/>
  <c r="GF104" i="1" s="1"/>
  <c r="GT105" i="1"/>
  <c r="GT108" i="1"/>
  <c r="FW108" i="1"/>
  <c r="GF108" i="1" s="1"/>
  <c r="GT109" i="1"/>
  <c r="GT120" i="1"/>
  <c r="GT124" i="1"/>
  <c r="FW125" i="1"/>
  <c r="GA125" i="1" s="1"/>
  <c r="GI139" i="1"/>
  <c r="FW143" i="1"/>
  <c r="GA143" i="1" s="1"/>
  <c r="GB145" i="1"/>
  <c r="FW145" i="1"/>
  <c r="GA145" i="1" s="1"/>
  <c r="GB147" i="1"/>
  <c r="GQ51" i="1"/>
  <c r="FW52" i="1"/>
  <c r="GA52" i="1" s="1"/>
  <c r="GT56" i="1"/>
  <c r="FW64" i="1"/>
  <c r="GA64" i="1" s="1"/>
  <c r="GH66" i="1"/>
  <c r="FW69" i="1"/>
  <c r="GF69" i="1" s="1"/>
  <c r="FW72" i="1"/>
  <c r="GF72" i="1" s="1"/>
  <c r="FW74" i="1"/>
  <c r="GF74" i="1" s="1"/>
  <c r="FW81" i="1"/>
  <c r="GF81" i="1" s="1"/>
  <c r="GT89" i="1"/>
  <c r="GT101" i="1"/>
  <c r="FW101" i="1"/>
  <c r="GF101" i="1" s="1"/>
  <c r="GT102" i="1"/>
  <c r="GQ103" i="1"/>
  <c r="FW106" i="1"/>
  <c r="GF106" i="1" s="1"/>
  <c r="GQ107" i="1"/>
  <c r="GQ122" i="1"/>
  <c r="GT128" i="1"/>
  <c r="GA128" i="1"/>
  <c r="GH130" i="1"/>
  <c r="GQ137" i="1"/>
  <c r="FW138" i="1"/>
  <c r="GF138" i="1" s="1"/>
  <c r="GB165" i="1"/>
  <c r="GA20" i="1"/>
  <c r="GQ27" i="1"/>
  <c r="FW29" i="1"/>
  <c r="GA29" i="1" s="1"/>
  <c r="GQ65" i="1"/>
  <c r="GT65" i="1"/>
  <c r="GT69" i="1"/>
  <c r="GH83" i="1"/>
  <c r="GQ87" i="1"/>
  <c r="GA92" i="1"/>
  <c r="GQ94" i="1"/>
  <c r="GQ100" i="1"/>
  <c r="GT113" i="1"/>
  <c r="FW113" i="1"/>
  <c r="GF113" i="1" s="1"/>
  <c r="GH126" i="1"/>
  <c r="GT133" i="1"/>
  <c r="GI137" i="1"/>
  <c r="GT141" i="1"/>
  <c r="FW141" i="1"/>
  <c r="GA141" i="1" s="1"/>
  <c r="GT155" i="1"/>
  <c r="FW158" i="1"/>
  <c r="GF158" i="1" s="1"/>
  <c r="FW121" i="1"/>
  <c r="GA121" i="1" s="1"/>
  <c r="FW123" i="1"/>
  <c r="GF123" i="1" s="1"/>
  <c r="GG127" i="1"/>
  <c r="GQ134" i="1"/>
  <c r="GH137" i="1"/>
  <c r="GQ138" i="1"/>
  <c r="GH139" i="1"/>
  <c r="GQ139" i="1"/>
  <c r="FW140" i="1"/>
  <c r="GA140" i="1" s="1"/>
  <c r="GG147" i="1"/>
  <c r="GT148" i="1"/>
  <c r="GT151" i="1"/>
  <c r="GB162" i="1"/>
  <c r="FW164" i="1"/>
  <c r="GA164" i="1" s="1"/>
  <c r="GT110" i="1"/>
  <c r="FW110" i="1"/>
  <c r="GF110" i="1" s="1"/>
  <c r="GT121" i="1"/>
  <c r="GI128" i="1"/>
  <c r="GH132" i="1"/>
  <c r="FW133" i="1"/>
  <c r="GF133" i="1" s="1"/>
  <c r="GT135" i="1"/>
  <c r="GT137" i="1"/>
  <c r="GG138" i="1"/>
  <c r="GA142" i="1"/>
  <c r="FW146" i="1"/>
  <c r="GA146" i="1" s="1"/>
  <c r="FW152" i="1"/>
  <c r="GA152" i="1" s="1"/>
  <c r="GT156" i="1"/>
  <c r="GQ46" i="1"/>
  <c r="GT48" i="1"/>
  <c r="GI51" i="1"/>
  <c r="GH52" i="1"/>
  <c r="GI53" i="1"/>
  <c r="GI55" i="1"/>
  <c r="GA58" i="1"/>
  <c r="GG59" i="1"/>
  <c r="GA62" i="1"/>
  <c r="GH64" i="1"/>
  <c r="GT72" i="1"/>
  <c r="GQ76" i="1"/>
  <c r="GT76" i="1"/>
  <c r="GH77" i="1"/>
  <c r="GI78" i="1"/>
  <c r="GH79" i="1"/>
  <c r="GQ82" i="1"/>
  <c r="GG87" i="1"/>
  <c r="GQ89" i="1"/>
  <c r="FW91" i="1"/>
  <c r="GF91" i="1" s="1"/>
  <c r="FW93" i="1"/>
  <c r="GF93" i="1" s="1"/>
  <c r="FW94" i="1"/>
  <c r="GF94" i="1" s="1"/>
  <c r="GT99" i="1"/>
  <c r="GG6" i="1"/>
  <c r="GH7" i="1"/>
  <c r="FW7" i="1"/>
  <c r="GF7" i="1" s="1"/>
  <c r="GQ8" i="1"/>
  <c r="GG9" i="1"/>
  <c r="GH10" i="1"/>
  <c r="FW10" i="1"/>
  <c r="GF10" i="1" s="1"/>
  <c r="GQ15" i="1"/>
  <c r="GG16" i="1"/>
  <c r="GH21" i="1"/>
  <c r="GG22" i="1"/>
  <c r="GG24" i="1"/>
  <c r="GH6" i="1"/>
  <c r="FT6" i="1"/>
  <c r="GQ6" i="1"/>
  <c r="FW8" i="1"/>
  <c r="GF8" i="1" s="1"/>
  <c r="GH12" i="1"/>
  <c r="GQ13" i="1"/>
  <c r="GH15" i="1"/>
  <c r="FW15" i="1"/>
  <c r="GF15" i="1" s="1"/>
  <c r="FW19" i="1"/>
  <c r="GF19" i="1" s="1"/>
  <c r="GH20" i="1"/>
  <c r="GQ20" i="1"/>
  <c r="GH23" i="1"/>
  <c r="GH27" i="1"/>
  <c r="GA55" i="1"/>
  <c r="GI56" i="1"/>
  <c r="GT57" i="1"/>
  <c r="GG58" i="1"/>
  <c r="GQ59" i="1"/>
  <c r="GT59" i="1"/>
  <c r="GH61" i="1"/>
  <c r="FW61" i="1"/>
  <c r="GF61" i="1" s="1"/>
  <c r="GG62" i="1"/>
  <c r="GG73" i="1"/>
  <c r="GI82" i="1"/>
  <c r="GT92" i="1"/>
  <c r="GG11" i="1"/>
  <c r="GQ12" i="1"/>
  <c r="GG13" i="1"/>
  <c r="GH14" i="1"/>
  <c r="FW14" i="1"/>
  <c r="GF14" i="1" s="1"/>
  <c r="GH17" i="1"/>
  <c r="FW17" i="1"/>
  <c r="GF17" i="1" s="1"/>
  <c r="GG18" i="1"/>
  <c r="GQ19" i="1"/>
  <c r="GG20" i="1"/>
  <c r="FW21" i="1"/>
  <c r="GF21" i="1" s="1"/>
  <c r="GH25" i="1"/>
  <c r="GG26" i="1"/>
  <c r="GG28" i="1"/>
  <c r="GH29" i="1"/>
  <c r="GG30" i="1"/>
  <c r="GG32" i="1"/>
  <c r="GH33" i="1"/>
  <c r="GG34" i="1"/>
  <c r="GH8" i="1"/>
  <c r="GQ9" i="1"/>
  <c r="FW12" i="1"/>
  <c r="GA12" i="1" s="1"/>
  <c r="GQ16" i="1"/>
  <c r="GH19" i="1"/>
  <c r="FW23" i="1"/>
  <c r="GF23" i="1" s="1"/>
  <c r="GQ24" i="1"/>
  <c r="FW27" i="1"/>
  <c r="GA27" i="1" s="1"/>
  <c r="GQ28" i="1"/>
  <c r="GH31" i="1"/>
  <c r="FW31" i="1"/>
  <c r="GF31" i="1" s="1"/>
  <c r="GQ32" i="1"/>
  <c r="GH35" i="1"/>
  <c r="FW35" i="1"/>
  <c r="GF35" i="1" s="1"/>
  <c r="GG36" i="1"/>
  <c r="GH37" i="1"/>
  <c r="FW37" i="1"/>
  <c r="GF37" i="1" s="1"/>
  <c r="GG38" i="1"/>
  <c r="GQ39" i="1"/>
  <c r="GG40" i="1"/>
  <c r="GH41" i="1"/>
  <c r="FW41" i="1"/>
  <c r="GF41" i="1" s="1"/>
  <c r="GG42" i="1"/>
  <c r="GG43" i="1"/>
  <c r="GH44" i="1"/>
  <c r="FW44" i="1"/>
  <c r="GF44" i="1" s="1"/>
  <c r="GQ45" i="1"/>
  <c r="GH46" i="1"/>
  <c r="FW46" i="1"/>
  <c r="GF46" i="1" s="1"/>
  <c r="GI6" i="1"/>
  <c r="GT7" i="1"/>
  <c r="GI8" i="1"/>
  <c r="GI9" i="1"/>
  <c r="GT10" i="1"/>
  <c r="GI11" i="1"/>
  <c r="GT11" i="1"/>
  <c r="GI12" i="1"/>
  <c r="GI13" i="1"/>
  <c r="GT14" i="1"/>
  <c r="GI15" i="1"/>
  <c r="GI16" i="1"/>
  <c r="GT17" i="1"/>
  <c r="GI18" i="1"/>
  <c r="GT18" i="1"/>
  <c r="GI19" i="1"/>
  <c r="GI20" i="1"/>
  <c r="GI22" i="1"/>
  <c r="GT22" i="1"/>
  <c r="GI23" i="1"/>
  <c r="GI24" i="1"/>
  <c r="GT25" i="1"/>
  <c r="GI26" i="1"/>
  <c r="GT26" i="1"/>
  <c r="GI27" i="1"/>
  <c r="GI28" i="1"/>
  <c r="GT29" i="1"/>
  <c r="GI30" i="1"/>
  <c r="GI31" i="1"/>
  <c r="GI32" i="1"/>
  <c r="GT33" i="1"/>
  <c r="GI34" i="1"/>
  <c r="GT34" i="1"/>
  <c r="GI35" i="1"/>
  <c r="GQ36" i="1"/>
  <c r="GI37" i="1"/>
  <c r="GH39" i="1"/>
  <c r="FW39" i="1"/>
  <c r="GF39" i="1" s="1"/>
  <c r="GQ40" i="1"/>
  <c r="GI41" i="1"/>
  <c r="GQ43" i="1"/>
  <c r="GI44" i="1"/>
  <c r="GH45" i="1"/>
  <c r="FW45" i="1"/>
  <c r="GF45" i="1" s="1"/>
  <c r="GI46" i="1"/>
  <c r="GG47" i="1"/>
  <c r="GA47" i="1"/>
  <c r="GB48" i="1"/>
  <c r="GG53" i="1"/>
  <c r="GT54" i="1"/>
  <c r="GG55" i="1"/>
  <c r="GQ56" i="1"/>
  <c r="GG57" i="1"/>
  <c r="GQ57" i="1"/>
  <c r="GI59" i="1"/>
  <c r="GQ67" i="1"/>
  <c r="GH69" i="1"/>
  <c r="GH70" i="1"/>
  <c r="GQ73" i="1"/>
  <c r="GG78" i="1"/>
  <c r="GT81" i="1"/>
  <c r="GQ85" i="1"/>
  <c r="GT85" i="1"/>
  <c r="GH86" i="1"/>
  <c r="GI87" i="1"/>
  <c r="GQ88" i="1"/>
  <c r="GT88" i="1"/>
  <c r="FW89" i="1"/>
  <c r="GF89" i="1" s="1"/>
  <c r="GA90" i="1"/>
  <c r="GQ91" i="1"/>
  <c r="GG92" i="1"/>
  <c r="GQ93" i="1"/>
  <c r="GQ25" i="1"/>
  <c r="GQ29" i="1"/>
  <c r="GA32" i="1"/>
  <c r="GQ33" i="1"/>
  <c r="GI36" i="1"/>
  <c r="GT37" i="1"/>
  <c r="GI38" i="1"/>
  <c r="GT38" i="1"/>
  <c r="GI40" i="1"/>
  <c r="GT41" i="1"/>
  <c r="GI42" i="1"/>
  <c r="GT42" i="1"/>
  <c r="GI43" i="1"/>
  <c r="GT44" i="1"/>
  <c r="GT46" i="1"/>
  <c r="GH47" i="1"/>
  <c r="GG48" i="1"/>
  <c r="GH49" i="1"/>
  <c r="GQ49" i="1"/>
  <c r="GQ52" i="1"/>
  <c r="GG54" i="1"/>
  <c r="GQ54" i="1"/>
  <c r="GG56" i="1"/>
  <c r="GH57" i="1"/>
  <c r="GI58" i="1"/>
  <c r="GQ58" i="1"/>
  <c r="GT61" i="1"/>
  <c r="GI62" i="1"/>
  <c r="GQ62" i="1"/>
  <c r="GQ71" i="1"/>
  <c r="GI73" i="1"/>
  <c r="GQ78" i="1"/>
  <c r="GG82" i="1"/>
  <c r="GH89" i="1"/>
  <c r="GG90" i="1"/>
  <c r="GH91" i="1"/>
  <c r="GQ92" i="1"/>
  <c r="GH93" i="1"/>
  <c r="GH94" i="1"/>
  <c r="GQ95" i="1"/>
  <c r="GT95" i="1"/>
  <c r="GQ96" i="1"/>
  <c r="GQ98" i="1"/>
  <c r="GG99" i="1"/>
  <c r="GT100" i="1"/>
  <c r="GQ101" i="1"/>
  <c r="GG102" i="1"/>
  <c r="GT103" i="1"/>
  <c r="GA103" i="1"/>
  <c r="GQ104" i="1"/>
  <c r="GG105" i="1"/>
  <c r="GQ106" i="1"/>
  <c r="GT107" i="1"/>
  <c r="GA107" i="1"/>
  <c r="GQ108" i="1"/>
  <c r="GG109" i="1"/>
  <c r="GQ110" i="1"/>
  <c r="GT111" i="1"/>
  <c r="GA111" i="1"/>
  <c r="GG112" i="1"/>
  <c r="GG113" i="1"/>
  <c r="GQ113" i="1"/>
  <c r="GQ64" i="1"/>
  <c r="GG65" i="1"/>
  <c r="GQ66" i="1"/>
  <c r="GG67" i="1"/>
  <c r="GQ69" i="1"/>
  <c r="GQ70" i="1"/>
  <c r="GG71" i="1"/>
  <c r="GQ72" i="1"/>
  <c r="GQ74" i="1"/>
  <c r="GG76" i="1"/>
  <c r="GQ77" i="1"/>
  <c r="GQ79" i="1"/>
  <c r="GG80" i="1"/>
  <c r="GQ81" i="1"/>
  <c r="GQ83" i="1"/>
  <c r="GG85" i="1"/>
  <c r="GQ86" i="1"/>
  <c r="GT87" i="1"/>
  <c r="GG88" i="1"/>
  <c r="GI92" i="1"/>
  <c r="GI95" i="1"/>
  <c r="GH96" i="1"/>
  <c r="FW96" i="1"/>
  <c r="GF96" i="1" s="1"/>
  <c r="GG97" i="1"/>
  <c r="GH98" i="1"/>
  <c r="FW98" i="1"/>
  <c r="GF98" i="1" s="1"/>
  <c r="GQ99" i="1"/>
  <c r="GG100" i="1"/>
  <c r="GH101" i="1"/>
  <c r="GQ102" i="1"/>
  <c r="GG103" i="1"/>
  <c r="GH104" i="1"/>
  <c r="GQ105" i="1"/>
  <c r="GH106" i="1"/>
  <c r="GG107" i="1"/>
  <c r="GH108" i="1"/>
  <c r="GQ109" i="1"/>
  <c r="GH110" i="1"/>
  <c r="GG111" i="1"/>
  <c r="GQ112" i="1"/>
  <c r="GH113" i="1"/>
  <c r="GA95" i="1"/>
  <c r="GI99" i="1"/>
  <c r="GI102" i="1"/>
  <c r="GI105" i="1"/>
  <c r="GI109" i="1"/>
  <c r="GI112" i="1"/>
  <c r="GI113" i="1"/>
  <c r="GA114" i="1"/>
  <c r="GG115" i="1"/>
  <c r="GI117" i="1"/>
  <c r="GB141" i="1"/>
  <c r="GG114" i="1"/>
  <c r="GI116" i="1"/>
  <c r="GQ116" i="1"/>
  <c r="GG119" i="1"/>
  <c r="FW135" i="1"/>
  <c r="GF135" i="1" s="1"/>
  <c r="GI115" i="1"/>
  <c r="GQ115" i="1"/>
  <c r="GG117" i="1"/>
  <c r="GI132" i="1"/>
  <c r="GT136" i="1"/>
  <c r="FW136" i="1"/>
  <c r="GA136" i="1" s="1"/>
  <c r="GI114" i="1"/>
  <c r="GQ114" i="1"/>
  <c r="GA115" i="1"/>
  <c r="GG116" i="1"/>
  <c r="GQ120" i="1"/>
  <c r="GB121" i="1"/>
  <c r="GQ121" i="1"/>
  <c r="GH122" i="1"/>
  <c r="GT125" i="1"/>
  <c r="GG125" i="1"/>
  <c r="GG126" i="1"/>
  <c r="GA126" i="1"/>
  <c r="FW127" i="1"/>
  <c r="GA127" i="1" s="1"/>
  <c r="GG129" i="1"/>
  <c r="FW129" i="1"/>
  <c r="GA129" i="1" s="1"/>
  <c r="GI130" i="1"/>
  <c r="GG131" i="1"/>
  <c r="GG133" i="1"/>
  <c r="GG134" i="1"/>
  <c r="GA134" i="1"/>
  <c r="GI141" i="1"/>
  <c r="GH146" i="1"/>
  <c r="GQ150" i="1"/>
  <c r="GI155" i="1"/>
  <c r="FW147" i="1"/>
  <c r="GA147" i="1" s="1"/>
  <c r="FW154" i="1"/>
  <c r="GA154" i="1" s="1"/>
  <c r="GA118" i="1"/>
  <c r="GT119" i="1"/>
  <c r="GG120" i="1"/>
  <c r="GG121" i="1"/>
  <c r="GQ123" i="1"/>
  <c r="GH124" i="1"/>
  <c r="GI125" i="1"/>
  <c r="GB125" i="1"/>
  <c r="GI126" i="1"/>
  <c r="GB127" i="1"/>
  <c r="GH128" i="1"/>
  <c r="GQ130" i="1"/>
  <c r="GI131" i="1"/>
  <c r="FW131" i="1"/>
  <c r="GF131" i="1" s="1"/>
  <c r="GQ131" i="1"/>
  <c r="GG136" i="1"/>
  <c r="GQ142" i="1"/>
  <c r="GT143" i="1"/>
  <c r="GH144" i="1"/>
  <c r="GQ144" i="1"/>
  <c r="GQ145" i="1"/>
  <c r="GQ152" i="1"/>
  <c r="FW119" i="1"/>
  <c r="GF119" i="1" s="1"/>
  <c r="GQ119" i="1"/>
  <c r="GH120" i="1"/>
  <c r="GG122" i="1"/>
  <c r="GQ124" i="1"/>
  <c r="GQ125" i="1"/>
  <c r="GQ126" i="1"/>
  <c r="GQ132" i="1"/>
  <c r="GG140" i="1"/>
  <c r="GG141" i="1"/>
  <c r="GB148" i="1"/>
  <c r="GH151" i="1"/>
  <c r="FW162" i="1"/>
  <c r="GA162" i="1" s="1"/>
  <c r="GQ151" i="1"/>
  <c r="GQ154" i="1"/>
  <c r="FW156" i="1"/>
  <c r="GA156" i="1" s="1"/>
  <c r="GQ159" i="1"/>
  <c r="GQ161" i="1"/>
  <c r="GH162" i="1"/>
  <c r="GH142" i="1"/>
  <c r="GT144" i="1"/>
  <c r="GT145" i="1"/>
  <c r="GG145" i="1"/>
  <c r="GG146" i="1"/>
  <c r="GQ146" i="1"/>
  <c r="GH147" i="1"/>
  <c r="GQ147" i="1"/>
  <c r="FW148" i="1"/>
  <c r="GA148" i="1" s="1"/>
  <c r="GH150" i="1"/>
  <c r="GG151" i="1"/>
  <c r="FW151" i="1"/>
  <c r="GA151" i="1" s="1"/>
  <c r="GG155" i="1"/>
  <c r="GQ156" i="1"/>
  <c r="GH157" i="1"/>
  <c r="GH161" i="1"/>
  <c r="GI162" i="1"/>
  <c r="GQ162" i="1"/>
  <c r="GH75" i="1"/>
  <c r="GH155" i="1"/>
  <c r="GA155" i="1"/>
  <c r="GQ158" i="1"/>
  <c r="GH159" i="1"/>
  <c r="GQ163" i="1"/>
  <c r="GI75" i="1"/>
  <c r="GI163" i="1"/>
  <c r="GG165" i="1"/>
  <c r="FW165" i="1"/>
  <c r="GA165" i="1" s="1"/>
  <c r="GQ165" i="1"/>
  <c r="FW75" i="1"/>
  <c r="GA75" i="1" s="1"/>
  <c r="GQ75" i="1"/>
  <c r="M24" i="4"/>
  <c r="GA6" i="1"/>
  <c r="GG7" i="1"/>
  <c r="GA9" i="1"/>
  <c r="GG10" i="1"/>
  <c r="GA13" i="1"/>
  <c r="GG14" i="1"/>
  <c r="GG17" i="1"/>
  <c r="GG21" i="1"/>
  <c r="GA24" i="1"/>
  <c r="GG25" i="1"/>
  <c r="GA28" i="1"/>
  <c r="GG29" i="1"/>
  <c r="GG33" i="1"/>
  <c r="GI39" i="1"/>
  <c r="GI45" i="1"/>
  <c r="GA36" i="1"/>
  <c r="GA43" i="1"/>
  <c r="M22" i="4"/>
  <c r="GI7" i="1"/>
  <c r="GI10" i="1"/>
  <c r="GI14" i="1"/>
  <c r="GI17" i="1"/>
  <c r="GI21" i="1"/>
  <c r="GI25" i="1"/>
  <c r="GI29" i="1"/>
  <c r="GI33" i="1"/>
  <c r="GG39" i="1"/>
  <c r="GG45" i="1"/>
  <c r="M23" i="4"/>
  <c r="FE6" i="1"/>
  <c r="GT6" i="1"/>
  <c r="GT9" i="1"/>
  <c r="FW11" i="1"/>
  <c r="GA11" i="1" s="1"/>
  <c r="GQ11" i="1"/>
  <c r="GT13" i="1"/>
  <c r="GT16" i="1"/>
  <c r="FW18" i="1"/>
  <c r="GA18" i="1" s="1"/>
  <c r="GQ18" i="1"/>
  <c r="GT20" i="1"/>
  <c r="FW22" i="1"/>
  <c r="GA22" i="1" s="1"/>
  <c r="GQ22" i="1"/>
  <c r="GT24" i="1"/>
  <c r="FW26" i="1"/>
  <c r="GA26" i="1" s="1"/>
  <c r="GQ26" i="1"/>
  <c r="GT28" i="1"/>
  <c r="FW30" i="1"/>
  <c r="GA30" i="1" s="1"/>
  <c r="GQ30" i="1"/>
  <c r="GT32" i="1"/>
  <c r="FW34" i="1"/>
  <c r="GA34" i="1" s="1"/>
  <c r="GQ34" i="1"/>
  <c r="FW38" i="1"/>
  <c r="GA38" i="1" s="1"/>
  <c r="GQ38" i="1"/>
  <c r="FW42" i="1"/>
  <c r="GA42" i="1" s="1"/>
  <c r="GQ42" i="1"/>
  <c r="GT43" i="1"/>
  <c r="FW48" i="1"/>
  <c r="GA48" i="1" s="1"/>
  <c r="GG50" i="1"/>
  <c r="FW50" i="1"/>
  <c r="GA50" i="1" s="1"/>
  <c r="GT52" i="1"/>
  <c r="GB55" i="1"/>
  <c r="GF55" i="1" s="1"/>
  <c r="FW56" i="1"/>
  <c r="GA56" i="1" s="1"/>
  <c r="GG61" i="1"/>
  <c r="GG64" i="1"/>
  <c r="GG66" i="1"/>
  <c r="GG69" i="1"/>
  <c r="GG70" i="1"/>
  <c r="GG72" i="1"/>
  <c r="GA73" i="1"/>
  <c r="GG74" i="1"/>
  <c r="GG77" i="1"/>
  <c r="GA78" i="1"/>
  <c r="GG79" i="1"/>
  <c r="GG81" i="1"/>
  <c r="GA82" i="1"/>
  <c r="GG83" i="1"/>
  <c r="GG86" i="1"/>
  <c r="GA87" i="1"/>
  <c r="GI89" i="1"/>
  <c r="GI91" i="1"/>
  <c r="GI93" i="1"/>
  <c r="GI94" i="1"/>
  <c r="GG96" i="1"/>
  <c r="GA97" i="1"/>
  <c r="GG98" i="1"/>
  <c r="GA100" i="1"/>
  <c r="GG101" i="1"/>
  <c r="GG104" i="1"/>
  <c r="GG106" i="1"/>
  <c r="GG108" i="1"/>
  <c r="GG110" i="1"/>
  <c r="M27" i="4"/>
  <c r="BJ6" i="1"/>
  <c r="CL6" i="1"/>
  <c r="FJ6" i="1"/>
  <c r="M27" i="3" s="1"/>
  <c r="E27" i="3" s="1"/>
  <c r="GP6" i="1"/>
  <c r="GP9" i="1"/>
  <c r="GB11" i="1"/>
  <c r="GP13" i="1"/>
  <c r="GP16" i="1"/>
  <c r="GB18" i="1"/>
  <c r="GP20" i="1"/>
  <c r="GB22" i="1"/>
  <c r="GP24" i="1"/>
  <c r="GB26" i="1"/>
  <c r="GP28" i="1"/>
  <c r="GB30" i="1"/>
  <c r="GP32" i="1"/>
  <c r="GB34" i="1"/>
  <c r="GP36" i="1"/>
  <c r="GB38" i="1"/>
  <c r="GP40" i="1"/>
  <c r="GB42" i="1"/>
  <c r="GP43" i="1"/>
  <c r="GF47" i="1"/>
  <c r="GP47" i="1"/>
  <c r="GI48" i="1"/>
  <c r="GB51" i="1"/>
  <c r="GF51" i="1" s="1"/>
  <c r="FW53" i="1"/>
  <c r="GA53" i="1" s="1"/>
  <c r="H6" i="4"/>
  <c r="H7" i="4"/>
  <c r="H8" i="4"/>
  <c r="H9" i="4"/>
  <c r="FK6" i="1"/>
  <c r="GI50" i="1"/>
  <c r="GQ50" i="1"/>
  <c r="GP50" i="1"/>
  <c r="GG51" i="1"/>
  <c r="GA51" i="1"/>
  <c r="GG52" i="1"/>
  <c r="GH54" i="1"/>
  <c r="GH55" i="1"/>
  <c r="GP56" i="1"/>
  <c r="GI57" i="1"/>
  <c r="GI61" i="1"/>
  <c r="GI64" i="1"/>
  <c r="GI66" i="1"/>
  <c r="GI69" i="1"/>
  <c r="GI70" i="1"/>
  <c r="GI72" i="1"/>
  <c r="GI74" i="1"/>
  <c r="GI77" i="1"/>
  <c r="GI79" i="1"/>
  <c r="GI81" i="1"/>
  <c r="GI83" i="1"/>
  <c r="GI86" i="1"/>
  <c r="GG89" i="1"/>
  <c r="GG91" i="1"/>
  <c r="GG93" i="1"/>
  <c r="GG94" i="1"/>
  <c r="GI96" i="1"/>
  <c r="GI98" i="1"/>
  <c r="GI101" i="1"/>
  <c r="GI104" i="1"/>
  <c r="GI106" i="1"/>
  <c r="GI108" i="1"/>
  <c r="GI110" i="1"/>
  <c r="G6" i="4"/>
  <c r="G9" i="4"/>
  <c r="G8" i="4"/>
  <c r="CR6" i="1"/>
  <c r="DT6" i="1"/>
  <c r="FD6" i="1"/>
  <c r="GT8" i="1"/>
  <c r="GT12" i="1"/>
  <c r="GT19" i="1"/>
  <c r="GT23" i="1"/>
  <c r="GT27" i="1"/>
  <c r="GT35" i="1"/>
  <c r="GT39" i="1"/>
  <c r="GT47" i="1"/>
  <c r="GQ48" i="1"/>
  <c r="GP48" i="1"/>
  <c r="GT49" i="1"/>
  <c r="GP53" i="1"/>
  <c r="GQ55" i="1"/>
  <c r="GB58" i="1"/>
  <c r="GF58" i="1" s="1"/>
  <c r="GA59" i="1"/>
  <c r="GA65" i="1"/>
  <c r="GA67" i="1"/>
  <c r="GA71" i="1"/>
  <c r="GA76" i="1"/>
  <c r="GA80" i="1"/>
  <c r="GA85" i="1"/>
  <c r="GA88" i="1"/>
  <c r="GA99" i="1"/>
  <c r="GA102" i="1"/>
  <c r="GA105" i="1"/>
  <c r="GA109" i="1"/>
  <c r="GA112" i="1"/>
  <c r="GP59" i="1"/>
  <c r="GB62" i="1"/>
  <c r="GF62" i="1" s="1"/>
  <c r="GP65" i="1"/>
  <c r="GP67" i="1"/>
  <c r="GP71" i="1"/>
  <c r="GB73" i="1"/>
  <c r="GF73" i="1" s="1"/>
  <c r="GP76" i="1"/>
  <c r="GB78" i="1"/>
  <c r="GF78" i="1" s="1"/>
  <c r="GP80" i="1"/>
  <c r="GB82" i="1"/>
  <c r="GF82" i="1" s="1"/>
  <c r="GP85" i="1"/>
  <c r="GB87" i="1"/>
  <c r="GF87" i="1" s="1"/>
  <c r="GP88" i="1"/>
  <c r="GB90" i="1"/>
  <c r="GF90" i="1" s="1"/>
  <c r="GP92" i="1"/>
  <c r="GP95" i="1"/>
  <c r="GB97" i="1"/>
  <c r="GF97" i="1" s="1"/>
  <c r="GP99" i="1"/>
  <c r="GB100" i="1"/>
  <c r="GF100" i="1" s="1"/>
  <c r="GP102" i="1"/>
  <c r="GB103" i="1"/>
  <c r="GF103" i="1" s="1"/>
  <c r="GP105" i="1"/>
  <c r="GB107" i="1"/>
  <c r="GF107" i="1" s="1"/>
  <c r="GP109" i="1"/>
  <c r="GB111" i="1"/>
  <c r="GF111" i="1" s="1"/>
  <c r="GP112" i="1"/>
  <c r="GT51" i="1"/>
  <c r="GT55" i="1"/>
  <c r="GT58" i="1"/>
  <c r="GT62" i="1"/>
  <c r="GT73" i="1"/>
  <c r="GT78" i="1"/>
  <c r="GT82" i="1"/>
  <c r="GT90" i="1"/>
  <c r="GT97" i="1"/>
  <c r="GP51" i="1"/>
  <c r="GB53" i="1"/>
  <c r="GP55" i="1"/>
  <c r="GB56" i="1"/>
  <c r="GP58" i="1"/>
  <c r="GB59" i="1"/>
  <c r="GF59" i="1" s="1"/>
  <c r="GP62" i="1"/>
  <c r="GT64" i="1"/>
  <c r="GB65" i="1"/>
  <c r="GF65" i="1" s="1"/>
  <c r="GB67" i="1"/>
  <c r="GF67" i="1" s="1"/>
  <c r="GT70" i="1"/>
  <c r="GB71" i="1"/>
  <c r="GF71" i="1" s="1"/>
  <c r="GP73" i="1"/>
  <c r="GT74" i="1"/>
  <c r="GB76" i="1"/>
  <c r="GF76" i="1" s="1"/>
  <c r="GP78" i="1"/>
  <c r="GT79" i="1"/>
  <c r="GB80" i="1"/>
  <c r="GF80" i="1" s="1"/>
  <c r="GP82" i="1"/>
  <c r="GT83" i="1"/>
  <c r="GB85" i="1"/>
  <c r="GF85" i="1" s="1"/>
  <c r="GP87" i="1"/>
  <c r="GB88" i="1"/>
  <c r="GF88" i="1" s="1"/>
  <c r="GP90" i="1"/>
  <c r="GT91" i="1"/>
  <c r="GB92" i="1"/>
  <c r="GF92" i="1" s="1"/>
  <c r="GT94" i="1"/>
  <c r="GB95" i="1"/>
  <c r="GF95" i="1" s="1"/>
  <c r="GP97" i="1"/>
  <c r="GT98" i="1"/>
  <c r="GB99" i="1"/>
  <c r="GF99" i="1" s="1"/>
  <c r="GP100" i="1"/>
  <c r="GB102" i="1"/>
  <c r="GF102" i="1" s="1"/>
  <c r="GP103" i="1"/>
  <c r="GB105" i="1"/>
  <c r="GF105" i="1" s="1"/>
  <c r="GP107" i="1"/>
  <c r="GB109" i="1"/>
  <c r="GF109" i="1" s="1"/>
  <c r="GP111" i="1"/>
  <c r="GB112" i="1"/>
  <c r="GF112" i="1" s="1"/>
  <c r="M22" i="3"/>
  <c r="GA117" i="1"/>
  <c r="GA122" i="1"/>
  <c r="GI142" i="1"/>
  <c r="M23" i="3"/>
  <c r="GA116" i="1"/>
  <c r="M24" i="3"/>
  <c r="GI122" i="1"/>
  <c r="GI124" i="1"/>
  <c r="GB114" i="1"/>
  <c r="GF114" i="1" s="1"/>
  <c r="GB115" i="1"/>
  <c r="GF115" i="1" s="1"/>
  <c r="GB116" i="1"/>
  <c r="GF116" i="1" s="1"/>
  <c r="GB117" i="1"/>
  <c r="GF117" i="1" s="1"/>
  <c r="GB118" i="1"/>
  <c r="GF118" i="1" s="1"/>
  <c r="GH119" i="1"/>
  <c r="GF122" i="1"/>
  <c r="GP122" i="1"/>
  <c r="FW124" i="1"/>
  <c r="GA124" i="1" s="1"/>
  <c r="GH127" i="1"/>
  <c r="GB129" i="1"/>
  <c r="GH133" i="1"/>
  <c r="GB136" i="1"/>
  <c r="GH140" i="1"/>
  <c r="GP142" i="1"/>
  <c r="GP144" i="1"/>
  <c r="GI150" i="1"/>
  <c r="GT114" i="1"/>
  <c r="GT115" i="1"/>
  <c r="GT116" i="1"/>
  <c r="GT117" i="1"/>
  <c r="GT118" i="1"/>
  <c r="GH125" i="1"/>
  <c r="GF128" i="1"/>
  <c r="FW130" i="1"/>
  <c r="GA130" i="1" s="1"/>
  <c r="GT132" i="1"/>
  <c r="GI133" i="1"/>
  <c r="GQ133" i="1"/>
  <c r="GH135" i="1"/>
  <c r="FW137" i="1"/>
  <c r="GA137" i="1" s="1"/>
  <c r="GT139" i="1"/>
  <c r="GI140" i="1"/>
  <c r="GQ140" i="1"/>
  <c r="GH141" i="1"/>
  <c r="GT142" i="1"/>
  <c r="GB143" i="1"/>
  <c r="GI145" i="1"/>
  <c r="GH148" i="1"/>
  <c r="GT150" i="1"/>
  <c r="GG158" i="1"/>
  <c r="GB164" i="1"/>
  <c r="GP75" i="1"/>
  <c r="L35" i="3"/>
  <c r="H6" i="3"/>
  <c r="H7" i="3"/>
  <c r="H8" i="3"/>
  <c r="H9" i="3"/>
  <c r="GP114" i="1"/>
  <c r="GP115" i="1"/>
  <c r="GP116" i="1"/>
  <c r="GP117" i="1"/>
  <c r="GP118" i="1"/>
  <c r="FW120" i="1"/>
  <c r="GA120" i="1" s="1"/>
  <c r="GH123" i="1"/>
  <c r="GF126" i="1"/>
  <c r="GH129" i="1"/>
  <c r="GG130" i="1"/>
  <c r="FW132" i="1"/>
  <c r="GA132" i="1" s="1"/>
  <c r="GT134" i="1"/>
  <c r="GI135" i="1"/>
  <c r="GQ135" i="1"/>
  <c r="GH136" i="1"/>
  <c r="GG137" i="1"/>
  <c r="FW139" i="1"/>
  <c r="GA139" i="1" s="1"/>
  <c r="GP139" i="1"/>
  <c r="GB140" i="1"/>
  <c r="GQ143" i="1"/>
  <c r="FW144" i="1"/>
  <c r="GA144" i="1" s="1"/>
  <c r="GG148" i="1"/>
  <c r="G7" i="3"/>
  <c r="GH121" i="1"/>
  <c r="GQ129" i="1"/>
  <c r="GH131" i="1"/>
  <c r="GG132" i="1"/>
  <c r="GF134" i="1"/>
  <c r="GQ136" i="1"/>
  <c r="GH138" i="1"/>
  <c r="GG139" i="1"/>
  <c r="GQ141" i="1"/>
  <c r="GQ148" i="1"/>
  <c r="GP150" i="1"/>
  <c r="GP163" i="1"/>
  <c r="GH145" i="1"/>
  <c r="FW150" i="1"/>
  <c r="GA150" i="1" s="1"/>
  <c r="GT154" i="1"/>
  <c r="GB154" i="1"/>
  <c r="GH156" i="1"/>
  <c r="GA161" i="1"/>
  <c r="GI161" i="1"/>
  <c r="GH163" i="1"/>
  <c r="GH143" i="1"/>
  <c r="GI154" i="1"/>
  <c r="GT157" i="1"/>
  <c r="GI157" i="1"/>
  <c r="GA163" i="1"/>
  <c r="GB152" i="1"/>
  <c r="GH154" i="1"/>
  <c r="GF155" i="1"/>
  <c r="GQ155" i="1"/>
  <c r="GP155" i="1"/>
  <c r="GB156" i="1"/>
  <c r="GG156" i="1"/>
  <c r="FW157" i="1"/>
  <c r="GA157" i="1" s="1"/>
  <c r="FW159" i="1"/>
  <c r="GA159" i="1" s="1"/>
  <c r="GP159" i="1"/>
  <c r="GH152" i="1"/>
  <c r="GH164" i="1"/>
  <c r="GQ164" i="1"/>
  <c r="GH158" i="1"/>
  <c r="GF161" i="1"/>
  <c r="GH165" i="1"/>
  <c r="A9" i="3"/>
  <c r="G9" i="3"/>
  <c r="A7" i="4"/>
  <c r="F10" i="4"/>
  <c r="A10" i="4" s="1"/>
  <c r="G7" i="4"/>
  <c r="G8" i="3"/>
  <c r="A8" i="3"/>
  <c r="F10" i="3"/>
  <c r="A10" i="3" s="1"/>
  <c r="G6" i="3"/>
  <c r="BJ9" i="21" l="1"/>
  <c r="GV177" i="1"/>
  <c r="BQ177" i="1"/>
  <c r="EX177" i="1" s="1"/>
  <c r="EY177" i="1" s="1"/>
  <c r="FV177" i="1" s="1"/>
  <c r="FU177" i="1" s="1"/>
  <c r="BQ42" i="22"/>
  <c r="EX42" i="22" s="1"/>
  <c r="EY42" i="22" s="1"/>
  <c r="FV42" i="22" s="1"/>
  <c r="FU42" i="22" s="1"/>
  <c r="GV42" i="22"/>
  <c r="GX42" i="22" s="1"/>
  <c r="GV20" i="22"/>
  <c r="GX20" i="22" s="1"/>
  <c r="BQ20" i="22"/>
  <c r="EX20" i="22" s="1"/>
  <c r="EY20" i="22" s="1"/>
  <c r="FV20" i="22" s="1"/>
  <c r="FU20" i="22" s="1"/>
  <c r="BQ153" i="22"/>
  <c r="EX153" i="22" s="1"/>
  <c r="EY153" i="22" s="1"/>
  <c r="FV153" i="22" s="1"/>
  <c r="FU153" i="22" s="1"/>
  <c r="GV153" i="22"/>
  <c r="GX153" i="22" s="1"/>
  <c r="BQ152" i="22"/>
  <c r="EX152" i="22" s="1"/>
  <c r="EY152" i="22" s="1"/>
  <c r="FV152" i="22" s="1"/>
  <c r="FU152" i="22" s="1"/>
  <c r="GV152" i="22"/>
  <c r="GX152" i="22" s="1"/>
  <c r="BQ85" i="22"/>
  <c r="EX85" i="22" s="1"/>
  <c r="EY85" i="22" s="1"/>
  <c r="FV85" i="22" s="1"/>
  <c r="FU85" i="22" s="1"/>
  <c r="GV85" i="22"/>
  <c r="GX85" i="22" s="1"/>
  <c r="GV181" i="22"/>
  <c r="GX181" i="22" s="1"/>
  <c r="BQ181" i="22"/>
  <c r="EX181" i="22" s="1"/>
  <c r="EY181" i="22" s="1"/>
  <c r="FV181" i="22" s="1"/>
  <c r="FU181" i="22" s="1"/>
  <c r="GV189" i="22"/>
  <c r="GX189" i="22" s="1"/>
  <c r="BQ189" i="22"/>
  <c r="EX189" i="22" s="1"/>
  <c r="EY189" i="22" s="1"/>
  <c r="FV189" i="22" s="1"/>
  <c r="FU189" i="22" s="1"/>
  <c r="BQ44" i="22"/>
  <c r="EX44" i="22" s="1"/>
  <c r="EY44" i="22" s="1"/>
  <c r="FV44" i="22" s="1"/>
  <c r="FU44" i="22" s="1"/>
  <c r="GV44" i="22"/>
  <c r="GX44" i="22" s="1"/>
  <c r="GV171" i="1"/>
  <c r="BQ171" i="1"/>
  <c r="EX171" i="1" s="1"/>
  <c r="EY171" i="1" s="1"/>
  <c r="FV171" i="1" s="1"/>
  <c r="FU171" i="1" s="1"/>
  <c r="GV181" i="1"/>
  <c r="GX181" i="1" s="1"/>
  <c r="BQ181" i="1"/>
  <c r="EX181" i="1" s="1"/>
  <c r="EY181" i="1" s="1"/>
  <c r="FV181" i="1" s="1"/>
  <c r="FU181" i="1" s="1"/>
  <c r="GV91" i="22"/>
  <c r="GX91" i="22" s="1"/>
  <c r="BQ91" i="22"/>
  <c r="EX91" i="22" s="1"/>
  <c r="EY91" i="22" s="1"/>
  <c r="FV91" i="22" s="1"/>
  <c r="FU91" i="22" s="1"/>
  <c r="GV92" i="22"/>
  <c r="GX92" i="22" s="1"/>
  <c r="BQ92" i="22"/>
  <c r="EX92" i="22" s="1"/>
  <c r="EY92" i="22" s="1"/>
  <c r="FV92" i="22" s="1"/>
  <c r="FU92" i="22" s="1"/>
  <c r="GV122" i="22"/>
  <c r="GX122" i="22" s="1"/>
  <c r="BQ122" i="22"/>
  <c r="EX122" i="22" s="1"/>
  <c r="EY122" i="22" s="1"/>
  <c r="FV122" i="22" s="1"/>
  <c r="FU122" i="22" s="1"/>
  <c r="GV80" i="22"/>
  <c r="GX80" i="22" s="1"/>
  <c r="BQ80" i="22"/>
  <c r="EX80" i="22" s="1"/>
  <c r="EY80" i="22" s="1"/>
  <c r="FV80" i="22" s="1"/>
  <c r="FU80" i="22" s="1"/>
  <c r="BQ113" i="22"/>
  <c r="EX113" i="22" s="1"/>
  <c r="EY113" i="22" s="1"/>
  <c r="FV113" i="22" s="1"/>
  <c r="FU113" i="22" s="1"/>
  <c r="GV113" i="22"/>
  <c r="GX113" i="22" s="1"/>
  <c r="GV25" i="22"/>
  <c r="GX25" i="22" s="1"/>
  <c r="BQ25" i="22"/>
  <c r="EX25" i="22" s="1"/>
  <c r="EY25" i="22" s="1"/>
  <c r="FV25" i="22" s="1"/>
  <c r="FU25" i="22" s="1"/>
  <c r="BQ98" i="22"/>
  <c r="EX98" i="22" s="1"/>
  <c r="EY98" i="22" s="1"/>
  <c r="FV98" i="22" s="1"/>
  <c r="FU98" i="22" s="1"/>
  <c r="GV98" i="22"/>
  <c r="GX98" i="22" s="1"/>
  <c r="GV21" i="22"/>
  <c r="GX21" i="22" s="1"/>
  <c r="BQ21" i="22"/>
  <c r="EX21" i="22" s="1"/>
  <c r="EY21" i="22" s="1"/>
  <c r="FV21" i="22" s="1"/>
  <c r="FU21" i="22" s="1"/>
  <c r="BQ56" i="22"/>
  <c r="EX56" i="22" s="1"/>
  <c r="EY56" i="22" s="1"/>
  <c r="FV56" i="22" s="1"/>
  <c r="FU56" i="22" s="1"/>
  <c r="GV56" i="22"/>
  <c r="GX56" i="22" s="1"/>
  <c r="BQ99" i="22"/>
  <c r="EX99" i="22" s="1"/>
  <c r="EY99" i="22" s="1"/>
  <c r="FV99" i="22" s="1"/>
  <c r="FU99" i="22" s="1"/>
  <c r="GV99" i="22"/>
  <c r="GX99" i="22" s="1"/>
  <c r="BQ52" i="22"/>
  <c r="EX52" i="22" s="1"/>
  <c r="EY52" i="22" s="1"/>
  <c r="FV52" i="22" s="1"/>
  <c r="FU52" i="22" s="1"/>
  <c r="GV52" i="22"/>
  <c r="GX52" i="22" s="1"/>
  <c r="GV7" i="22"/>
  <c r="GX7" i="22" s="1"/>
  <c r="BQ7" i="22"/>
  <c r="EX7" i="22" s="1"/>
  <c r="EY7" i="22" s="1"/>
  <c r="FV7" i="22" s="1"/>
  <c r="FU7" i="22" s="1"/>
  <c r="GV143" i="22"/>
  <c r="GX143" i="22" s="1"/>
  <c r="BQ143" i="22"/>
  <c r="EX143" i="22" s="1"/>
  <c r="EY143" i="22" s="1"/>
  <c r="FV143" i="22" s="1"/>
  <c r="FU143" i="22" s="1"/>
  <c r="GV102" i="22"/>
  <c r="GX102" i="22" s="1"/>
  <c r="BQ102" i="22"/>
  <c r="EX102" i="22" s="1"/>
  <c r="EY102" i="22" s="1"/>
  <c r="FV102" i="22" s="1"/>
  <c r="FU102" i="22" s="1"/>
  <c r="GV63" i="22"/>
  <c r="GX63" i="22" s="1"/>
  <c r="BQ63" i="22"/>
  <c r="EX63" i="22" s="1"/>
  <c r="EY63" i="22" s="1"/>
  <c r="FV63" i="22" s="1"/>
  <c r="FU63" i="22" s="1"/>
  <c r="GV84" i="22"/>
  <c r="GX84" i="22" s="1"/>
  <c r="BQ84" i="22"/>
  <c r="EX84" i="22" s="1"/>
  <c r="EY84" i="22" s="1"/>
  <c r="FV84" i="22" s="1"/>
  <c r="FU84" i="22" s="1"/>
  <c r="BQ76" i="22"/>
  <c r="EX76" i="22" s="1"/>
  <c r="EY76" i="22" s="1"/>
  <c r="FV76" i="22" s="1"/>
  <c r="FU76" i="22" s="1"/>
  <c r="GV76" i="22"/>
  <c r="GX76" i="22" s="1"/>
  <c r="GV74" i="22"/>
  <c r="GX74" i="22" s="1"/>
  <c r="BQ74" i="22"/>
  <c r="EX74" i="22" s="1"/>
  <c r="EY74" i="22" s="1"/>
  <c r="FV74" i="22" s="1"/>
  <c r="FU74" i="22" s="1"/>
  <c r="GV14" i="22"/>
  <c r="GX14" i="22" s="1"/>
  <c r="BQ14" i="22"/>
  <c r="EX14" i="22" s="1"/>
  <c r="EY14" i="22" s="1"/>
  <c r="FV14" i="22" s="1"/>
  <c r="FU14" i="22" s="1"/>
  <c r="BQ10" i="22"/>
  <c r="EX10" i="22" s="1"/>
  <c r="EY10" i="22" s="1"/>
  <c r="FV10" i="22" s="1"/>
  <c r="FU10" i="22" s="1"/>
  <c r="GV10" i="22"/>
  <c r="GX10" i="22" s="1"/>
  <c r="GV22" i="22"/>
  <c r="GX22" i="22" s="1"/>
  <c r="BQ22" i="22"/>
  <c r="EX22" i="22" s="1"/>
  <c r="EY22" i="22" s="1"/>
  <c r="FV22" i="22" s="1"/>
  <c r="FU22" i="22" s="1"/>
  <c r="BQ117" i="22"/>
  <c r="EX117" i="22" s="1"/>
  <c r="EY117" i="22" s="1"/>
  <c r="FV117" i="22" s="1"/>
  <c r="FU117" i="22" s="1"/>
  <c r="GV117" i="22"/>
  <c r="GX117" i="22" s="1"/>
  <c r="GV106" i="22"/>
  <c r="GX106" i="22" s="1"/>
  <c r="BQ106" i="22"/>
  <c r="EX106" i="22" s="1"/>
  <c r="EY106" i="22" s="1"/>
  <c r="FV106" i="22" s="1"/>
  <c r="FU106" i="22" s="1"/>
  <c r="BQ65" i="22"/>
  <c r="EX65" i="22" s="1"/>
  <c r="EY65" i="22" s="1"/>
  <c r="FV65" i="22" s="1"/>
  <c r="FU65" i="22" s="1"/>
  <c r="GV65" i="22"/>
  <c r="GX65" i="22" s="1"/>
  <c r="GV166" i="22"/>
  <c r="GX166" i="22" s="1"/>
  <c r="BQ166" i="22"/>
  <c r="EX166" i="22" s="1"/>
  <c r="EY166" i="22" s="1"/>
  <c r="FV166" i="22" s="1"/>
  <c r="FU166" i="22" s="1"/>
  <c r="BQ148" i="22"/>
  <c r="EX148" i="22" s="1"/>
  <c r="EY148" i="22" s="1"/>
  <c r="FV148" i="22" s="1"/>
  <c r="FU148" i="22" s="1"/>
  <c r="GV148" i="22"/>
  <c r="GX148" i="22" s="1"/>
  <c r="BJ7" i="21"/>
  <c r="BQ142" i="22"/>
  <c r="EX142" i="22" s="1"/>
  <c r="EY142" i="22" s="1"/>
  <c r="FV142" i="22" s="1"/>
  <c r="FU142" i="22" s="1"/>
  <c r="GV142" i="22"/>
  <c r="GX142" i="22" s="1"/>
  <c r="GV17" i="22"/>
  <c r="GX17" i="22" s="1"/>
  <c r="BQ17" i="22"/>
  <c r="EX17" i="22" s="1"/>
  <c r="EY17" i="22" s="1"/>
  <c r="FV17" i="22" s="1"/>
  <c r="FU17" i="22" s="1"/>
  <c r="GV166" i="1"/>
  <c r="GV173" i="1"/>
  <c r="BQ173" i="1"/>
  <c r="EX173" i="1" s="1"/>
  <c r="EY173" i="1" s="1"/>
  <c r="FV173" i="1" s="1"/>
  <c r="FU173" i="1" s="1"/>
  <c r="BQ172" i="1"/>
  <c r="EX172" i="1" s="1"/>
  <c r="EY172" i="1" s="1"/>
  <c r="FV172" i="1" s="1"/>
  <c r="FU172" i="1" s="1"/>
  <c r="GV172" i="1"/>
  <c r="GX172" i="1" s="1"/>
  <c r="BQ180" i="1"/>
  <c r="EX180" i="1" s="1"/>
  <c r="EY180" i="1" s="1"/>
  <c r="FV180" i="1" s="1"/>
  <c r="FU180" i="1" s="1"/>
  <c r="GV180" i="1"/>
  <c r="GX180" i="1" s="1"/>
  <c r="BQ31" i="22"/>
  <c r="EX31" i="22" s="1"/>
  <c r="EY31" i="22" s="1"/>
  <c r="FV31" i="22" s="1"/>
  <c r="FU31" i="22" s="1"/>
  <c r="GV31" i="22"/>
  <c r="GX31" i="22" s="1"/>
  <c r="GV72" i="22"/>
  <c r="GX72" i="22" s="1"/>
  <c r="BQ72" i="22"/>
  <c r="EX72" i="22" s="1"/>
  <c r="EY72" i="22" s="1"/>
  <c r="FV72" i="22" s="1"/>
  <c r="FU72" i="22" s="1"/>
  <c r="GV137" i="22"/>
  <c r="GX137" i="22" s="1"/>
  <c r="BQ137" i="22"/>
  <c r="EX137" i="22" s="1"/>
  <c r="EY137" i="22" s="1"/>
  <c r="FV137" i="22" s="1"/>
  <c r="FU137" i="22" s="1"/>
  <c r="GV68" i="22"/>
  <c r="GX68" i="22" s="1"/>
  <c r="BQ68" i="22"/>
  <c r="EX68" i="22" s="1"/>
  <c r="EY68" i="22" s="1"/>
  <c r="FV68" i="22" s="1"/>
  <c r="FU68" i="22" s="1"/>
  <c r="GV94" i="22"/>
  <c r="GX94" i="22" s="1"/>
  <c r="BQ94" i="22"/>
  <c r="EX94" i="22" s="1"/>
  <c r="EY94" i="22" s="1"/>
  <c r="FV94" i="22" s="1"/>
  <c r="FU94" i="22" s="1"/>
  <c r="GV27" i="22"/>
  <c r="GX27" i="22" s="1"/>
  <c r="BQ27" i="22"/>
  <c r="EX27" i="22" s="1"/>
  <c r="EY27" i="22" s="1"/>
  <c r="FV27" i="22" s="1"/>
  <c r="FU27" i="22" s="1"/>
  <c r="BQ105" i="22"/>
  <c r="EX105" i="22" s="1"/>
  <c r="EY105" i="22" s="1"/>
  <c r="FV105" i="22" s="1"/>
  <c r="FU105" i="22" s="1"/>
  <c r="GV105" i="22"/>
  <c r="GX105" i="22" s="1"/>
  <c r="GV6" i="22"/>
  <c r="GX6" i="22" s="1"/>
  <c r="BQ6" i="22"/>
  <c r="EX6" i="22" s="1"/>
  <c r="EY6" i="22" s="1"/>
  <c r="FV6" i="22" s="1"/>
  <c r="FU6" i="22" s="1"/>
  <c r="GV115" i="22"/>
  <c r="GX115" i="22" s="1"/>
  <c r="BQ115" i="22"/>
  <c r="EX115" i="22" s="1"/>
  <c r="EY115" i="22" s="1"/>
  <c r="FV115" i="22" s="1"/>
  <c r="FU115" i="22" s="1"/>
  <c r="BQ140" i="22"/>
  <c r="EX140" i="22" s="1"/>
  <c r="EY140" i="22" s="1"/>
  <c r="FV140" i="22" s="1"/>
  <c r="FU140" i="22" s="1"/>
  <c r="GV140" i="22"/>
  <c r="GX140" i="22" s="1"/>
  <c r="BQ141" i="22"/>
  <c r="EX141" i="22" s="1"/>
  <c r="EY141" i="22" s="1"/>
  <c r="FV141" i="22" s="1"/>
  <c r="FU141" i="22" s="1"/>
  <c r="GV141" i="22"/>
  <c r="GX141" i="22" s="1"/>
  <c r="BQ168" i="22"/>
  <c r="EX168" i="22" s="1"/>
  <c r="EY168" i="22" s="1"/>
  <c r="FV168" i="22" s="1"/>
  <c r="FU168" i="22" s="1"/>
  <c r="GV168" i="22"/>
  <c r="GX168" i="22" s="1"/>
  <c r="GV75" i="22"/>
  <c r="GX75" i="22" s="1"/>
  <c r="BQ75" i="22"/>
  <c r="EX75" i="22" s="1"/>
  <c r="EY75" i="22" s="1"/>
  <c r="FV75" i="22" s="1"/>
  <c r="FU75" i="22" s="1"/>
  <c r="BQ118" i="22"/>
  <c r="EX118" i="22" s="1"/>
  <c r="EY118" i="22" s="1"/>
  <c r="FV118" i="22" s="1"/>
  <c r="FU118" i="22" s="1"/>
  <c r="GV118" i="22"/>
  <c r="GX118" i="22" s="1"/>
  <c r="BQ78" i="22"/>
  <c r="EX78" i="22" s="1"/>
  <c r="EY78" i="22" s="1"/>
  <c r="FV78" i="22" s="1"/>
  <c r="FU78" i="22" s="1"/>
  <c r="GV78" i="22"/>
  <c r="GX78" i="22" s="1"/>
  <c r="BQ161" i="22"/>
  <c r="EX161" i="22" s="1"/>
  <c r="EY161" i="22" s="1"/>
  <c r="FV161" i="22" s="1"/>
  <c r="FU161" i="22" s="1"/>
  <c r="GV161" i="22"/>
  <c r="GX161" i="22" s="1"/>
  <c r="BQ79" i="22"/>
  <c r="EX79" i="22" s="1"/>
  <c r="EY79" i="22" s="1"/>
  <c r="FV79" i="22" s="1"/>
  <c r="FU79" i="22" s="1"/>
  <c r="GV79" i="22"/>
  <c r="GX79" i="22" s="1"/>
  <c r="BQ28" i="22"/>
  <c r="EX28" i="22" s="1"/>
  <c r="EY28" i="22" s="1"/>
  <c r="FV28" i="22" s="1"/>
  <c r="FU28" i="22" s="1"/>
  <c r="GV28" i="22"/>
  <c r="GX28" i="22" s="1"/>
  <c r="GV155" i="22"/>
  <c r="GX155" i="22" s="1"/>
  <c r="BQ155" i="22"/>
  <c r="EX155" i="22" s="1"/>
  <c r="EY155" i="22" s="1"/>
  <c r="FV155" i="22" s="1"/>
  <c r="FU155" i="22" s="1"/>
  <c r="BQ164" i="22"/>
  <c r="EX164" i="22" s="1"/>
  <c r="EY164" i="22" s="1"/>
  <c r="FV164" i="22" s="1"/>
  <c r="FU164" i="22" s="1"/>
  <c r="GV164" i="22"/>
  <c r="GX164" i="22" s="1"/>
  <c r="BQ12" i="22"/>
  <c r="EX12" i="22" s="1"/>
  <c r="EY12" i="22" s="1"/>
  <c r="FV12" i="22" s="1"/>
  <c r="FU12" i="22" s="1"/>
  <c r="GV12" i="22"/>
  <c r="GX12" i="22" s="1"/>
  <c r="BQ57" i="22"/>
  <c r="EX57" i="22" s="1"/>
  <c r="EY57" i="22" s="1"/>
  <c r="FV57" i="22" s="1"/>
  <c r="FU57" i="22" s="1"/>
  <c r="GV57" i="22"/>
  <c r="GX57" i="22" s="1"/>
  <c r="BQ97" i="22"/>
  <c r="EX97" i="22" s="1"/>
  <c r="EY97" i="22" s="1"/>
  <c r="FV97" i="22" s="1"/>
  <c r="FU97" i="22" s="1"/>
  <c r="GV97" i="22"/>
  <c r="GX97" i="22" s="1"/>
  <c r="BQ101" i="22"/>
  <c r="EX101" i="22" s="1"/>
  <c r="EY101" i="22" s="1"/>
  <c r="FV101" i="22" s="1"/>
  <c r="FU101" i="22" s="1"/>
  <c r="GV101" i="22"/>
  <c r="GX101" i="22" s="1"/>
  <c r="BQ71" i="22"/>
  <c r="EX71" i="22" s="1"/>
  <c r="EY71" i="22" s="1"/>
  <c r="FV71" i="22" s="1"/>
  <c r="FU71" i="22" s="1"/>
  <c r="GV71" i="22"/>
  <c r="GX71" i="22" s="1"/>
  <c r="GV191" i="22"/>
  <c r="GX191" i="22" s="1"/>
  <c r="BQ191" i="22"/>
  <c r="EX191" i="22" s="1"/>
  <c r="EY191" i="22" s="1"/>
  <c r="FV191" i="22" s="1"/>
  <c r="FU191" i="22" s="1"/>
  <c r="GV178" i="1"/>
  <c r="GX178" i="1" s="1"/>
  <c r="BQ178" i="1"/>
  <c r="EX178" i="1" s="1"/>
  <c r="EY178" i="1" s="1"/>
  <c r="FV178" i="1" s="1"/>
  <c r="FU178" i="1" s="1"/>
  <c r="BQ176" i="1"/>
  <c r="EX176" i="1" s="1"/>
  <c r="EY176" i="1" s="1"/>
  <c r="FV176" i="1" s="1"/>
  <c r="FU176" i="1" s="1"/>
  <c r="GV176" i="1"/>
  <c r="GX176" i="1" s="1"/>
  <c r="GV125" i="22"/>
  <c r="GX125" i="22" s="1"/>
  <c r="BQ125" i="22"/>
  <c r="EX125" i="22" s="1"/>
  <c r="EY125" i="22" s="1"/>
  <c r="FV125" i="22" s="1"/>
  <c r="FU125" i="22" s="1"/>
  <c r="BQ64" i="22"/>
  <c r="EX64" i="22" s="1"/>
  <c r="EY64" i="22" s="1"/>
  <c r="FV64" i="22" s="1"/>
  <c r="FU64" i="22" s="1"/>
  <c r="GV64" i="22"/>
  <c r="GX64" i="22" s="1"/>
  <c r="GV67" i="22"/>
  <c r="GX67" i="22" s="1"/>
  <c r="BQ67" i="22"/>
  <c r="EX67" i="22" s="1"/>
  <c r="EY67" i="22" s="1"/>
  <c r="FV67" i="22" s="1"/>
  <c r="FU67" i="22" s="1"/>
  <c r="GV16" i="22"/>
  <c r="GX16" i="22" s="1"/>
  <c r="BQ16" i="22"/>
  <c r="EX16" i="22" s="1"/>
  <c r="EY16" i="22" s="1"/>
  <c r="FV16" i="22" s="1"/>
  <c r="FU16" i="22" s="1"/>
  <c r="GV24" i="22"/>
  <c r="GX24" i="22" s="1"/>
  <c r="BQ24" i="22"/>
  <c r="EX24" i="22" s="1"/>
  <c r="EY24" i="22" s="1"/>
  <c r="FV24" i="22" s="1"/>
  <c r="FU24" i="22" s="1"/>
  <c r="BQ119" i="22"/>
  <c r="EX119" i="22" s="1"/>
  <c r="EY119" i="22" s="1"/>
  <c r="FV119" i="22" s="1"/>
  <c r="FU119" i="22" s="1"/>
  <c r="GV119" i="22"/>
  <c r="GX119" i="22" s="1"/>
  <c r="GV86" i="22"/>
  <c r="GX86" i="22" s="1"/>
  <c r="BQ86" i="22"/>
  <c r="EX86" i="22" s="1"/>
  <c r="EY86" i="22" s="1"/>
  <c r="FV86" i="22" s="1"/>
  <c r="FU86" i="22" s="1"/>
  <c r="GV121" i="22"/>
  <c r="GX121" i="22" s="1"/>
  <c r="BQ121" i="22"/>
  <c r="EX121" i="22" s="1"/>
  <c r="EY121" i="22" s="1"/>
  <c r="FV121" i="22" s="1"/>
  <c r="FU121" i="22" s="1"/>
  <c r="GV174" i="22"/>
  <c r="GX174" i="22" s="1"/>
  <c r="BQ174" i="22"/>
  <c r="EX174" i="22" s="1"/>
  <c r="EY174" i="22" s="1"/>
  <c r="FV174" i="22" s="1"/>
  <c r="FU174" i="22" s="1"/>
  <c r="BQ69" i="22"/>
  <c r="EX69" i="22" s="1"/>
  <c r="EY69" i="22" s="1"/>
  <c r="FV69" i="22" s="1"/>
  <c r="FU69" i="22" s="1"/>
  <c r="GV69" i="22"/>
  <c r="GX69" i="22" s="1"/>
  <c r="BQ109" i="22"/>
  <c r="EX109" i="22" s="1"/>
  <c r="EY109" i="22" s="1"/>
  <c r="FV109" i="22" s="1"/>
  <c r="FU109" i="22" s="1"/>
  <c r="GV109" i="22"/>
  <c r="GX109" i="22" s="1"/>
  <c r="BQ176" i="22"/>
  <c r="EX176" i="22" s="1"/>
  <c r="EY176" i="22" s="1"/>
  <c r="FV176" i="22" s="1"/>
  <c r="FU176" i="22" s="1"/>
  <c r="GV176" i="22"/>
  <c r="GX176" i="22" s="1"/>
  <c r="BQ139" i="22"/>
  <c r="EX139" i="22" s="1"/>
  <c r="EY139" i="22" s="1"/>
  <c r="FV139" i="22" s="1"/>
  <c r="FU139" i="22" s="1"/>
  <c r="GV139" i="22"/>
  <c r="GX139" i="22" s="1"/>
  <c r="GV38" i="22"/>
  <c r="GX38" i="22" s="1"/>
  <c r="BQ38" i="22"/>
  <c r="EX38" i="22" s="1"/>
  <c r="EY38" i="22" s="1"/>
  <c r="FV38" i="22" s="1"/>
  <c r="FU38" i="22" s="1"/>
  <c r="BQ186" i="22"/>
  <c r="EX186" i="22" s="1"/>
  <c r="EY186" i="22" s="1"/>
  <c r="FV186" i="22" s="1"/>
  <c r="FU186" i="22" s="1"/>
  <c r="GV186" i="22"/>
  <c r="GX186" i="22" s="1"/>
  <c r="BQ158" i="22"/>
  <c r="EX158" i="22" s="1"/>
  <c r="EY158" i="22" s="1"/>
  <c r="FV158" i="22" s="1"/>
  <c r="FU158" i="22" s="1"/>
  <c r="GV158" i="22"/>
  <c r="GX158" i="22" s="1"/>
  <c r="GV77" i="22"/>
  <c r="GX77" i="22" s="1"/>
  <c r="BQ77" i="22"/>
  <c r="EX77" i="22" s="1"/>
  <c r="EY77" i="22" s="1"/>
  <c r="FV77" i="22" s="1"/>
  <c r="FU77" i="22" s="1"/>
  <c r="BQ187" i="22"/>
  <c r="EX187" i="22" s="1"/>
  <c r="EY187" i="22" s="1"/>
  <c r="FV187" i="22" s="1"/>
  <c r="FU187" i="22" s="1"/>
  <c r="GV187" i="22"/>
  <c r="GX187" i="22" s="1"/>
  <c r="BQ34" i="22"/>
  <c r="EX34" i="22" s="1"/>
  <c r="EY34" i="22" s="1"/>
  <c r="FV34" i="22" s="1"/>
  <c r="FU34" i="22" s="1"/>
  <c r="GV34" i="22"/>
  <c r="GX34" i="22" s="1"/>
  <c r="GV179" i="1"/>
  <c r="GX179" i="1" s="1"/>
  <c r="BQ179" i="1"/>
  <c r="EX179" i="1" s="1"/>
  <c r="EY179" i="1" s="1"/>
  <c r="FV179" i="1" s="1"/>
  <c r="FU179" i="1" s="1"/>
  <c r="GV95" i="22"/>
  <c r="GX95" i="22" s="1"/>
  <c r="BQ95" i="22"/>
  <c r="EX95" i="22" s="1"/>
  <c r="EY95" i="22" s="1"/>
  <c r="FV95" i="22" s="1"/>
  <c r="FU95" i="22" s="1"/>
  <c r="BQ179" i="22"/>
  <c r="EX179" i="22" s="1"/>
  <c r="EY179" i="22" s="1"/>
  <c r="FV179" i="22" s="1"/>
  <c r="FU179" i="22" s="1"/>
  <c r="GV179" i="22"/>
  <c r="GX179" i="22" s="1"/>
  <c r="BQ60" i="22"/>
  <c r="EX60" i="22" s="1"/>
  <c r="EY60" i="22" s="1"/>
  <c r="FV60" i="22" s="1"/>
  <c r="FU60" i="22" s="1"/>
  <c r="GV60" i="22"/>
  <c r="GX60" i="22" s="1"/>
  <c r="BQ166" i="1"/>
  <c r="EX166" i="1" s="1"/>
  <c r="EY166" i="1" s="1"/>
  <c r="FV166" i="1" s="1"/>
  <c r="FU166" i="1" s="1"/>
  <c r="GV174" i="1"/>
  <c r="GX174" i="1" s="1"/>
  <c r="BQ174" i="1"/>
  <c r="EX174" i="1" s="1"/>
  <c r="EY174" i="1" s="1"/>
  <c r="FV174" i="1" s="1"/>
  <c r="FU174" i="1" s="1"/>
  <c r="GV61" i="22"/>
  <c r="GX61" i="22" s="1"/>
  <c r="CS61" i="22"/>
  <c r="EX61" i="22" s="1"/>
  <c r="EY61" i="22" s="1"/>
  <c r="FV61" i="22" s="1"/>
  <c r="FU61" i="22" s="1"/>
  <c r="GV170" i="22"/>
  <c r="GX170" i="22" s="1"/>
  <c r="BQ170" i="22"/>
  <c r="EX170" i="22" s="1"/>
  <c r="EY170" i="22" s="1"/>
  <c r="FV170" i="22" s="1"/>
  <c r="FU170" i="22" s="1"/>
  <c r="BQ130" i="22"/>
  <c r="EX130" i="22" s="1"/>
  <c r="EY130" i="22" s="1"/>
  <c r="FV130" i="22" s="1"/>
  <c r="FU130" i="22" s="1"/>
  <c r="GV130" i="22"/>
  <c r="GX130" i="22" s="1"/>
  <c r="GV103" i="22"/>
  <c r="GX103" i="22" s="1"/>
  <c r="BQ103" i="22"/>
  <c r="EX103" i="22" s="1"/>
  <c r="EY103" i="22" s="1"/>
  <c r="FV103" i="22" s="1"/>
  <c r="FU103" i="22" s="1"/>
  <c r="BQ165" i="22"/>
  <c r="EX165" i="22" s="1"/>
  <c r="EY165" i="22" s="1"/>
  <c r="FV165" i="22" s="1"/>
  <c r="FU165" i="22" s="1"/>
  <c r="GV165" i="22"/>
  <c r="GX165" i="22" s="1"/>
  <c r="GV62" i="22"/>
  <c r="GX62" i="22" s="1"/>
  <c r="BQ62" i="22"/>
  <c r="EX62" i="22" s="1"/>
  <c r="EY62" i="22" s="1"/>
  <c r="FV62" i="22" s="1"/>
  <c r="FU62" i="22" s="1"/>
  <c r="BQ29" i="22"/>
  <c r="EX29" i="22" s="1"/>
  <c r="EY29" i="22" s="1"/>
  <c r="FV29" i="22" s="1"/>
  <c r="FU29" i="22" s="1"/>
  <c r="GV29" i="22"/>
  <c r="GX29" i="22" s="1"/>
  <c r="BQ48" i="22"/>
  <c r="EX48" i="22" s="1"/>
  <c r="EY48" i="22" s="1"/>
  <c r="FV48" i="22" s="1"/>
  <c r="FU48" i="22" s="1"/>
  <c r="GV48" i="22"/>
  <c r="GX48" i="22" s="1"/>
  <c r="DU182" i="22"/>
  <c r="EX182" i="22" s="1"/>
  <c r="EY182" i="22" s="1"/>
  <c r="FV182" i="22" s="1"/>
  <c r="FU182" i="22" s="1"/>
  <c r="GV182" i="22"/>
  <c r="GX182" i="22" s="1"/>
  <c r="BQ111" i="22"/>
  <c r="EX111" i="22" s="1"/>
  <c r="EY111" i="22" s="1"/>
  <c r="FV111" i="22" s="1"/>
  <c r="FU111" i="22" s="1"/>
  <c r="GV111" i="22"/>
  <c r="GX111" i="22" s="1"/>
  <c r="BQ11" i="22"/>
  <c r="EX11" i="22" s="1"/>
  <c r="EY11" i="22" s="1"/>
  <c r="FV11" i="22" s="1"/>
  <c r="FU11" i="22" s="1"/>
  <c r="GV11" i="22"/>
  <c r="GX11" i="22" s="1"/>
  <c r="BQ157" i="22"/>
  <c r="EX157" i="22" s="1"/>
  <c r="EY157" i="22" s="1"/>
  <c r="FV157" i="22" s="1"/>
  <c r="FU157" i="22" s="1"/>
  <c r="GV157" i="22"/>
  <c r="GX157" i="22" s="1"/>
  <c r="BQ51" i="22"/>
  <c r="EX51" i="22" s="1"/>
  <c r="EY51" i="22" s="1"/>
  <c r="FV51" i="22" s="1"/>
  <c r="FU51" i="22" s="1"/>
  <c r="GV51" i="22"/>
  <c r="GX51" i="22" s="1"/>
  <c r="BQ73" i="22"/>
  <c r="EX73" i="22" s="1"/>
  <c r="EY73" i="22" s="1"/>
  <c r="FV73" i="22" s="1"/>
  <c r="FU73" i="22" s="1"/>
  <c r="GV73" i="22"/>
  <c r="GX73" i="22" s="1"/>
  <c r="BQ184" i="22"/>
  <c r="EX184" i="22" s="1"/>
  <c r="EY184" i="22" s="1"/>
  <c r="FV184" i="22" s="1"/>
  <c r="FU184" i="22" s="1"/>
  <c r="GV184" i="22"/>
  <c r="GX184" i="22" s="1"/>
  <c r="GV188" i="22"/>
  <c r="GX188" i="22" s="1"/>
  <c r="BQ188" i="22"/>
  <c r="EX188" i="22" s="1"/>
  <c r="EY188" i="22" s="1"/>
  <c r="FV188" i="22" s="1"/>
  <c r="FU188" i="22" s="1"/>
  <c r="BQ128" i="22"/>
  <c r="EX128" i="22" s="1"/>
  <c r="EY128" i="22" s="1"/>
  <c r="FV128" i="22" s="1"/>
  <c r="FU128" i="22" s="1"/>
  <c r="GV128" i="22"/>
  <c r="GX128" i="22" s="1"/>
  <c r="GV150" i="22"/>
  <c r="GX150" i="22" s="1"/>
  <c r="BQ150" i="22"/>
  <c r="EX150" i="22" s="1"/>
  <c r="EY150" i="22" s="1"/>
  <c r="FV150" i="22" s="1"/>
  <c r="FU150" i="22" s="1"/>
  <c r="BQ180" i="22"/>
  <c r="EX180" i="22" s="1"/>
  <c r="EY180" i="22" s="1"/>
  <c r="FV180" i="22" s="1"/>
  <c r="FU180" i="22" s="1"/>
  <c r="GV180" i="22"/>
  <c r="GX180" i="22" s="1"/>
  <c r="BQ100" i="22"/>
  <c r="EX100" i="22" s="1"/>
  <c r="EY100" i="22" s="1"/>
  <c r="FV100" i="22" s="1"/>
  <c r="FU100" i="22" s="1"/>
  <c r="GV100" i="22"/>
  <c r="GX100" i="22" s="1"/>
  <c r="GV183" i="22"/>
  <c r="GX183" i="22" s="1"/>
  <c r="BQ183" i="22"/>
  <c r="EX183" i="22" s="1"/>
  <c r="EY183" i="22" s="1"/>
  <c r="FV183" i="22" s="1"/>
  <c r="FU183" i="22" s="1"/>
  <c r="BQ120" i="22"/>
  <c r="EX120" i="22" s="1"/>
  <c r="EY120" i="22" s="1"/>
  <c r="FV120" i="22" s="1"/>
  <c r="FU120" i="22" s="1"/>
  <c r="GV120" i="22"/>
  <c r="GX120" i="22" s="1"/>
  <c r="GV193" i="22"/>
  <c r="GX193" i="22" s="1"/>
  <c r="BQ193" i="22"/>
  <c r="EX193" i="22" s="1"/>
  <c r="EY193" i="22" s="1"/>
  <c r="FV193" i="22" s="1"/>
  <c r="FU193" i="22" s="1"/>
  <c r="BQ36" i="22"/>
  <c r="EX36" i="22" s="1"/>
  <c r="EY36" i="22" s="1"/>
  <c r="FV36" i="22" s="1"/>
  <c r="FU36" i="22" s="1"/>
  <c r="GV36" i="22"/>
  <c r="GX36" i="22" s="1"/>
  <c r="BQ132" i="22"/>
  <c r="EX132" i="22" s="1"/>
  <c r="EY132" i="22" s="1"/>
  <c r="FV132" i="22" s="1"/>
  <c r="FU132" i="22" s="1"/>
  <c r="GV132" i="22"/>
  <c r="GX132" i="22" s="1"/>
  <c r="BQ23" i="22"/>
  <c r="EX23" i="22" s="1"/>
  <c r="EY23" i="22" s="1"/>
  <c r="FV23" i="22" s="1"/>
  <c r="FU23" i="22" s="1"/>
  <c r="GV23" i="22"/>
  <c r="GX23" i="22" s="1"/>
  <c r="EX104" i="22"/>
  <c r="EY104" i="22" s="1"/>
  <c r="FV104" i="22" s="1"/>
  <c r="FU104" i="22" s="1"/>
  <c r="GV104" i="22"/>
  <c r="GX104" i="22" s="1"/>
  <c r="GV147" i="22"/>
  <c r="GX147" i="22" s="1"/>
  <c r="BQ147" i="22"/>
  <c r="EX147" i="22" s="1"/>
  <c r="EY147" i="22" s="1"/>
  <c r="FV147" i="22" s="1"/>
  <c r="FU147" i="22" s="1"/>
  <c r="GV87" i="22"/>
  <c r="GX87" i="22" s="1"/>
  <c r="BQ87" i="22"/>
  <c r="EX87" i="22" s="1"/>
  <c r="EY87" i="22" s="1"/>
  <c r="FV87" i="22" s="1"/>
  <c r="FU87" i="22" s="1"/>
  <c r="BQ19" i="22"/>
  <c r="EX19" i="22" s="1"/>
  <c r="EY19" i="22" s="1"/>
  <c r="FV19" i="22" s="1"/>
  <c r="FU19" i="22" s="1"/>
  <c r="GV19" i="22"/>
  <c r="GX19" i="22" s="1"/>
  <c r="GV33" i="22"/>
  <c r="GX33" i="22" s="1"/>
  <c r="BQ33" i="22"/>
  <c r="EX33" i="22" s="1"/>
  <c r="EY33" i="22" s="1"/>
  <c r="FV33" i="22" s="1"/>
  <c r="FU33" i="22" s="1"/>
  <c r="BQ13" i="22"/>
  <c r="EX13" i="22" s="1"/>
  <c r="EY13" i="22" s="1"/>
  <c r="FV13" i="22" s="1"/>
  <c r="FU13" i="22" s="1"/>
  <c r="GV13" i="22"/>
  <c r="GX13" i="22" s="1"/>
  <c r="GV149" i="22"/>
  <c r="GX149" i="22" s="1"/>
  <c r="BQ149" i="22"/>
  <c r="EX149" i="22" s="1"/>
  <c r="EY149" i="22" s="1"/>
  <c r="FV149" i="22" s="1"/>
  <c r="FU149" i="22" s="1"/>
  <c r="BQ124" i="22"/>
  <c r="EX124" i="22" s="1"/>
  <c r="EY124" i="22" s="1"/>
  <c r="FV124" i="22" s="1"/>
  <c r="FU124" i="22" s="1"/>
  <c r="GV124" i="22"/>
  <c r="GX124" i="22" s="1"/>
  <c r="GV18" i="22"/>
  <c r="GX18" i="22" s="1"/>
  <c r="BQ18" i="22"/>
  <c r="EX18" i="22" s="1"/>
  <c r="EY18" i="22" s="1"/>
  <c r="FV18" i="22" s="1"/>
  <c r="FU18" i="22" s="1"/>
  <c r="GV168" i="1"/>
  <c r="GX168" i="1" s="1"/>
  <c r="BQ168" i="1"/>
  <c r="EX168" i="1" s="1"/>
  <c r="EY168" i="1" s="1"/>
  <c r="FV168" i="1" s="1"/>
  <c r="FU168" i="1" s="1"/>
  <c r="GV146" i="22"/>
  <c r="GX146" i="22" s="1"/>
  <c r="BQ146" i="22"/>
  <c r="EX146" i="22" s="1"/>
  <c r="EY146" i="22" s="1"/>
  <c r="FV146" i="22" s="1"/>
  <c r="FU146" i="22" s="1"/>
  <c r="GV90" i="22"/>
  <c r="GX90" i="22" s="1"/>
  <c r="BQ90" i="22"/>
  <c r="EX90" i="22" s="1"/>
  <c r="EY90" i="22" s="1"/>
  <c r="FV90" i="22" s="1"/>
  <c r="FU90" i="22" s="1"/>
  <c r="GV81" i="22"/>
  <c r="GX81" i="22" s="1"/>
  <c r="BQ81" i="22"/>
  <c r="EX81" i="22" s="1"/>
  <c r="EY81" i="22" s="1"/>
  <c r="FV81" i="22" s="1"/>
  <c r="FU81" i="22" s="1"/>
  <c r="BQ70" i="22"/>
  <c r="EX70" i="22" s="1"/>
  <c r="EY70" i="22" s="1"/>
  <c r="FV70" i="22" s="1"/>
  <c r="FU70" i="22" s="1"/>
  <c r="GV70" i="22"/>
  <c r="GX70" i="22" s="1"/>
  <c r="GV26" i="22"/>
  <c r="GX26" i="22" s="1"/>
  <c r="BQ26" i="22"/>
  <c r="EX26" i="22" s="1"/>
  <c r="EY26" i="22" s="1"/>
  <c r="FV26" i="22" s="1"/>
  <c r="FU26" i="22" s="1"/>
  <c r="GV39" i="22"/>
  <c r="GX39" i="22" s="1"/>
  <c r="BQ39" i="22"/>
  <c r="EX39" i="22" s="1"/>
  <c r="EY39" i="22" s="1"/>
  <c r="FV39" i="22" s="1"/>
  <c r="FU39" i="22" s="1"/>
  <c r="GV171" i="22"/>
  <c r="GX171" i="22" s="1"/>
  <c r="BQ171" i="22"/>
  <c r="EX171" i="22" s="1"/>
  <c r="EY171" i="22" s="1"/>
  <c r="FV171" i="22" s="1"/>
  <c r="FU171" i="22" s="1"/>
  <c r="BQ126" i="22"/>
  <c r="EX126" i="22" s="1"/>
  <c r="EY126" i="22" s="1"/>
  <c r="FV126" i="22" s="1"/>
  <c r="FU126" i="22" s="1"/>
  <c r="GV126" i="22"/>
  <c r="GX126" i="22" s="1"/>
  <c r="BQ32" i="22"/>
  <c r="EX32" i="22" s="1"/>
  <c r="EY32" i="22" s="1"/>
  <c r="FV32" i="22" s="1"/>
  <c r="FU32" i="22" s="1"/>
  <c r="GV32" i="22"/>
  <c r="GX32" i="22" s="1"/>
  <c r="BQ190" i="22"/>
  <c r="EX190" i="22" s="1"/>
  <c r="EY190" i="22" s="1"/>
  <c r="FV190" i="22" s="1"/>
  <c r="FU190" i="22" s="1"/>
  <c r="GV190" i="22"/>
  <c r="GX190" i="22" s="1"/>
  <c r="GV46" i="22"/>
  <c r="GX46" i="22" s="1"/>
  <c r="BQ46" i="22"/>
  <c r="EX46" i="22" s="1"/>
  <c r="EY46" i="22" s="1"/>
  <c r="FV46" i="22" s="1"/>
  <c r="FU46" i="22" s="1"/>
  <c r="BQ43" i="22"/>
  <c r="EX43" i="22" s="1"/>
  <c r="EY43" i="22" s="1"/>
  <c r="FV43" i="22" s="1"/>
  <c r="FU43" i="22" s="1"/>
  <c r="GV43" i="22"/>
  <c r="GX43" i="22" s="1"/>
  <c r="BQ83" i="22"/>
  <c r="EX83" i="22" s="1"/>
  <c r="EY83" i="22" s="1"/>
  <c r="FV83" i="22" s="1"/>
  <c r="FU83" i="22" s="1"/>
  <c r="GV83" i="22"/>
  <c r="GX83" i="22" s="1"/>
  <c r="BQ88" i="22"/>
  <c r="EX88" i="22" s="1"/>
  <c r="EY88" i="22" s="1"/>
  <c r="FV88" i="22" s="1"/>
  <c r="FU88" i="22" s="1"/>
  <c r="GV88" i="22"/>
  <c r="GX88" i="22" s="1"/>
  <c r="GV114" i="22"/>
  <c r="GX114" i="22" s="1"/>
  <c r="BQ114" i="22"/>
  <c r="EX114" i="22" s="1"/>
  <c r="EY114" i="22" s="1"/>
  <c r="FV114" i="22" s="1"/>
  <c r="FU114" i="22" s="1"/>
  <c r="BQ9" i="22"/>
  <c r="EX9" i="22" s="1"/>
  <c r="EY9" i="22" s="1"/>
  <c r="FV9" i="22" s="1"/>
  <c r="FU9" i="22" s="1"/>
  <c r="GV9" i="22"/>
  <c r="GX9" i="22" s="1"/>
  <c r="BQ107" i="22"/>
  <c r="EX107" i="22" s="1"/>
  <c r="EY107" i="22" s="1"/>
  <c r="FV107" i="22" s="1"/>
  <c r="FU107" i="22" s="1"/>
  <c r="GV107" i="22"/>
  <c r="GX107" i="22" s="1"/>
  <c r="GV45" i="22"/>
  <c r="GX45" i="22" s="1"/>
  <c r="BQ45" i="22"/>
  <c r="EX45" i="22" s="1"/>
  <c r="EY45" i="22" s="1"/>
  <c r="FV45" i="22" s="1"/>
  <c r="FU45" i="22" s="1"/>
  <c r="BQ82" i="22"/>
  <c r="EX82" i="22" s="1"/>
  <c r="EY82" i="22" s="1"/>
  <c r="FV82" i="22" s="1"/>
  <c r="FU82" i="22" s="1"/>
  <c r="GV82" i="22"/>
  <c r="GX82" i="22" s="1"/>
  <c r="GV53" i="22"/>
  <c r="GX53" i="22" s="1"/>
  <c r="BQ53" i="22"/>
  <c r="EX53" i="22" s="1"/>
  <c r="EY53" i="22" s="1"/>
  <c r="FV53" i="22" s="1"/>
  <c r="FU53" i="22" s="1"/>
  <c r="GV131" i="22"/>
  <c r="GX131" i="22" s="1"/>
  <c r="BQ131" i="22"/>
  <c r="EX131" i="22" s="1"/>
  <c r="EY131" i="22" s="1"/>
  <c r="FV131" i="22" s="1"/>
  <c r="FU131" i="22" s="1"/>
  <c r="GV192" i="22"/>
  <c r="GX192" i="22" s="1"/>
  <c r="BQ192" i="22"/>
  <c r="EX192" i="22" s="1"/>
  <c r="EY192" i="22" s="1"/>
  <c r="FV192" i="22" s="1"/>
  <c r="FU192" i="22" s="1"/>
  <c r="BQ135" i="22"/>
  <c r="EX135" i="22" s="1"/>
  <c r="EY135" i="22" s="1"/>
  <c r="FV135" i="22" s="1"/>
  <c r="FU135" i="22" s="1"/>
  <c r="GV135" i="22"/>
  <c r="GX135" i="22" s="1"/>
  <c r="BQ167" i="1"/>
  <c r="EX167" i="1" s="1"/>
  <c r="EY167" i="1" s="1"/>
  <c r="FV167" i="1" s="1"/>
  <c r="FU167" i="1" s="1"/>
  <c r="GV167" i="1"/>
  <c r="GX167" i="1" s="1"/>
  <c r="BQ170" i="1"/>
  <c r="EX170" i="1" s="1"/>
  <c r="EY170" i="1" s="1"/>
  <c r="FV170" i="1" s="1"/>
  <c r="FU170" i="1" s="1"/>
  <c r="GV170" i="1"/>
  <c r="GX170" i="1" s="1"/>
  <c r="BQ112" i="22"/>
  <c r="EX112" i="22" s="1"/>
  <c r="EY112" i="22" s="1"/>
  <c r="FV112" i="22" s="1"/>
  <c r="FU112" i="22" s="1"/>
  <c r="GV112" i="22"/>
  <c r="GX112" i="22" s="1"/>
  <c r="GV50" i="22"/>
  <c r="GX50" i="22" s="1"/>
  <c r="BQ50" i="22"/>
  <c r="EX50" i="22" s="1"/>
  <c r="EY50" i="22" s="1"/>
  <c r="FV50" i="22" s="1"/>
  <c r="FU50" i="22" s="1"/>
  <c r="GV129" i="22"/>
  <c r="GX129" i="22" s="1"/>
  <c r="BQ129" i="22"/>
  <c r="EX129" i="22" s="1"/>
  <c r="EY129" i="22" s="1"/>
  <c r="FV129" i="22" s="1"/>
  <c r="FU129" i="22" s="1"/>
  <c r="BQ96" i="22"/>
  <c r="EX96" i="22" s="1"/>
  <c r="EY96" i="22" s="1"/>
  <c r="FV96" i="22" s="1"/>
  <c r="FU96" i="22" s="1"/>
  <c r="GV96" i="22"/>
  <c r="GX96" i="22" s="1"/>
  <c r="BQ162" i="22"/>
  <c r="EX162" i="22" s="1"/>
  <c r="EY162" i="22" s="1"/>
  <c r="FV162" i="22" s="1"/>
  <c r="FU162" i="22" s="1"/>
  <c r="GV162" i="22"/>
  <c r="GX162" i="22" s="1"/>
  <c r="GV40" i="22"/>
  <c r="GX40" i="22" s="1"/>
  <c r="BQ40" i="22"/>
  <c r="EX40" i="22" s="1"/>
  <c r="EY40" i="22" s="1"/>
  <c r="FV40" i="22" s="1"/>
  <c r="FU40" i="22" s="1"/>
  <c r="GV175" i="22"/>
  <c r="GX175" i="22" s="1"/>
  <c r="BQ175" i="22"/>
  <c r="EX175" i="22" s="1"/>
  <c r="EY175" i="22" s="1"/>
  <c r="FV175" i="22" s="1"/>
  <c r="FU175" i="22" s="1"/>
  <c r="BQ138" i="22"/>
  <c r="EX138" i="22" s="1"/>
  <c r="EY138" i="22" s="1"/>
  <c r="FV138" i="22" s="1"/>
  <c r="FU138" i="22" s="1"/>
  <c r="GV138" i="22"/>
  <c r="GX138" i="22" s="1"/>
  <c r="BQ89" i="22"/>
  <c r="EX89" i="22" s="1"/>
  <c r="EY89" i="22" s="1"/>
  <c r="FV89" i="22" s="1"/>
  <c r="FU89" i="22" s="1"/>
  <c r="GV89" i="22"/>
  <c r="GX89" i="22" s="1"/>
  <c r="GV93" i="22"/>
  <c r="GX93" i="22" s="1"/>
  <c r="BQ93" i="22"/>
  <c r="EX93" i="22" s="1"/>
  <c r="EY93" i="22" s="1"/>
  <c r="FV93" i="22" s="1"/>
  <c r="FU93" i="22" s="1"/>
  <c r="BQ30" i="22"/>
  <c r="EX30" i="22" s="1"/>
  <c r="EY30" i="22" s="1"/>
  <c r="FV30" i="22" s="1"/>
  <c r="FU30" i="22" s="1"/>
  <c r="GV30" i="22"/>
  <c r="GX30" i="22" s="1"/>
  <c r="BQ169" i="22"/>
  <c r="EX169" i="22" s="1"/>
  <c r="EY169" i="22" s="1"/>
  <c r="FV169" i="22" s="1"/>
  <c r="FU169" i="22" s="1"/>
  <c r="GV169" i="22"/>
  <c r="GX169" i="22" s="1"/>
  <c r="BQ108" i="22"/>
  <c r="EX108" i="22" s="1"/>
  <c r="EY108" i="22" s="1"/>
  <c r="FV108" i="22" s="1"/>
  <c r="FU108" i="22" s="1"/>
  <c r="GV108" i="22"/>
  <c r="GX108" i="22" s="1"/>
  <c r="GV59" i="22"/>
  <c r="GX59" i="22" s="1"/>
  <c r="DU59" i="22"/>
  <c r="EX59" i="22" s="1"/>
  <c r="EY59" i="22" s="1"/>
  <c r="FV59" i="22" s="1"/>
  <c r="FU59" i="22" s="1"/>
  <c r="GV136" i="22"/>
  <c r="GX136" i="22" s="1"/>
  <c r="BQ136" i="22"/>
  <c r="EX136" i="22" s="1"/>
  <c r="EY136" i="22" s="1"/>
  <c r="FV136" i="22" s="1"/>
  <c r="FU136" i="22" s="1"/>
  <c r="GV159" i="22"/>
  <c r="GX159" i="22" s="1"/>
  <c r="BQ159" i="22"/>
  <c r="EX159" i="22" s="1"/>
  <c r="EY159" i="22" s="1"/>
  <c r="FV159" i="22" s="1"/>
  <c r="FU159" i="22" s="1"/>
  <c r="BQ185" i="22"/>
  <c r="EX185" i="22" s="1"/>
  <c r="EY185" i="22" s="1"/>
  <c r="FV185" i="22" s="1"/>
  <c r="FU185" i="22" s="1"/>
  <c r="GV185" i="22"/>
  <c r="GX185" i="22" s="1"/>
  <c r="GV47" i="22"/>
  <c r="GX47" i="22" s="1"/>
  <c r="BQ47" i="22"/>
  <c r="EX47" i="22" s="1"/>
  <c r="EY47" i="22" s="1"/>
  <c r="FV47" i="22" s="1"/>
  <c r="FU47" i="22" s="1"/>
  <c r="BQ35" i="22"/>
  <c r="EX35" i="22" s="1"/>
  <c r="EY35" i="22" s="1"/>
  <c r="FV35" i="22" s="1"/>
  <c r="FU35" i="22" s="1"/>
  <c r="GV35" i="22"/>
  <c r="GX35" i="22" s="1"/>
  <c r="BQ154" i="22"/>
  <c r="EX154" i="22" s="1"/>
  <c r="EY154" i="22" s="1"/>
  <c r="FV154" i="22" s="1"/>
  <c r="FU154" i="22" s="1"/>
  <c r="GV154" i="22"/>
  <c r="GX154" i="22" s="1"/>
  <c r="BQ151" i="22"/>
  <c r="EX151" i="22" s="1"/>
  <c r="EY151" i="22" s="1"/>
  <c r="FV151" i="22" s="1"/>
  <c r="FU151" i="22" s="1"/>
  <c r="GV151" i="22"/>
  <c r="GX151" i="22" s="1"/>
  <c r="BQ177" i="22"/>
  <c r="EX177" i="22" s="1"/>
  <c r="EY177" i="22" s="1"/>
  <c r="FV177" i="22" s="1"/>
  <c r="FU177" i="22" s="1"/>
  <c r="GV177" i="22"/>
  <c r="GX177" i="22" s="1"/>
  <c r="BQ169" i="1"/>
  <c r="EX169" i="1" s="1"/>
  <c r="EY169" i="1" s="1"/>
  <c r="FV169" i="1" s="1"/>
  <c r="FU169" i="1" s="1"/>
  <c r="GV169" i="1"/>
  <c r="GX169" i="1" s="1"/>
  <c r="GV175" i="1"/>
  <c r="BQ175" i="1"/>
  <c r="EX175" i="1" s="1"/>
  <c r="EY175" i="1" s="1"/>
  <c r="FV175" i="1" s="1"/>
  <c r="FU175" i="1" s="1"/>
  <c r="GV66" i="22"/>
  <c r="GX66" i="22" s="1"/>
  <c r="BQ66" i="22"/>
  <c r="EX66" i="22" s="1"/>
  <c r="EY66" i="22" s="1"/>
  <c r="FV66" i="22" s="1"/>
  <c r="FU66" i="22" s="1"/>
  <c r="GV178" i="22"/>
  <c r="GX178" i="22" s="1"/>
  <c r="BQ178" i="22"/>
  <c r="EX178" i="22" s="1"/>
  <c r="EY178" i="22" s="1"/>
  <c r="FV178" i="22" s="1"/>
  <c r="FU178" i="22" s="1"/>
  <c r="GV156" i="22"/>
  <c r="GX156" i="22" s="1"/>
  <c r="BQ156" i="22"/>
  <c r="EX156" i="22" s="1"/>
  <c r="EY156" i="22" s="1"/>
  <c r="FV156" i="22" s="1"/>
  <c r="FU156" i="22" s="1"/>
  <c r="GV144" i="22"/>
  <c r="GX144" i="22" s="1"/>
  <c r="BQ144" i="22"/>
  <c r="EX144" i="22" s="1"/>
  <c r="EY144" i="22" s="1"/>
  <c r="FV144" i="22" s="1"/>
  <c r="FU144" i="22" s="1"/>
  <c r="BQ167" i="22"/>
  <c r="EX167" i="22" s="1"/>
  <c r="EY167" i="22" s="1"/>
  <c r="FV167" i="22" s="1"/>
  <c r="FU167" i="22" s="1"/>
  <c r="GV167" i="22"/>
  <c r="GX167" i="22" s="1"/>
  <c r="GV54" i="22"/>
  <c r="GX54" i="22" s="1"/>
  <c r="BQ54" i="22"/>
  <c r="EX54" i="22" s="1"/>
  <c r="EY54" i="22" s="1"/>
  <c r="FV54" i="22" s="1"/>
  <c r="FU54" i="22" s="1"/>
  <c r="GV41" i="22"/>
  <c r="GX41" i="22" s="1"/>
  <c r="BQ41" i="22"/>
  <c r="EX41" i="22" s="1"/>
  <c r="EY41" i="22" s="1"/>
  <c r="FV41" i="22" s="1"/>
  <c r="FU41" i="22" s="1"/>
  <c r="BQ123" i="22"/>
  <c r="EX123" i="22" s="1"/>
  <c r="EY123" i="22" s="1"/>
  <c r="FV123" i="22" s="1"/>
  <c r="FU123" i="22" s="1"/>
  <c r="GV123" i="22"/>
  <c r="GX123" i="22" s="1"/>
  <c r="BQ134" i="22"/>
  <c r="EX134" i="22" s="1"/>
  <c r="EY134" i="22" s="1"/>
  <c r="FV134" i="22" s="1"/>
  <c r="FU134" i="22" s="1"/>
  <c r="GV134" i="22"/>
  <c r="GX134" i="22" s="1"/>
  <c r="GV163" i="22"/>
  <c r="GX163" i="22" s="1"/>
  <c r="BQ163" i="22"/>
  <c r="EX163" i="22" s="1"/>
  <c r="EY163" i="22" s="1"/>
  <c r="FV163" i="22" s="1"/>
  <c r="FU163" i="22" s="1"/>
  <c r="BQ116" i="22"/>
  <c r="EX116" i="22" s="1"/>
  <c r="EY116" i="22" s="1"/>
  <c r="FV116" i="22" s="1"/>
  <c r="FU116" i="22" s="1"/>
  <c r="GV116" i="22"/>
  <c r="GX116" i="22" s="1"/>
  <c r="GV49" i="22"/>
  <c r="GX49" i="22" s="1"/>
  <c r="BQ49" i="22"/>
  <c r="EX49" i="22" s="1"/>
  <c r="EY49" i="22" s="1"/>
  <c r="FV49" i="22" s="1"/>
  <c r="FU49" i="22" s="1"/>
  <c r="EX8" i="22"/>
  <c r="EY8" i="22" s="1"/>
  <c r="FV8" i="22" s="1"/>
  <c r="FU8" i="22" s="1"/>
  <c r="GV8" i="22"/>
  <c r="GX8" i="22" s="1"/>
  <c r="BQ127" i="22"/>
  <c r="EX127" i="22" s="1"/>
  <c r="EY127" i="22" s="1"/>
  <c r="FV127" i="22" s="1"/>
  <c r="FU127" i="22" s="1"/>
  <c r="GV127" i="22"/>
  <c r="GX127" i="22" s="1"/>
  <c r="BQ110" i="22"/>
  <c r="EX110" i="22" s="1"/>
  <c r="EY110" i="22" s="1"/>
  <c r="FV110" i="22" s="1"/>
  <c r="FU110" i="22" s="1"/>
  <c r="GV110" i="22"/>
  <c r="GX110" i="22" s="1"/>
  <c r="GV160" i="22"/>
  <c r="GX160" i="22" s="1"/>
  <c r="BQ160" i="22"/>
  <c r="EX160" i="22" s="1"/>
  <c r="EY160" i="22" s="1"/>
  <c r="FV160" i="22" s="1"/>
  <c r="FU160" i="22" s="1"/>
  <c r="GV172" i="22"/>
  <c r="GX172" i="22" s="1"/>
  <c r="BQ172" i="22"/>
  <c r="EX172" i="22" s="1"/>
  <c r="EY172" i="22" s="1"/>
  <c r="FV172" i="22" s="1"/>
  <c r="FU172" i="22" s="1"/>
  <c r="BQ15" i="22"/>
  <c r="EX15" i="22" s="1"/>
  <c r="EY15" i="22" s="1"/>
  <c r="FV15" i="22" s="1"/>
  <c r="FU15" i="22" s="1"/>
  <c r="GV15" i="22"/>
  <c r="GX15" i="22" s="1"/>
  <c r="BQ145" i="22"/>
  <c r="EX145" i="22" s="1"/>
  <c r="EY145" i="22" s="1"/>
  <c r="FV145" i="22" s="1"/>
  <c r="FU145" i="22" s="1"/>
  <c r="GV145" i="22"/>
  <c r="GX145" i="22" s="1"/>
  <c r="BQ58" i="22"/>
  <c r="EX58" i="22" s="1"/>
  <c r="EY58" i="22" s="1"/>
  <c r="FV58" i="22" s="1"/>
  <c r="FU58" i="22" s="1"/>
  <c r="GV58" i="22"/>
  <c r="GX58" i="22" s="1"/>
  <c r="BQ133" i="22"/>
  <c r="EX133" i="22" s="1"/>
  <c r="EY133" i="22" s="1"/>
  <c r="FV133" i="22" s="1"/>
  <c r="FU133" i="22" s="1"/>
  <c r="GV133" i="22"/>
  <c r="GX133" i="22" s="1"/>
  <c r="BQ37" i="22"/>
  <c r="EX37" i="22" s="1"/>
  <c r="EY37" i="22" s="1"/>
  <c r="FV37" i="22" s="1"/>
  <c r="FU37" i="22" s="1"/>
  <c r="GV37" i="22"/>
  <c r="GX37" i="22" s="1"/>
  <c r="BQ55" i="22"/>
  <c r="EX55" i="22" s="1"/>
  <c r="EY55" i="22" s="1"/>
  <c r="FV55" i="22" s="1"/>
  <c r="FU55" i="22" s="1"/>
  <c r="GV55" i="22"/>
  <c r="GX55" i="22" s="1"/>
  <c r="GV173" i="22"/>
  <c r="GX173" i="22" s="1"/>
  <c r="BQ173" i="22"/>
  <c r="EX173" i="22" s="1"/>
  <c r="EY173" i="22" s="1"/>
  <c r="FV173" i="22" s="1"/>
  <c r="FU173" i="22" s="1"/>
  <c r="BQ84" i="1"/>
  <c r="EX84" i="1" s="1"/>
  <c r="EY84" i="1" s="1"/>
  <c r="FV84" i="1" s="1"/>
  <c r="GV84" i="1"/>
  <c r="BQ160" i="1"/>
  <c r="EX160" i="1" s="1"/>
  <c r="EY160" i="1" s="1"/>
  <c r="FV160" i="1" s="1"/>
  <c r="GV160" i="1"/>
  <c r="ES69" i="1"/>
  <c r="ET69" i="1" s="1"/>
  <c r="EU69" i="1" s="1"/>
  <c r="EW69" i="1" s="1"/>
  <c r="BM29" i="1"/>
  <c r="BN29" i="1" s="1"/>
  <c r="BO29" i="1" s="1"/>
  <c r="BQ29" i="1" s="1"/>
  <c r="DQ164" i="1"/>
  <c r="DR164" i="1" s="1"/>
  <c r="DS164" i="1" s="1"/>
  <c r="DU164" i="1" s="1"/>
  <c r="ES54" i="1"/>
  <c r="ET54" i="1" s="1"/>
  <c r="EU54" i="1" s="1"/>
  <c r="EW54" i="1" s="1"/>
  <c r="BM83" i="1"/>
  <c r="BN83" i="1" s="1"/>
  <c r="BO83" i="1" s="1"/>
  <c r="BQ83" i="1" s="1"/>
  <c r="GS85" i="1"/>
  <c r="ES66" i="1"/>
  <c r="ET66" i="1" s="1"/>
  <c r="EU66" i="1" s="1"/>
  <c r="EW66" i="1" s="1"/>
  <c r="ES162" i="1"/>
  <c r="ET162" i="1" s="1"/>
  <c r="EU162" i="1" s="1"/>
  <c r="EW162" i="1" s="1"/>
  <c r="GS162" i="1"/>
  <c r="GU162" i="1" s="1"/>
  <c r="DQ161" i="1"/>
  <c r="GS163" i="1"/>
  <c r="GU163" i="1" s="1"/>
  <c r="DQ163" i="1"/>
  <c r="DR163" i="1" s="1"/>
  <c r="DS163" i="1" s="1"/>
  <c r="DU163" i="1" s="1"/>
  <c r="GS50" i="1"/>
  <c r="GU50" i="1" s="1"/>
  <c r="DQ162" i="1"/>
  <c r="DR162" i="1" s="1"/>
  <c r="DS162" i="1" s="1"/>
  <c r="DU162" i="1" s="1"/>
  <c r="GS164" i="1"/>
  <c r="GU164" i="1" s="1"/>
  <c r="GS161" i="1"/>
  <c r="GU161" i="1" s="1"/>
  <c r="GS165" i="1"/>
  <c r="GU165" i="1" s="1"/>
  <c r="DQ165" i="1"/>
  <c r="A14" i="3"/>
  <c r="CO111" i="1"/>
  <c r="CP111" i="1" s="1"/>
  <c r="CQ111" i="1" s="1"/>
  <c r="CS111" i="1" s="1"/>
  <c r="CO103" i="1"/>
  <c r="CP103" i="1" s="1"/>
  <c r="CQ103" i="1" s="1"/>
  <c r="CS103" i="1" s="1"/>
  <c r="BM140" i="1"/>
  <c r="BN140" i="1" s="1"/>
  <c r="BO140" i="1" s="1"/>
  <c r="BQ140" i="1" s="1"/>
  <c r="DQ64" i="1"/>
  <c r="DR64" i="1" s="1"/>
  <c r="DS64" i="1" s="1"/>
  <c r="DU64" i="1" s="1"/>
  <c r="A16" i="4"/>
  <c r="I6" i="4"/>
  <c r="ES6" i="1"/>
  <c r="ET6" i="1" s="1"/>
  <c r="EU6" i="1" s="1"/>
  <c r="EW6" i="1" s="1"/>
  <c r="I8" i="3"/>
  <c r="ES140" i="1"/>
  <c r="ET140" i="1" s="1"/>
  <c r="EU140" i="1" s="1"/>
  <c r="EW140" i="1" s="1"/>
  <c r="CO7" i="1"/>
  <c r="CP7" i="1" s="1"/>
  <c r="CQ7" i="1" s="1"/>
  <c r="CS7" i="1" s="1"/>
  <c r="CO131" i="1"/>
  <c r="CP131" i="1" s="1"/>
  <c r="CQ131" i="1" s="1"/>
  <c r="CS131" i="1" s="1"/>
  <c r="A15" i="3"/>
  <c r="ES96" i="1"/>
  <c r="ET96" i="1" s="1"/>
  <c r="EU96" i="1" s="1"/>
  <c r="EW96" i="1" s="1"/>
  <c r="ES8" i="1"/>
  <c r="ET8" i="1" s="1"/>
  <c r="EU8" i="1" s="1"/>
  <c r="EW8" i="1" s="1"/>
  <c r="GS83" i="1"/>
  <c r="GU83" i="1" s="1"/>
  <c r="BM123" i="1"/>
  <c r="BN123" i="1" s="1"/>
  <c r="BO123" i="1" s="1"/>
  <c r="BQ123" i="1" s="1"/>
  <c r="ES150" i="1"/>
  <c r="ET150" i="1" s="1"/>
  <c r="EU150" i="1" s="1"/>
  <c r="EW150" i="1" s="1"/>
  <c r="BM164" i="1"/>
  <c r="BN164" i="1" s="1"/>
  <c r="BO164" i="1" s="1"/>
  <c r="BQ164" i="1" s="1"/>
  <c r="GS91" i="1"/>
  <c r="GU91" i="1" s="1"/>
  <c r="ES49" i="1"/>
  <c r="ET49" i="1" s="1"/>
  <c r="EU49" i="1" s="1"/>
  <c r="EW49" i="1" s="1"/>
  <c r="ES163" i="1"/>
  <c r="ET163" i="1" s="1"/>
  <c r="EU163" i="1" s="1"/>
  <c r="EW163" i="1" s="1"/>
  <c r="GS150" i="1"/>
  <c r="GU150" i="1" s="1"/>
  <c r="ES109" i="1"/>
  <c r="ET109" i="1" s="1"/>
  <c r="EU109" i="1" s="1"/>
  <c r="EW109" i="1" s="1"/>
  <c r="CO85" i="1"/>
  <c r="CP85" i="1" s="1"/>
  <c r="CQ85" i="1" s="1"/>
  <c r="CS85" i="1" s="1"/>
  <c r="BM34" i="1"/>
  <c r="BN34" i="1" s="1"/>
  <c r="BO34" i="1" s="1"/>
  <c r="BQ34" i="1" s="1"/>
  <c r="GS37" i="1"/>
  <c r="DQ37" i="1"/>
  <c r="DR37" i="1" s="1"/>
  <c r="DS37" i="1" s="1"/>
  <c r="DU37" i="1" s="1"/>
  <c r="ES154" i="1"/>
  <c r="ET154" i="1" s="1"/>
  <c r="EU154" i="1" s="1"/>
  <c r="EW154" i="1" s="1"/>
  <c r="ES112" i="1"/>
  <c r="ET112" i="1" s="1"/>
  <c r="EU112" i="1" s="1"/>
  <c r="EW112" i="1" s="1"/>
  <c r="ES86" i="1"/>
  <c r="ET86" i="1" s="1"/>
  <c r="EU86" i="1" s="1"/>
  <c r="EW86" i="1" s="1"/>
  <c r="DQ127" i="1"/>
  <c r="DR127" i="1" s="1"/>
  <c r="DS127" i="1" s="1"/>
  <c r="DU127" i="1" s="1"/>
  <c r="E13" i="3"/>
  <c r="ES118" i="1"/>
  <c r="ET118" i="1" s="1"/>
  <c r="EU118" i="1" s="1"/>
  <c r="EW118" i="1" s="1"/>
  <c r="ES115" i="1"/>
  <c r="ET115" i="1" s="1"/>
  <c r="EU115" i="1" s="1"/>
  <c r="EW115" i="1" s="1"/>
  <c r="DQ111" i="1"/>
  <c r="DR111" i="1" s="1"/>
  <c r="DS111" i="1" s="1"/>
  <c r="DU111" i="1" s="1"/>
  <c r="DQ48" i="1"/>
  <c r="DR48" i="1" s="1"/>
  <c r="DS48" i="1" s="1"/>
  <c r="DU48" i="1" s="1"/>
  <c r="DQ82" i="1"/>
  <c r="DR82" i="1" s="1"/>
  <c r="DS82" i="1" s="1"/>
  <c r="DU82" i="1" s="1"/>
  <c r="GS143" i="1"/>
  <c r="DQ137" i="1"/>
  <c r="DR137" i="1" s="1"/>
  <c r="DS137" i="1" s="1"/>
  <c r="DU137" i="1" s="1"/>
  <c r="ES124" i="1"/>
  <c r="ET124" i="1" s="1"/>
  <c r="EU124" i="1" s="1"/>
  <c r="EW124" i="1" s="1"/>
  <c r="BM132" i="1"/>
  <c r="BN132" i="1" s="1"/>
  <c r="BO132" i="1" s="1"/>
  <c r="BQ132" i="1" s="1"/>
  <c r="ES85" i="1"/>
  <c r="ET85" i="1" s="1"/>
  <c r="EU85" i="1" s="1"/>
  <c r="EW85" i="1" s="1"/>
  <c r="DQ14" i="1"/>
  <c r="DR14" i="1" s="1"/>
  <c r="DS14" i="1" s="1"/>
  <c r="DU14" i="1" s="1"/>
  <c r="BM127" i="1"/>
  <c r="BN127" i="1" s="1"/>
  <c r="BO127" i="1" s="1"/>
  <c r="BQ127" i="1" s="1"/>
  <c r="BM147" i="1"/>
  <c r="BN147" i="1" s="1"/>
  <c r="BO147" i="1" s="1"/>
  <c r="BQ147" i="1" s="1"/>
  <c r="CO97" i="1"/>
  <c r="CP97" i="1" s="1"/>
  <c r="CQ97" i="1" s="1"/>
  <c r="CS97" i="1" s="1"/>
  <c r="DQ7" i="1"/>
  <c r="DR7" i="1" s="1"/>
  <c r="DS7" i="1" s="1"/>
  <c r="DU7" i="1" s="1"/>
  <c r="GS131" i="1"/>
  <c r="ES42" i="1"/>
  <c r="ET42" i="1" s="1"/>
  <c r="EU42" i="1" s="1"/>
  <c r="EW42" i="1" s="1"/>
  <c r="GS62" i="1"/>
  <c r="GU62" i="1" s="1"/>
  <c r="GS114" i="1"/>
  <c r="GU114" i="1" s="1"/>
  <c r="GS34" i="1"/>
  <c r="GU34" i="1" s="1"/>
  <c r="ES127" i="1"/>
  <c r="ET127" i="1" s="1"/>
  <c r="EU127" i="1" s="1"/>
  <c r="EW127" i="1" s="1"/>
  <c r="BM116" i="1"/>
  <c r="BN116" i="1" s="1"/>
  <c r="BO116" i="1" s="1"/>
  <c r="BQ116" i="1" s="1"/>
  <c r="DQ152" i="1"/>
  <c r="DR152" i="1" s="1"/>
  <c r="DS152" i="1" s="1"/>
  <c r="DU152" i="1" s="1"/>
  <c r="CO114" i="1"/>
  <c r="CP114" i="1" s="1"/>
  <c r="CQ114" i="1" s="1"/>
  <c r="CS114" i="1" s="1"/>
  <c r="GS7" i="1"/>
  <c r="GU7" i="1" s="1"/>
  <c r="E16" i="3"/>
  <c r="DQ121" i="1"/>
  <c r="DR121" i="1" s="1"/>
  <c r="DS121" i="1" s="1"/>
  <c r="DU121" i="1" s="1"/>
  <c r="ES119" i="1"/>
  <c r="ET119" i="1" s="1"/>
  <c r="EU119" i="1" s="1"/>
  <c r="EW119" i="1" s="1"/>
  <c r="BM162" i="1"/>
  <c r="BN162" i="1" s="1"/>
  <c r="BO162" i="1" s="1"/>
  <c r="BQ162" i="1" s="1"/>
  <c r="BM24" i="1"/>
  <c r="BN24" i="1" s="1"/>
  <c r="BO24" i="1" s="1"/>
  <c r="BQ24" i="1" s="1"/>
  <c r="DQ90" i="1"/>
  <c r="DR90" i="1" s="1"/>
  <c r="DS90" i="1" s="1"/>
  <c r="DU90" i="1" s="1"/>
  <c r="CO115" i="1"/>
  <c r="CP115" i="1" s="1"/>
  <c r="CQ115" i="1" s="1"/>
  <c r="CS115" i="1" s="1"/>
  <c r="DQ72" i="1"/>
  <c r="DR72" i="1" s="1"/>
  <c r="DS72" i="1" s="1"/>
  <c r="DU72" i="1" s="1"/>
  <c r="CO34" i="1"/>
  <c r="CP34" i="1" s="1"/>
  <c r="CQ34" i="1" s="1"/>
  <c r="CS34" i="1" s="1"/>
  <c r="BM98" i="1"/>
  <c r="BN98" i="1" s="1"/>
  <c r="BO98" i="1" s="1"/>
  <c r="BQ98" i="1" s="1"/>
  <c r="CO100" i="1"/>
  <c r="CP100" i="1" s="1"/>
  <c r="CQ100" i="1" s="1"/>
  <c r="CS100" i="1" s="1"/>
  <c r="DQ139" i="1"/>
  <c r="DR139" i="1" s="1"/>
  <c r="DS139" i="1" s="1"/>
  <c r="DU139" i="1" s="1"/>
  <c r="GS82" i="1"/>
  <c r="GU82" i="1" s="1"/>
  <c r="CO133" i="1"/>
  <c r="CP133" i="1" s="1"/>
  <c r="CQ133" i="1" s="1"/>
  <c r="CS133" i="1" s="1"/>
  <c r="DQ91" i="1"/>
  <c r="DR91" i="1" s="1"/>
  <c r="DS91" i="1" s="1"/>
  <c r="DU91" i="1" s="1"/>
  <c r="BM91" i="1"/>
  <c r="BN91" i="1" s="1"/>
  <c r="BO91" i="1" s="1"/>
  <c r="BQ91" i="1" s="1"/>
  <c r="CO83" i="1"/>
  <c r="CP83" i="1" s="1"/>
  <c r="CQ83" i="1" s="1"/>
  <c r="CS83" i="1" s="1"/>
  <c r="BM13" i="1"/>
  <c r="BN13" i="1" s="1"/>
  <c r="BO13" i="1" s="1"/>
  <c r="BQ13" i="1" s="1"/>
  <c r="GS152" i="1"/>
  <c r="GS109" i="1"/>
  <c r="GU109" i="1" s="1"/>
  <c r="GS80" i="1"/>
  <c r="GU80" i="1" s="1"/>
  <c r="I7" i="4"/>
  <c r="ES57" i="1"/>
  <c r="ET57" i="1" s="1"/>
  <c r="EU57" i="1" s="1"/>
  <c r="EW57" i="1" s="1"/>
  <c r="ES34" i="1"/>
  <c r="ET34" i="1" s="1"/>
  <c r="EU34" i="1" s="1"/>
  <c r="EW34" i="1" s="1"/>
  <c r="CO143" i="1"/>
  <c r="CP143" i="1" s="1"/>
  <c r="CQ143" i="1" s="1"/>
  <c r="CS143" i="1" s="1"/>
  <c r="ES51" i="1"/>
  <c r="ET51" i="1" s="1"/>
  <c r="EU51" i="1" s="1"/>
  <c r="EW51" i="1" s="1"/>
  <c r="DQ22" i="1"/>
  <c r="DR22" i="1" s="1"/>
  <c r="DS22" i="1" s="1"/>
  <c r="DU22" i="1" s="1"/>
  <c r="BM108" i="1"/>
  <c r="BN108" i="1" s="1"/>
  <c r="BO108" i="1" s="1"/>
  <c r="BQ108" i="1" s="1"/>
  <c r="ES80" i="1"/>
  <c r="ET80" i="1" s="1"/>
  <c r="EU80" i="1" s="1"/>
  <c r="EW80" i="1" s="1"/>
  <c r="DQ62" i="1"/>
  <c r="DR62" i="1" s="1"/>
  <c r="DS62" i="1" s="1"/>
  <c r="DU62" i="1" s="1"/>
  <c r="BM155" i="1"/>
  <c r="BN155" i="1" s="1"/>
  <c r="BO155" i="1" s="1"/>
  <c r="BQ155" i="1" s="1"/>
  <c r="ES148" i="1"/>
  <c r="ET148" i="1" s="1"/>
  <c r="EU148" i="1" s="1"/>
  <c r="EW148" i="1" s="1"/>
  <c r="CO119" i="1"/>
  <c r="CP119" i="1" s="1"/>
  <c r="CQ119" i="1" s="1"/>
  <c r="CS119" i="1" s="1"/>
  <c r="I9" i="3"/>
  <c r="CO14" i="1"/>
  <c r="CP14" i="1" s="1"/>
  <c r="CQ14" i="1" s="1"/>
  <c r="CS14" i="1" s="1"/>
  <c r="CO101" i="1"/>
  <c r="CP101" i="1" s="1"/>
  <c r="CQ101" i="1" s="1"/>
  <c r="CS101" i="1" s="1"/>
  <c r="DQ117" i="1"/>
  <c r="DR117" i="1" s="1"/>
  <c r="DS117" i="1" s="1"/>
  <c r="DU117" i="1" s="1"/>
  <c r="BM105" i="1"/>
  <c r="BN105" i="1" s="1"/>
  <c r="BO105" i="1" s="1"/>
  <c r="BQ105" i="1" s="1"/>
  <c r="ES28" i="1"/>
  <c r="ET28" i="1" s="1"/>
  <c r="EU28" i="1" s="1"/>
  <c r="EW28" i="1" s="1"/>
  <c r="CO86" i="1"/>
  <c r="CP86" i="1" s="1"/>
  <c r="CQ86" i="1" s="1"/>
  <c r="CS86" i="1" s="1"/>
  <c r="DQ92" i="1"/>
  <c r="DR92" i="1" s="1"/>
  <c r="DS92" i="1" s="1"/>
  <c r="DU92" i="1" s="1"/>
  <c r="GV149" i="1"/>
  <c r="EX149" i="1"/>
  <c r="EY149" i="1" s="1"/>
  <c r="FV149" i="1" s="1"/>
  <c r="ES151" i="1"/>
  <c r="ET151" i="1" s="1"/>
  <c r="EU151" i="1" s="1"/>
  <c r="EW151" i="1" s="1"/>
  <c r="BM12" i="1"/>
  <c r="BN12" i="1" s="1"/>
  <c r="BO12" i="1" s="1"/>
  <c r="BQ12" i="1" s="1"/>
  <c r="BM75" i="1"/>
  <c r="BN75" i="1" s="1"/>
  <c r="BO75" i="1" s="1"/>
  <c r="BQ75" i="1" s="1"/>
  <c r="ES64" i="1"/>
  <c r="ET64" i="1" s="1"/>
  <c r="EU64" i="1" s="1"/>
  <c r="EW64" i="1" s="1"/>
  <c r="CO163" i="1"/>
  <c r="CP163" i="1" s="1"/>
  <c r="CQ163" i="1" s="1"/>
  <c r="CS163" i="1" s="1"/>
  <c r="BM78" i="1"/>
  <c r="BN78" i="1" s="1"/>
  <c r="BO78" i="1" s="1"/>
  <c r="BQ78" i="1" s="1"/>
  <c r="BM141" i="1"/>
  <c r="BN141" i="1" s="1"/>
  <c r="BO141" i="1" s="1"/>
  <c r="BQ141" i="1" s="1"/>
  <c r="CO44" i="1"/>
  <c r="CP44" i="1" s="1"/>
  <c r="CQ44" i="1" s="1"/>
  <c r="CS44" i="1" s="1"/>
  <c r="A28" i="3"/>
  <c r="GS89" i="1"/>
  <c r="ES52" i="1"/>
  <c r="ET52" i="1" s="1"/>
  <c r="EU52" i="1" s="1"/>
  <c r="EW52" i="1" s="1"/>
  <c r="CO139" i="1"/>
  <c r="CP139" i="1" s="1"/>
  <c r="CQ139" i="1" s="1"/>
  <c r="CS139" i="1" s="1"/>
  <c r="DQ144" i="1"/>
  <c r="DR144" i="1" s="1"/>
  <c r="DS144" i="1" s="1"/>
  <c r="DU144" i="1" s="1"/>
  <c r="GV60" i="1"/>
  <c r="EX60" i="1"/>
  <c r="EY60" i="1" s="1"/>
  <c r="FV60" i="1" s="1"/>
  <c r="I8" i="4"/>
  <c r="DQ100" i="1"/>
  <c r="DR100" i="1" s="1"/>
  <c r="DS100" i="1" s="1"/>
  <c r="DU100" i="1" s="1"/>
  <c r="DR165" i="1"/>
  <c r="DS165" i="1" s="1"/>
  <c r="DU165" i="1" s="1"/>
  <c r="ES39" i="1"/>
  <c r="ET39" i="1" s="1"/>
  <c r="EU39" i="1" s="1"/>
  <c r="EW39" i="1" s="1"/>
  <c r="CO157" i="1"/>
  <c r="CP157" i="1" s="1"/>
  <c r="CQ157" i="1" s="1"/>
  <c r="CS157" i="1" s="1"/>
  <c r="GS119" i="1"/>
  <c r="GU119" i="1" s="1"/>
  <c r="GS86" i="1"/>
  <c r="GU86" i="1" s="1"/>
  <c r="GS136" i="1"/>
  <c r="GU136" i="1" s="1"/>
  <c r="CO94" i="1"/>
  <c r="CP94" i="1" s="1"/>
  <c r="CQ94" i="1" s="1"/>
  <c r="CS94" i="1" s="1"/>
  <c r="ES126" i="1"/>
  <c r="ET126" i="1" s="1"/>
  <c r="EU126" i="1" s="1"/>
  <c r="EW126" i="1" s="1"/>
  <c r="DQ123" i="1"/>
  <c r="DR123" i="1" s="1"/>
  <c r="DS123" i="1" s="1"/>
  <c r="DU123" i="1" s="1"/>
  <c r="DQ77" i="1"/>
  <c r="DR77" i="1" s="1"/>
  <c r="DS77" i="1" s="1"/>
  <c r="DU77" i="1" s="1"/>
  <c r="CO123" i="1"/>
  <c r="CP123" i="1" s="1"/>
  <c r="CQ123" i="1" s="1"/>
  <c r="CS123" i="1" s="1"/>
  <c r="DQ34" i="1"/>
  <c r="DR34" i="1" s="1"/>
  <c r="DS34" i="1" s="1"/>
  <c r="DU34" i="1" s="1"/>
  <c r="BM133" i="1"/>
  <c r="BN133" i="1" s="1"/>
  <c r="BO133" i="1" s="1"/>
  <c r="BQ133" i="1" s="1"/>
  <c r="ES29" i="1"/>
  <c r="ET29" i="1" s="1"/>
  <c r="EU29" i="1" s="1"/>
  <c r="EW29" i="1" s="1"/>
  <c r="DQ114" i="1"/>
  <c r="DR114" i="1" s="1"/>
  <c r="DS114" i="1" s="1"/>
  <c r="DU114" i="1" s="1"/>
  <c r="DQ25" i="1"/>
  <c r="DR25" i="1" s="1"/>
  <c r="DS25" i="1" s="1"/>
  <c r="DU25" i="1" s="1"/>
  <c r="CO25" i="1"/>
  <c r="CP25" i="1" s="1"/>
  <c r="CQ25" i="1" s="1"/>
  <c r="CS25" i="1" s="1"/>
  <c r="DQ122" i="1"/>
  <c r="DR122" i="1" s="1"/>
  <c r="DS122" i="1" s="1"/>
  <c r="DU122" i="1" s="1"/>
  <c r="BM56" i="1"/>
  <c r="BN56" i="1" s="1"/>
  <c r="BO56" i="1" s="1"/>
  <c r="BQ56" i="1" s="1"/>
  <c r="DQ133" i="1"/>
  <c r="DR133" i="1" s="1"/>
  <c r="DS133" i="1" s="1"/>
  <c r="DU133" i="1" s="1"/>
  <c r="CO164" i="1"/>
  <c r="CP164" i="1" s="1"/>
  <c r="CQ164" i="1" s="1"/>
  <c r="CS164" i="1" s="1"/>
  <c r="CO117" i="1"/>
  <c r="CP117" i="1" s="1"/>
  <c r="CQ117" i="1" s="1"/>
  <c r="CS117" i="1" s="1"/>
  <c r="CO73" i="1"/>
  <c r="CP73" i="1" s="1"/>
  <c r="CQ73" i="1" s="1"/>
  <c r="CS73" i="1" s="1"/>
  <c r="CO138" i="1"/>
  <c r="CP138" i="1" s="1"/>
  <c r="CQ138" i="1" s="1"/>
  <c r="CS138" i="1" s="1"/>
  <c r="ES41" i="1"/>
  <c r="ET41" i="1" s="1"/>
  <c r="EU41" i="1" s="1"/>
  <c r="EW41" i="1" s="1"/>
  <c r="ES91" i="1"/>
  <c r="ET91" i="1" s="1"/>
  <c r="EU91" i="1" s="1"/>
  <c r="EW91" i="1" s="1"/>
  <c r="BM109" i="1"/>
  <c r="BN109" i="1" s="1"/>
  <c r="BO109" i="1" s="1"/>
  <c r="BQ109" i="1" s="1"/>
  <c r="DQ59" i="1"/>
  <c r="DR59" i="1" s="1"/>
  <c r="DS59" i="1" s="1"/>
  <c r="DU59" i="1" s="1"/>
  <c r="DQ102" i="1"/>
  <c r="DR102" i="1" s="1"/>
  <c r="DS102" i="1" s="1"/>
  <c r="DU102" i="1" s="1"/>
  <c r="ES125" i="1"/>
  <c r="ET125" i="1" s="1"/>
  <c r="EU125" i="1" s="1"/>
  <c r="EW125" i="1" s="1"/>
  <c r="ES161" i="1"/>
  <c r="ET161" i="1" s="1"/>
  <c r="EU161" i="1" s="1"/>
  <c r="EW161" i="1" s="1"/>
  <c r="CO82" i="1"/>
  <c r="CP82" i="1" s="1"/>
  <c r="CQ82" i="1" s="1"/>
  <c r="CS82" i="1" s="1"/>
  <c r="BM102" i="1"/>
  <c r="BN102" i="1" s="1"/>
  <c r="BO102" i="1" s="1"/>
  <c r="BQ102" i="1" s="1"/>
  <c r="ES158" i="1"/>
  <c r="ET158" i="1" s="1"/>
  <c r="EU158" i="1" s="1"/>
  <c r="EW158" i="1" s="1"/>
  <c r="ES56" i="1"/>
  <c r="ET56" i="1" s="1"/>
  <c r="EU56" i="1" s="1"/>
  <c r="EW56" i="1" s="1"/>
  <c r="ES67" i="1"/>
  <c r="ET67" i="1" s="1"/>
  <c r="EU67" i="1" s="1"/>
  <c r="EW67" i="1" s="1"/>
  <c r="CO98" i="1"/>
  <c r="CP98" i="1" s="1"/>
  <c r="CQ98" i="1" s="1"/>
  <c r="CS98" i="1" s="1"/>
  <c r="ES141" i="1"/>
  <c r="ET141" i="1" s="1"/>
  <c r="EU141" i="1" s="1"/>
  <c r="EW141" i="1" s="1"/>
  <c r="CO18" i="1"/>
  <c r="CP18" i="1" s="1"/>
  <c r="CQ18" i="1" s="1"/>
  <c r="CS18" i="1" s="1"/>
  <c r="GS67" i="1"/>
  <c r="GU67" i="1" s="1"/>
  <c r="BM15" i="1"/>
  <c r="BN15" i="1" s="1"/>
  <c r="BO15" i="1" s="1"/>
  <c r="BQ15" i="1" s="1"/>
  <c r="ES38" i="1"/>
  <c r="ET38" i="1" s="1"/>
  <c r="EU38" i="1" s="1"/>
  <c r="EW38" i="1" s="1"/>
  <c r="GS41" i="1"/>
  <c r="GU41" i="1" s="1"/>
  <c r="DQ97" i="1"/>
  <c r="DR97" i="1" s="1"/>
  <c r="DS97" i="1" s="1"/>
  <c r="DU97" i="1" s="1"/>
  <c r="CO120" i="1"/>
  <c r="CP120" i="1" s="1"/>
  <c r="CQ120" i="1" s="1"/>
  <c r="CS120" i="1" s="1"/>
  <c r="ES31" i="1"/>
  <c r="ET31" i="1" s="1"/>
  <c r="EU31" i="1" s="1"/>
  <c r="EW31" i="1" s="1"/>
  <c r="GS97" i="1"/>
  <c r="GU97" i="1" s="1"/>
  <c r="CO122" i="1"/>
  <c r="CP122" i="1" s="1"/>
  <c r="CQ122" i="1" s="1"/>
  <c r="CS122" i="1" s="1"/>
  <c r="ES32" i="1"/>
  <c r="ET32" i="1" s="1"/>
  <c r="EU32" i="1" s="1"/>
  <c r="EW32" i="1" s="1"/>
  <c r="ES165" i="1"/>
  <c r="ET165" i="1" s="1"/>
  <c r="EU165" i="1" s="1"/>
  <c r="EW165" i="1" s="1"/>
  <c r="DQ112" i="1"/>
  <c r="DR112" i="1" s="1"/>
  <c r="DS112" i="1" s="1"/>
  <c r="DU112" i="1" s="1"/>
  <c r="CO77" i="1"/>
  <c r="CP77" i="1" s="1"/>
  <c r="CQ77" i="1" s="1"/>
  <c r="CS77" i="1" s="1"/>
  <c r="CO140" i="1"/>
  <c r="CP140" i="1" s="1"/>
  <c r="CQ140" i="1" s="1"/>
  <c r="CS140" i="1" s="1"/>
  <c r="BM20" i="1"/>
  <c r="BN20" i="1" s="1"/>
  <c r="BO20" i="1" s="1"/>
  <c r="BQ20" i="1" s="1"/>
  <c r="CO165" i="1"/>
  <c r="CP165" i="1" s="1"/>
  <c r="CQ165" i="1" s="1"/>
  <c r="CS165" i="1" s="1"/>
  <c r="BM163" i="1"/>
  <c r="BN163" i="1" s="1"/>
  <c r="BO163" i="1" s="1"/>
  <c r="BQ163" i="1" s="1"/>
  <c r="ES136" i="1"/>
  <c r="ET136" i="1" s="1"/>
  <c r="EU136" i="1" s="1"/>
  <c r="EW136" i="1" s="1"/>
  <c r="ES62" i="1"/>
  <c r="ET62" i="1" s="1"/>
  <c r="EU62" i="1" s="1"/>
  <c r="EW62" i="1" s="1"/>
  <c r="DQ38" i="1"/>
  <c r="DR38" i="1" s="1"/>
  <c r="DS38" i="1" s="1"/>
  <c r="DU38" i="1" s="1"/>
  <c r="CO116" i="1"/>
  <c r="CP116" i="1" s="1"/>
  <c r="CQ116" i="1" s="1"/>
  <c r="CS116" i="1" s="1"/>
  <c r="BM125" i="1"/>
  <c r="BN125" i="1" s="1"/>
  <c r="BO125" i="1" s="1"/>
  <c r="BQ125" i="1" s="1"/>
  <c r="ES37" i="1"/>
  <c r="ET37" i="1" s="1"/>
  <c r="EU37" i="1" s="1"/>
  <c r="EW37" i="1" s="1"/>
  <c r="CO151" i="1"/>
  <c r="CP151" i="1" s="1"/>
  <c r="CQ151" i="1" s="1"/>
  <c r="CS151" i="1" s="1"/>
  <c r="DQ106" i="1"/>
  <c r="DR106" i="1" s="1"/>
  <c r="DS106" i="1" s="1"/>
  <c r="DU106" i="1" s="1"/>
  <c r="CO89" i="1"/>
  <c r="CP89" i="1" s="1"/>
  <c r="CQ89" i="1" s="1"/>
  <c r="CS89" i="1" s="1"/>
  <c r="ES83" i="1"/>
  <c r="ET83" i="1" s="1"/>
  <c r="EU83" i="1" s="1"/>
  <c r="EW83" i="1" s="1"/>
  <c r="DQ80" i="1"/>
  <c r="DR80" i="1" s="1"/>
  <c r="DS80" i="1" s="1"/>
  <c r="DU80" i="1" s="1"/>
  <c r="CO20" i="1"/>
  <c r="CP20" i="1" s="1"/>
  <c r="CQ20" i="1" s="1"/>
  <c r="CS20" i="1" s="1"/>
  <c r="ES98" i="1"/>
  <c r="ET98" i="1" s="1"/>
  <c r="EU98" i="1" s="1"/>
  <c r="EW98" i="1" s="1"/>
  <c r="CO75" i="1"/>
  <c r="CP75" i="1" s="1"/>
  <c r="CQ75" i="1" s="1"/>
  <c r="CS75" i="1" s="1"/>
  <c r="ES50" i="1"/>
  <c r="ET50" i="1" s="1"/>
  <c r="EU50" i="1" s="1"/>
  <c r="EW50" i="1" s="1"/>
  <c r="DQ32" i="1"/>
  <c r="DR32" i="1" s="1"/>
  <c r="DS32" i="1" s="1"/>
  <c r="DU32" i="1" s="1"/>
  <c r="BM41" i="1"/>
  <c r="BN41" i="1" s="1"/>
  <c r="BO41" i="1" s="1"/>
  <c r="BQ41" i="1" s="1"/>
  <c r="ES12" i="1"/>
  <c r="ET12" i="1" s="1"/>
  <c r="EU12" i="1" s="1"/>
  <c r="EW12" i="1" s="1"/>
  <c r="DQ41" i="1"/>
  <c r="DR41" i="1" s="1"/>
  <c r="DS41" i="1" s="1"/>
  <c r="DU41" i="1" s="1"/>
  <c r="DR161" i="1"/>
  <c r="DS161" i="1" s="1"/>
  <c r="DU161" i="1" s="1"/>
  <c r="CO51" i="1"/>
  <c r="CP51" i="1" s="1"/>
  <c r="CQ51" i="1" s="1"/>
  <c r="CS51" i="1" s="1"/>
  <c r="BM21" i="1"/>
  <c r="BN21" i="1" s="1"/>
  <c r="BO21" i="1" s="1"/>
  <c r="BQ21" i="1" s="1"/>
  <c r="ES142" i="1"/>
  <c r="ET142" i="1" s="1"/>
  <c r="EU142" i="1" s="1"/>
  <c r="EW142" i="1" s="1"/>
  <c r="ES132" i="1"/>
  <c r="ET132" i="1" s="1"/>
  <c r="EU132" i="1" s="1"/>
  <c r="EW132" i="1" s="1"/>
  <c r="CO161" i="1"/>
  <c r="CP161" i="1" s="1"/>
  <c r="CQ161" i="1" s="1"/>
  <c r="CS161" i="1" s="1"/>
  <c r="DQ10" i="1"/>
  <c r="DR10" i="1" s="1"/>
  <c r="DS10" i="1" s="1"/>
  <c r="DU10" i="1" s="1"/>
  <c r="BM30" i="1"/>
  <c r="BN30" i="1" s="1"/>
  <c r="BO30" i="1" s="1"/>
  <c r="BQ30" i="1" s="1"/>
  <c r="DQ96" i="1"/>
  <c r="DR96" i="1" s="1"/>
  <c r="DS96" i="1" s="1"/>
  <c r="DU96" i="1" s="1"/>
  <c r="ES164" i="1"/>
  <c r="ET164" i="1" s="1"/>
  <c r="EU164" i="1" s="1"/>
  <c r="EW164" i="1" s="1"/>
  <c r="CO144" i="1"/>
  <c r="CP144" i="1" s="1"/>
  <c r="CQ144" i="1" s="1"/>
  <c r="CS144" i="1" s="1"/>
  <c r="BM139" i="1"/>
  <c r="BN139" i="1" s="1"/>
  <c r="BO139" i="1" s="1"/>
  <c r="BQ139" i="1" s="1"/>
  <c r="ES143" i="1"/>
  <c r="ET143" i="1" s="1"/>
  <c r="EU143" i="1" s="1"/>
  <c r="EW143" i="1" s="1"/>
  <c r="CO118" i="1"/>
  <c r="CP118" i="1" s="1"/>
  <c r="CQ118" i="1" s="1"/>
  <c r="CS118" i="1" s="1"/>
  <c r="BM65" i="1"/>
  <c r="BN65" i="1" s="1"/>
  <c r="BO65" i="1" s="1"/>
  <c r="BQ65" i="1" s="1"/>
  <c r="DQ130" i="1"/>
  <c r="DR130" i="1" s="1"/>
  <c r="DS130" i="1" s="1"/>
  <c r="DU130" i="1" s="1"/>
  <c r="CO49" i="1"/>
  <c r="CP49" i="1" s="1"/>
  <c r="CQ49" i="1" s="1"/>
  <c r="CS49" i="1" s="1"/>
  <c r="BM42" i="1"/>
  <c r="BN42" i="1" s="1"/>
  <c r="BO42" i="1" s="1"/>
  <c r="BQ42" i="1" s="1"/>
  <c r="DQ83" i="1"/>
  <c r="DR83" i="1" s="1"/>
  <c r="DS83" i="1" s="1"/>
  <c r="DU83" i="1" s="1"/>
  <c r="ES58" i="1"/>
  <c r="ET58" i="1" s="1"/>
  <c r="EU58" i="1" s="1"/>
  <c r="EW58" i="1" s="1"/>
  <c r="DQ50" i="1"/>
  <c r="DR50" i="1" s="1"/>
  <c r="DS50" i="1" s="1"/>
  <c r="DU50" i="1" s="1"/>
  <c r="CO142" i="1"/>
  <c r="CP142" i="1" s="1"/>
  <c r="CQ142" i="1" s="1"/>
  <c r="CS142" i="1" s="1"/>
  <c r="BM99" i="1"/>
  <c r="BN99" i="1" s="1"/>
  <c r="BO99" i="1" s="1"/>
  <c r="BQ99" i="1" s="1"/>
  <c r="CO108" i="1"/>
  <c r="CP108" i="1" s="1"/>
  <c r="CQ108" i="1" s="1"/>
  <c r="CS108" i="1" s="1"/>
  <c r="DQ109" i="1"/>
  <c r="DR109" i="1" s="1"/>
  <c r="DS109" i="1" s="1"/>
  <c r="DU109" i="1" s="1"/>
  <c r="CO79" i="1"/>
  <c r="CP79" i="1" s="1"/>
  <c r="CQ79" i="1" s="1"/>
  <c r="CS79" i="1" s="1"/>
  <c r="ES48" i="1"/>
  <c r="ET48" i="1" s="1"/>
  <c r="EU48" i="1" s="1"/>
  <c r="EW48" i="1" s="1"/>
  <c r="DQ76" i="1"/>
  <c r="DR76" i="1" s="1"/>
  <c r="DS76" i="1" s="1"/>
  <c r="DU76" i="1" s="1"/>
  <c r="CO113" i="1"/>
  <c r="CP113" i="1" s="1"/>
  <c r="CQ113" i="1" s="1"/>
  <c r="CS113" i="1" s="1"/>
  <c r="BM129" i="1"/>
  <c r="BN129" i="1" s="1"/>
  <c r="BO129" i="1" s="1"/>
  <c r="BQ129" i="1" s="1"/>
  <c r="BM72" i="1"/>
  <c r="BN72" i="1" s="1"/>
  <c r="BO72" i="1" s="1"/>
  <c r="BQ72" i="1" s="1"/>
  <c r="BM151" i="1"/>
  <c r="BN151" i="1" s="1"/>
  <c r="BO151" i="1" s="1"/>
  <c r="BQ151" i="1" s="1"/>
  <c r="BM89" i="1"/>
  <c r="BN89" i="1" s="1"/>
  <c r="BO89" i="1" s="1"/>
  <c r="BQ89" i="1" s="1"/>
  <c r="DQ24" i="1"/>
  <c r="DR24" i="1" s="1"/>
  <c r="DS24" i="1" s="1"/>
  <c r="DU24" i="1" s="1"/>
  <c r="BM86" i="1"/>
  <c r="BN86" i="1" s="1"/>
  <c r="BO86" i="1" s="1"/>
  <c r="BQ86" i="1" s="1"/>
  <c r="BM10" i="1"/>
  <c r="BN10" i="1" s="1"/>
  <c r="BO10" i="1" s="1"/>
  <c r="BQ10" i="1" s="1"/>
  <c r="CO106" i="1"/>
  <c r="CP106" i="1" s="1"/>
  <c r="CQ106" i="1" s="1"/>
  <c r="CS106" i="1" s="1"/>
  <c r="DQ150" i="1"/>
  <c r="DR150" i="1" s="1"/>
  <c r="DS150" i="1" s="1"/>
  <c r="DU150" i="1" s="1"/>
  <c r="DQ157" i="1"/>
  <c r="DR157" i="1" s="1"/>
  <c r="DS157" i="1" s="1"/>
  <c r="DU157" i="1" s="1"/>
  <c r="ES23" i="1"/>
  <c r="ET23" i="1" s="1"/>
  <c r="EU23" i="1" s="1"/>
  <c r="EW23" i="1" s="1"/>
  <c r="BM161" i="1"/>
  <c r="BN161" i="1" s="1"/>
  <c r="BO161" i="1" s="1"/>
  <c r="BQ161" i="1" s="1"/>
  <c r="BM33" i="1"/>
  <c r="BN33" i="1" s="1"/>
  <c r="BO33" i="1" s="1"/>
  <c r="BQ33" i="1" s="1"/>
  <c r="DQ85" i="1"/>
  <c r="DR85" i="1" s="1"/>
  <c r="DS85" i="1" s="1"/>
  <c r="DU85" i="1" s="1"/>
  <c r="CO37" i="1"/>
  <c r="CP37" i="1" s="1"/>
  <c r="CQ37" i="1" s="1"/>
  <c r="CS37" i="1" s="1"/>
  <c r="CO99" i="1"/>
  <c r="CP99" i="1" s="1"/>
  <c r="CQ99" i="1" s="1"/>
  <c r="CS99" i="1" s="1"/>
  <c r="BM92" i="1"/>
  <c r="BN92" i="1" s="1"/>
  <c r="BO92" i="1" s="1"/>
  <c r="BQ92" i="1" s="1"/>
  <c r="CO95" i="1"/>
  <c r="CP95" i="1" s="1"/>
  <c r="CQ95" i="1" s="1"/>
  <c r="CS95" i="1" s="1"/>
  <c r="ES75" i="1"/>
  <c r="ET75" i="1" s="1"/>
  <c r="EU75" i="1" s="1"/>
  <c r="EW75" i="1" s="1"/>
  <c r="BM39" i="1"/>
  <c r="BN39" i="1" s="1"/>
  <c r="BO39" i="1" s="1"/>
  <c r="BQ39" i="1" s="1"/>
  <c r="BM43" i="1"/>
  <c r="BN43" i="1" s="1"/>
  <c r="BO43" i="1" s="1"/>
  <c r="BQ43" i="1" s="1"/>
  <c r="BM100" i="1"/>
  <c r="BN100" i="1" s="1"/>
  <c r="BO100" i="1" s="1"/>
  <c r="BQ100" i="1" s="1"/>
  <c r="BM54" i="1"/>
  <c r="BN54" i="1" s="1"/>
  <c r="BO54" i="1" s="1"/>
  <c r="BQ54" i="1" s="1"/>
  <c r="BM71" i="1"/>
  <c r="BN71" i="1" s="1"/>
  <c r="BO71" i="1" s="1"/>
  <c r="BQ71" i="1" s="1"/>
  <c r="DQ71" i="1"/>
  <c r="DR71" i="1" s="1"/>
  <c r="DS71" i="1" s="1"/>
  <c r="DU71" i="1" s="1"/>
  <c r="BM77" i="1"/>
  <c r="BN77" i="1" s="1"/>
  <c r="BO77" i="1" s="1"/>
  <c r="BQ77" i="1" s="1"/>
  <c r="DQ75" i="1"/>
  <c r="DR75" i="1" s="1"/>
  <c r="DS75" i="1" s="1"/>
  <c r="DU75" i="1" s="1"/>
  <c r="BM31" i="1"/>
  <c r="BN31" i="1" s="1"/>
  <c r="BO31" i="1" s="1"/>
  <c r="BQ31" i="1" s="1"/>
  <c r="ES27" i="1"/>
  <c r="ET27" i="1" s="1"/>
  <c r="EU27" i="1" s="1"/>
  <c r="EW27" i="1" s="1"/>
  <c r="CO62" i="1"/>
  <c r="CP62" i="1" s="1"/>
  <c r="CQ62" i="1" s="1"/>
  <c r="CS62" i="1" s="1"/>
  <c r="BM165" i="1"/>
  <c r="BN165" i="1" s="1"/>
  <c r="BO165" i="1" s="1"/>
  <c r="CO162" i="1"/>
  <c r="CP162" i="1" s="1"/>
  <c r="CQ162" i="1" s="1"/>
  <c r="CS162" i="1" s="1"/>
  <c r="BM67" i="1"/>
  <c r="BN67" i="1" s="1"/>
  <c r="BO67" i="1" s="1"/>
  <c r="BQ67" i="1" s="1"/>
  <c r="BM35" i="1"/>
  <c r="BN35" i="1" s="1"/>
  <c r="BO35" i="1" s="1"/>
  <c r="BQ35" i="1" s="1"/>
  <c r="DQ95" i="1"/>
  <c r="DR95" i="1" s="1"/>
  <c r="DS95" i="1" s="1"/>
  <c r="DU95" i="1" s="1"/>
  <c r="ES82" i="1"/>
  <c r="ET82" i="1" s="1"/>
  <c r="EU82" i="1" s="1"/>
  <c r="EW82" i="1" s="1"/>
  <c r="ES18" i="1"/>
  <c r="ET18" i="1" s="1"/>
  <c r="EU18" i="1" s="1"/>
  <c r="EW18" i="1" s="1"/>
  <c r="DQ19" i="1"/>
  <c r="DR19" i="1" s="1"/>
  <c r="DS19" i="1" s="1"/>
  <c r="DU19" i="1" s="1"/>
  <c r="CO145" i="1"/>
  <c r="CP145" i="1" s="1"/>
  <c r="CQ145" i="1" s="1"/>
  <c r="CS145" i="1" s="1"/>
  <c r="CO30" i="1"/>
  <c r="CP30" i="1" s="1"/>
  <c r="CQ30" i="1" s="1"/>
  <c r="CS30" i="1" s="1"/>
  <c r="ES89" i="1"/>
  <c r="ET89" i="1" s="1"/>
  <c r="EU89" i="1" s="1"/>
  <c r="EW89" i="1" s="1"/>
  <c r="DQ148" i="1"/>
  <c r="DR148" i="1" s="1"/>
  <c r="DS148" i="1" s="1"/>
  <c r="DU148" i="1" s="1"/>
  <c r="ES88" i="1"/>
  <c r="ET88" i="1" s="1"/>
  <c r="EU88" i="1" s="1"/>
  <c r="EW88" i="1" s="1"/>
  <c r="ES122" i="1"/>
  <c r="ET122" i="1" s="1"/>
  <c r="EU122" i="1" s="1"/>
  <c r="EW122" i="1" s="1"/>
  <c r="DQ120" i="1"/>
  <c r="DR120" i="1" s="1"/>
  <c r="DS120" i="1" s="1"/>
  <c r="DU120" i="1" s="1"/>
  <c r="CO16" i="1"/>
  <c r="CP16" i="1" s="1"/>
  <c r="CQ16" i="1" s="1"/>
  <c r="CS16" i="1" s="1"/>
  <c r="DQ108" i="1"/>
  <c r="DR108" i="1" s="1"/>
  <c r="DS108" i="1" s="1"/>
  <c r="DU108" i="1" s="1"/>
  <c r="DQ79" i="1"/>
  <c r="DR79" i="1" s="1"/>
  <c r="DS79" i="1" s="1"/>
  <c r="DU79" i="1" s="1"/>
  <c r="ES33" i="1"/>
  <c r="ET33" i="1" s="1"/>
  <c r="EU33" i="1" s="1"/>
  <c r="EW33" i="1" s="1"/>
  <c r="ES43" i="1"/>
  <c r="ET43" i="1" s="1"/>
  <c r="EU43" i="1" s="1"/>
  <c r="EW43" i="1" s="1"/>
  <c r="ES47" i="1"/>
  <c r="ET47" i="1" s="1"/>
  <c r="EU47" i="1" s="1"/>
  <c r="EW47" i="1" s="1"/>
  <c r="DQ159" i="1"/>
  <c r="DR159" i="1" s="1"/>
  <c r="DS159" i="1" s="1"/>
  <c r="DU159" i="1" s="1"/>
  <c r="DQ107" i="1"/>
  <c r="DR107" i="1" s="1"/>
  <c r="DS107" i="1" s="1"/>
  <c r="DU107" i="1" s="1"/>
  <c r="DQ78" i="1"/>
  <c r="DR78" i="1" s="1"/>
  <c r="DS78" i="1" s="1"/>
  <c r="DU78" i="1" s="1"/>
  <c r="CO135" i="1"/>
  <c r="CP135" i="1" s="1"/>
  <c r="CQ135" i="1" s="1"/>
  <c r="CS135" i="1" s="1"/>
  <c r="CO93" i="1"/>
  <c r="CP93" i="1" s="1"/>
  <c r="CQ93" i="1" s="1"/>
  <c r="CS93" i="1" s="1"/>
  <c r="BM112" i="1"/>
  <c r="BN112" i="1" s="1"/>
  <c r="BO112" i="1" s="1"/>
  <c r="BQ112" i="1" s="1"/>
  <c r="BM87" i="1"/>
  <c r="BN87" i="1" s="1"/>
  <c r="BO87" i="1" s="1"/>
  <c r="BQ87" i="1" s="1"/>
  <c r="BM51" i="1"/>
  <c r="BN51" i="1" s="1"/>
  <c r="BO51" i="1" s="1"/>
  <c r="BQ51" i="1" s="1"/>
  <c r="CO21" i="1"/>
  <c r="CP21" i="1" s="1"/>
  <c r="CQ21" i="1" s="1"/>
  <c r="CS21" i="1" s="1"/>
  <c r="ES155" i="1"/>
  <c r="ET155" i="1" s="1"/>
  <c r="EU155" i="1" s="1"/>
  <c r="EW155" i="1" s="1"/>
  <c r="DQ142" i="1"/>
  <c r="DR142" i="1" s="1"/>
  <c r="DS142" i="1" s="1"/>
  <c r="DU142" i="1" s="1"/>
  <c r="CO88" i="1"/>
  <c r="CP88" i="1" s="1"/>
  <c r="CQ88" i="1" s="1"/>
  <c r="CS88" i="1" s="1"/>
  <c r="BM9" i="1"/>
  <c r="BN9" i="1" s="1"/>
  <c r="BO9" i="1" s="1"/>
  <c r="BQ9" i="1" s="1"/>
  <c r="DQ140" i="1"/>
  <c r="DR140" i="1" s="1"/>
  <c r="DS140" i="1" s="1"/>
  <c r="DU140" i="1" s="1"/>
  <c r="DQ99" i="1"/>
  <c r="DR99" i="1" s="1"/>
  <c r="DS99" i="1" s="1"/>
  <c r="DU99" i="1" s="1"/>
  <c r="BM88" i="1"/>
  <c r="BN88" i="1" s="1"/>
  <c r="BO88" i="1" s="1"/>
  <c r="BQ88" i="1" s="1"/>
  <c r="ES107" i="1"/>
  <c r="ET107" i="1" s="1"/>
  <c r="EU107" i="1" s="1"/>
  <c r="EW107" i="1" s="1"/>
  <c r="ES78" i="1"/>
  <c r="ET78" i="1" s="1"/>
  <c r="EU78" i="1" s="1"/>
  <c r="EW78" i="1" s="1"/>
  <c r="DQ45" i="1"/>
  <c r="DR45" i="1" s="1"/>
  <c r="DS45" i="1" s="1"/>
  <c r="DU45" i="1" s="1"/>
  <c r="DQ15" i="1"/>
  <c r="DR15" i="1" s="1"/>
  <c r="DS15" i="1" s="1"/>
  <c r="DU15" i="1" s="1"/>
  <c r="CO137" i="1"/>
  <c r="CP137" i="1" s="1"/>
  <c r="CQ137" i="1" s="1"/>
  <c r="CS137" i="1" s="1"/>
  <c r="CO52" i="1"/>
  <c r="CP52" i="1" s="1"/>
  <c r="CQ52" i="1" s="1"/>
  <c r="CS52" i="1" s="1"/>
  <c r="DQ141" i="1"/>
  <c r="DR141" i="1" s="1"/>
  <c r="DS141" i="1" s="1"/>
  <c r="DU141" i="1" s="1"/>
  <c r="DQ20" i="1"/>
  <c r="DR20" i="1" s="1"/>
  <c r="DS20" i="1" s="1"/>
  <c r="DU20" i="1" s="1"/>
  <c r="CO147" i="1"/>
  <c r="CP147" i="1" s="1"/>
  <c r="CQ147" i="1" s="1"/>
  <c r="CS147" i="1" s="1"/>
  <c r="DQ74" i="1"/>
  <c r="DR74" i="1" s="1"/>
  <c r="DS74" i="1" s="1"/>
  <c r="DU74" i="1" s="1"/>
  <c r="BM52" i="1"/>
  <c r="BN52" i="1" s="1"/>
  <c r="BO52" i="1" s="1"/>
  <c r="BQ52" i="1" s="1"/>
  <c r="ES40" i="1"/>
  <c r="ET40" i="1" s="1"/>
  <c r="EU40" i="1" s="1"/>
  <c r="EW40" i="1" s="1"/>
  <c r="ES156" i="1"/>
  <c r="ET156" i="1" s="1"/>
  <c r="EU156" i="1" s="1"/>
  <c r="EW156" i="1" s="1"/>
  <c r="DQ151" i="1"/>
  <c r="DR151" i="1" s="1"/>
  <c r="DS151" i="1" s="1"/>
  <c r="DU151" i="1" s="1"/>
  <c r="DQ103" i="1"/>
  <c r="DR103" i="1" s="1"/>
  <c r="DS103" i="1" s="1"/>
  <c r="DU103" i="1" s="1"/>
  <c r="DQ73" i="1"/>
  <c r="DR73" i="1" s="1"/>
  <c r="DS73" i="1" s="1"/>
  <c r="DU73" i="1" s="1"/>
  <c r="BM17" i="1"/>
  <c r="BN17" i="1" s="1"/>
  <c r="BO17" i="1" s="1"/>
  <c r="BQ17" i="1" s="1"/>
  <c r="CO17" i="1"/>
  <c r="CP17" i="1" s="1"/>
  <c r="CQ17" i="1" s="1"/>
  <c r="CS17" i="1" s="1"/>
  <c r="ES138" i="1"/>
  <c r="ET138" i="1" s="1"/>
  <c r="EU138" i="1" s="1"/>
  <c r="EW138" i="1" s="1"/>
  <c r="DQ135" i="1"/>
  <c r="DR135" i="1" s="1"/>
  <c r="DS135" i="1" s="1"/>
  <c r="DU135" i="1" s="1"/>
  <c r="BM114" i="1"/>
  <c r="BN114" i="1" s="1"/>
  <c r="BO114" i="1" s="1"/>
  <c r="BQ114" i="1" s="1"/>
  <c r="BM85" i="1"/>
  <c r="BN85" i="1" s="1"/>
  <c r="BO85" i="1" s="1"/>
  <c r="BQ85" i="1" s="1"/>
  <c r="BM23" i="1"/>
  <c r="BN23" i="1" s="1"/>
  <c r="BO23" i="1" s="1"/>
  <c r="BQ23" i="1" s="1"/>
  <c r="CO74" i="1"/>
  <c r="CP74" i="1" s="1"/>
  <c r="CQ74" i="1" s="1"/>
  <c r="CS74" i="1" s="1"/>
  <c r="ES61" i="1"/>
  <c r="ET61" i="1" s="1"/>
  <c r="EU61" i="1" s="1"/>
  <c r="EW61" i="1" s="1"/>
  <c r="DQ104" i="1"/>
  <c r="DR104" i="1" s="1"/>
  <c r="DS104" i="1" s="1"/>
  <c r="DU104" i="1" s="1"/>
  <c r="DQ47" i="1"/>
  <c r="DR47" i="1" s="1"/>
  <c r="DS47" i="1" s="1"/>
  <c r="DU47" i="1" s="1"/>
  <c r="BM82" i="1"/>
  <c r="BN82" i="1" s="1"/>
  <c r="BO82" i="1" s="1"/>
  <c r="BQ82" i="1" s="1"/>
  <c r="ES73" i="1"/>
  <c r="ET73" i="1" s="1"/>
  <c r="EU73" i="1" s="1"/>
  <c r="EW73" i="1" s="1"/>
  <c r="DQ12" i="1"/>
  <c r="DR12" i="1" s="1"/>
  <c r="DS12" i="1" s="1"/>
  <c r="DU12" i="1" s="1"/>
  <c r="CO130" i="1"/>
  <c r="CP130" i="1" s="1"/>
  <c r="CQ130" i="1" s="1"/>
  <c r="CS130" i="1" s="1"/>
  <c r="BM143" i="1"/>
  <c r="BN143" i="1" s="1"/>
  <c r="BO143" i="1" s="1"/>
  <c r="BQ143" i="1" s="1"/>
  <c r="ES81" i="1"/>
  <c r="ET81" i="1" s="1"/>
  <c r="EU81" i="1" s="1"/>
  <c r="EW81" i="1" s="1"/>
  <c r="ES10" i="1"/>
  <c r="ET10" i="1" s="1"/>
  <c r="EU10" i="1" s="1"/>
  <c r="EW10" i="1" s="1"/>
  <c r="DQ134" i="1"/>
  <c r="DR134" i="1" s="1"/>
  <c r="DS134" i="1" s="1"/>
  <c r="DU134" i="1" s="1"/>
  <c r="DQ49" i="1"/>
  <c r="DR49" i="1" s="1"/>
  <c r="DS49" i="1" s="1"/>
  <c r="DU49" i="1" s="1"/>
  <c r="CO50" i="1"/>
  <c r="CP50" i="1" s="1"/>
  <c r="CQ50" i="1" s="1"/>
  <c r="CS50" i="1" s="1"/>
  <c r="CO23" i="1"/>
  <c r="CP23" i="1" s="1"/>
  <c r="CQ23" i="1" s="1"/>
  <c r="CS23" i="1" s="1"/>
  <c r="BM152" i="1"/>
  <c r="BN152" i="1" s="1"/>
  <c r="BO152" i="1" s="1"/>
  <c r="BQ152" i="1" s="1"/>
  <c r="DQ33" i="1"/>
  <c r="DR33" i="1" s="1"/>
  <c r="DS33" i="1" s="1"/>
  <c r="DU33" i="1" s="1"/>
  <c r="CO40" i="1"/>
  <c r="CP40" i="1" s="1"/>
  <c r="CQ40" i="1" s="1"/>
  <c r="CS40" i="1" s="1"/>
  <c r="BM124" i="1"/>
  <c r="BN124" i="1" s="1"/>
  <c r="BO124" i="1" s="1"/>
  <c r="BQ124" i="1" s="1"/>
  <c r="ES108" i="1"/>
  <c r="ET108" i="1" s="1"/>
  <c r="EU108" i="1" s="1"/>
  <c r="EW108" i="1" s="1"/>
  <c r="DQ146" i="1"/>
  <c r="DR146" i="1" s="1"/>
  <c r="DS146" i="1" s="1"/>
  <c r="DU146" i="1" s="1"/>
  <c r="DQ101" i="1"/>
  <c r="DR101" i="1" s="1"/>
  <c r="DS101" i="1" s="1"/>
  <c r="DU101" i="1" s="1"/>
  <c r="CO129" i="1"/>
  <c r="CP129" i="1" s="1"/>
  <c r="CQ129" i="1" s="1"/>
  <c r="CS129" i="1" s="1"/>
  <c r="BM110" i="1"/>
  <c r="BN110" i="1" s="1"/>
  <c r="BO110" i="1" s="1"/>
  <c r="BQ110" i="1" s="1"/>
  <c r="BM79" i="1"/>
  <c r="BN79" i="1" s="1"/>
  <c r="BO79" i="1" s="1"/>
  <c r="BQ79" i="1" s="1"/>
  <c r="ES128" i="1"/>
  <c r="ET128" i="1" s="1"/>
  <c r="EU128" i="1" s="1"/>
  <c r="EW128" i="1" s="1"/>
  <c r="BM44" i="1"/>
  <c r="BN44" i="1" s="1"/>
  <c r="BO44" i="1" s="1"/>
  <c r="BQ44" i="1" s="1"/>
  <c r="BM14" i="1"/>
  <c r="BN14" i="1" s="1"/>
  <c r="BO14" i="1" s="1"/>
  <c r="BQ14" i="1" s="1"/>
  <c r="DQ115" i="1"/>
  <c r="DR115" i="1" s="1"/>
  <c r="DS115" i="1" s="1"/>
  <c r="DU115" i="1" s="1"/>
  <c r="CO109" i="1"/>
  <c r="CP109" i="1" s="1"/>
  <c r="CQ109" i="1" s="1"/>
  <c r="CS109" i="1" s="1"/>
  <c r="BM146" i="1"/>
  <c r="BN146" i="1" s="1"/>
  <c r="BO146" i="1" s="1"/>
  <c r="BQ146" i="1" s="1"/>
  <c r="BM96" i="1"/>
  <c r="BN96" i="1" s="1"/>
  <c r="BO96" i="1" s="1"/>
  <c r="BQ96" i="1" s="1"/>
  <c r="BM61" i="1"/>
  <c r="BN61" i="1" s="1"/>
  <c r="BO61" i="1" s="1"/>
  <c r="BQ61" i="1" s="1"/>
  <c r="BM32" i="1"/>
  <c r="BN32" i="1" s="1"/>
  <c r="BO32" i="1" s="1"/>
  <c r="BQ32" i="1" s="1"/>
  <c r="DQ125" i="1"/>
  <c r="DR125" i="1" s="1"/>
  <c r="DS125" i="1" s="1"/>
  <c r="DU125" i="1" s="1"/>
  <c r="BM111" i="1"/>
  <c r="BN111" i="1" s="1"/>
  <c r="BO111" i="1" s="1"/>
  <c r="BQ111" i="1" s="1"/>
  <c r="BM80" i="1"/>
  <c r="BN80" i="1" s="1"/>
  <c r="BO80" i="1" s="1"/>
  <c r="BQ80" i="1" s="1"/>
  <c r="CO146" i="1"/>
  <c r="CP146" i="1" s="1"/>
  <c r="CQ146" i="1" s="1"/>
  <c r="CS146" i="1" s="1"/>
  <c r="CO70" i="1"/>
  <c r="CP70" i="1" s="1"/>
  <c r="CQ70" i="1" s="1"/>
  <c r="CS70" i="1" s="1"/>
  <c r="CO43" i="1"/>
  <c r="CP43" i="1" s="1"/>
  <c r="CQ43" i="1" s="1"/>
  <c r="CS43" i="1" s="1"/>
  <c r="BM36" i="1"/>
  <c r="BN36" i="1" s="1"/>
  <c r="BO36" i="1" s="1"/>
  <c r="BQ36" i="1" s="1"/>
  <c r="ES144" i="1"/>
  <c r="ET144" i="1" s="1"/>
  <c r="EU144" i="1" s="1"/>
  <c r="EW144" i="1" s="1"/>
  <c r="ES100" i="1"/>
  <c r="ET100" i="1" s="1"/>
  <c r="EU100" i="1" s="1"/>
  <c r="EW100" i="1" s="1"/>
  <c r="DQ39" i="1"/>
  <c r="DR39" i="1" s="1"/>
  <c r="DS39" i="1" s="1"/>
  <c r="DU39" i="1" s="1"/>
  <c r="DQ8" i="1"/>
  <c r="DR8" i="1" s="1"/>
  <c r="DS8" i="1" s="1"/>
  <c r="DU8" i="1" s="1"/>
  <c r="CO47" i="1"/>
  <c r="CP47" i="1" s="1"/>
  <c r="CQ47" i="1" s="1"/>
  <c r="CS47" i="1" s="1"/>
  <c r="ES77" i="1"/>
  <c r="ET77" i="1" s="1"/>
  <c r="EU77" i="1" s="1"/>
  <c r="EW77" i="1" s="1"/>
  <c r="ES7" i="1"/>
  <c r="ET7" i="1" s="1"/>
  <c r="EU7" i="1" s="1"/>
  <c r="EW7" i="1" s="1"/>
  <c r="DQ13" i="1"/>
  <c r="DR13" i="1" s="1"/>
  <c r="DS13" i="1" s="1"/>
  <c r="DU13" i="1" s="1"/>
  <c r="CO132" i="1"/>
  <c r="CP132" i="1" s="1"/>
  <c r="CQ132" i="1" s="1"/>
  <c r="CS132" i="1" s="1"/>
  <c r="CO19" i="1"/>
  <c r="CP19" i="1" s="1"/>
  <c r="CQ19" i="1" s="1"/>
  <c r="CS19" i="1" s="1"/>
  <c r="ES105" i="1"/>
  <c r="ET105" i="1" s="1"/>
  <c r="EU105" i="1" s="1"/>
  <c r="EW105" i="1" s="1"/>
  <c r="ES76" i="1"/>
  <c r="ET76" i="1" s="1"/>
  <c r="EU76" i="1" s="1"/>
  <c r="EW76" i="1" s="1"/>
  <c r="DQ158" i="1"/>
  <c r="DR158" i="1" s="1"/>
  <c r="DS158" i="1" s="1"/>
  <c r="DU158" i="1" s="1"/>
  <c r="DQ29" i="1"/>
  <c r="DR29" i="1" s="1"/>
  <c r="DS29" i="1" s="1"/>
  <c r="DU29" i="1" s="1"/>
  <c r="CO36" i="1"/>
  <c r="CP36" i="1" s="1"/>
  <c r="CQ36" i="1" s="1"/>
  <c r="CS36" i="1" s="1"/>
  <c r="BM117" i="1"/>
  <c r="BN117" i="1" s="1"/>
  <c r="BO117" i="1" s="1"/>
  <c r="BQ117" i="1" s="1"/>
  <c r="ES104" i="1"/>
  <c r="ET104" i="1" s="1"/>
  <c r="EU104" i="1" s="1"/>
  <c r="EW104" i="1" s="1"/>
  <c r="ES74" i="1"/>
  <c r="ET74" i="1" s="1"/>
  <c r="EU74" i="1" s="1"/>
  <c r="EW74" i="1" s="1"/>
  <c r="DQ138" i="1"/>
  <c r="DR138" i="1" s="1"/>
  <c r="DS138" i="1" s="1"/>
  <c r="DU138" i="1" s="1"/>
  <c r="CO121" i="1"/>
  <c r="CP121" i="1" s="1"/>
  <c r="CQ121" i="1" s="1"/>
  <c r="CS121" i="1" s="1"/>
  <c r="BM18" i="1"/>
  <c r="BN18" i="1" s="1"/>
  <c r="BO18" i="1" s="1"/>
  <c r="BQ18" i="1" s="1"/>
  <c r="CO81" i="1"/>
  <c r="CP81" i="1" s="1"/>
  <c r="CQ81" i="1" s="1"/>
  <c r="CS81" i="1" s="1"/>
  <c r="DQ69" i="1"/>
  <c r="DR69" i="1" s="1"/>
  <c r="DS69" i="1" s="1"/>
  <c r="DU69" i="1" s="1"/>
  <c r="DQ42" i="1"/>
  <c r="DR42" i="1" s="1"/>
  <c r="DS42" i="1" s="1"/>
  <c r="DU42" i="1" s="1"/>
  <c r="CO10" i="1"/>
  <c r="CP10" i="1" s="1"/>
  <c r="CQ10" i="1" s="1"/>
  <c r="CS10" i="1" s="1"/>
  <c r="ES59" i="1"/>
  <c r="ET59" i="1" s="1"/>
  <c r="EU59" i="1" s="1"/>
  <c r="EW59" i="1" s="1"/>
  <c r="ES35" i="1"/>
  <c r="ET35" i="1" s="1"/>
  <c r="EU35" i="1" s="1"/>
  <c r="EW35" i="1" s="1"/>
  <c r="DQ119" i="1"/>
  <c r="DR119" i="1" s="1"/>
  <c r="DS119" i="1" s="1"/>
  <c r="DU119" i="1" s="1"/>
  <c r="DQ86" i="1"/>
  <c r="DR86" i="1" s="1"/>
  <c r="DS86" i="1" s="1"/>
  <c r="DU86" i="1" s="1"/>
  <c r="CO155" i="1"/>
  <c r="CP155" i="1" s="1"/>
  <c r="CQ155" i="1" s="1"/>
  <c r="CS155" i="1" s="1"/>
  <c r="CO105" i="1"/>
  <c r="CP105" i="1" s="1"/>
  <c r="CQ105" i="1" s="1"/>
  <c r="CS105" i="1" s="1"/>
  <c r="BM138" i="1"/>
  <c r="BN138" i="1" s="1"/>
  <c r="BO138" i="1" s="1"/>
  <c r="BQ138" i="1" s="1"/>
  <c r="BM28" i="1"/>
  <c r="BN28" i="1" s="1"/>
  <c r="BO28" i="1" s="1"/>
  <c r="BQ28" i="1" s="1"/>
  <c r="DQ118" i="1"/>
  <c r="DR118" i="1" s="1"/>
  <c r="DS118" i="1" s="1"/>
  <c r="DU118" i="1" s="1"/>
  <c r="DQ88" i="1"/>
  <c r="DR88" i="1" s="1"/>
  <c r="DS88" i="1" s="1"/>
  <c r="DU88" i="1" s="1"/>
  <c r="BM159" i="1"/>
  <c r="BN159" i="1" s="1"/>
  <c r="BO159" i="1" s="1"/>
  <c r="BQ159" i="1" s="1"/>
  <c r="BM107" i="1"/>
  <c r="BN107" i="1" s="1"/>
  <c r="BO107" i="1" s="1"/>
  <c r="BQ107" i="1" s="1"/>
  <c r="BM76" i="1"/>
  <c r="BN76" i="1" s="1"/>
  <c r="BO76" i="1" s="1"/>
  <c r="BQ76" i="1" s="1"/>
  <c r="BM45" i="1"/>
  <c r="BN45" i="1" s="1"/>
  <c r="BO45" i="1" s="1"/>
  <c r="BQ45" i="1" s="1"/>
  <c r="ES14" i="1"/>
  <c r="ET14" i="1" s="1"/>
  <c r="EU14" i="1" s="1"/>
  <c r="EW14" i="1" s="1"/>
  <c r="DQ18" i="1"/>
  <c r="DR18" i="1" s="1"/>
  <c r="DS18" i="1" s="1"/>
  <c r="DU18" i="1" s="1"/>
  <c r="CO11" i="1"/>
  <c r="CP11" i="1" s="1"/>
  <c r="CQ11" i="1" s="1"/>
  <c r="CS11" i="1" s="1"/>
  <c r="BM128" i="1"/>
  <c r="BN128" i="1" s="1"/>
  <c r="BO128" i="1" s="1"/>
  <c r="BQ128" i="1" s="1"/>
  <c r="DQ40" i="1"/>
  <c r="DR40" i="1" s="1"/>
  <c r="DS40" i="1" s="1"/>
  <c r="DU40" i="1" s="1"/>
  <c r="DQ9" i="1"/>
  <c r="DR9" i="1" s="1"/>
  <c r="DS9" i="1" s="1"/>
  <c r="DU9" i="1" s="1"/>
  <c r="CO45" i="1"/>
  <c r="CP45" i="1" s="1"/>
  <c r="CQ45" i="1" s="1"/>
  <c r="CS45" i="1" s="1"/>
  <c r="CO15" i="1"/>
  <c r="CP15" i="1" s="1"/>
  <c r="CQ15" i="1" s="1"/>
  <c r="CS15" i="1" s="1"/>
  <c r="ES71" i="1"/>
  <c r="ET71" i="1" s="1"/>
  <c r="EU71" i="1" s="1"/>
  <c r="EW71" i="1" s="1"/>
  <c r="ES20" i="1"/>
  <c r="ET20" i="1" s="1"/>
  <c r="EU20" i="1" s="1"/>
  <c r="EW20" i="1" s="1"/>
  <c r="DQ55" i="1"/>
  <c r="DR55" i="1" s="1"/>
  <c r="DS55" i="1" s="1"/>
  <c r="DU55" i="1" s="1"/>
  <c r="CO61" i="1"/>
  <c r="CP61" i="1" s="1"/>
  <c r="CQ61" i="1" s="1"/>
  <c r="CS61" i="1" s="1"/>
  <c r="CO32" i="1"/>
  <c r="CP32" i="1" s="1"/>
  <c r="CQ32" i="1" s="1"/>
  <c r="CS32" i="1" s="1"/>
  <c r="ES70" i="1"/>
  <c r="ET70" i="1" s="1"/>
  <c r="EU70" i="1" s="1"/>
  <c r="EW70" i="1" s="1"/>
  <c r="DQ131" i="1"/>
  <c r="DR131" i="1" s="1"/>
  <c r="DS131" i="1" s="1"/>
  <c r="DU131" i="1" s="1"/>
  <c r="DQ94" i="1"/>
  <c r="DR94" i="1" s="1"/>
  <c r="DS94" i="1" s="1"/>
  <c r="DU94" i="1" s="1"/>
  <c r="CO87" i="1"/>
  <c r="CP87" i="1" s="1"/>
  <c r="CQ87" i="1" s="1"/>
  <c r="CS87" i="1" s="1"/>
  <c r="BM150" i="1"/>
  <c r="BN150" i="1" s="1"/>
  <c r="BO150" i="1" s="1"/>
  <c r="BQ150" i="1" s="1"/>
  <c r="ES134" i="1"/>
  <c r="ET134" i="1" s="1"/>
  <c r="EU134" i="1" s="1"/>
  <c r="EW134" i="1" s="1"/>
  <c r="ES135" i="1"/>
  <c r="ET135" i="1" s="1"/>
  <c r="EU135" i="1" s="1"/>
  <c r="EW135" i="1" s="1"/>
  <c r="DQ129" i="1"/>
  <c r="DR129" i="1" s="1"/>
  <c r="DS129" i="1" s="1"/>
  <c r="DU129" i="1" s="1"/>
  <c r="CO110" i="1"/>
  <c r="CP110" i="1" s="1"/>
  <c r="CQ110" i="1" s="1"/>
  <c r="CS110" i="1" s="1"/>
  <c r="BM37" i="1"/>
  <c r="BN37" i="1" s="1"/>
  <c r="BO37" i="1" s="1"/>
  <c r="BQ37" i="1" s="1"/>
  <c r="BM7" i="1"/>
  <c r="BN7" i="1" s="1"/>
  <c r="BO7" i="1" s="1"/>
  <c r="BQ7" i="1" s="1"/>
  <c r="CO67" i="1"/>
  <c r="CP67" i="1" s="1"/>
  <c r="CQ67" i="1" s="1"/>
  <c r="CS67" i="1" s="1"/>
  <c r="BM126" i="1"/>
  <c r="BN126" i="1" s="1"/>
  <c r="BO126" i="1" s="1"/>
  <c r="BQ126" i="1" s="1"/>
  <c r="ES131" i="1"/>
  <c r="ET131" i="1" s="1"/>
  <c r="EU131" i="1" s="1"/>
  <c r="EW131" i="1" s="1"/>
  <c r="DQ113" i="1"/>
  <c r="DR113" i="1" s="1"/>
  <c r="DS113" i="1" s="1"/>
  <c r="DU113" i="1" s="1"/>
  <c r="CO102" i="1"/>
  <c r="CP102" i="1" s="1"/>
  <c r="CQ102" i="1" s="1"/>
  <c r="CS102" i="1" s="1"/>
  <c r="CO71" i="1"/>
  <c r="CP71" i="1" s="1"/>
  <c r="CQ71" i="1" s="1"/>
  <c r="CS71" i="1" s="1"/>
  <c r="BM131" i="1"/>
  <c r="BN131" i="1" s="1"/>
  <c r="BO131" i="1" s="1"/>
  <c r="BQ131" i="1" s="1"/>
  <c r="BM50" i="1"/>
  <c r="BN50" i="1" s="1"/>
  <c r="BO50" i="1" s="1"/>
  <c r="BQ50" i="1" s="1"/>
  <c r="DQ93" i="1"/>
  <c r="DR93" i="1" s="1"/>
  <c r="DS93" i="1" s="1"/>
  <c r="DU93" i="1" s="1"/>
  <c r="ES129" i="1"/>
  <c r="ET129" i="1" s="1"/>
  <c r="EU129" i="1" s="1"/>
  <c r="EW129" i="1" s="1"/>
  <c r="ES30" i="1"/>
  <c r="ET30" i="1" s="1"/>
  <c r="EU30" i="1" s="1"/>
  <c r="EW30" i="1" s="1"/>
  <c r="CO42" i="1"/>
  <c r="CP42" i="1" s="1"/>
  <c r="CQ42" i="1" s="1"/>
  <c r="CS42" i="1" s="1"/>
  <c r="CO12" i="1"/>
  <c r="CP12" i="1" s="1"/>
  <c r="CQ12" i="1" s="1"/>
  <c r="CS12" i="1" s="1"/>
  <c r="ES99" i="1"/>
  <c r="ET99" i="1" s="1"/>
  <c r="EU99" i="1" s="1"/>
  <c r="EW99" i="1" s="1"/>
  <c r="ES16" i="1"/>
  <c r="ET16" i="1" s="1"/>
  <c r="EU16" i="1" s="1"/>
  <c r="EW16" i="1" s="1"/>
  <c r="DQ143" i="1"/>
  <c r="DR143" i="1" s="1"/>
  <c r="DS143" i="1" s="1"/>
  <c r="DU143" i="1" s="1"/>
  <c r="DQ51" i="1"/>
  <c r="DR51" i="1" s="1"/>
  <c r="DS51" i="1" s="1"/>
  <c r="DU51" i="1" s="1"/>
  <c r="DQ21" i="1"/>
  <c r="DR21" i="1" s="1"/>
  <c r="DS21" i="1" s="1"/>
  <c r="DU21" i="1" s="1"/>
  <c r="CO57" i="1"/>
  <c r="CP57" i="1" s="1"/>
  <c r="CQ57" i="1" s="1"/>
  <c r="CS57" i="1" s="1"/>
  <c r="CO28" i="1"/>
  <c r="CP28" i="1" s="1"/>
  <c r="CQ28" i="1" s="1"/>
  <c r="CS28" i="1" s="1"/>
  <c r="BM142" i="1"/>
  <c r="BN142" i="1" s="1"/>
  <c r="BO142" i="1" s="1"/>
  <c r="BQ142" i="1" s="1"/>
  <c r="BM69" i="1"/>
  <c r="BN69" i="1" s="1"/>
  <c r="BO69" i="1" s="1"/>
  <c r="BQ69" i="1" s="1"/>
  <c r="BM97" i="1"/>
  <c r="BN97" i="1" s="1"/>
  <c r="BO97" i="1" s="1"/>
  <c r="BQ97" i="1" s="1"/>
  <c r="BM62" i="1"/>
  <c r="BN62" i="1" s="1"/>
  <c r="BO62" i="1" s="1"/>
  <c r="BQ62" i="1" s="1"/>
  <c r="CO33" i="1"/>
  <c r="CP33" i="1" s="1"/>
  <c r="CQ33" i="1" s="1"/>
  <c r="CS33" i="1" s="1"/>
  <c r="ES53" i="1"/>
  <c r="ET53" i="1" s="1"/>
  <c r="EU53" i="1" s="1"/>
  <c r="EW53" i="1" s="1"/>
  <c r="ES133" i="1"/>
  <c r="ET133" i="1" s="1"/>
  <c r="EU133" i="1" s="1"/>
  <c r="EW133" i="1" s="1"/>
  <c r="DQ110" i="1"/>
  <c r="DR110" i="1" s="1"/>
  <c r="DS110" i="1" s="1"/>
  <c r="DU110" i="1" s="1"/>
  <c r="BM144" i="1"/>
  <c r="BN144" i="1" s="1"/>
  <c r="BO144" i="1" s="1"/>
  <c r="BQ144" i="1" s="1"/>
  <c r="CO91" i="1"/>
  <c r="CP91" i="1" s="1"/>
  <c r="CQ91" i="1" s="1"/>
  <c r="CS91" i="1" s="1"/>
  <c r="CO126" i="1"/>
  <c r="CP126" i="1" s="1"/>
  <c r="CQ126" i="1" s="1"/>
  <c r="CS126" i="1" s="1"/>
  <c r="CO112" i="1"/>
  <c r="CP112" i="1" s="1"/>
  <c r="CQ112" i="1" s="1"/>
  <c r="CS112" i="1" s="1"/>
  <c r="DQ147" i="1"/>
  <c r="DR147" i="1" s="1"/>
  <c r="DS147" i="1" s="1"/>
  <c r="DU147" i="1" s="1"/>
  <c r="DQ27" i="1"/>
  <c r="DR27" i="1" s="1"/>
  <c r="DS27" i="1" s="1"/>
  <c r="DU27" i="1" s="1"/>
  <c r="ES25" i="1"/>
  <c r="ET25" i="1" s="1"/>
  <c r="EU25" i="1" s="1"/>
  <c r="EW25" i="1" s="1"/>
  <c r="DQ61" i="1"/>
  <c r="DR61" i="1" s="1"/>
  <c r="DS61" i="1" s="1"/>
  <c r="DU61" i="1" s="1"/>
  <c r="BM122" i="1"/>
  <c r="BN122" i="1" s="1"/>
  <c r="BO122" i="1" s="1"/>
  <c r="BQ122" i="1" s="1"/>
  <c r="ES13" i="1"/>
  <c r="ET13" i="1" s="1"/>
  <c r="EU13" i="1" s="1"/>
  <c r="EW13" i="1" s="1"/>
  <c r="DQ46" i="1"/>
  <c r="DR46" i="1" s="1"/>
  <c r="DS46" i="1" s="1"/>
  <c r="DU46" i="1" s="1"/>
  <c r="CO148" i="1"/>
  <c r="CP148" i="1" s="1"/>
  <c r="CQ148" i="1" s="1"/>
  <c r="CS148" i="1" s="1"/>
  <c r="CO54" i="1"/>
  <c r="CP54" i="1" s="1"/>
  <c r="CQ54" i="1" s="1"/>
  <c r="CS54" i="1" s="1"/>
  <c r="BM154" i="1"/>
  <c r="BN154" i="1" s="1"/>
  <c r="BO154" i="1" s="1"/>
  <c r="BQ154" i="1" s="1"/>
  <c r="ES157" i="1"/>
  <c r="ET157" i="1" s="1"/>
  <c r="EU157" i="1" s="1"/>
  <c r="EW157" i="1" s="1"/>
  <c r="ES94" i="1"/>
  <c r="ET94" i="1" s="1"/>
  <c r="EU94" i="1" s="1"/>
  <c r="EW94" i="1" s="1"/>
  <c r="DQ116" i="1"/>
  <c r="DR116" i="1" s="1"/>
  <c r="DS116" i="1" s="1"/>
  <c r="DU116" i="1" s="1"/>
  <c r="CO159" i="1"/>
  <c r="CP159" i="1" s="1"/>
  <c r="CQ159" i="1" s="1"/>
  <c r="CS159" i="1" s="1"/>
  <c r="CO107" i="1"/>
  <c r="CP107" i="1" s="1"/>
  <c r="CQ107" i="1" s="1"/>
  <c r="CS107" i="1" s="1"/>
  <c r="CO78" i="1"/>
  <c r="CP78" i="1" s="1"/>
  <c r="CQ78" i="1" s="1"/>
  <c r="CS78" i="1" s="1"/>
  <c r="BM135" i="1"/>
  <c r="BN135" i="1" s="1"/>
  <c r="BO135" i="1" s="1"/>
  <c r="BQ135" i="1" s="1"/>
  <c r="BM64" i="1"/>
  <c r="BN64" i="1" s="1"/>
  <c r="BO64" i="1" s="1"/>
  <c r="BQ64" i="1" s="1"/>
  <c r="BM38" i="1"/>
  <c r="BN38" i="1" s="1"/>
  <c r="BO38" i="1" s="1"/>
  <c r="BQ38" i="1" s="1"/>
  <c r="ES152" i="1"/>
  <c r="ET152" i="1" s="1"/>
  <c r="EU152" i="1" s="1"/>
  <c r="EW152" i="1" s="1"/>
  <c r="DQ87" i="1"/>
  <c r="DR87" i="1" s="1"/>
  <c r="DS87" i="1" s="1"/>
  <c r="DU87" i="1" s="1"/>
  <c r="CO150" i="1"/>
  <c r="CP150" i="1" s="1"/>
  <c r="CQ150" i="1" s="1"/>
  <c r="CS150" i="1" s="1"/>
  <c r="BM58" i="1"/>
  <c r="BN58" i="1" s="1"/>
  <c r="BO58" i="1" s="1"/>
  <c r="BQ58" i="1" s="1"/>
  <c r="ES147" i="1"/>
  <c r="ET147" i="1" s="1"/>
  <c r="EU147" i="1" s="1"/>
  <c r="EW147" i="1" s="1"/>
  <c r="ES19" i="1"/>
  <c r="ET19" i="1" s="1"/>
  <c r="EU19" i="1" s="1"/>
  <c r="EW19" i="1" s="1"/>
  <c r="DQ145" i="1"/>
  <c r="DR145" i="1" s="1"/>
  <c r="DS145" i="1" s="1"/>
  <c r="DU145" i="1" s="1"/>
  <c r="DQ30" i="1"/>
  <c r="DR30" i="1" s="1"/>
  <c r="DS30" i="1" s="1"/>
  <c r="DU30" i="1" s="1"/>
  <c r="CO158" i="1"/>
  <c r="CP158" i="1" s="1"/>
  <c r="CQ158" i="1" s="1"/>
  <c r="CS158" i="1" s="1"/>
  <c r="CO58" i="1"/>
  <c r="CP58" i="1" s="1"/>
  <c r="CQ58" i="1" s="1"/>
  <c r="CS58" i="1" s="1"/>
  <c r="CO29" i="1"/>
  <c r="CP29" i="1" s="1"/>
  <c r="CQ29" i="1" s="1"/>
  <c r="CS29" i="1" s="1"/>
  <c r="ES113" i="1"/>
  <c r="ET113" i="1" s="1"/>
  <c r="EU113" i="1" s="1"/>
  <c r="EW113" i="1" s="1"/>
  <c r="ES116" i="1"/>
  <c r="ET116" i="1" s="1"/>
  <c r="EU116" i="1" s="1"/>
  <c r="EW116" i="1" s="1"/>
  <c r="BM81" i="1"/>
  <c r="BN81" i="1" s="1"/>
  <c r="BO81" i="1" s="1"/>
  <c r="BQ81" i="1" s="1"/>
  <c r="BM49" i="1"/>
  <c r="BN49" i="1" s="1"/>
  <c r="BO49" i="1" s="1"/>
  <c r="BQ49" i="1" s="1"/>
  <c r="DQ155" i="1"/>
  <c r="DR155" i="1" s="1"/>
  <c r="DS155" i="1" s="1"/>
  <c r="DU155" i="1" s="1"/>
  <c r="DQ105" i="1"/>
  <c r="DR105" i="1" s="1"/>
  <c r="DS105" i="1" s="1"/>
  <c r="DU105" i="1" s="1"/>
  <c r="BM136" i="1"/>
  <c r="BN136" i="1" s="1"/>
  <c r="BO136" i="1" s="1"/>
  <c r="BQ136" i="1" s="1"/>
  <c r="BM95" i="1"/>
  <c r="BN95" i="1" s="1"/>
  <c r="BO95" i="1" s="1"/>
  <c r="BQ95" i="1" s="1"/>
  <c r="ES55" i="1"/>
  <c r="ET55" i="1" s="1"/>
  <c r="EU55" i="1" s="1"/>
  <c r="EW55" i="1" s="1"/>
  <c r="ES65" i="1"/>
  <c r="ET65" i="1" s="1"/>
  <c r="EU65" i="1" s="1"/>
  <c r="EW65" i="1" s="1"/>
  <c r="BM46" i="1"/>
  <c r="BN46" i="1" s="1"/>
  <c r="BO46" i="1" s="1"/>
  <c r="BQ46" i="1" s="1"/>
  <c r="ES114" i="1"/>
  <c r="ET114" i="1" s="1"/>
  <c r="EU114" i="1" s="1"/>
  <c r="EW114" i="1" s="1"/>
  <c r="ES87" i="1"/>
  <c r="ET87" i="1" s="1"/>
  <c r="EU87" i="1" s="1"/>
  <c r="EW87" i="1" s="1"/>
  <c r="ES22" i="1"/>
  <c r="ET22" i="1" s="1"/>
  <c r="EU22" i="1" s="1"/>
  <c r="EW22" i="1" s="1"/>
  <c r="DQ23" i="1"/>
  <c r="DR23" i="1" s="1"/>
  <c r="DS23" i="1" s="1"/>
  <c r="DU23" i="1" s="1"/>
  <c r="CO152" i="1"/>
  <c r="CP152" i="1" s="1"/>
  <c r="CQ152" i="1" s="1"/>
  <c r="CS152" i="1" s="1"/>
  <c r="DQ156" i="1"/>
  <c r="DR156" i="1" s="1"/>
  <c r="DS156" i="1" s="1"/>
  <c r="DU156" i="1" s="1"/>
  <c r="DQ57" i="1"/>
  <c r="DR57" i="1" s="1"/>
  <c r="DS57" i="1" s="1"/>
  <c r="DU57" i="1" s="1"/>
  <c r="DQ28" i="1"/>
  <c r="DR28" i="1" s="1"/>
  <c r="DS28" i="1" s="1"/>
  <c r="DU28" i="1" s="1"/>
  <c r="BM115" i="1"/>
  <c r="BN115" i="1" s="1"/>
  <c r="BO115" i="1" s="1"/>
  <c r="BQ115" i="1" s="1"/>
  <c r="ES92" i="1"/>
  <c r="ET92" i="1" s="1"/>
  <c r="EU92" i="1" s="1"/>
  <c r="EW92" i="1" s="1"/>
  <c r="ES9" i="1"/>
  <c r="ET9" i="1" s="1"/>
  <c r="EU9" i="1" s="1"/>
  <c r="EW9" i="1" s="1"/>
  <c r="DQ128" i="1"/>
  <c r="DR128" i="1" s="1"/>
  <c r="DS128" i="1" s="1"/>
  <c r="DU128" i="1" s="1"/>
  <c r="ES145" i="1"/>
  <c r="ET145" i="1" s="1"/>
  <c r="EU145" i="1" s="1"/>
  <c r="EW145" i="1" s="1"/>
  <c r="CO96" i="1"/>
  <c r="CP96" i="1" s="1"/>
  <c r="CQ96" i="1" s="1"/>
  <c r="CS96" i="1" s="1"/>
  <c r="BM90" i="1"/>
  <c r="BN90" i="1" s="1"/>
  <c r="BO90" i="1" s="1"/>
  <c r="BQ90" i="1" s="1"/>
  <c r="BM55" i="1"/>
  <c r="BN55" i="1" s="1"/>
  <c r="BO55" i="1" s="1"/>
  <c r="BQ55" i="1" s="1"/>
  <c r="BM25" i="1"/>
  <c r="BN25" i="1" s="1"/>
  <c r="BO25" i="1" s="1"/>
  <c r="BQ25" i="1" s="1"/>
  <c r="ES139" i="1"/>
  <c r="ET139" i="1" s="1"/>
  <c r="EU139" i="1" s="1"/>
  <c r="EW139" i="1" s="1"/>
  <c r="ES15" i="1"/>
  <c r="ET15" i="1" s="1"/>
  <c r="EU15" i="1" s="1"/>
  <c r="EW15" i="1" s="1"/>
  <c r="DQ52" i="1"/>
  <c r="DR52" i="1" s="1"/>
  <c r="DS52" i="1" s="1"/>
  <c r="DU52" i="1" s="1"/>
  <c r="CO55" i="1"/>
  <c r="CP55" i="1" s="1"/>
  <c r="CQ55" i="1" s="1"/>
  <c r="CS55" i="1" s="1"/>
  <c r="CO125" i="1"/>
  <c r="CP125" i="1" s="1"/>
  <c r="CQ125" i="1" s="1"/>
  <c r="CS125" i="1" s="1"/>
  <c r="DQ35" i="1"/>
  <c r="DR35" i="1" s="1"/>
  <c r="DS35" i="1" s="1"/>
  <c r="DU35" i="1" s="1"/>
  <c r="CO154" i="1"/>
  <c r="CP154" i="1" s="1"/>
  <c r="CQ154" i="1" s="1"/>
  <c r="CS154" i="1" s="1"/>
  <c r="GS151" i="1"/>
  <c r="GU151" i="1" s="1"/>
  <c r="CO92" i="1"/>
  <c r="CP92" i="1" s="1"/>
  <c r="CQ92" i="1" s="1"/>
  <c r="CS92" i="1" s="1"/>
  <c r="GS23" i="1"/>
  <c r="GU23" i="1" s="1"/>
  <c r="DQ26" i="1"/>
  <c r="DR26" i="1" s="1"/>
  <c r="DS26" i="1" s="1"/>
  <c r="DU26" i="1" s="1"/>
  <c r="GS66" i="1"/>
  <c r="GU66" i="1" s="1"/>
  <c r="ES72" i="1"/>
  <c r="ET72" i="1" s="1"/>
  <c r="EU72" i="1" s="1"/>
  <c r="EW72" i="1" s="1"/>
  <c r="GS102" i="1"/>
  <c r="GU102" i="1" s="1"/>
  <c r="GS71" i="1"/>
  <c r="GU71" i="1" s="1"/>
  <c r="A15" i="4"/>
  <c r="DQ67" i="1"/>
  <c r="DR67" i="1" s="1"/>
  <c r="DS67" i="1" s="1"/>
  <c r="DU67" i="1" s="1"/>
  <c r="ES159" i="1"/>
  <c r="ET159" i="1" s="1"/>
  <c r="EU159" i="1" s="1"/>
  <c r="EW159" i="1" s="1"/>
  <c r="CO64" i="1"/>
  <c r="CP64" i="1" s="1"/>
  <c r="CQ64" i="1" s="1"/>
  <c r="CS64" i="1" s="1"/>
  <c r="ES26" i="1"/>
  <c r="ET26" i="1" s="1"/>
  <c r="EU26" i="1" s="1"/>
  <c r="EW26" i="1" s="1"/>
  <c r="ES102" i="1"/>
  <c r="ET102" i="1" s="1"/>
  <c r="EU102" i="1" s="1"/>
  <c r="EW102" i="1" s="1"/>
  <c r="BM8" i="1"/>
  <c r="BN8" i="1" s="1"/>
  <c r="BO8" i="1" s="1"/>
  <c r="BQ8" i="1" s="1"/>
  <c r="GS139" i="1"/>
  <c r="GU139" i="1" s="1"/>
  <c r="DQ6" i="1"/>
  <c r="DR6" i="1" s="1"/>
  <c r="DS6" i="1" s="1"/>
  <c r="DU6" i="1" s="1"/>
  <c r="GS123" i="1"/>
  <c r="GU123" i="1" s="1"/>
  <c r="BM93" i="1"/>
  <c r="BN93" i="1" s="1"/>
  <c r="BO93" i="1" s="1"/>
  <c r="BQ93" i="1" s="1"/>
  <c r="GS31" i="1"/>
  <c r="GU31" i="1" s="1"/>
  <c r="GS76" i="1"/>
  <c r="GU76" i="1" s="1"/>
  <c r="GS48" i="1"/>
  <c r="GU48" i="1" s="1"/>
  <c r="GS19" i="1"/>
  <c r="GU19" i="1" s="1"/>
  <c r="GS104" i="1"/>
  <c r="GU104" i="1" s="1"/>
  <c r="GS33" i="1"/>
  <c r="GU33" i="1" s="1"/>
  <c r="BM48" i="1"/>
  <c r="BN48" i="1" s="1"/>
  <c r="BO48" i="1" s="1"/>
  <c r="BQ48" i="1" s="1"/>
  <c r="ES79" i="1"/>
  <c r="ET79" i="1" s="1"/>
  <c r="EU79" i="1" s="1"/>
  <c r="EW79" i="1" s="1"/>
  <c r="ES106" i="1"/>
  <c r="ET106" i="1" s="1"/>
  <c r="EU106" i="1" s="1"/>
  <c r="EW106" i="1" s="1"/>
  <c r="CO76" i="1"/>
  <c r="CP76" i="1" s="1"/>
  <c r="CQ76" i="1" s="1"/>
  <c r="CS76" i="1" s="1"/>
  <c r="GS154" i="1"/>
  <c r="GU154" i="1" s="1"/>
  <c r="GS140" i="1"/>
  <c r="GU140" i="1" s="1"/>
  <c r="GS43" i="1"/>
  <c r="GU43" i="1" s="1"/>
  <c r="GJ24" i="1"/>
  <c r="GS108" i="1"/>
  <c r="GU108" i="1" s="1"/>
  <c r="GS79" i="1"/>
  <c r="GU79" i="1" s="1"/>
  <c r="GS29" i="1"/>
  <c r="GU29" i="1" s="1"/>
  <c r="GS135" i="1"/>
  <c r="GU135" i="1" s="1"/>
  <c r="CO104" i="1"/>
  <c r="CP104" i="1" s="1"/>
  <c r="CQ104" i="1" s="1"/>
  <c r="CS104" i="1" s="1"/>
  <c r="GS132" i="1"/>
  <c r="GU132" i="1" s="1"/>
  <c r="GS96" i="1"/>
  <c r="GU96" i="1" s="1"/>
  <c r="GS77" i="1"/>
  <c r="GU77" i="1" s="1"/>
  <c r="GS126" i="1"/>
  <c r="GU126" i="1" s="1"/>
  <c r="GS113" i="1"/>
  <c r="GU113" i="1" s="1"/>
  <c r="GS125" i="1"/>
  <c r="GU125" i="1" s="1"/>
  <c r="DQ70" i="1"/>
  <c r="DR70" i="1" s="1"/>
  <c r="DS70" i="1" s="1"/>
  <c r="DU70" i="1" s="1"/>
  <c r="GS146" i="1"/>
  <c r="GU146" i="1" s="1"/>
  <c r="GS105" i="1"/>
  <c r="GU105" i="1" s="1"/>
  <c r="GS118" i="1"/>
  <c r="GU118" i="1" s="1"/>
  <c r="GS74" i="1"/>
  <c r="GU74" i="1" s="1"/>
  <c r="GS61" i="1"/>
  <c r="GU61" i="1" s="1"/>
  <c r="GS55" i="1"/>
  <c r="GU55" i="1" s="1"/>
  <c r="GS56" i="1"/>
  <c r="GU56" i="1" s="1"/>
  <c r="DQ154" i="1"/>
  <c r="DR154" i="1" s="1"/>
  <c r="DS154" i="1" s="1"/>
  <c r="DU154" i="1" s="1"/>
  <c r="BM19" i="1"/>
  <c r="BN19" i="1" s="1"/>
  <c r="BO19" i="1" s="1"/>
  <c r="BQ19" i="1" s="1"/>
  <c r="GJ6" i="1"/>
  <c r="GS110" i="1"/>
  <c r="GU110" i="1" s="1"/>
  <c r="BM118" i="1"/>
  <c r="BN118" i="1" s="1"/>
  <c r="BO118" i="1" s="1"/>
  <c r="BQ118" i="1" s="1"/>
  <c r="ES24" i="1"/>
  <c r="ET24" i="1" s="1"/>
  <c r="EU24" i="1" s="1"/>
  <c r="EW24" i="1" s="1"/>
  <c r="BM103" i="1"/>
  <c r="BN103" i="1" s="1"/>
  <c r="BO103" i="1" s="1"/>
  <c r="BQ103" i="1" s="1"/>
  <c r="ES97" i="1"/>
  <c r="ET97" i="1" s="1"/>
  <c r="EU97" i="1" s="1"/>
  <c r="EW97" i="1" s="1"/>
  <c r="GS155" i="1"/>
  <c r="GU155" i="1" s="1"/>
  <c r="GS142" i="1"/>
  <c r="GU142" i="1" s="1"/>
  <c r="GS92" i="1"/>
  <c r="GU92" i="1" s="1"/>
  <c r="GS73" i="1"/>
  <c r="GU73" i="1" s="1"/>
  <c r="GS38" i="1"/>
  <c r="GU38" i="1" s="1"/>
  <c r="BM59" i="1"/>
  <c r="BN59" i="1" s="1"/>
  <c r="BO59" i="1" s="1"/>
  <c r="BQ59" i="1" s="1"/>
  <c r="ES46" i="1"/>
  <c r="ET46" i="1" s="1"/>
  <c r="EU46" i="1" s="1"/>
  <c r="EW46" i="1" s="1"/>
  <c r="DQ56" i="1"/>
  <c r="DR56" i="1" s="1"/>
  <c r="DS56" i="1" s="1"/>
  <c r="DU56" i="1" s="1"/>
  <c r="CO46" i="1"/>
  <c r="CP46" i="1" s="1"/>
  <c r="CQ46" i="1" s="1"/>
  <c r="CS46" i="1" s="1"/>
  <c r="GS128" i="1"/>
  <c r="GU128" i="1" s="1"/>
  <c r="GS26" i="1"/>
  <c r="GU26" i="1" s="1"/>
  <c r="DQ17" i="1"/>
  <c r="DR17" i="1" s="1"/>
  <c r="DS17" i="1" s="1"/>
  <c r="DU17" i="1" s="1"/>
  <c r="ES146" i="1"/>
  <c r="ET146" i="1" s="1"/>
  <c r="EU146" i="1" s="1"/>
  <c r="EW146" i="1" s="1"/>
  <c r="ES130" i="1"/>
  <c r="ET130" i="1" s="1"/>
  <c r="EU130" i="1" s="1"/>
  <c r="EW130" i="1" s="1"/>
  <c r="DQ43" i="1"/>
  <c r="DR43" i="1" s="1"/>
  <c r="DS43" i="1" s="1"/>
  <c r="DU43" i="1" s="1"/>
  <c r="GS116" i="1"/>
  <c r="GU116" i="1" s="1"/>
  <c r="GS159" i="1"/>
  <c r="GU159" i="1" s="1"/>
  <c r="GS46" i="1"/>
  <c r="GU46" i="1" s="1"/>
  <c r="GS115" i="1"/>
  <c r="GU115" i="1" s="1"/>
  <c r="BM73" i="1"/>
  <c r="BN73" i="1" s="1"/>
  <c r="BO73" i="1" s="1"/>
  <c r="BQ73" i="1" s="1"/>
  <c r="ES117" i="1"/>
  <c r="ET117" i="1" s="1"/>
  <c r="EU117" i="1" s="1"/>
  <c r="EW117" i="1" s="1"/>
  <c r="GS124" i="1"/>
  <c r="GU124" i="1" s="1"/>
  <c r="BM47" i="1"/>
  <c r="BN47" i="1" s="1"/>
  <c r="BO47" i="1" s="1"/>
  <c r="BQ47" i="1" s="1"/>
  <c r="BM157" i="1"/>
  <c r="BN157" i="1" s="1"/>
  <c r="BO157" i="1" s="1"/>
  <c r="BQ157" i="1" s="1"/>
  <c r="BM119" i="1"/>
  <c r="BN119" i="1" s="1"/>
  <c r="BO119" i="1" s="1"/>
  <c r="BQ119" i="1" s="1"/>
  <c r="ES45" i="1"/>
  <c r="ET45" i="1" s="1"/>
  <c r="EU45" i="1" s="1"/>
  <c r="EW45" i="1" s="1"/>
  <c r="A14" i="4"/>
  <c r="ES11" i="1"/>
  <c r="ET11" i="1" s="1"/>
  <c r="EU11" i="1" s="1"/>
  <c r="EW11" i="1" s="1"/>
  <c r="GS158" i="1"/>
  <c r="GU158" i="1" s="1"/>
  <c r="GS17" i="1"/>
  <c r="GU17" i="1" s="1"/>
  <c r="GS45" i="1"/>
  <c r="GU45" i="1" s="1"/>
  <c r="GS28" i="1"/>
  <c r="GU28" i="1" s="1"/>
  <c r="GS15" i="1"/>
  <c r="GU15" i="1" s="1"/>
  <c r="ES93" i="1"/>
  <c r="ET93" i="1" s="1"/>
  <c r="EU93" i="1" s="1"/>
  <c r="EW93" i="1" s="1"/>
  <c r="CO26" i="1"/>
  <c r="CP26" i="1" s="1"/>
  <c r="CQ26" i="1" s="1"/>
  <c r="CS26" i="1" s="1"/>
  <c r="BM148" i="1"/>
  <c r="BN148" i="1" s="1"/>
  <c r="BO148" i="1" s="1"/>
  <c r="BQ148" i="1" s="1"/>
  <c r="DQ124" i="1"/>
  <c r="DR124" i="1" s="1"/>
  <c r="DS124" i="1" s="1"/>
  <c r="DU124" i="1" s="1"/>
  <c r="GS52" i="1"/>
  <c r="GU52" i="1" s="1"/>
  <c r="CO128" i="1"/>
  <c r="CP128" i="1" s="1"/>
  <c r="CQ128" i="1" s="1"/>
  <c r="CS128" i="1" s="1"/>
  <c r="DQ11" i="1"/>
  <c r="DR11" i="1" s="1"/>
  <c r="DS11" i="1" s="1"/>
  <c r="DU11" i="1" s="1"/>
  <c r="BM16" i="1"/>
  <c r="BN16" i="1" s="1"/>
  <c r="BO16" i="1" s="1"/>
  <c r="BQ16" i="1" s="1"/>
  <c r="ES121" i="1"/>
  <c r="ET121" i="1" s="1"/>
  <c r="EU121" i="1" s="1"/>
  <c r="EW121" i="1" s="1"/>
  <c r="ES90" i="1"/>
  <c r="ET90" i="1" s="1"/>
  <c r="EU90" i="1" s="1"/>
  <c r="EW90" i="1" s="1"/>
  <c r="CO66" i="1"/>
  <c r="CP66" i="1" s="1"/>
  <c r="CQ66" i="1" s="1"/>
  <c r="CS66" i="1" s="1"/>
  <c r="DQ58" i="1"/>
  <c r="DR58" i="1" s="1"/>
  <c r="DS58" i="1" s="1"/>
  <c r="DU58" i="1" s="1"/>
  <c r="DQ126" i="1"/>
  <c r="DR126" i="1" s="1"/>
  <c r="DS126" i="1" s="1"/>
  <c r="DU126" i="1" s="1"/>
  <c r="GS95" i="1"/>
  <c r="GU95" i="1" s="1"/>
  <c r="CO124" i="1"/>
  <c r="CP124" i="1" s="1"/>
  <c r="CQ124" i="1" s="1"/>
  <c r="CS124" i="1" s="1"/>
  <c r="DQ66" i="1"/>
  <c r="DR66" i="1" s="1"/>
  <c r="DS66" i="1" s="1"/>
  <c r="DU66" i="1" s="1"/>
  <c r="CO9" i="1"/>
  <c r="CP9" i="1" s="1"/>
  <c r="CQ9" i="1" s="1"/>
  <c r="CS9" i="1" s="1"/>
  <c r="DQ16" i="1"/>
  <c r="DR16" i="1" s="1"/>
  <c r="DS16" i="1" s="1"/>
  <c r="DU16" i="1" s="1"/>
  <c r="CO31" i="1"/>
  <c r="CP31" i="1" s="1"/>
  <c r="CQ31" i="1" s="1"/>
  <c r="CS31" i="1" s="1"/>
  <c r="DQ36" i="1"/>
  <c r="DR36" i="1" s="1"/>
  <c r="DS36" i="1" s="1"/>
  <c r="DU36" i="1" s="1"/>
  <c r="GS156" i="1"/>
  <c r="GU156" i="1" s="1"/>
  <c r="BM120" i="1"/>
  <c r="BN120" i="1" s="1"/>
  <c r="BO120" i="1" s="1"/>
  <c r="BQ120" i="1" s="1"/>
  <c r="CO38" i="1"/>
  <c r="CP38" i="1" s="1"/>
  <c r="CQ38" i="1" s="1"/>
  <c r="CS38" i="1" s="1"/>
  <c r="CO48" i="1"/>
  <c r="CP48" i="1" s="1"/>
  <c r="CQ48" i="1" s="1"/>
  <c r="CS48" i="1" s="1"/>
  <c r="GS127" i="1"/>
  <c r="GU127" i="1" s="1"/>
  <c r="I9" i="4"/>
  <c r="CO141" i="1"/>
  <c r="CP141" i="1" s="1"/>
  <c r="CQ141" i="1" s="1"/>
  <c r="CS141" i="1" s="1"/>
  <c r="ES137" i="1"/>
  <c r="ET137" i="1" s="1"/>
  <c r="EU137" i="1" s="1"/>
  <c r="EW137" i="1" s="1"/>
  <c r="BM27" i="1"/>
  <c r="BN27" i="1" s="1"/>
  <c r="BO27" i="1" s="1"/>
  <c r="BQ27" i="1" s="1"/>
  <c r="CO80" i="1"/>
  <c r="CP80" i="1" s="1"/>
  <c r="CQ80" i="1" s="1"/>
  <c r="CS80" i="1" s="1"/>
  <c r="BM121" i="1"/>
  <c r="BN121" i="1" s="1"/>
  <c r="BO121" i="1" s="1"/>
  <c r="BQ121" i="1" s="1"/>
  <c r="DQ89" i="1"/>
  <c r="DR89" i="1" s="1"/>
  <c r="DS89" i="1" s="1"/>
  <c r="DU89" i="1" s="1"/>
  <c r="DQ136" i="1"/>
  <c r="DR136" i="1" s="1"/>
  <c r="DS136" i="1" s="1"/>
  <c r="DU136" i="1" s="1"/>
  <c r="M21" i="4"/>
  <c r="A21" i="4" s="1"/>
  <c r="GJ40" i="1"/>
  <c r="BM137" i="1"/>
  <c r="BN137" i="1" s="1"/>
  <c r="BO137" i="1" s="1"/>
  <c r="BQ137" i="1" s="1"/>
  <c r="BM22" i="1"/>
  <c r="BN22" i="1" s="1"/>
  <c r="BO22" i="1" s="1"/>
  <c r="BQ22" i="1" s="1"/>
  <c r="EX68" i="1"/>
  <c r="EY68" i="1" s="1"/>
  <c r="FV68" i="1" s="1"/>
  <c r="GV68" i="1"/>
  <c r="EX153" i="1"/>
  <c r="EY153" i="1" s="1"/>
  <c r="FV153" i="1" s="1"/>
  <c r="GV153" i="1"/>
  <c r="GV63" i="1"/>
  <c r="EX63" i="1"/>
  <c r="EY63" i="1" s="1"/>
  <c r="FV63" i="1" s="1"/>
  <c r="CO35" i="1"/>
  <c r="CP35" i="1" s="1"/>
  <c r="CQ35" i="1" s="1"/>
  <c r="CS35" i="1" s="1"/>
  <c r="BM26" i="1"/>
  <c r="BN26" i="1" s="1"/>
  <c r="BO26" i="1" s="1"/>
  <c r="BQ26" i="1" s="1"/>
  <c r="GS70" i="1"/>
  <c r="GU70" i="1" s="1"/>
  <c r="GS40" i="1"/>
  <c r="GU40" i="1" s="1"/>
  <c r="GJ28" i="1"/>
  <c r="DQ54" i="1"/>
  <c r="DR54" i="1" s="1"/>
  <c r="DS54" i="1" s="1"/>
  <c r="DU54" i="1" s="1"/>
  <c r="DQ31" i="1"/>
  <c r="DR31" i="1" s="1"/>
  <c r="DS31" i="1" s="1"/>
  <c r="DU31" i="1" s="1"/>
  <c r="GS59" i="1"/>
  <c r="GU59" i="1" s="1"/>
  <c r="GS100" i="1"/>
  <c r="GU100" i="1" s="1"/>
  <c r="J10" i="4" s="1"/>
  <c r="ES44" i="1"/>
  <c r="ET44" i="1" s="1"/>
  <c r="EU44" i="1" s="1"/>
  <c r="EW44" i="1" s="1"/>
  <c r="ES95" i="1"/>
  <c r="ET95" i="1" s="1"/>
  <c r="EU95" i="1" s="1"/>
  <c r="EW95" i="1" s="1"/>
  <c r="BM70" i="1"/>
  <c r="BN70" i="1" s="1"/>
  <c r="BO70" i="1" s="1"/>
  <c r="BQ70" i="1" s="1"/>
  <c r="CO156" i="1"/>
  <c r="CP156" i="1" s="1"/>
  <c r="CQ156" i="1" s="1"/>
  <c r="CS156" i="1" s="1"/>
  <c r="GS148" i="1"/>
  <c r="GU148" i="1" s="1"/>
  <c r="BM53" i="1"/>
  <c r="BN53" i="1" s="1"/>
  <c r="BO53" i="1" s="1"/>
  <c r="BQ53" i="1" s="1"/>
  <c r="BM66" i="1"/>
  <c r="BN66" i="1" s="1"/>
  <c r="BO66" i="1" s="1"/>
  <c r="BQ66" i="1" s="1"/>
  <c r="BM11" i="1"/>
  <c r="BN11" i="1" s="1"/>
  <c r="BO11" i="1" s="1"/>
  <c r="BQ11" i="1" s="1"/>
  <c r="GS130" i="1"/>
  <c r="GU130" i="1" s="1"/>
  <c r="GS101" i="1"/>
  <c r="GU101" i="1" s="1"/>
  <c r="GS58" i="1"/>
  <c r="GU58" i="1" s="1"/>
  <c r="GS25" i="1"/>
  <c r="GU25" i="1" s="1"/>
  <c r="GS35" i="1"/>
  <c r="GU35" i="1" s="1"/>
  <c r="BM101" i="1"/>
  <c r="BN101" i="1" s="1"/>
  <c r="BO101" i="1" s="1"/>
  <c r="BQ101" i="1" s="1"/>
  <c r="DQ132" i="1"/>
  <c r="DR132" i="1" s="1"/>
  <c r="DS132" i="1" s="1"/>
  <c r="DU132" i="1" s="1"/>
  <c r="GS13" i="1"/>
  <c r="GU13" i="1" s="1"/>
  <c r="DQ65" i="1"/>
  <c r="DR65" i="1" s="1"/>
  <c r="DS65" i="1" s="1"/>
  <c r="DU65" i="1" s="1"/>
  <c r="BM40" i="1"/>
  <c r="BN40" i="1" s="1"/>
  <c r="BO40" i="1" s="1"/>
  <c r="BQ40" i="1" s="1"/>
  <c r="GS54" i="1"/>
  <c r="GU54" i="1" s="1"/>
  <c r="GS144" i="1"/>
  <c r="GU144" i="1" s="1"/>
  <c r="GS65" i="1"/>
  <c r="GU65" i="1" s="1"/>
  <c r="GS137" i="1"/>
  <c r="GU137" i="1" s="1"/>
  <c r="ES17" i="1"/>
  <c r="ET17" i="1" s="1"/>
  <c r="EU17" i="1" s="1"/>
  <c r="EW17" i="1" s="1"/>
  <c r="ES120" i="1"/>
  <c r="ET120" i="1" s="1"/>
  <c r="EU120" i="1" s="1"/>
  <c r="EW120" i="1" s="1"/>
  <c r="GJ36" i="1"/>
  <c r="ES101" i="1"/>
  <c r="ET101" i="1" s="1"/>
  <c r="EU101" i="1" s="1"/>
  <c r="EW101" i="1" s="1"/>
  <c r="BM113" i="1"/>
  <c r="BN113" i="1" s="1"/>
  <c r="BO113" i="1" s="1"/>
  <c r="BQ113" i="1" s="1"/>
  <c r="CO13" i="1"/>
  <c r="CP13" i="1" s="1"/>
  <c r="CQ13" i="1" s="1"/>
  <c r="CS13" i="1" s="1"/>
  <c r="CO136" i="1"/>
  <c r="CP136" i="1" s="1"/>
  <c r="CQ136" i="1" s="1"/>
  <c r="CS136" i="1" s="1"/>
  <c r="BM145" i="1"/>
  <c r="BN145" i="1" s="1"/>
  <c r="BO145" i="1" s="1"/>
  <c r="BQ145" i="1" s="1"/>
  <c r="CO59" i="1"/>
  <c r="CP59" i="1" s="1"/>
  <c r="CQ59" i="1" s="1"/>
  <c r="CS59" i="1" s="1"/>
  <c r="ES21" i="1"/>
  <c r="ET21" i="1" s="1"/>
  <c r="EU21" i="1" s="1"/>
  <c r="EW21" i="1" s="1"/>
  <c r="GS90" i="1"/>
  <c r="GU90" i="1" s="1"/>
  <c r="GJ142" i="1"/>
  <c r="BM130" i="1"/>
  <c r="BN130" i="1" s="1"/>
  <c r="BO130" i="1" s="1"/>
  <c r="BQ130" i="1" s="1"/>
  <c r="CO56" i="1"/>
  <c r="CP56" i="1" s="1"/>
  <c r="CQ56" i="1" s="1"/>
  <c r="CS56" i="1" s="1"/>
  <c r="CO27" i="1"/>
  <c r="CP27" i="1" s="1"/>
  <c r="CQ27" i="1" s="1"/>
  <c r="CS27" i="1" s="1"/>
  <c r="GS57" i="1"/>
  <c r="GU57" i="1" s="1"/>
  <c r="BM106" i="1"/>
  <c r="BN106" i="1" s="1"/>
  <c r="BO106" i="1" s="1"/>
  <c r="BQ106" i="1" s="1"/>
  <c r="ES123" i="1"/>
  <c r="ET123" i="1" s="1"/>
  <c r="EU123" i="1" s="1"/>
  <c r="EW123" i="1" s="1"/>
  <c r="BM158" i="1"/>
  <c r="BN158" i="1" s="1"/>
  <c r="BO158" i="1" s="1"/>
  <c r="BQ158" i="1" s="1"/>
  <c r="GS99" i="1"/>
  <c r="GU99" i="1" s="1"/>
  <c r="GS32" i="1"/>
  <c r="GU32" i="1" s="1"/>
  <c r="CO90" i="1"/>
  <c r="CP90" i="1" s="1"/>
  <c r="CQ90" i="1" s="1"/>
  <c r="CS90" i="1" s="1"/>
  <c r="BM74" i="1"/>
  <c r="BN74" i="1" s="1"/>
  <c r="BO74" i="1" s="1"/>
  <c r="BQ74" i="1" s="1"/>
  <c r="GS47" i="1"/>
  <c r="GU47" i="1" s="1"/>
  <c r="GS51" i="1"/>
  <c r="GU51" i="1" s="1"/>
  <c r="GS129" i="1"/>
  <c r="GU129" i="1" s="1"/>
  <c r="GS98" i="1"/>
  <c r="GU98" i="1" s="1"/>
  <c r="GS72" i="1"/>
  <c r="GU72" i="1" s="1"/>
  <c r="GS93" i="1"/>
  <c r="GU93" i="1" s="1"/>
  <c r="GS39" i="1"/>
  <c r="GU39" i="1" s="1"/>
  <c r="GS22" i="1"/>
  <c r="GU22" i="1" s="1"/>
  <c r="BM57" i="1"/>
  <c r="BN57" i="1" s="1"/>
  <c r="BO57" i="1" s="1"/>
  <c r="BQ57" i="1" s="1"/>
  <c r="DQ81" i="1"/>
  <c r="DR81" i="1" s="1"/>
  <c r="DS81" i="1" s="1"/>
  <c r="DU81" i="1" s="1"/>
  <c r="GS106" i="1"/>
  <c r="GU106" i="1" s="1"/>
  <c r="GS21" i="1"/>
  <c r="GU21" i="1" s="1"/>
  <c r="GS121" i="1"/>
  <c r="GU121" i="1" s="1"/>
  <c r="CO8" i="1"/>
  <c r="CP8" i="1" s="1"/>
  <c r="CQ8" i="1" s="1"/>
  <c r="CS8" i="1" s="1"/>
  <c r="CO22" i="1"/>
  <c r="CP22" i="1" s="1"/>
  <c r="CQ22" i="1" s="1"/>
  <c r="CS22" i="1" s="1"/>
  <c r="GS133" i="1"/>
  <c r="GU133" i="1" s="1"/>
  <c r="GS117" i="1"/>
  <c r="GU117" i="1" s="1"/>
  <c r="GS138" i="1"/>
  <c r="GU138" i="1" s="1"/>
  <c r="CO72" i="1"/>
  <c r="CP72" i="1" s="1"/>
  <c r="CQ72" i="1" s="1"/>
  <c r="CS72" i="1" s="1"/>
  <c r="DQ98" i="1"/>
  <c r="DR98" i="1" s="1"/>
  <c r="DS98" i="1" s="1"/>
  <c r="DU98" i="1" s="1"/>
  <c r="CO39" i="1"/>
  <c r="CP39" i="1" s="1"/>
  <c r="CQ39" i="1" s="1"/>
  <c r="CS39" i="1" s="1"/>
  <c r="BM156" i="1"/>
  <c r="BN156" i="1" s="1"/>
  <c r="BO156" i="1" s="1"/>
  <c r="BQ156" i="1" s="1"/>
  <c r="CO41" i="1"/>
  <c r="CP41" i="1" s="1"/>
  <c r="CQ41" i="1" s="1"/>
  <c r="CS41" i="1" s="1"/>
  <c r="GJ163" i="1"/>
  <c r="CO65" i="1"/>
  <c r="CP65" i="1" s="1"/>
  <c r="CQ65" i="1" s="1"/>
  <c r="CS65" i="1" s="1"/>
  <c r="GS141" i="1"/>
  <c r="GU141" i="1" s="1"/>
  <c r="GS69" i="1"/>
  <c r="GU69" i="1" s="1"/>
  <c r="GS111" i="1"/>
  <c r="GU111" i="1" s="1"/>
  <c r="GS145" i="1"/>
  <c r="GU145" i="1" s="1"/>
  <c r="M17" i="3"/>
  <c r="A18" i="3" s="1"/>
  <c r="GS120" i="1"/>
  <c r="GU120" i="1" s="1"/>
  <c r="GS134" i="1"/>
  <c r="GU134" i="1" s="1"/>
  <c r="GS107" i="1"/>
  <c r="GU107" i="1" s="1"/>
  <c r="GS44" i="1"/>
  <c r="GU44" i="1" s="1"/>
  <c r="GS27" i="1"/>
  <c r="GU27" i="1" s="1"/>
  <c r="GS122" i="1"/>
  <c r="GU122" i="1" s="1"/>
  <c r="GS36" i="1"/>
  <c r="GU36" i="1" s="1"/>
  <c r="GS20" i="1"/>
  <c r="GU20" i="1" s="1"/>
  <c r="GJ20" i="1"/>
  <c r="CO69" i="1"/>
  <c r="CP69" i="1" s="1"/>
  <c r="CQ69" i="1" s="1"/>
  <c r="CS69" i="1" s="1"/>
  <c r="BM94" i="1"/>
  <c r="BN94" i="1" s="1"/>
  <c r="BO94" i="1" s="1"/>
  <c r="BQ94" i="1" s="1"/>
  <c r="GS88" i="1"/>
  <c r="GU88" i="1" s="1"/>
  <c r="GS103" i="1"/>
  <c r="GU103" i="1" s="1"/>
  <c r="GS87" i="1"/>
  <c r="GU87" i="1" s="1"/>
  <c r="GS53" i="1"/>
  <c r="GU53" i="1" s="1"/>
  <c r="GJ16" i="1"/>
  <c r="GS157" i="1"/>
  <c r="GU157" i="1" s="1"/>
  <c r="GS78" i="1"/>
  <c r="GU78" i="1" s="1"/>
  <c r="GS75" i="1"/>
  <c r="GU75" i="1" s="1"/>
  <c r="GS112" i="1"/>
  <c r="GU112" i="1" s="1"/>
  <c r="GS81" i="1"/>
  <c r="GU81" i="1" s="1"/>
  <c r="GS64" i="1"/>
  <c r="GU64" i="1" s="1"/>
  <c r="GS49" i="1"/>
  <c r="GU49" i="1" s="1"/>
  <c r="GS94" i="1"/>
  <c r="GU94" i="1" s="1"/>
  <c r="GS14" i="1"/>
  <c r="GU14" i="1" s="1"/>
  <c r="GS42" i="1"/>
  <c r="GU42" i="1" s="1"/>
  <c r="GS30" i="1"/>
  <c r="GU30" i="1" s="1"/>
  <c r="GS24" i="1"/>
  <c r="GU24" i="1" s="1"/>
  <c r="GS18" i="1"/>
  <c r="GU18" i="1" s="1"/>
  <c r="GS147" i="1"/>
  <c r="GU147" i="1" s="1"/>
  <c r="DQ44" i="1"/>
  <c r="DR44" i="1" s="1"/>
  <c r="DS44" i="1" s="1"/>
  <c r="DU44" i="1" s="1"/>
  <c r="CO53" i="1"/>
  <c r="CP53" i="1" s="1"/>
  <c r="CQ53" i="1" s="1"/>
  <c r="CS53" i="1" s="1"/>
  <c r="DQ53" i="1"/>
  <c r="DR53" i="1" s="1"/>
  <c r="DS53" i="1" s="1"/>
  <c r="DU53" i="1" s="1"/>
  <c r="ES36" i="1"/>
  <c r="ET36" i="1" s="1"/>
  <c r="EU36" i="1" s="1"/>
  <c r="EW36" i="1" s="1"/>
  <c r="ES110" i="1"/>
  <c r="ET110" i="1" s="1"/>
  <c r="EU110" i="1" s="1"/>
  <c r="EW110" i="1" s="1"/>
  <c r="CO24" i="1"/>
  <c r="CP24" i="1" s="1"/>
  <c r="CQ24" i="1" s="1"/>
  <c r="CS24" i="1" s="1"/>
  <c r="CO127" i="1"/>
  <c r="CP127" i="1" s="1"/>
  <c r="CQ127" i="1" s="1"/>
  <c r="CS127" i="1" s="1"/>
  <c r="ES111" i="1"/>
  <c r="ET111" i="1" s="1"/>
  <c r="EU111" i="1" s="1"/>
  <c r="EW111" i="1" s="1"/>
  <c r="GJ43" i="1"/>
  <c r="BM134" i="1"/>
  <c r="BN134" i="1" s="1"/>
  <c r="BO134" i="1" s="1"/>
  <c r="BQ134" i="1" s="1"/>
  <c r="GJ91" i="1"/>
  <c r="GJ13" i="1"/>
  <c r="GJ119" i="1"/>
  <c r="GJ138" i="1"/>
  <c r="GJ131" i="1"/>
  <c r="GJ37" i="1"/>
  <c r="GJ89" i="1"/>
  <c r="GJ39" i="1"/>
  <c r="GJ61" i="1"/>
  <c r="GJ93" i="1"/>
  <c r="GJ133" i="1"/>
  <c r="GJ9" i="1"/>
  <c r="CO134" i="1"/>
  <c r="CP134" i="1" s="1"/>
  <c r="CQ134" i="1" s="1"/>
  <c r="CS134" i="1" s="1"/>
  <c r="ES103" i="1"/>
  <c r="ET103" i="1" s="1"/>
  <c r="EU103" i="1" s="1"/>
  <c r="EW103" i="1" s="1"/>
  <c r="GJ158" i="1"/>
  <c r="GJ25" i="1"/>
  <c r="GJ70" i="1"/>
  <c r="GJ135" i="1"/>
  <c r="GJ110" i="1"/>
  <c r="GJ108" i="1"/>
  <c r="GJ45" i="1"/>
  <c r="GJ94" i="1"/>
  <c r="GJ123" i="1"/>
  <c r="GJ54" i="1"/>
  <c r="GJ32" i="1"/>
  <c r="E13" i="4"/>
  <c r="M17" i="4"/>
  <c r="A18" i="4" s="1"/>
  <c r="E28" i="4"/>
  <c r="M21" i="3"/>
  <c r="A21" i="3" s="1"/>
  <c r="A27" i="3"/>
  <c r="GA123" i="1"/>
  <c r="GF156" i="1"/>
  <c r="GK156" i="1" s="1"/>
  <c r="GF64" i="1"/>
  <c r="GJ64" i="1" s="1"/>
  <c r="GF147" i="1"/>
  <c r="GJ147" i="1" s="1"/>
  <c r="GA23" i="1"/>
  <c r="GA66" i="1"/>
  <c r="GF141" i="1"/>
  <c r="GJ141" i="1" s="1"/>
  <c r="GA93" i="1"/>
  <c r="GA83" i="1"/>
  <c r="GF162" i="1"/>
  <c r="GK162" i="1" s="1"/>
  <c r="GF154" i="1"/>
  <c r="GK154" i="1" s="1"/>
  <c r="GA113" i="1"/>
  <c r="GA138" i="1"/>
  <c r="GA57" i="1"/>
  <c r="L9" i="4"/>
  <c r="GF151" i="1"/>
  <c r="GK151" i="1" s="1"/>
  <c r="GA33" i="1"/>
  <c r="I7" i="3"/>
  <c r="GA133" i="1"/>
  <c r="GA17" i="1"/>
  <c r="I6" i="3"/>
  <c r="GA77" i="1"/>
  <c r="GF79" i="1"/>
  <c r="GJ79" i="1" s="1"/>
  <c r="GK28" i="1"/>
  <c r="GK32" i="1"/>
  <c r="GF152" i="1"/>
  <c r="GK152" i="1" s="1"/>
  <c r="GA39" i="1"/>
  <c r="GA44" i="1"/>
  <c r="GA37" i="1"/>
  <c r="GK9" i="1"/>
  <c r="GK163" i="1"/>
  <c r="GF143" i="1"/>
  <c r="GJ143" i="1" s="1"/>
  <c r="GU143" i="1"/>
  <c r="GF129" i="1"/>
  <c r="GK129" i="1" s="1"/>
  <c r="GU85" i="1"/>
  <c r="GA74" i="1"/>
  <c r="GA131" i="1"/>
  <c r="GA94" i="1"/>
  <c r="GK77" i="1"/>
  <c r="GA101" i="1"/>
  <c r="GA46" i="1"/>
  <c r="GA21" i="1"/>
  <c r="GF29" i="1"/>
  <c r="GJ29" i="1" s="1"/>
  <c r="GK6" i="1"/>
  <c r="GA35" i="1"/>
  <c r="GF121" i="1"/>
  <c r="GJ121" i="1" s="1"/>
  <c r="GK43" i="1"/>
  <c r="GK16" i="1"/>
  <c r="GA104" i="1"/>
  <c r="GA86" i="1"/>
  <c r="GA61" i="1"/>
  <c r="GA15" i="1"/>
  <c r="GA8" i="1"/>
  <c r="GA7" i="1"/>
  <c r="GK40" i="1"/>
  <c r="GK20" i="1"/>
  <c r="GK24" i="1"/>
  <c r="GA41" i="1"/>
  <c r="GK36" i="1"/>
  <c r="GA110" i="1"/>
  <c r="GU37" i="1"/>
  <c r="GF124" i="1"/>
  <c r="GK124" i="1" s="1"/>
  <c r="GF164" i="1"/>
  <c r="GJ164" i="1" s="1"/>
  <c r="GA25" i="1"/>
  <c r="GK35" i="1"/>
  <c r="GJ69" i="1"/>
  <c r="GK69" i="1"/>
  <c r="GJ15" i="1"/>
  <c r="GK15" i="1"/>
  <c r="GJ86" i="1"/>
  <c r="GK86" i="1"/>
  <c r="GJ46" i="1"/>
  <c r="GK46" i="1"/>
  <c r="GK44" i="1"/>
  <c r="GJ44" i="1"/>
  <c r="GJ77" i="1"/>
  <c r="GA81" i="1"/>
  <c r="GA70" i="1"/>
  <c r="GA69" i="1"/>
  <c r="GF165" i="1"/>
  <c r="GJ165" i="1" s="1"/>
  <c r="GF52" i="1"/>
  <c r="GJ52" i="1" s="1"/>
  <c r="GK13" i="1"/>
  <c r="GA135" i="1"/>
  <c r="GK110" i="1"/>
  <c r="GA106" i="1"/>
  <c r="GA72" i="1"/>
  <c r="GF22" i="1"/>
  <c r="GJ22" i="1" s="1"/>
  <c r="GF125" i="1"/>
  <c r="GJ125" i="1" s="1"/>
  <c r="GA54" i="1"/>
  <c r="GK37" i="1"/>
  <c r="GF56" i="1"/>
  <c r="GK56" i="1" s="1"/>
  <c r="GK93" i="1"/>
  <c r="GF30" i="1"/>
  <c r="GK30" i="1" s="1"/>
  <c r="GJ57" i="1"/>
  <c r="GK57" i="1"/>
  <c r="GJ41" i="1"/>
  <c r="GK41" i="1"/>
  <c r="GK31" i="1"/>
  <c r="GJ31" i="1"/>
  <c r="GK101" i="1"/>
  <c r="GJ101" i="1"/>
  <c r="GK33" i="1"/>
  <c r="GJ33" i="1"/>
  <c r="GF53" i="1"/>
  <c r="GJ53" i="1" s="1"/>
  <c r="GF144" i="1"/>
  <c r="GJ144" i="1" s="1"/>
  <c r="GA91" i="1"/>
  <c r="GF38" i="1"/>
  <c r="GJ38" i="1" s="1"/>
  <c r="GJ35" i="1"/>
  <c r="GF27" i="1"/>
  <c r="GF12" i="1"/>
  <c r="GF75" i="1"/>
  <c r="GK75" i="1" s="1"/>
  <c r="GF146" i="1"/>
  <c r="GK146" i="1" s="1"/>
  <c r="GA89" i="1"/>
  <c r="GK94" i="1"/>
  <c r="GK138" i="1"/>
  <c r="GF140" i="1"/>
  <c r="GJ140" i="1" s="1"/>
  <c r="GA158" i="1"/>
  <c r="GF136" i="1"/>
  <c r="GK136" i="1" s="1"/>
  <c r="GK142" i="1"/>
  <c r="GK91" i="1"/>
  <c r="GK70" i="1"/>
  <c r="GK61" i="1"/>
  <c r="GA98" i="1"/>
  <c r="GA96" i="1"/>
  <c r="GA45" i="1"/>
  <c r="GA31" i="1"/>
  <c r="GA19" i="1"/>
  <c r="GK123" i="1"/>
  <c r="GK54" i="1"/>
  <c r="GA108" i="1"/>
  <c r="GA14" i="1"/>
  <c r="GA10" i="1"/>
  <c r="GA49" i="1"/>
  <c r="GU152" i="1"/>
  <c r="GU89" i="1"/>
  <c r="GU131" i="1"/>
  <c r="GK83" i="1"/>
  <c r="GJ83" i="1"/>
  <c r="GK104" i="1"/>
  <c r="GJ104" i="1"/>
  <c r="GJ21" i="1"/>
  <c r="GK21" i="1"/>
  <c r="GJ72" i="1"/>
  <c r="GK72" i="1"/>
  <c r="GJ49" i="1"/>
  <c r="GK49" i="1"/>
  <c r="GF42" i="1"/>
  <c r="GJ42" i="1" s="1"/>
  <c r="GF26" i="1"/>
  <c r="GK26" i="1" s="1"/>
  <c r="GF11" i="1"/>
  <c r="GK11" i="1" s="1"/>
  <c r="GK108" i="1"/>
  <c r="GJ8" i="1"/>
  <c r="GK8" i="1"/>
  <c r="GK7" i="1"/>
  <c r="GJ7" i="1"/>
  <c r="GJ113" i="1"/>
  <c r="GK113" i="1"/>
  <c r="GJ81" i="1"/>
  <c r="GK81" i="1"/>
  <c r="GJ66" i="1"/>
  <c r="GK66" i="1"/>
  <c r="GK106" i="1"/>
  <c r="GJ106" i="1"/>
  <c r="GK23" i="1"/>
  <c r="GJ23" i="1"/>
  <c r="GK74" i="1"/>
  <c r="GJ74" i="1"/>
  <c r="GA119" i="1"/>
  <c r="GK158" i="1"/>
  <c r="GF145" i="1"/>
  <c r="GJ145" i="1" s="1"/>
  <c r="GK119" i="1"/>
  <c r="GK25" i="1"/>
  <c r="GK98" i="1"/>
  <c r="GJ98" i="1"/>
  <c r="GK96" i="1"/>
  <c r="GJ96" i="1"/>
  <c r="GK17" i="1"/>
  <c r="GJ17" i="1"/>
  <c r="GK19" i="1"/>
  <c r="GJ19" i="1"/>
  <c r="GK10" i="1"/>
  <c r="GJ10" i="1"/>
  <c r="GK14" i="1"/>
  <c r="GJ14" i="1"/>
  <c r="GK89" i="1"/>
  <c r="GK135" i="1"/>
  <c r="GF34" i="1"/>
  <c r="GK34" i="1" s="1"/>
  <c r="GF18" i="1"/>
  <c r="GK18" i="1" s="1"/>
  <c r="GK131" i="1"/>
  <c r="G10" i="3"/>
  <c r="GF137" i="1"/>
  <c r="GJ137" i="1" s="1"/>
  <c r="GK133" i="1"/>
  <c r="GK45" i="1"/>
  <c r="GK39" i="1"/>
  <c r="GF148" i="1"/>
  <c r="GJ148" i="1" s="1"/>
  <c r="GF127" i="1"/>
  <c r="GJ127" i="1" s="1"/>
  <c r="A23" i="3"/>
  <c r="E23" i="3"/>
  <c r="L6" i="3"/>
  <c r="A22" i="3"/>
  <c r="E22" i="3"/>
  <c r="L8" i="3"/>
  <c r="GK112" i="1"/>
  <c r="GJ112" i="1"/>
  <c r="GK109" i="1"/>
  <c r="GJ109" i="1"/>
  <c r="GK105" i="1"/>
  <c r="GJ105" i="1"/>
  <c r="GK102" i="1"/>
  <c r="GJ102" i="1"/>
  <c r="GK88" i="1"/>
  <c r="GJ88" i="1"/>
  <c r="GK71" i="1"/>
  <c r="GJ71" i="1"/>
  <c r="GK100" i="1"/>
  <c r="GJ100" i="1"/>
  <c r="GK90" i="1"/>
  <c r="GJ90" i="1"/>
  <c r="GK78" i="1"/>
  <c r="GJ78" i="1"/>
  <c r="GK58" i="1"/>
  <c r="GJ58" i="1"/>
  <c r="L35" i="4"/>
  <c r="E27" i="4"/>
  <c r="A27" i="4"/>
  <c r="GF48" i="1"/>
  <c r="GJ161" i="1"/>
  <c r="GK161" i="1"/>
  <c r="GK134" i="1"/>
  <c r="GJ134" i="1"/>
  <c r="GF159" i="1"/>
  <c r="GF157" i="1"/>
  <c r="GF139" i="1"/>
  <c r="H10" i="3"/>
  <c r="GF130" i="1"/>
  <c r="GF150" i="1"/>
  <c r="GF132" i="1"/>
  <c r="GJ126" i="1"/>
  <c r="GK126" i="1"/>
  <c r="GF120" i="1"/>
  <c r="GJ122" i="1"/>
  <c r="GK122" i="1"/>
  <c r="GK117" i="1"/>
  <c r="GJ117" i="1"/>
  <c r="GK116" i="1"/>
  <c r="GJ116" i="1"/>
  <c r="GK115" i="1"/>
  <c r="GJ115" i="1"/>
  <c r="GK114" i="1"/>
  <c r="GJ114" i="1"/>
  <c r="L9" i="3"/>
  <c r="GK99" i="1"/>
  <c r="GJ99" i="1"/>
  <c r="GK85" i="1"/>
  <c r="GJ85" i="1"/>
  <c r="GK67" i="1"/>
  <c r="GJ67" i="1"/>
  <c r="GK65" i="1"/>
  <c r="GJ65" i="1"/>
  <c r="GK107" i="1"/>
  <c r="GJ107" i="1"/>
  <c r="GK82" i="1"/>
  <c r="GJ82" i="1"/>
  <c r="L8" i="4"/>
  <c r="GF50" i="1"/>
  <c r="A22" i="4"/>
  <c r="E22" i="4"/>
  <c r="G5" i="3"/>
  <c r="M5" i="3"/>
  <c r="GK95" i="1"/>
  <c r="GJ95" i="1"/>
  <c r="GK80" i="1"/>
  <c r="GJ80" i="1"/>
  <c r="GK59" i="1"/>
  <c r="GJ59" i="1"/>
  <c r="GK97" i="1"/>
  <c r="GJ97" i="1"/>
  <c r="GS11" i="1"/>
  <c r="GU11" i="1" s="1"/>
  <c r="L7" i="4"/>
  <c r="GS10" i="1"/>
  <c r="GU10" i="1" s="1"/>
  <c r="GK51" i="1"/>
  <c r="GJ51" i="1"/>
  <c r="GJ47" i="1"/>
  <c r="GK47" i="1"/>
  <c r="GS16" i="1"/>
  <c r="GU16" i="1" s="1"/>
  <c r="GS9" i="1"/>
  <c r="GU9" i="1" s="1"/>
  <c r="CO6" i="1"/>
  <c r="CP6" i="1" s="1"/>
  <c r="GK55" i="1"/>
  <c r="GJ55" i="1"/>
  <c r="GS12" i="1"/>
  <c r="GU12" i="1" s="1"/>
  <c r="GK118" i="1"/>
  <c r="GJ118" i="1"/>
  <c r="GJ155" i="1"/>
  <c r="GK155" i="1"/>
  <c r="GJ128" i="1"/>
  <c r="GK128" i="1"/>
  <c r="A24" i="3"/>
  <c r="E24" i="3"/>
  <c r="L7" i="3"/>
  <c r="GK92" i="1"/>
  <c r="GJ92" i="1"/>
  <c r="GK76" i="1"/>
  <c r="GJ76" i="1"/>
  <c r="GK111" i="1"/>
  <c r="GJ111" i="1"/>
  <c r="GK103" i="1"/>
  <c r="GJ103" i="1"/>
  <c r="GK87" i="1"/>
  <c r="GJ87" i="1"/>
  <c r="GK73" i="1"/>
  <c r="GJ73" i="1"/>
  <c r="GK62" i="1"/>
  <c r="GJ62" i="1"/>
  <c r="L6" i="4"/>
  <c r="G10" i="4"/>
  <c r="H10" i="4"/>
  <c r="GS6" i="1"/>
  <c r="GU6" i="1" s="1"/>
  <c r="BM6" i="1"/>
  <c r="BN6" i="1" s="1"/>
  <c r="GS8" i="1"/>
  <c r="GU8" i="1" s="1"/>
  <c r="E23" i="4"/>
  <c r="A23" i="4"/>
  <c r="E24" i="4"/>
  <c r="A24" i="4"/>
  <c r="GX171" i="1" l="1"/>
  <c r="GX175" i="1"/>
  <c r="GX173" i="1"/>
  <c r="GX166" i="1"/>
  <c r="GX177" i="1"/>
  <c r="BQ165" i="1"/>
  <c r="EX165" i="1" s="1"/>
  <c r="EY165" i="1" s="1"/>
  <c r="FV165" i="1" s="1"/>
  <c r="GV165" i="1"/>
  <c r="FU160" i="1"/>
  <c r="GX160" i="1"/>
  <c r="GX84" i="1"/>
  <c r="FU84" i="1"/>
  <c r="J8" i="4"/>
  <c r="FU63" i="1"/>
  <c r="FU60" i="1"/>
  <c r="GX60" i="1"/>
  <c r="FU153" i="1"/>
  <c r="FU68" i="1"/>
  <c r="J7" i="4"/>
  <c r="J6" i="4"/>
  <c r="GV133" i="1"/>
  <c r="I10" i="4"/>
  <c r="GV127" i="1"/>
  <c r="GV163" i="1"/>
  <c r="K7" i="4"/>
  <c r="EX163" i="1"/>
  <c r="EY163" i="1" s="1"/>
  <c r="FV163" i="1" s="1"/>
  <c r="GV111" i="1"/>
  <c r="EX34" i="1"/>
  <c r="EY34" i="1" s="1"/>
  <c r="FV34" i="1" s="1"/>
  <c r="FU149" i="1"/>
  <c r="GX149" i="1"/>
  <c r="GV91" i="1"/>
  <c r="EX123" i="1"/>
  <c r="EY123" i="1" s="1"/>
  <c r="FV123" i="1" s="1"/>
  <c r="GV162" i="1"/>
  <c r="EX139" i="1"/>
  <c r="EY139" i="1" s="1"/>
  <c r="FV139" i="1" s="1"/>
  <c r="EX91" i="1"/>
  <c r="EY91" i="1" s="1"/>
  <c r="FV91" i="1" s="1"/>
  <c r="GV34" i="1"/>
  <c r="EX162" i="1"/>
  <c r="EY162" i="1" s="1"/>
  <c r="FV162" i="1" s="1"/>
  <c r="EX83" i="1"/>
  <c r="EY83" i="1" s="1"/>
  <c r="FV83" i="1" s="1"/>
  <c r="GV83" i="1"/>
  <c r="EX75" i="1"/>
  <c r="EY75" i="1" s="1"/>
  <c r="FV75" i="1" s="1"/>
  <c r="GV75" i="1"/>
  <c r="J8" i="3"/>
  <c r="GV141" i="1"/>
  <c r="EX85" i="1"/>
  <c r="EY85" i="1" s="1"/>
  <c r="FV85" i="1" s="1"/>
  <c r="GV100" i="1"/>
  <c r="EX10" i="1"/>
  <c r="EY10" i="1" s="1"/>
  <c r="FV10" i="1" s="1"/>
  <c r="EX23" i="1"/>
  <c r="EY23" i="1" s="1"/>
  <c r="FV23" i="1" s="1"/>
  <c r="J9" i="3"/>
  <c r="GV23" i="1"/>
  <c r="EX52" i="1"/>
  <c r="EY52" i="1" s="1"/>
  <c r="FV52" i="1" s="1"/>
  <c r="GV140" i="1"/>
  <c r="GV32" i="1"/>
  <c r="GV161" i="1"/>
  <c r="EX62" i="1"/>
  <c r="EY62" i="1" s="1"/>
  <c r="FV62" i="1" s="1"/>
  <c r="EX32" i="1"/>
  <c r="EY32" i="1" s="1"/>
  <c r="FV32" i="1" s="1"/>
  <c r="EX77" i="1"/>
  <c r="EY77" i="1" s="1"/>
  <c r="FV77" i="1" s="1"/>
  <c r="EX115" i="1"/>
  <c r="EY115" i="1" s="1"/>
  <c r="FV115" i="1" s="1"/>
  <c r="EX86" i="1"/>
  <c r="EY86" i="1" s="1"/>
  <c r="FV86" i="1" s="1"/>
  <c r="EX117" i="1"/>
  <c r="EY117" i="1" s="1"/>
  <c r="FV117" i="1" s="1"/>
  <c r="GV62" i="1"/>
  <c r="GV39" i="1"/>
  <c r="EX51" i="1"/>
  <c r="EY51" i="1" s="1"/>
  <c r="FV51" i="1" s="1"/>
  <c r="GV164" i="1"/>
  <c r="EX82" i="1"/>
  <c r="EY82" i="1" s="1"/>
  <c r="FV82" i="1" s="1"/>
  <c r="GV82" i="1"/>
  <c r="EX110" i="1"/>
  <c r="EY110" i="1" s="1"/>
  <c r="FV110" i="1" s="1"/>
  <c r="EX96" i="1"/>
  <c r="EY96" i="1" s="1"/>
  <c r="FV96" i="1" s="1"/>
  <c r="EX21" i="1"/>
  <c r="EY21" i="1" s="1"/>
  <c r="FV21" i="1" s="1"/>
  <c r="GV20" i="1"/>
  <c r="GV151" i="1"/>
  <c r="GV98" i="1"/>
  <c r="EX151" i="1"/>
  <c r="EY151" i="1" s="1"/>
  <c r="FV151" i="1" s="1"/>
  <c r="EX20" i="1"/>
  <c r="EY20" i="1" s="1"/>
  <c r="FV20" i="1" s="1"/>
  <c r="GV85" i="1"/>
  <c r="EX140" i="1"/>
  <c r="EY140" i="1" s="1"/>
  <c r="FV140" i="1" s="1"/>
  <c r="EX41" i="1"/>
  <c r="EY41" i="1" s="1"/>
  <c r="FV41" i="1" s="1"/>
  <c r="GV109" i="1"/>
  <c r="GV79" i="1"/>
  <c r="EX12" i="1"/>
  <c r="EY12" i="1" s="1"/>
  <c r="FV12" i="1" s="1"/>
  <c r="EX155" i="1"/>
  <c r="EY155" i="1" s="1"/>
  <c r="FV155" i="1" s="1"/>
  <c r="GV18" i="1"/>
  <c r="GV78" i="1"/>
  <c r="GV77" i="1"/>
  <c r="EX161" i="1"/>
  <c r="EY161" i="1" s="1"/>
  <c r="FV161" i="1" s="1"/>
  <c r="EX100" i="1"/>
  <c r="EY100" i="1" s="1"/>
  <c r="FV100" i="1" s="1"/>
  <c r="EX78" i="1"/>
  <c r="EY78" i="1" s="1"/>
  <c r="FV78" i="1" s="1"/>
  <c r="J9" i="4"/>
  <c r="EX132" i="1"/>
  <c r="EY132" i="1" s="1"/>
  <c r="FV132" i="1" s="1"/>
  <c r="GV157" i="1"/>
  <c r="GV159" i="1"/>
  <c r="EX114" i="1"/>
  <c r="EY114" i="1" s="1"/>
  <c r="FV114" i="1" s="1"/>
  <c r="EX142" i="1"/>
  <c r="EY142" i="1" s="1"/>
  <c r="FV142" i="1" s="1"/>
  <c r="EX15" i="1"/>
  <c r="EY15" i="1" s="1"/>
  <c r="FV15" i="1" s="1"/>
  <c r="GV122" i="1"/>
  <c r="EX37" i="1"/>
  <c r="EY37" i="1" s="1"/>
  <c r="FV37" i="1" s="1"/>
  <c r="GV143" i="1"/>
  <c r="GV73" i="1"/>
  <c r="GV37" i="1"/>
  <c r="EX122" i="1"/>
  <c r="EY122" i="1" s="1"/>
  <c r="FV122" i="1" s="1"/>
  <c r="EX164" i="1"/>
  <c r="EY164" i="1" s="1"/>
  <c r="FV164" i="1" s="1"/>
  <c r="EX49" i="1"/>
  <c r="EY49" i="1" s="1"/>
  <c r="FV49" i="1" s="1"/>
  <c r="GV15" i="1"/>
  <c r="GV49" i="1"/>
  <c r="GV125" i="1"/>
  <c r="GV14" i="1"/>
  <c r="GV50" i="1"/>
  <c r="EX50" i="1"/>
  <c r="EY50" i="1" s="1"/>
  <c r="FV50" i="1" s="1"/>
  <c r="EX33" i="1"/>
  <c r="EY33" i="1" s="1"/>
  <c r="FV33" i="1" s="1"/>
  <c r="EX99" i="1"/>
  <c r="EY99" i="1" s="1"/>
  <c r="FV99" i="1" s="1"/>
  <c r="GV86" i="1"/>
  <c r="GV112" i="1"/>
  <c r="EX107" i="1"/>
  <c r="EY107" i="1" s="1"/>
  <c r="FV107" i="1" s="1"/>
  <c r="EX116" i="1"/>
  <c r="EY116" i="1" s="1"/>
  <c r="FV116" i="1" s="1"/>
  <c r="GV158" i="1"/>
  <c r="GV118" i="1"/>
  <c r="EX76" i="1"/>
  <c r="EY76" i="1" s="1"/>
  <c r="FV76" i="1" s="1"/>
  <c r="EX14" i="1"/>
  <c r="EY14" i="1" s="1"/>
  <c r="FV14" i="1" s="1"/>
  <c r="GV57" i="1"/>
  <c r="EX18" i="1"/>
  <c r="EY18" i="1" s="1"/>
  <c r="FV18" i="1" s="1"/>
  <c r="GV146" i="1"/>
  <c r="EX159" i="1"/>
  <c r="EY159" i="1" s="1"/>
  <c r="FV159" i="1" s="1"/>
  <c r="GV51" i="1"/>
  <c r="GV25" i="1"/>
  <c r="EX29" i="1"/>
  <c r="EY29" i="1" s="1"/>
  <c r="FV29" i="1" s="1"/>
  <c r="GV152" i="1"/>
  <c r="EX7" i="1"/>
  <c r="EY7" i="1" s="1"/>
  <c r="FV7" i="1" s="1"/>
  <c r="GV88" i="1"/>
  <c r="EX138" i="1"/>
  <c r="EY138" i="1" s="1"/>
  <c r="FV138" i="1" s="1"/>
  <c r="GV116" i="1"/>
  <c r="GV87" i="1"/>
  <c r="GV30" i="1"/>
  <c r="EX143" i="1"/>
  <c r="EY143" i="1" s="1"/>
  <c r="FV143" i="1" s="1"/>
  <c r="EX9" i="1"/>
  <c r="EY9" i="1" s="1"/>
  <c r="FV9" i="1" s="1"/>
  <c r="EX150" i="1"/>
  <c r="EY150" i="1" s="1"/>
  <c r="FV150" i="1" s="1"/>
  <c r="GV102" i="1"/>
  <c r="EX61" i="1"/>
  <c r="EY61" i="1" s="1"/>
  <c r="FV61" i="1" s="1"/>
  <c r="GV29" i="1"/>
  <c r="EX102" i="1"/>
  <c r="EY102" i="1" s="1"/>
  <c r="FV102" i="1" s="1"/>
  <c r="EX55" i="1"/>
  <c r="EY55" i="1" s="1"/>
  <c r="FV55" i="1" s="1"/>
  <c r="EX131" i="1"/>
  <c r="EY131" i="1" s="1"/>
  <c r="FV131" i="1" s="1"/>
  <c r="EX135" i="1"/>
  <c r="EY135" i="1" s="1"/>
  <c r="FV135" i="1" s="1"/>
  <c r="GV61" i="1"/>
  <c r="EX71" i="1"/>
  <c r="EY71" i="1" s="1"/>
  <c r="FV71" i="1" s="1"/>
  <c r="EX144" i="1"/>
  <c r="EY144" i="1" s="1"/>
  <c r="FV144" i="1" s="1"/>
  <c r="GV147" i="1"/>
  <c r="GV33" i="1"/>
  <c r="EX125" i="1"/>
  <c r="EY125" i="1" s="1"/>
  <c r="FV125" i="1" s="1"/>
  <c r="EX64" i="1"/>
  <c r="EY64" i="1" s="1"/>
  <c r="FV64" i="1" s="1"/>
  <c r="GV28" i="1"/>
  <c r="GV115" i="1"/>
  <c r="EX129" i="1"/>
  <c r="EY129" i="1" s="1"/>
  <c r="FV129" i="1" s="1"/>
  <c r="GV155" i="1"/>
  <c r="GV52" i="1"/>
  <c r="EX95" i="1"/>
  <c r="EY95" i="1" s="1"/>
  <c r="FV95" i="1" s="1"/>
  <c r="EX112" i="1"/>
  <c r="EY112" i="1" s="1"/>
  <c r="FV112" i="1" s="1"/>
  <c r="EX105" i="1"/>
  <c r="EY105" i="1" s="1"/>
  <c r="FV105" i="1" s="1"/>
  <c r="GV107" i="1"/>
  <c r="GV42" i="1"/>
  <c r="GV108" i="1"/>
  <c r="EX28" i="1"/>
  <c r="EY28" i="1" s="1"/>
  <c r="FV28" i="1" s="1"/>
  <c r="EX25" i="1"/>
  <c r="EY25" i="1" s="1"/>
  <c r="FV25" i="1" s="1"/>
  <c r="EX69" i="1"/>
  <c r="EY69" i="1" s="1"/>
  <c r="FV69" i="1" s="1"/>
  <c r="GV145" i="1"/>
  <c r="GV96" i="1"/>
  <c r="GV150" i="1"/>
  <c r="GV114" i="1"/>
  <c r="GV43" i="1"/>
  <c r="EX152" i="1"/>
  <c r="EY152" i="1" s="1"/>
  <c r="FV152" i="1" s="1"/>
  <c r="EX35" i="1"/>
  <c r="EY35" i="1" s="1"/>
  <c r="FV35" i="1" s="1"/>
  <c r="EX80" i="1"/>
  <c r="EY80" i="1" s="1"/>
  <c r="FV80" i="1" s="1"/>
  <c r="EX104" i="1"/>
  <c r="EY104" i="1" s="1"/>
  <c r="FV104" i="1" s="1"/>
  <c r="GV135" i="1"/>
  <c r="GV129" i="1"/>
  <c r="GV138" i="1"/>
  <c r="GV105" i="1"/>
  <c r="EX42" i="1"/>
  <c r="EY42" i="1" s="1"/>
  <c r="FV42" i="1" s="1"/>
  <c r="EX147" i="1"/>
  <c r="EY147" i="1" s="1"/>
  <c r="FV147" i="1" s="1"/>
  <c r="EX74" i="1"/>
  <c r="EY74" i="1" s="1"/>
  <c r="FV74" i="1" s="1"/>
  <c r="EX119" i="1"/>
  <c r="EY119" i="1" s="1"/>
  <c r="FV119" i="1" s="1"/>
  <c r="EX87" i="1"/>
  <c r="EY87" i="1" s="1"/>
  <c r="FV87" i="1" s="1"/>
  <c r="EX109" i="1"/>
  <c r="EY109" i="1" s="1"/>
  <c r="FV109" i="1" s="1"/>
  <c r="GV144" i="1"/>
  <c r="EX88" i="1"/>
  <c r="EY88" i="1" s="1"/>
  <c r="FV88" i="1" s="1"/>
  <c r="GV40" i="1"/>
  <c r="EX89" i="1"/>
  <c r="EY89" i="1" s="1"/>
  <c r="FV89" i="1" s="1"/>
  <c r="EX126" i="1"/>
  <c r="EY126" i="1" s="1"/>
  <c r="FV126" i="1" s="1"/>
  <c r="EX13" i="1"/>
  <c r="EY13" i="1" s="1"/>
  <c r="FV13" i="1" s="1"/>
  <c r="EX97" i="1"/>
  <c r="EY97" i="1" s="1"/>
  <c r="FV97" i="1" s="1"/>
  <c r="GV139" i="1"/>
  <c r="EX108" i="1"/>
  <c r="EY108" i="1" s="1"/>
  <c r="FV108" i="1" s="1"/>
  <c r="EX81" i="1"/>
  <c r="EY81" i="1" s="1"/>
  <c r="FV81" i="1" s="1"/>
  <c r="EX38" i="1"/>
  <c r="EY38" i="1" s="1"/>
  <c r="FV38" i="1" s="1"/>
  <c r="EX45" i="1"/>
  <c r="EY45" i="1" s="1"/>
  <c r="FV45" i="1" s="1"/>
  <c r="GV7" i="1"/>
  <c r="GV71" i="1"/>
  <c r="EX94" i="1"/>
  <c r="EY94" i="1" s="1"/>
  <c r="FV94" i="1" s="1"/>
  <c r="GV131" i="1"/>
  <c r="GV99" i="1"/>
  <c r="GV142" i="1"/>
  <c r="GV55" i="1"/>
  <c r="EX133" i="1"/>
  <c r="EY133" i="1" s="1"/>
  <c r="FV133" i="1" s="1"/>
  <c r="GV47" i="1"/>
  <c r="GV148" i="1"/>
  <c r="EX30" i="1"/>
  <c r="EY30" i="1" s="1"/>
  <c r="FV30" i="1" s="1"/>
  <c r="EX128" i="1"/>
  <c r="EY128" i="1" s="1"/>
  <c r="FV128" i="1" s="1"/>
  <c r="EX58" i="1"/>
  <c r="EY58" i="1" s="1"/>
  <c r="FV58" i="1" s="1"/>
  <c r="GV19" i="1"/>
  <c r="EX67" i="1"/>
  <c r="EY67" i="1" s="1"/>
  <c r="FV67" i="1" s="1"/>
  <c r="EX113" i="1"/>
  <c r="EY113" i="1" s="1"/>
  <c r="FV113" i="1" s="1"/>
  <c r="GV92" i="1"/>
  <c r="EX54" i="1"/>
  <c r="EY54" i="1" s="1"/>
  <c r="FV54" i="1" s="1"/>
  <c r="GV154" i="1"/>
  <c r="GX63" i="1"/>
  <c r="GX153" i="1"/>
  <c r="GX68" i="1"/>
  <c r="GV67" i="1"/>
  <c r="EX73" i="1"/>
  <c r="EY73" i="1" s="1"/>
  <c r="FV73" i="1" s="1"/>
  <c r="EX56" i="1"/>
  <c r="EY56" i="1" s="1"/>
  <c r="FV56" i="1" s="1"/>
  <c r="EX72" i="1"/>
  <c r="EY72" i="1" s="1"/>
  <c r="FV72" i="1" s="1"/>
  <c r="EX92" i="1"/>
  <c r="EY92" i="1" s="1"/>
  <c r="FV92" i="1" s="1"/>
  <c r="EX79" i="1"/>
  <c r="EY79" i="1" s="1"/>
  <c r="FV79" i="1" s="1"/>
  <c r="EX118" i="1"/>
  <c r="EY118" i="1" s="1"/>
  <c r="FV118" i="1" s="1"/>
  <c r="GV97" i="1"/>
  <c r="EX8" i="1"/>
  <c r="EY8" i="1" s="1"/>
  <c r="FV8" i="1" s="1"/>
  <c r="EX148" i="1"/>
  <c r="EY148" i="1" s="1"/>
  <c r="FV148" i="1" s="1"/>
  <c r="E21" i="4"/>
  <c r="GV64" i="1"/>
  <c r="EX146" i="1"/>
  <c r="EY146" i="1" s="1"/>
  <c r="FV146" i="1" s="1"/>
  <c r="GV104" i="1"/>
  <c r="GV76" i="1"/>
  <c r="GV58" i="1"/>
  <c r="EX19" i="1"/>
  <c r="EY19" i="1" s="1"/>
  <c r="FV19" i="1" s="1"/>
  <c r="EX43" i="1"/>
  <c r="EY43" i="1" s="1"/>
  <c r="FV43" i="1" s="1"/>
  <c r="EX36" i="1"/>
  <c r="EY36" i="1" s="1"/>
  <c r="FV36" i="1" s="1"/>
  <c r="EX24" i="1"/>
  <c r="EY24" i="1" s="1"/>
  <c r="FV24" i="1" s="1"/>
  <c r="EX16" i="1"/>
  <c r="EY16" i="1" s="1"/>
  <c r="FV16" i="1" s="1"/>
  <c r="EX154" i="1"/>
  <c r="EY154" i="1" s="1"/>
  <c r="FV154" i="1" s="1"/>
  <c r="GV70" i="1"/>
  <c r="EX48" i="1"/>
  <c r="EY48" i="1" s="1"/>
  <c r="FV48" i="1" s="1"/>
  <c r="EX103" i="1"/>
  <c r="EY103" i="1" s="1"/>
  <c r="FV103" i="1" s="1"/>
  <c r="GV93" i="1"/>
  <c r="GV119" i="1"/>
  <c r="GV48" i="1"/>
  <c r="EX130" i="1"/>
  <c r="EY130" i="1" s="1"/>
  <c r="FV130" i="1" s="1"/>
  <c r="EX26" i="1"/>
  <c r="EY26" i="1" s="1"/>
  <c r="FV26" i="1" s="1"/>
  <c r="EX47" i="1"/>
  <c r="EY47" i="1" s="1"/>
  <c r="FV47" i="1" s="1"/>
  <c r="GV128" i="1"/>
  <c r="GV17" i="1"/>
  <c r="EX106" i="1"/>
  <c r="EY106" i="1" s="1"/>
  <c r="FV106" i="1" s="1"/>
  <c r="GV59" i="1"/>
  <c r="EX46" i="1"/>
  <c r="EY46" i="1" s="1"/>
  <c r="FV46" i="1" s="1"/>
  <c r="EX93" i="1"/>
  <c r="EY93" i="1" s="1"/>
  <c r="FV93" i="1" s="1"/>
  <c r="GV46" i="1"/>
  <c r="EX157" i="1"/>
  <c r="EY157" i="1" s="1"/>
  <c r="FV157" i="1" s="1"/>
  <c r="GV117" i="1"/>
  <c r="GV126" i="1"/>
  <c r="GV45" i="1"/>
  <c r="GV38" i="1"/>
  <c r="GV124" i="1"/>
  <c r="GV121" i="1"/>
  <c r="EX90" i="1"/>
  <c r="EY90" i="1" s="1"/>
  <c r="FV90" i="1" s="1"/>
  <c r="EX11" i="1"/>
  <c r="EY11" i="1" s="1"/>
  <c r="FV11" i="1" s="1"/>
  <c r="EX124" i="1"/>
  <c r="EY124" i="1" s="1"/>
  <c r="FV124" i="1" s="1"/>
  <c r="EX66" i="1"/>
  <c r="EY66" i="1" s="1"/>
  <c r="FV66" i="1" s="1"/>
  <c r="GV31" i="1"/>
  <c r="GV27" i="1"/>
  <c r="GV120" i="1"/>
  <c r="M25" i="4"/>
  <c r="A25" i="4" s="1"/>
  <c r="GV95" i="1"/>
  <c r="GV80" i="1"/>
  <c r="GV156" i="1"/>
  <c r="EX137" i="1"/>
  <c r="EY137" i="1" s="1"/>
  <c r="FV137" i="1" s="1"/>
  <c r="EX141" i="1"/>
  <c r="EY141" i="1" s="1"/>
  <c r="FV141" i="1" s="1"/>
  <c r="GV137" i="1"/>
  <c r="EX22" i="1"/>
  <c r="EY22" i="1" s="1"/>
  <c r="FV22" i="1" s="1"/>
  <c r="GV89" i="1"/>
  <c r="EX136" i="1"/>
  <c r="EY136" i="1" s="1"/>
  <c r="FV136" i="1" s="1"/>
  <c r="EX121" i="1"/>
  <c r="EY121" i="1" s="1"/>
  <c r="FV121" i="1" s="1"/>
  <c r="EX44" i="1"/>
  <c r="EY44" i="1" s="1"/>
  <c r="FV44" i="1" s="1"/>
  <c r="GV35" i="1"/>
  <c r="EX40" i="1"/>
  <c r="EY40" i="1" s="1"/>
  <c r="FV40" i="1" s="1"/>
  <c r="GV132" i="1"/>
  <c r="EX70" i="1"/>
  <c r="EY70" i="1" s="1"/>
  <c r="FV70" i="1" s="1"/>
  <c r="GV54" i="1"/>
  <c r="GV26" i="1"/>
  <c r="EX31" i="1"/>
  <c r="EY31" i="1" s="1"/>
  <c r="FV31" i="1" s="1"/>
  <c r="A17" i="3"/>
  <c r="GV113" i="1"/>
  <c r="EX17" i="1"/>
  <c r="EY17" i="1" s="1"/>
  <c r="FV17" i="1" s="1"/>
  <c r="A12" i="3"/>
  <c r="EX59" i="1"/>
  <c r="EY59" i="1" s="1"/>
  <c r="FV59" i="1" s="1"/>
  <c r="EX101" i="1"/>
  <c r="EY101" i="1" s="1"/>
  <c r="FV101" i="1" s="1"/>
  <c r="GV101" i="1"/>
  <c r="GV90" i="1"/>
  <c r="GV21" i="1"/>
  <c r="EX27" i="1"/>
  <c r="EY27" i="1" s="1"/>
  <c r="FV27" i="1" s="1"/>
  <c r="GV130" i="1"/>
  <c r="GV136" i="1"/>
  <c r="GV66" i="1"/>
  <c r="EX120" i="1"/>
  <c r="EY120" i="1" s="1"/>
  <c r="FV120" i="1" s="1"/>
  <c r="EX145" i="1"/>
  <c r="EY145" i="1" s="1"/>
  <c r="FV145" i="1" s="1"/>
  <c r="EX57" i="1"/>
  <c r="EY57" i="1" s="1"/>
  <c r="FV57" i="1" s="1"/>
  <c r="GV13" i="1"/>
  <c r="GV65" i="1"/>
  <c r="GV22" i="1"/>
  <c r="GV123" i="1"/>
  <c r="EX156" i="1"/>
  <c r="EY156" i="1" s="1"/>
  <c r="FV156" i="1" s="1"/>
  <c r="GV56" i="1"/>
  <c r="EX98" i="1"/>
  <c r="EY98" i="1" s="1"/>
  <c r="FV98" i="1" s="1"/>
  <c r="EX158" i="1"/>
  <c r="EY158" i="1" s="1"/>
  <c r="FV158" i="1" s="1"/>
  <c r="GV106" i="1"/>
  <c r="EX39" i="1"/>
  <c r="EY39" i="1" s="1"/>
  <c r="FV39" i="1" s="1"/>
  <c r="GV72" i="1"/>
  <c r="GV81" i="1"/>
  <c r="A17" i="4"/>
  <c r="GV41" i="1"/>
  <c r="GK147" i="1"/>
  <c r="GJ156" i="1"/>
  <c r="GJ152" i="1"/>
  <c r="EX65" i="1"/>
  <c r="EY65" i="1" s="1"/>
  <c r="FV65" i="1" s="1"/>
  <c r="GV69" i="1"/>
  <c r="GV44" i="1"/>
  <c r="GV94" i="1"/>
  <c r="GV53" i="1"/>
  <c r="GJ154" i="1"/>
  <c r="EX53" i="1"/>
  <c r="EY53" i="1" s="1"/>
  <c r="FV53" i="1" s="1"/>
  <c r="GJ30" i="1"/>
  <c r="A12" i="4"/>
  <c r="GV36" i="1"/>
  <c r="GV110" i="1"/>
  <c r="EX127" i="1"/>
  <c r="EY127" i="1" s="1"/>
  <c r="FV127" i="1" s="1"/>
  <c r="GV134" i="1"/>
  <c r="GV24" i="1"/>
  <c r="EX111" i="1"/>
  <c r="EY111" i="1" s="1"/>
  <c r="FV111" i="1" s="1"/>
  <c r="GK79" i="1"/>
  <c r="GK38" i="1"/>
  <c r="GJ151" i="1"/>
  <c r="GK137" i="1"/>
  <c r="EX134" i="1"/>
  <c r="EY134" i="1" s="1"/>
  <c r="FV134" i="1" s="1"/>
  <c r="GV103" i="1"/>
  <c r="GK143" i="1"/>
  <c r="GK64" i="1"/>
  <c r="M25" i="3"/>
  <c r="A20" i="3" s="1"/>
  <c r="J10" i="3"/>
  <c r="GK42" i="1"/>
  <c r="E21" i="3"/>
  <c r="GJ124" i="1"/>
  <c r="GJ162" i="1"/>
  <c r="GJ129" i="1"/>
  <c r="GJ34" i="1"/>
  <c r="GK140" i="1"/>
  <c r="I10" i="3"/>
  <c r="GK121" i="1"/>
  <c r="GJ26" i="1"/>
  <c r="GK22" i="1"/>
  <c r="GK141" i="1"/>
  <c r="GJ75" i="1"/>
  <c r="GK144" i="1"/>
  <c r="J7" i="3"/>
  <c r="J6" i="3"/>
  <c r="GK53" i="1"/>
  <c r="GK164" i="1"/>
  <c r="GK125" i="1"/>
  <c r="GK29" i="1"/>
  <c r="GJ136" i="1"/>
  <c r="GK52" i="1"/>
  <c r="GJ146" i="1"/>
  <c r="GJ56" i="1"/>
  <c r="GJ18" i="1"/>
  <c r="GK165" i="1"/>
  <c r="GK27" i="1"/>
  <c r="GJ27" i="1"/>
  <c r="GJ11" i="1"/>
  <c r="GJ12" i="1"/>
  <c r="GK12" i="1"/>
  <c r="GK145" i="1"/>
  <c r="GK127" i="1"/>
  <c r="GK148" i="1"/>
  <c r="K9" i="3"/>
  <c r="M9" i="3"/>
  <c r="K9" i="4"/>
  <c r="M9" i="4"/>
  <c r="GK130" i="1"/>
  <c r="GJ130" i="1"/>
  <c r="GK139" i="1"/>
  <c r="GJ139" i="1"/>
  <c r="GK48" i="1"/>
  <c r="GJ48" i="1"/>
  <c r="K7" i="3"/>
  <c r="BO6" i="1"/>
  <c r="BQ6" i="1" s="1"/>
  <c r="GJ120" i="1"/>
  <c r="GK120" i="1"/>
  <c r="GJ150" i="1"/>
  <c r="GK150" i="1"/>
  <c r="GJ157" i="1"/>
  <c r="GK157" i="1"/>
  <c r="K6" i="4"/>
  <c r="K8" i="3"/>
  <c r="M8" i="3"/>
  <c r="K6" i="3"/>
  <c r="GK132" i="1"/>
  <c r="GJ132" i="1"/>
  <c r="GJ159" i="1"/>
  <c r="GK159" i="1"/>
  <c r="CQ6" i="1"/>
  <c r="CS6" i="1" s="1"/>
  <c r="K8" i="4"/>
  <c r="M8" i="4"/>
  <c r="GK50" i="1"/>
  <c r="GJ50" i="1"/>
  <c r="G5" i="4"/>
  <c r="M5" i="4"/>
  <c r="GX133" i="1" l="1"/>
  <c r="FU65" i="1"/>
  <c r="FU108" i="1"/>
  <c r="FU21" i="1"/>
  <c r="FU77" i="1"/>
  <c r="FU75" i="1"/>
  <c r="FU44" i="1"/>
  <c r="FU137" i="1"/>
  <c r="FU66" i="1"/>
  <c r="FU36" i="1"/>
  <c r="FU72" i="1"/>
  <c r="FU128" i="1"/>
  <c r="FU109" i="1"/>
  <c r="FU135" i="1"/>
  <c r="FU150" i="1"/>
  <c r="FU18" i="1"/>
  <c r="FU78" i="1"/>
  <c r="FU96" i="1"/>
  <c r="FU51" i="1"/>
  <c r="FU32" i="1"/>
  <c r="FU139" i="1"/>
  <c r="FU34" i="1"/>
  <c r="FU141" i="1"/>
  <c r="FU24" i="1"/>
  <c r="FU107" i="1"/>
  <c r="FU12" i="1"/>
  <c r="FU91" i="1"/>
  <c r="FU134" i="1"/>
  <c r="FU53" i="1"/>
  <c r="FU39" i="1"/>
  <c r="FU101" i="1"/>
  <c r="FU121" i="1"/>
  <c r="FU124" i="1"/>
  <c r="FU106" i="1"/>
  <c r="FU43" i="1"/>
  <c r="FU148" i="1"/>
  <c r="FU56" i="1"/>
  <c r="FU30" i="1"/>
  <c r="FU94" i="1"/>
  <c r="FU97" i="1"/>
  <c r="FU87" i="1"/>
  <c r="FU105" i="1"/>
  <c r="FU64" i="1"/>
  <c r="FU131" i="1"/>
  <c r="FU9" i="1"/>
  <c r="FU7" i="1"/>
  <c r="FU100" i="1"/>
  <c r="FU110" i="1"/>
  <c r="FU62" i="1"/>
  <c r="FU85" i="1"/>
  <c r="FU111" i="1"/>
  <c r="FU156" i="1"/>
  <c r="FU31" i="1"/>
  <c r="FU46" i="1"/>
  <c r="FU58" i="1"/>
  <c r="FU138" i="1"/>
  <c r="FU114" i="1"/>
  <c r="FU151" i="1"/>
  <c r="FU27" i="1"/>
  <c r="FU59" i="1"/>
  <c r="FU136" i="1"/>
  <c r="FU103" i="1"/>
  <c r="FU19" i="1"/>
  <c r="FU8" i="1"/>
  <c r="FU73" i="1"/>
  <c r="FU54" i="1"/>
  <c r="FU13" i="1"/>
  <c r="FU119" i="1"/>
  <c r="FU104" i="1"/>
  <c r="FU112" i="1"/>
  <c r="FU125" i="1"/>
  <c r="FU55" i="1"/>
  <c r="FU143" i="1"/>
  <c r="FU14" i="1"/>
  <c r="FU99" i="1"/>
  <c r="FU49" i="1"/>
  <c r="FU37" i="1"/>
  <c r="FU161" i="1"/>
  <c r="FU23" i="1"/>
  <c r="FU123" i="1"/>
  <c r="FU163" i="1"/>
  <c r="FU80" i="1"/>
  <c r="FU102" i="1"/>
  <c r="FU33" i="1"/>
  <c r="FU41" i="1"/>
  <c r="FU98" i="1"/>
  <c r="FU57" i="1"/>
  <c r="FU17" i="1"/>
  <c r="FU70" i="1"/>
  <c r="FU22" i="1"/>
  <c r="FU11" i="1"/>
  <c r="FU157" i="1"/>
  <c r="FU47" i="1"/>
  <c r="FU118" i="1"/>
  <c r="FU113" i="1"/>
  <c r="FU133" i="1"/>
  <c r="FU45" i="1"/>
  <c r="FU89" i="1"/>
  <c r="FU147" i="1"/>
  <c r="FU35" i="1"/>
  <c r="FU25" i="1"/>
  <c r="FU50" i="1"/>
  <c r="FU122" i="1"/>
  <c r="FU140" i="1"/>
  <c r="FU117" i="1"/>
  <c r="FU127" i="1"/>
  <c r="FU74" i="1"/>
  <c r="FU69" i="1"/>
  <c r="FU29" i="1"/>
  <c r="FU164" i="1"/>
  <c r="FU165" i="1"/>
  <c r="FU145" i="1"/>
  <c r="FU90" i="1"/>
  <c r="FU26" i="1"/>
  <c r="FU154" i="1"/>
  <c r="FU79" i="1"/>
  <c r="FU67" i="1"/>
  <c r="FU38" i="1"/>
  <c r="FU42" i="1"/>
  <c r="FU152" i="1"/>
  <c r="FU28" i="1"/>
  <c r="FU144" i="1"/>
  <c r="FU15" i="1"/>
  <c r="FU132" i="1"/>
  <c r="FU82" i="1"/>
  <c r="FU86" i="1"/>
  <c r="FU10" i="1"/>
  <c r="FU162" i="1"/>
  <c r="FU158" i="1"/>
  <c r="FU48" i="1"/>
  <c r="FU126" i="1"/>
  <c r="FU95" i="1"/>
  <c r="FU76" i="1"/>
  <c r="FU83" i="1"/>
  <c r="FU120" i="1"/>
  <c r="FU40" i="1"/>
  <c r="FU93" i="1"/>
  <c r="FU130" i="1"/>
  <c r="FU16" i="1"/>
  <c r="FU146" i="1"/>
  <c r="FU92" i="1"/>
  <c r="FU81" i="1"/>
  <c r="FU88" i="1"/>
  <c r="FU129" i="1"/>
  <c r="FU71" i="1"/>
  <c r="FU61" i="1"/>
  <c r="FU159" i="1"/>
  <c r="FU116" i="1"/>
  <c r="FU142" i="1"/>
  <c r="FU155" i="1"/>
  <c r="FU20" i="1"/>
  <c r="FU115" i="1"/>
  <c r="FU52" i="1"/>
  <c r="GX163" i="1"/>
  <c r="GX127" i="1"/>
  <c r="GX91" i="1"/>
  <c r="GX111" i="1"/>
  <c r="GX162" i="1"/>
  <c r="GX34" i="1"/>
  <c r="GX165" i="1"/>
  <c r="GX83" i="1"/>
  <c r="GX75" i="1"/>
  <c r="GX141" i="1"/>
  <c r="GX100" i="1"/>
  <c r="GX23" i="1"/>
  <c r="GX157" i="1"/>
  <c r="GX140" i="1"/>
  <c r="GX122" i="1"/>
  <c r="GX161" i="1"/>
  <c r="GX32" i="1"/>
  <c r="GX164" i="1"/>
  <c r="GX62" i="1"/>
  <c r="GX39" i="1"/>
  <c r="GX109" i="1"/>
  <c r="GX20" i="1"/>
  <c r="GX18" i="1"/>
  <c r="GX82" i="1"/>
  <c r="GX85" i="1"/>
  <c r="GX79" i="1"/>
  <c r="GX98" i="1"/>
  <c r="GX151" i="1"/>
  <c r="GX78" i="1"/>
  <c r="GX77" i="1"/>
  <c r="GX14" i="1"/>
  <c r="GX73" i="1"/>
  <c r="GX15" i="1"/>
  <c r="GX158" i="1"/>
  <c r="GX159" i="1"/>
  <c r="GX143" i="1"/>
  <c r="GX29" i="1"/>
  <c r="GX112" i="1"/>
  <c r="GX37" i="1"/>
  <c r="GX50" i="1"/>
  <c r="GX49" i="1"/>
  <c r="GX57" i="1"/>
  <c r="GX118" i="1"/>
  <c r="GX116" i="1"/>
  <c r="GX125" i="1"/>
  <c r="GX86" i="1"/>
  <c r="GX51" i="1"/>
  <c r="GX146" i="1"/>
  <c r="GX152" i="1"/>
  <c r="GX43" i="1"/>
  <c r="GX131" i="1"/>
  <c r="GX25" i="1"/>
  <c r="GX30" i="1"/>
  <c r="GX114" i="1"/>
  <c r="GX88" i="1"/>
  <c r="GX144" i="1"/>
  <c r="GX105" i="1"/>
  <c r="GX28" i="1"/>
  <c r="GX87" i="1"/>
  <c r="GX108" i="1"/>
  <c r="GX47" i="1"/>
  <c r="GX147" i="1"/>
  <c r="GX99" i="1"/>
  <c r="GX154" i="1"/>
  <c r="GX155" i="1"/>
  <c r="GX52" i="1"/>
  <c r="GX33" i="1"/>
  <c r="GX102" i="1"/>
  <c r="GX135" i="1"/>
  <c r="GX96" i="1"/>
  <c r="GX7" i="1"/>
  <c r="GX42" i="1"/>
  <c r="GX139" i="1"/>
  <c r="GX138" i="1"/>
  <c r="GX145" i="1"/>
  <c r="GX129" i="1"/>
  <c r="GX61" i="1"/>
  <c r="GX115" i="1"/>
  <c r="GX71" i="1"/>
  <c r="GX107" i="1"/>
  <c r="GX150" i="1"/>
  <c r="GX19" i="1"/>
  <c r="GX148" i="1"/>
  <c r="GX40" i="1"/>
  <c r="GX142" i="1"/>
  <c r="GX55" i="1"/>
  <c r="GX92" i="1"/>
  <c r="GX67" i="1"/>
  <c r="GX156" i="1"/>
  <c r="GX97" i="1"/>
  <c r="GX64" i="1"/>
  <c r="GX126" i="1"/>
  <c r="GX104" i="1"/>
  <c r="GX76" i="1"/>
  <c r="GX58" i="1"/>
  <c r="GX59" i="1"/>
  <c r="GX70" i="1"/>
  <c r="GX119" i="1"/>
  <c r="GX48" i="1"/>
  <c r="GX93" i="1"/>
  <c r="GX128" i="1"/>
  <c r="GX17" i="1"/>
  <c r="GX46" i="1"/>
  <c r="GX38" i="1"/>
  <c r="GX124" i="1"/>
  <c r="GX117" i="1"/>
  <c r="GX45" i="1"/>
  <c r="GX121" i="1"/>
  <c r="A20" i="4"/>
  <c r="GX31" i="1"/>
  <c r="GX27" i="1"/>
  <c r="GX120" i="1"/>
  <c r="GX80" i="1"/>
  <c r="GX95" i="1"/>
  <c r="GX137" i="1"/>
  <c r="GX89" i="1"/>
  <c r="GX35" i="1"/>
  <c r="GX54" i="1"/>
  <c r="GX132" i="1"/>
  <c r="GX26" i="1"/>
  <c r="GX101" i="1"/>
  <c r="GX113" i="1"/>
  <c r="GX22" i="1"/>
  <c r="GX130" i="1"/>
  <c r="GX90" i="1"/>
  <c r="GX21" i="1"/>
  <c r="GX136" i="1"/>
  <c r="GX123" i="1"/>
  <c r="GX66" i="1"/>
  <c r="GX81" i="1"/>
  <c r="GX65" i="1"/>
  <c r="GX56" i="1"/>
  <c r="GX13" i="1"/>
  <c r="GX72" i="1"/>
  <c r="GX106" i="1"/>
  <c r="GX41" i="1"/>
  <c r="GX69" i="1"/>
  <c r="GX44" i="1"/>
  <c r="GX94" i="1"/>
  <c r="GX53" i="1"/>
  <c r="GX36" i="1"/>
  <c r="GX110" i="1"/>
  <c r="GX134" i="1"/>
  <c r="GX24" i="1"/>
  <c r="GX103" i="1"/>
  <c r="A25" i="3"/>
  <c r="M7" i="3"/>
  <c r="M7" i="4"/>
  <c r="GV16" i="1"/>
  <c r="GV6" i="1"/>
  <c r="EX6" i="1"/>
  <c r="EY6" i="1" s="1"/>
  <c r="FV6" i="1" s="1"/>
  <c r="M6" i="4"/>
  <c r="GV12" i="1"/>
  <c r="GV8" i="1"/>
  <c r="GV74" i="1"/>
  <c r="GV9" i="1"/>
  <c r="M6" i="3"/>
  <c r="GV11" i="1"/>
  <c r="GV10" i="1"/>
  <c r="FU6" i="1" l="1"/>
  <c r="M10" i="3"/>
  <c r="M10" i="4"/>
  <c r="GX11" i="1"/>
  <c r="GX6" i="1"/>
  <c r="K10" i="3" s="1"/>
  <c r="GX16" i="1"/>
  <c r="GX9" i="1"/>
  <c r="GX8" i="1"/>
  <c r="GX12" i="1"/>
  <c r="GX10" i="1"/>
  <c r="GX74" i="1"/>
  <c r="M35" i="4"/>
  <c r="M35" i="3" l="1"/>
  <c r="K10" i="4"/>
  <c r="O7" i="2" l="1"/>
  <c r="O8" i="2" l="1"/>
  <c r="O6" i="2"/>
  <c r="P7" i="2" l="1"/>
  <c r="GN8" i="21"/>
  <c r="S7" i="2" l="1"/>
  <c r="Q7" i="2"/>
  <c r="DE8" i="21" l="1"/>
  <c r="DG8" i="21" s="1"/>
  <c r="DE9" i="21"/>
  <c r="DG9" i="21" s="1"/>
  <c r="CC9" i="21"/>
  <c r="CE9" i="21" s="1"/>
  <c r="CC8" i="21"/>
  <c r="CE8" i="21" s="1"/>
  <c r="DE7" i="21"/>
  <c r="DG7" i="21" s="1"/>
  <c r="CC7" i="21"/>
  <c r="CE7" i="21" s="1"/>
  <c r="F6" i="2" l="1"/>
  <c r="BA9" i="21"/>
  <c r="BC9" i="21" s="1"/>
  <c r="BF9" i="21" s="1"/>
  <c r="BG9" i="21" s="1"/>
  <c r="BH9" i="21" s="1"/>
  <c r="BA8" i="21"/>
  <c r="BC8" i="21" s="1"/>
  <c r="F7" i="2" s="1"/>
  <c r="I7" i="2"/>
  <c r="K7" i="2" s="1"/>
  <c r="CH8" i="21"/>
  <c r="CI8" i="21" s="1"/>
  <c r="CJ8" i="21" s="1"/>
  <c r="L8" i="2"/>
  <c r="N8" i="2" s="1"/>
  <c r="DJ9" i="21"/>
  <c r="DK9" i="21" s="1"/>
  <c r="DL9" i="21" s="1"/>
  <c r="DN9" i="21" s="1"/>
  <c r="L6" i="2"/>
  <c r="N6" i="2" s="1"/>
  <c r="DJ7" i="21"/>
  <c r="I8" i="2"/>
  <c r="K8" i="2" s="1"/>
  <c r="CH9" i="21"/>
  <c r="CI9" i="21" s="1"/>
  <c r="CJ9" i="21" s="1"/>
  <c r="CL9" i="21" s="1"/>
  <c r="L7" i="2"/>
  <c r="N7" i="2" s="1"/>
  <c r="DJ8" i="21"/>
  <c r="DK8" i="21" s="1"/>
  <c r="DL8" i="21" s="1"/>
  <c r="DN8" i="21" s="1"/>
  <c r="CH7" i="21"/>
  <c r="CI7" i="21" s="1"/>
  <c r="CJ7" i="21" s="1"/>
  <c r="CL7" i="21" s="1"/>
  <c r="I6" i="2"/>
  <c r="K6" i="2" s="1"/>
  <c r="BF7" i="21" l="1"/>
  <c r="BG7" i="21" s="1"/>
  <c r="BH7" i="21" s="1"/>
  <c r="EN7" i="21" s="1"/>
  <c r="GM7" i="21"/>
  <c r="EN9" i="21"/>
  <c r="GP9" i="21" s="1"/>
  <c r="EP9" i="21"/>
  <c r="DK7" i="21" a="1"/>
  <c r="DK7" i="21" s="1"/>
  <c r="DL7" i="21" s="1"/>
  <c r="DN7" i="21" s="1"/>
  <c r="GM8" i="21"/>
  <c r="GO8" i="21" s="1"/>
  <c r="BF8" i="21"/>
  <c r="BG8" i="21" s="1"/>
  <c r="BH8" i="21" s="1"/>
  <c r="F8" i="2"/>
  <c r="H8" i="2" s="1"/>
  <c r="GM9" i="21"/>
  <c r="H6" i="2"/>
  <c r="R6" i="2"/>
  <c r="H7" i="2"/>
  <c r="R7" i="2"/>
  <c r="T7" i="2" s="1"/>
  <c r="K1" i="2"/>
  <c r="K2" i="2"/>
  <c r="K3" i="2"/>
  <c r="P8" i="2"/>
  <c r="GN9" i="21"/>
  <c r="P6" i="2"/>
  <c r="GN7" i="21"/>
  <c r="N1" i="2"/>
  <c r="N2" i="2"/>
  <c r="N3" i="2"/>
  <c r="GO7" i="21" l="1"/>
  <c r="EP7" i="21"/>
  <c r="R8" i="2"/>
  <c r="EQ9" i="21"/>
  <c r="ER9" i="21" s="1"/>
  <c r="FP9" i="21" s="1"/>
  <c r="X8" i="2" s="1"/>
  <c r="Z8" i="2" s="1"/>
  <c r="AA8" i="2" s="1"/>
  <c r="AB8" i="2" s="1"/>
  <c r="EN8" i="21"/>
  <c r="GP8" i="21" s="1"/>
  <c r="EP8" i="21"/>
  <c r="GO9" i="21"/>
  <c r="GP7" i="21"/>
  <c r="GR7" i="21" s="1"/>
  <c r="GR9" i="21"/>
  <c r="U8" i="2"/>
  <c r="V8" i="2" s="1"/>
  <c r="S6" i="2"/>
  <c r="T6" i="2" s="1"/>
  <c r="Q6" i="2"/>
  <c r="S8" i="2"/>
  <c r="Q8" i="2"/>
  <c r="T8" i="2" l="1"/>
  <c r="U7" i="2"/>
  <c r="V7" i="2" s="1"/>
  <c r="GR8" i="21"/>
  <c r="EQ8" i="21"/>
  <c r="ER8" i="21" s="1"/>
  <c r="EQ7" i="21"/>
  <c r="ER7" i="21" s="1"/>
  <c r="U6" i="2"/>
  <c r="V6" i="2" s="1"/>
  <c r="FO9" i="21"/>
  <c r="FI9" i="21" s="1"/>
  <c r="FJ9" i="21" s="1"/>
  <c r="Q2" i="2"/>
  <c r="Q3" i="2"/>
  <c r="Q1" i="2"/>
  <c r="FP8" i="21" l="1"/>
  <c r="FP7" i="21"/>
  <c r="H3" i="2"/>
  <c r="H2" i="2"/>
  <c r="H1" i="2"/>
  <c r="E5" i="7"/>
  <c r="T3" i="2"/>
  <c r="T1" i="2"/>
  <c r="T2" i="2"/>
  <c r="X7" i="2" l="1"/>
  <c r="Z7" i="2" s="1"/>
  <c r="AA7" i="2" s="1"/>
  <c r="AB7" i="2" s="1"/>
  <c r="FO8" i="21"/>
  <c r="E4" i="7" s="1"/>
  <c r="X6" i="2"/>
  <c r="Z6" i="2" s="1"/>
  <c r="AA6" i="2" s="1"/>
  <c r="FO7" i="21"/>
  <c r="E3" i="7" s="1"/>
  <c r="FI8" i="21" l="1"/>
  <c r="FJ8" i="21" s="1"/>
  <c r="V3" i="2"/>
  <c r="FI7" i="21"/>
  <c r="FJ7" i="21" s="1"/>
  <c r="V1" i="2"/>
  <c r="V2" i="2"/>
  <c r="AB6" i="2"/>
  <c r="X3" i="2" l="1"/>
  <c r="AA3" i="2"/>
  <c r="Z3" i="2"/>
  <c r="AA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Leow, Joey Yun Wan</author>
    <author>Paek, Sumi</author>
    <author>Ge, Qing Megan</author>
    <author>Kwon, Brian</author>
    <author>Chen, Dan</author>
  </authors>
  <commentList>
    <comment ref="H2" authorId="0" shapeId="0" xr:uid="{57103BCE-0578-4E46-9700-8CDD6ABD588E}">
      <text>
        <r>
          <rPr>
            <b/>
            <sz val="9"/>
            <color indexed="81"/>
            <rFont val="Tahoma"/>
            <family val="2"/>
          </rPr>
          <t>Update quarterly for comm calc</t>
        </r>
      </text>
    </comment>
    <comment ref="X2" authorId="0" shapeId="0" xr:uid="{2A0F9685-265B-4CC0-9AC6-DF770B11AFEB}">
      <text>
        <r>
          <rPr>
            <b/>
            <sz val="9"/>
            <color indexed="81"/>
            <rFont val="Tahoma"/>
            <family val="2"/>
          </rPr>
          <t xml:space="preserve">do not delete
</t>
        </r>
      </text>
    </comment>
    <comment ref="H3" authorId="0" shapeId="0" xr:uid="{4FAD649C-AFA4-47E4-87C6-DAB1CBEF2F2C}">
      <text>
        <r>
          <rPr>
            <b/>
            <sz val="9"/>
            <color indexed="81"/>
            <rFont val="Tahoma"/>
            <family val="2"/>
          </rPr>
          <t xml:space="preserve">Update quarterly for comm. calc
</t>
        </r>
      </text>
    </comment>
    <comment ref="BB3" authorId="0" shapeId="0" xr:uid="{01661755-8A84-40D0-941E-40D51462E87A}">
      <text>
        <r>
          <rPr>
            <b/>
            <sz val="9"/>
            <color indexed="81"/>
            <rFont val="Tahoma"/>
            <family val="2"/>
          </rPr>
          <t xml:space="preserve">DO NOT DELETE
</t>
        </r>
      </text>
    </comment>
    <comment ref="BB4" authorId="0" shapeId="0" xr:uid="{A240DC7B-CD94-4FBB-8D9D-4FB8F5FC5ADC}">
      <text>
        <r>
          <rPr>
            <b/>
            <sz val="9"/>
            <color indexed="81"/>
            <rFont val="Tahoma"/>
            <family val="2"/>
          </rPr>
          <t xml:space="preserve">in (xx)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4" authorId="0" shapeId="0" xr:uid="{F2256C95-C794-4CE0-BF1B-9F9FD7FB862A}">
      <text>
        <r>
          <rPr>
            <b/>
            <sz val="9"/>
            <color indexed="81"/>
            <rFont val="Tahoma"/>
            <family val="2"/>
          </rPr>
          <t>Leow, Joey Yun Wan:</t>
        </r>
        <r>
          <rPr>
            <sz val="9"/>
            <color indexed="81"/>
            <rFont val="Tahoma"/>
            <family val="2"/>
          </rPr>
          <t xml:space="preserve">
For AA, it is YTD</t>
        </r>
      </text>
    </comment>
    <comment ref="CD4" authorId="0" shapeId="0" xr:uid="{5912FCE8-15A3-45F2-8A2D-C89C7B6BACB4}">
      <text>
        <r>
          <rPr>
            <b/>
            <sz val="9"/>
            <color indexed="81"/>
            <rFont val="Tahoma"/>
            <family val="2"/>
          </rPr>
          <t>in (xx)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F4" authorId="0" shapeId="0" xr:uid="{80333619-6F86-4511-9E42-E193945C7A58}">
      <text>
        <r>
          <rPr>
            <b/>
            <sz val="9"/>
            <color indexed="81"/>
            <rFont val="Tahoma"/>
            <family val="2"/>
          </rPr>
          <t>in (xx)</t>
        </r>
      </text>
    </comment>
    <comment ref="EH4" authorId="0" shapeId="0" xr:uid="{AD98D1C8-CAE4-42C7-8FCA-8EE87A62080D}">
      <text>
        <r>
          <rPr>
            <b/>
            <sz val="9"/>
            <color indexed="81"/>
            <rFont val="Tahoma"/>
            <family val="2"/>
          </rPr>
          <t>in (xx)</t>
        </r>
      </text>
    </comment>
    <comment ref="P5" authorId="1" shapeId="0" xr:uid="{3DCCD982-682A-47E8-A84A-17B058587796}">
      <text>
        <r>
          <rPr>
            <b/>
            <sz val="9"/>
            <color indexed="81"/>
            <rFont val="Tahoma"/>
            <family val="2"/>
          </rPr>
          <t>Paek, Sumi: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빨강색</t>
        </r>
        <r>
          <rPr>
            <sz val="9"/>
            <color indexed="81"/>
            <rFont val="Tahoma"/>
            <family val="2"/>
          </rPr>
          <t>-&gt;</t>
        </r>
        <r>
          <rPr>
            <sz val="9"/>
            <color indexed="81"/>
            <rFont val="돋움"/>
            <family val="3"/>
            <charset val="129"/>
          </rPr>
          <t>신규입사자</t>
        </r>
      </text>
    </comment>
    <comment ref="BP5" authorId="0" shapeId="0" xr:uid="{4C5877A3-DBCD-4071-AAF7-5D600D9AAC28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5" authorId="0" shapeId="0" xr:uid="{A9F30566-C5E5-4B22-A462-8DC35CF1CD75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T5" authorId="0" shapeId="0" xr:uid="{480B30CF-F3E7-4967-A806-B53A09621CDB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V5" authorId="0" shapeId="0" xr:uid="{2320F47A-E43D-40B2-B965-FCCEA200725B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Y5" authorId="0" shapeId="0" xr:uid="{9EC8483B-96AC-4DD1-9D3B-A9B55B663BC2}">
      <text>
        <r>
          <rPr>
            <sz val="9"/>
            <color indexed="81"/>
            <rFont val="Tahoma"/>
            <family val="2"/>
          </rPr>
          <t>Paying higher of guaranteed payment or capped comm. earned</t>
        </r>
      </text>
    </comment>
    <comment ref="I57" authorId="2" shapeId="0" xr:uid="{F311A3F3-8553-43C3-8C6A-F8D048A4EFDE}">
      <text>
        <r>
          <rPr>
            <b/>
            <sz val="9"/>
            <color indexed="81"/>
            <rFont val="Tahoma"/>
            <family val="2"/>
          </rPr>
          <t>Ge, Qing Megan:</t>
        </r>
        <r>
          <rPr>
            <sz val="9"/>
            <color indexed="81"/>
            <rFont val="Tahoma"/>
            <family val="2"/>
          </rPr>
          <t xml:space="preserve">
Role expand to BID CS  + LCD Tier 2 Manager from Sept 1st,2016
</t>
        </r>
      </text>
    </comment>
    <comment ref="FQ63" authorId="3" shapeId="0" xr:uid="{20F00792-AAA1-4CA7-BEAA-E8E04C3C62B3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Jan 173,611
Feb 328,569
Mar     15,206</t>
        </r>
      </text>
    </comment>
    <comment ref="FR63" authorId="3" shapeId="0" xr:uid="{4C6672ED-96BB-414A-8658-8FF3BA820635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Jul 2,746,140
Aug 503,529</t>
        </r>
      </text>
    </comment>
    <comment ref="E69" authorId="4" shapeId="0" xr:uid="{DAD4AEA3-EAA1-44B5-8621-BF91C6B5E4A9}">
      <text>
        <r>
          <rPr>
            <b/>
            <sz val="9"/>
            <color indexed="81"/>
            <rFont val="Tahoma"/>
            <family val="2"/>
          </rPr>
          <t>Chen, Dan:</t>
        </r>
        <r>
          <rPr>
            <sz val="9"/>
            <color indexed="81"/>
            <rFont val="Tahoma"/>
            <family val="2"/>
          </rPr>
          <t xml:space="preserve">
GSD/CSD accelerator KPI</t>
        </r>
      </text>
    </comment>
    <comment ref="AX119" authorId="3" shapeId="0" xr:uid="{9F4F647C-89D7-49AA-BA82-314C3D265184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4.26 17:09</t>
        </r>
      </text>
    </comment>
    <comment ref="BZ119" authorId="3" shapeId="0" xr:uid="{E5802484-91E4-49C9-9A63-D78FE1EA3CF6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CA119" authorId="3" shapeId="0" xr:uid="{E2520F2B-59DB-48B6-A787-52C45EB21CC3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CB119" authorId="3" shapeId="0" xr:uid="{FE04A8F6-5EFD-448D-8F72-D964D4CF52DB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P131" authorId="3" shapeId="0" xr:uid="{D1A0FB2B-41E9-4353-BFDE-15E940AB7FE2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출산/육아휴직 Mar4-Jul 31</t>
        </r>
      </text>
    </comment>
    <comment ref="AX138" authorId="3" shapeId="0" xr:uid="{E207CFF4-EF50-4E25-A081-A2FAD4C41C22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4.26 17:09
11/29.2019</t>
        </r>
      </text>
    </comment>
    <comment ref="AY138" authorId="3" shapeId="0" xr:uid="{6D00A374-D502-4E35-9C09-3A5C2540AF73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AZ138" authorId="3" shapeId="0" xr:uid="{C9F99190-22CB-4C00-9498-7EA810C131F6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AX140" authorId="3" shapeId="0" xr:uid="{5E9E8019-B0FF-4C2C-A71A-0E74A6AC673C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4.26 17:09
11/29.2019</t>
        </r>
      </text>
    </comment>
    <comment ref="AY140" authorId="3" shapeId="0" xr:uid="{D28DD108-8E8E-4143-86CD-ADEE38EF7030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AZ140" authorId="3" shapeId="0" xr:uid="{E8FC815F-0B25-4EC6-BB7D-6B329E16A8BE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AX145" authorId="3" shapeId="0" xr:uid="{1BB23D68-DE92-41B4-B00C-BF380214E486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4.26 17:09</t>
        </r>
      </text>
    </comment>
    <comment ref="BZ145" authorId="3" shapeId="0" xr:uid="{137B05CE-C7E4-45C7-8DD7-F7CD37530B36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CA145" authorId="3" shapeId="0" xr:uid="{48993C56-49FB-456E-A82A-A144BB763C00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CB145" authorId="3" shapeId="0" xr:uid="{C6C9A4ED-428A-4D73-8377-77380661B905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Leow, Joey Yun Wan</author>
  </authors>
  <commentList>
    <comment ref="B3" authorId="0" shapeId="0" xr:uid="{B0807F2F-0D8E-4FC8-A7F7-6CA149F5319B}">
      <text>
        <r>
          <rPr>
            <b/>
            <sz val="9"/>
            <color indexed="81"/>
            <rFont val="Tahoma"/>
            <family val="2"/>
          </rPr>
          <t>Update quarterly for comm calc</t>
        </r>
      </text>
    </comment>
    <comment ref="Q3" authorId="0" shapeId="0" xr:uid="{6BFABEBD-46B7-479A-B06F-2A68097A4BD6}">
      <text>
        <r>
          <rPr>
            <b/>
            <sz val="9"/>
            <color indexed="81"/>
            <rFont val="Tahoma"/>
            <family val="2"/>
          </rPr>
          <t xml:space="preserve">do not delete
</t>
        </r>
      </text>
    </comment>
    <comment ref="B4" authorId="0" shapeId="0" xr:uid="{B80E32D2-3E2D-406B-A74B-80382BDF1400}">
      <text>
        <r>
          <rPr>
            <b/>
            <sz val="9"/>
            <color indexed="81"/>
            <rFont val="Tahoma"/>
            <family val="2"/>
          </rPr>
          <t xml:space="preserve">Update quarterly for comm. calc
</t>
        </r>
      </text>
    </comment>
    <comment ref="AU4" authorId="0" shapeId="0" xr:uid="{54467A0A-3804-4FBC-9862-87A6458F8F5D}">
      <text>
        <r>
          <rPr>
            <b/>
            <sz val="9"/>
            <color indexed="81"/>
            <rFont val="Tahoma"/>
            <family val="2"/>
          </rPr>
          <t xml:space="preserve">DO NOT DELETE
</t>
        </r>
      </text>
    </comment>
    <comment ref="AU5" authorId="0" shapeId="0" xr:uid="{28841344-ECB3-4B78-AB3D-2136A21EFD7E}">
      <text>
        <r>
          <rPr>
            <b/>
            <sz val="9"/>
            <color indexed="81"/>
            <rFont val="Tahoma"/>
            <family val="2"/>
          </rPr>
          <t xml:space="preserve">in (xx)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S5" authorId="0" shapeId="0" xr:uid="{21962F32-A234-4391-B2A2-B10BFEEEEE11}">
      <text>
        <r>
          <rPr>
            <b/>
            <sz val="9"/>
            <color indexed="81"/>
            <rFont val="Tahoma"/>
            <family val="2"/>
          </rPr>
          <t>Leow, Joey Yun Wan:</t>
        </r>
        <r>
          <rPr>
            <sz val="9"/>
            <color indexed="81"/>
            <rFont val="Tahoma"/>
            <family val="2"/>
          </rPr>
          <t xml:space="preserve">
For AA, it is YTD</t>
        </r>
      </text>
    </comment>
    <comment ref="BW5" authorId="0" shapeId="0" xr:uid="{2C372A1E-50F8-4220-ABB4-06BA01B33FA2}">
      <text>
        <r>
          <rPr>
            <b/>
            <sz val="9"/>
            <color indexed="81"/>
            <rFont val="Tahoma"/>
            <family val="2"/>
          </rPr>
          <t>in (xx)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5" authorId="0" shapeId="0" xr:uid="{7E390E1C-C672-4C4C-95D0-412195C2CBC9}">
      <text>
        <r>
          <rPr>
            <b/>
            <sz val="9"/>
            <color indexed="81"/>
            <rFont val="Tahoma"/>
            <family val="2"/>
          </rPr>
          <t>in (xx)</t>
        </r>
      </text>
    </comment>
    <comment ref="EA5" authorId="0" shapeId="0" xr:uid="{207F8A6D-0910-43C2-84D9-A2BCC0D0BFE5}">
      <text>
        <r>
          <rPr>
            <b/>
            <sz val="9"/>
            <color indexed="81"/>
            <rFont val="Tahoma"/>
            <family val="2"/>
          </rPr>
          <t>in (xx)</t>
        </r>
      </text>
    </comment>
    <comment ref="BI6" authorId="0" shapeId="0" xr:uid="{C71069CA-A1C0-4646-8BFC-DCE327F842F4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6" authorId="0" shapeId="0" xr:uid="{BF01BB81-8174-4F5B-8B41-7B927EFD5AA6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6" authorId="0" shapeId="0" xr:uid="{EBC912AE-1253-4889-9D2B-BAE1D6AE7643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O6" authorId="0" shapeId="0" xr:uid="{5BFC7FE6-1CC8-4711-B55D-22B4A6E2EDBA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R6" authorId="0" shapeId="0" xr:uid="{18499EEE-4AF7-439B-846B-C127C2B2D05C}">
      <text>
        <r>
          <rPr>
            <sz val="9"/>
            <color indexed="81"/>
            <rFont val="Tahoma"/>
            <family val="2"/>
          </rPr>
          <t>Paying higher of guaranteed payment or capped comm. earned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Leow, Joey Yun Wan</author>
    <author>Ge, Qing Megan</author>
    <author>Kwon, Brian</author>
    <author>Chen, Dan</author>
  </authors>
  <commentList>
    <comment ref="H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Update quarterly for comm calc</t>
        </r>
      </text>
    </comment>
    <comment ref="X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do not delete
</t>
        </r>
      </text>
    </comment>
    <comment ref="H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Update quarterly for comm. calc
</t>
        </r>
      </text>
    </comment>
    <comment ref="BB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DO NOT DELETE
</t>
        </r>
      </text>
    </comment>
    <comment ref="BB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in (xx)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Leow, Joey Yun Wan:</t>
        </r>
        <r>
          <rPr>
            <sz val="9"/>
            <color indexed="81"/>
            <rFont val="Tahoma"/>
            <family val="2"/>
          </rPr>
          <t xml:space="preserve">
For AA, it is YTD</t>
        </r>
      </text>
    </comment>
    <comment ref="CD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in (xx)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F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in (xx)</t>
        </r>
      </text>
    </comment>
    <comment ref="EH4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in (xx)</t>
        </r>
      </text>
    </comment>
    <comment ref="BP5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5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T5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V5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AA: 50%
SG/SEA/TW: 75%
SA: 90%
KR:75%
Cap to be lifted during Q4 payout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Y5" authorId="0" shapeId="0" xr:uid="{00000000-0006-0000-0000-00000E000000}">
      <text>
        <r>
          <rPr>
            <sz val="9"/>
            <color indexed="81"/>
            <rFont val="Tahoma"/>
            <family val="2"/>
          </rPr>
          <t>Paying higher of guaranteed payment or capped comm. earned</t>
        </r>
      </text>
    </comment>
    <comment ref="I57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Ge, Qing Megan:</t>
        </r>
        <r>
          <rPr>
            <sz val="9"/>
            <color indexed="81"/>
            <rFont val="Tahoma"/>
            <family val="2"/>
          </rPr>
          <t xml:space="preserve">
Role expand to BID CS  + LCD Tier 2 Manager from Sept 1st,2016
</t>
        </r>
      </text>
    </comment>
    <comment ref="FQ63" authorId="2" shapeId="0" xr:uid="{E15E5AF1-46E3-4F85-B4DA-C14EFF49CA2C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Jan 173,611
Feb 328,569
Mar     15,206</t>
        </r>
      </text>
    </comment>
    <comment ref="FR63" authorId="2" shapeId="0" xr:uid="{070B4653-086F-4A52-B180-9E57AB9815EB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Jul 2,746,140
Aug 503,529</t>
        </r>
      </text>
    </comment>
    <comment ref="E69" authorId="3" shapeId="0" xr:uid="{00000000-0006-0000-0000-000010000000}">
      <text>
        <r>
          <rPr>
            <b/>
            <sz val="9"/>
            <color indexed="81"/>
            <rFont val="Tahoma"/>
            <family val="2"/>
          </rPr>
          <t>Chen, Dan:</t>
        </r>
        <r>
          <rPr>
            <sz val="9"/>
            <color indexed="81"/>
            <rFont val="Tahoma"/>
            <family val="2"/>
          </rPr>
          <t xml:space="preserve">
GSD/CSD accelerator KPI</t>
        </r>
      </text>
    </comment>
    <comment ref="AX119" authorId="2" shapeId="0" xr:uid="{5C55E4E1-8904-4D50-B92E-24C900339CA0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4.26 17:09</t>
        </r>
      </text>
    </comment>
    <comment ref="BZ119" authorId="2" shapeId="0" xr:uid="{A7EDCD6E-0A5F-4675-A4E5-364B2C3D3E86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CA119" authorId="2" shapeId="0" xr:uid="{7F81E475-EB0C-4073-972F-AC9F440DFD66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CB119" authorId="2" shapeId="0" xr:uid="{080405DC-5061-44CC-A1F9-C048174C7168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P131" authorId="2" shapeId="0" xr:uid="{546E88CC-8ABD-43A1-8980-FAF62A65D86D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출산/육아휴직 Mar4-Jul 31</t>
        </r>
      </text>
    </comment>
    <comment ref="AX138" authorId="2" shapeId="0" xr:uid="{594F23CD-FF4D-49D6-9F44-8AD9ACDD885E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4.26 17:09
11/29.2019</t>
        </r>
      </text>
    </comment>
    <comment ref="AY138" authorId="2" shapeId="0" xr:uid="{D73037DA-047C-4136-9A21-13243846CBAF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AZ138" authorId="2" shapeId="0" xr:uid="{5B70AA32-DFC4-4844-94F6-B8B30CDB1705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AX140" authorId="2" shapeId="0" xr:uid="{E3E8B11B-479D-4322-8649-88307EF66BE3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4.26 17:09
11/29.2019</t>
        </r>
      </text>
    </comment>
    <comment ref="AY140" authorId="2" shapeId="0" xr:uid="{DE8D192A-801D-4563-9742-E1B37D8B1F62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AZ140" authorId="2" shapeId="0" xr:uid="{EFAE029D-4016-4FDA-A530-83C766BC0D01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AX145" authorId="2" shapeId="0" xr:uid="{7BF94C9C-A8E5-4CAA-BF8C-F1B986B70F17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4.26 17:09</t>
        </r>
      </text>
    </comment>
    <comment ref="BZ145" authorId="2" shapeId="0" xr:uid="{B2B46F40-1B23-41D0-9CF1-F68F5185AD83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CA145" authorId="2" shapeId="0" xr:uid="{8E1A187F-54FD-44FF-ABF0-7A82DA4A9D01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  <comment ref="CB145" authorId="2" shapeId="0" xr:uid="{3A130AD7-6811-4E0F-BDE9-E9A194612502}">
      <text>
        <r>
          <rPr>
            <b/>
            <sz val="9"/>
            <color indexed="81"/>
            <rFont val="Tahoma"/>
            <family val="2"/>
          </rPr>
          <t>Kwon, Brian:</t>
        </r>
        <r>
          <rPr>
            <sz val="9"/>
            <color indexed="81"/>
            <rFont val="Tahoma"/>
            <family val="2"/>
          </rPr>
          <t xml:space="preserve">
11/29/2019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Chen, Dan</author>
  </authors>
  <commentList>
    <comment ref="W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Chen, Dan:</t>
        </r>
        <r>
          <rPr>
            <sz val="9"/>
            <color indexed="81"/>
            <rFont val="Tahoma"/>
            <family val="2"/>
          </rPr>
          <t xml:space="preserve">
incl. commission, SPIFF, other payout etc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<sst xmlns="http://schemas.openxmlformats.org/spreadsheetml/2006/main" count="7606" uniqueCount="895">
  <si>
    <t>Mthly update</t>
  </si>
  <si>
    <t>Mthly update (manually change, in line with col L: function)</t>
  </si>
  <si>
    <t>quarterly update</t>
  </si>
  <si>
    <t>Q1 update</t>
  </si>
  <si>
    <t>Q2 update</t>
  </si>
  <si>
    <t>Q3 update</t>
  </si>
  <si>
    <t>Q4 update</t>
  </si>
  <si>
    <t xml:space="preserve"> in the month post qtrly payout, need to vlookup from comm payout file from each ctry</t>
  </si>
  <si>
    <t>Qtr</t>
  </si>
  <si>
    <t>&lt;--- Update every quarter</t>
  </si>
  <si>
    <t>x</t>
  </si>
  <si>
    <t>Month</t>
  </si>
  <si>
    <t>Jan</t>
  </si>
  <si>
    <t>Comm. calculation</t>
  </si>
  <si>
    <t>Remove Formula when send countries</t>
  </si>
  <si>
    <t>Component 1</t>
  </si>
  <si>
    <t>After AR Adjustment</t>
  </si>
  <si>
    <t>Component 2</t>
  </si>
  <si>
    <t>Component 3</t>
  </si>
  <si>
    <t>Component 4</t>
  </si>
  <si>
    <t>Commission Payout</t>
  </si>
  <si>
    <t>SPIFF Payout</t>
  </si>
  <si>
    <t xml:space="preserve">Other Payout </t>
  </si>
  <si>
    <t>Clawback balance (Input Negative Number ONLY)</t>
  </si>
  <si>
    <t>Total Payment details (incl. commission, SPIFF, other payment, clawback)</t>
  </si>
  <si>
    <t>Scorecard</t>
  </si>
  <si>
    <t>Summary on Total attainment</t>
  </si>
  <si>
    <t>in Text format</t>
  </si>
  <si>
    <t>*Input should be integer ONLY in current quarter column</t>
  </si>
  <si>
    <t>Target Incentive (Pro-rated Country Input)</t>
  </si>
  <si>
    <t>Quota (Component 1)</t>
  </si>
  <si>
    <t>Actual (Component 1)</t>
  </si>
  <si>
    <t>SA AR Withholding Adjustment</t>
  </si>
  <si>
    <t>Actual (after AR adjustment for SA)</t>
  </si>
  <si>
    <t>Quota (Component 2)</t>
  </si>
  <si>
    <t>Actual (Component 2)</t>
  </si>
  <si>
    <t>Quota (Component 3)</t>
  </si>
  <si>
    <t>Actual (Component 3)</t>
  </si>
  <si>
    <t>Quota (Component 4)</t>
  </si>
  <si>
    <t>Actual (Component 4)</t>
  </si>
  <si>
    <t xml:space="preserve"> =min(YTD Earned, YTD Cap)</t>
  </si>
  <si>
    <t>max(YTD GP, capped YTD comm.)</t>
  </si>
  <si>
    <t>Q1</t>
  </si>
  <si>
    <t>Q2</t>
  </si>
  <si>
    <t>Q3</t>
  </si>
  <si>
    <t>Q4</t>
  </si>
  <si>
    <t>copy from column GE</t>
  </si>
  <si>
    <t>For scorecard (in yellow font). To update after current quarter payout is completed.</t>
  </si>
  <si>
    <t>Total Attainment Details</t>
  </si>
  <si>
    <t>Remarks/Notes</t>
  </si>
  <si>
    <t>TMO payroll?</t>
  </si>
  <si>
    <t>Added Mth</t>
  </si>
  <si>
    <t xml:space="preserve">BPD? </t>
  </si>
  <si>
    <t xml:space="preserve">2018 Incentive Plan </t>
  </si>
  <si>
    <t xml:space="preserve">2019 Incentive Plan </t>
  </si>
  <si>
    <t>Territory (cc perspective)</t>
  </si>
  <si>
    <t>ID</t>
  </si>
  <si>
    <t>Name &amp; ID (as per HC file)</t>
  </si>
  <si>
    <t>Heirarchy</t>
  </si>
  <si>
    <t>Division</t>
  </si>
  <si>
    <t>Job Cat</t>
  </si>
  <si>
    <t>Function (origin)</t>
  </si>
  <si>
    <t>Service (comm. payout by Service)? (Y/Blank)</t>
  </si>
  <si>
    <t>Hire Date</t>
  </si>
  <si>
    <t>Effective start Date</t>
  </si>
  <si>
    <t>Termination Date</t>
  </si>
  <si>
    <t>Terminated in 2019? (Y/blank)</t>
  </si>
  <si>
    <t>On Guarantee Payment in 2019? (Y/blank)</t>
  </si>
  <si>
    <t>Q1 Guaranted Payment (total no. of month)</t>
  </si>
  <si>
    <t>Q2 Guaranted Payment (total no. of month)</t>
  </si>
  <si>
    <t>Q3 Guaranted Payment (total no. of month)</t>
  </si>
  <si>
    <t>Q4 Guaranted Payment (total no. of month)</t>
  </si>
  <si>
    <t>TI Currency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</si>
  <si>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</si>
  <si>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</si>
  <si>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</si>
  <si>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</si>
  <si>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</si>
  <si>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</si>
  <si>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</si>
  <si>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</si>
  <si>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</si>
  <si>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</si>
  <si>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</si>
  <si>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YTD Target Incentive</t>
  </si>
  <si>
    <t>Full Year Target Incentive</t>
  </si>
  <si>
    <t>Guaranteed TI per mth(Local CCY)</t>
  </si>
  <si>
    <t>Description (C1)</t>
  </si>
  <si>
    <t>Weight 1</t>
  </si>
  <si>
    <t>Paycurve 1</t>
  </si>
  <si>
    <t>Measurement Basis 1</t>
  </si>
  <si>
    <t>Quota Q1 (C1)</t>
  </si>
  <si>
    <t>Quota Q2 (C1)</t>
  </si>
  <si>
    <t>Quota Q3 (C1)</t>
  </si>
  <si>
    <t>Quota Q4 (C1)</t>
  </si>
  <si>
    <t xml:space="preserve"> Actual Q1 (C1)</t>
  </si>
  <si>
    <t xml:space="preserve"> Actual Q2 (C1)</t>
  </si>
  <si>
    <t xml:space="preserve"> Actual Q3 (C1)</t>
  </si>
  <si>
    <t xml:space="preserve"> Actual Q4 (C1)</t>
  </si>
  <si>
    <t>YTD actual (C1)</t>
  </si>
  <si>
    <t>YTD Quota (C1)</t>
  </si>
  <si>
    <t>Annual Quota (C1)</t>
  </si>
  <si>
    <t>Attain (C1) % (YTD Basis)</t>
  </si>
  <si>
    <t>YTD Earned Payout (C1) %</t>
  </si>
  <si>
    <t>YTD Earned Payout (C1) $</t>
  </si>
  <si>
    <t>Payout Cap %</t>
  </si>
  <si>
    <t>YTD Payout Capped (C1)$</t>
  </si>
  <si>
    <t>Description (C2)</t>
  </si>
  <si>
    <t>Weight 2</t>
  </si>
  <si>
    <t>Paycurve 2</t>
  </si>
  <si>
    <t>Measurement Basis 2</t>
  </si>
  <si>
    <t>Quota Q1 (C2)</t>
  </si>
  <si>
    <t>Quota Q2 (C2)</t>
  </si>
  <si>
    <t>Quota Q3 (C2)</t>
  </si>
  <si>
    <t>Quota Q4 (C2)</t>
  </si>
  <si>
    <t xml:space="preserve"> Actual Q1 (C2)</t>
  </si>
  <si>
    <t xml:space="preserve"> Actual Q2 (C2)</t>
  </si>
  <si>
    <t xml:space="preserve"> Actual Q3 (C2)</t>
  </si>
  <si>
    <t xml:space="preserve"> Actual Q4 (C2)</t>
  </si>
  <si>
    <t>YTD actual (C2)</t>
  </si>
  <si>
    <t>YTD Quota (C2)</t>
  </si>
  <si>
    <t>Annual Quota (C2)</t>
  </si>
  <si>
    <t>Attain (C2) % (YTD Basis)</t>
  </si>
  <si>
    <t>YTD Earned Payout (C2) %</t>
  </si>
  <si>
    <t>YTD Earned Payout (C2) $</t>
  </si>
  <si>
    <t>YTD Payout Capped (C2)$</t>
  </si>
  <si>
    <t>Description (C3)</t>
  </si>
  <si>
    <t>Weight 3</t>
  </si>
  <si>
    <t>Paycurve 3</t>
  </si>
  <si>
    <t>Measurement Basis 3</t>
  </si>
  <si>
    <t>Quota Q1 (C3)</t>
  </si>
  <si>
    <t>Quota Q2 (C3)</t>
  </si>
  <si>
    <t>Quota Q3 (C3)</t>
  </si>
  <si>
    <t>Quota Q4 (C3)</t>
  </si>
  <si>
    <t xml:space="preserve"> Actual Q1 (C3)</t>
  </si>
  <si>
    <t xml:space="preserve"> Actual Q2 (C3)</t>
  </si>
  <si>
    <t xml:space="preserve"> Actual Q3 (C3)</t>
  </si>
  <si>
    <t xml:space="preserve"> Actual Q4 (C3)</t>
  </si>
  <si>
    <t>YTD actual (C3)</t>
  </si>
  <si>
    <t>YTD Quota (C3)</t>
  </si>
  <si>
    <t>Annual Quota (C3)</t>
  </si>
  <si>
    <t>Attain (C3) % (YTD Basis)</t>
  </si>
  <si>
    <t>Earned Payout (C3) %</t>
  </si>
  <si>
    <t>Earned Payout (C3) $</t>
  </si>
  <si>
    <t>Payout Capped (C3)$</t>
  </si>
  <si>
    <t>Description (C4)</t>
  </si>
  <si>
    <t>Weight 4</t>
  </si>
  <si>
    <t>Paycurve 4</t>
  </si>
  <si>
    <t>Measurement Basis 4</t>
  </si>
  <si>
    <t>Quota Q1 (C4)</t>
  </si>
  <si>
    <t>Quota Q2 (C4)</t>
  </si>
  <si>
    <t>Quota Q3 (C4)</t>
  </si>
  <si>
    <t>Quota Q4 (C4)</t>
  </si>
  <si>
    <t xml:space="preserve"> Actual Q1 (C4)</t>
  </si>
  <si>
    <t xml:space="preserve"> Actual Q2 (C4)</t>
  </si>
  <si>
    <t xml:space="preserve"> Actual Q3 (C4)</t>
  </si>
  <si>
    <t xml:space="preserve"> Actual Q4 (C4)</t>
  </si>
  <si>
    <t>YTD actual (C4)</t>
  </si>
  <si>
    <t>YTD Quota (C4)</t>
  </si>
  <si>
    <t>Annual Quota (C4)</t>
  </si>
  <si>
    <t>Attain (C4) % (YTD Basis)</t>
  </si>
  <si>
    <t>Earned Payout (C4) % (YTD Basis)</t>
  </si>
  <si>
    <t xml:space="preserve">YTD Earned Payout (C4) $ </t>
  </si>
  <si>
    <t xml:space="preserve">YTD Payout Capped (C4)$ </t>
  </si>
  <si>
    <t>Capped YTD Comm. Payout $ (Local CCY)</t>
  </si>
  <si>
    <t>YTD Comm. Payout $ (Local CCY)</t>
  </si>
  <si>
    <t>SPIFF payout $ (Local CCY)</t>
  </si>
  <si>
    <t>YTD SPIFF Payout $ (Local CCY)</t>
  </si>
  <si>
    <t>Current Qtr SPIFF Payout $ (Local CCY)</t>
  </si>
  <si>
    <t>Other payout $ (Local CCY)</t>
  </si>
  <si>
    <t>YTD Other Payout $ (Local CCY)</t>
  </si>
  <si>
    <t>Current Qtr Other Payout $ (Local CCY)</t>
  </si>
  <si>
    <t>Clawback Balance $ (Local CCY)</t>
  </si>
  <si>
    <t>Q1 Total payment $ (Local CCY)</t>
  </si>
  <si>
    <t>Q2 Total payment $ (Local CCY)</t>
  </si>
  <si>
    <t>Q3 Total payment $ (Local CCY)</t>
  </si>
  <si>
    <t>Previous Quarters' Payout (Local CCY)</t>
  </si>
  <si>
    <t>Current Quarter Payment (Local CCY)</t>
  </si>
  <si>
    <t>YTD Total Earned Payout Capped
(Local CCY)</t>
  </si>
  <si>
    <t>Q1 Other Payout</t>
  </si>
  <si>
    <t>Q2 Other Payout</t>
  </si>
  <si>
    <t>Q3 Other Payout</t>
  </si>
  <si>
    <t>Q4 Other Payout</t>
  </si>
  <si>
    <t>Total Other payout</t>
  </si>
  <si>
    <t xml:space="preserve">Q1 SPIFF </t>
  </si>
  <si>
    <t xml:space="preserve">Q2 SPIFF </t>
  </si>
  <si>
    <t>Q3 SPIFF</t>
  </si>
  <si>
    <t>Q4 SPIFF</t>
  </si>
  <si>
    <t>Total Q1 SPIFF + other payout</t>
  </si>
  <si>
    <t>Total Q2 SPIFF + other payout</t>
  </si>
  <si>
    <t>Total Q3 SPIFF + other payout</t>
  </si>
  <si>
    <t>Total Q4 SPIFF + other payout</t>
  </si>
  <si>
    <t>YTD SPIFF+other payout (Local CCY)</t>
  </si>
  <si>
    <t>Total SPIFF + other payout</t>
  </si>
  <si>
    <t>Q1 Guaranteed Payout</t>
  </si>
  <si>
    <t>Q2 Guaranteed Payout</t>
  </si>
  <si>
    <t>Q3 Guaranteed Payout</t>
  </si>
  <si>
    <t>Q4 Guaranteed Payout</t>
  </si>
  <si>
    <t>YTD GP</t>
  </si>
  <si>
    <t>Total GP</t>
  </si>
  <si>
    <t>Empty</t>
  </si>
  <si>
    <t>Total YTD Actual</t>
  </si>
  <si>
    <t>Total YTD quota</t>
  </si>
  <si>
    <t>Total YTD attainment</t>
  </si>
  <si>
    <t>YTD earned payout uncapped (Local CCY)</t>
  </si>
  <si>
    <t>YTD earned payout uncapped (PMAR)</t>
  </si>
  <si>
    <t>YTD earned payout %</t>
  </si>
  <si>
    <t>RM</t>
  </si>
  <si>
    <t>BID</t>
  </si>
  <si>
    <t>Division Leader</t>
  </si>
  <si>
    <t>YTD</t>
  </si>
  <si>
    <t>R9</t>
  </si>
  <si>
    <t>AM</t>
  </si>
  <si>
    <t>Sales Rep</t>
  </si>
  <si>
    <t>Y</t>
  </si>
  <si>
    <t>BPD</t>
  </si>
  <si>
    <t>BPD Sales Rep</t>
  </si>
  <si>
    <t>R10</t>
  </si>
  <si>
    <t>GSDCSD</t>
  </si>
  <si>
    <t>Annual</t>
  </si>
  <si>
    <t>Business Development</t>
  </si>
  <si>
    <t>LSG</t>
  </si>
  <si>
    <t>TSS Manager</t>
  </si>
  <si>
    <t>TSS</t>
  </si>
  <si>
    <t>Business Development Specialist</t>
  </si>
  <si>
    <t>Key Account Management</t>
  </si>
  <si>
    <t>KR</t>
  </si>
  <si>
    <t>00145355</t>
  </si>
  <si>
    <t>Jang, Yu Sung （장유성）</t>
  </si>
  <si>
    <t>KAM</t>
  </si>
  <si>
    <t>move to KAM in Q1 2018</t>
  </si>
  <si>
    <t>Key Account Mangaement</t>
  </si>
  <si>
    <t>00144142</t>
  </si>
  <si>
    <t>Choi, Sang Nam （최상남）</t>
  </si>
  <si>
    <t>BID-LED Territory Sales Leader</t>
  </si>
  <si>
    <t>BID Territory Sales Leader</t>
  </si>
  <si>
    <t>00145325</t>
  </si>
  <si>
    <t>Park, Soo Bae （박수배）</t>
  </si>
  <si>
    <t>SD</t>
  </si>
  <si>
    <t>Sales Leader</t>
  </si>
  <si>
    <t>Sales Leader (Seoul)</t>
  </si>
  <si>
    <t>00145335</t>
  </si>
  <si>
    <t>Lee, Sanghyun （이상현）</t>
  </si>
  <si>
    <t>BID Instruments Team Leader</t>
  </si>
  <si>
    <t>00145384</t>
  </si>
  <si>
    <t>Sun, Ha-Ik （선하익）</t>
  </si>
  <si>
    <t>Instruments Team Lead</t>
  </si>
  <si>
    <t>Sales Rep (Ins)</t>
  </si>
  <si>
    <t>BID Instruments Sales Rep</t>
  </si>
  <si>
    <t>00156660</t>
  </si>
  <si>
    <t>Ahn, Kuk Ju （안국주）</t>
  </si>
  <si>
    <t>00147127</t>
  </si>
  <si>
    <t>Kang, Jihye （강지혜）</t>
  </si>
  <si>
    <t>BID-LED Sales Rep</t>
  </si>
  <si>
    <t>00146020</t>
  </si>
  <si>
    <t>Lee, Youngha （이영하）</t>
  </si>
  <si>
    <t>BID TSS</t>
  </si>
  <si>
    <t>00187502</t>
  </si>
  <si>
    <t>00239070</t>
  </si>
  <si>
    <t>Lee, Jangmi （이장미）</t>
  </si>
  <si>
    <t>BID-LED Sales Team Leader</t>
  </si>
  <si>
    <t>BID Sales Team Leader</t>
  </si>
  <si>
    <t>00145334</t>
  </si>
  <si>
    <t>Kim, Choong-Il （김충일）</t>
  </si>
  <si>
    <t>Sales Manager</t>
  </si>
  <si>
    <t>Sales Manager (BID2)</t>
  </si>
  <si>
    <t>BID Sales Rep</t>
  </si>
  <si>
    <t>00145391</t>
  </si>
  <si>
    <t>Lee, Kanghee （이강희）</t>
  </si>
  <si>
    <t>Sales Rep (BID2)</t>
  </si>
  <si>
    <t>00185497</t>
  </si>
  <si>
    <t>Shin, Taehwan （신태환 - 申泰煥）</t>
  </si>
  <si>
    <t>00184312</t>
  </si>
  <si>
    <t>Yoo, Hyegyeong （유혜경）</t>
  </si>
  <si>
    <t>00208335</t>
  </si>
  <si>
    <t>Yi, Narae （이나래 - 李나래）</t>
  </si>
  <si>
    <t>00238464</t>
  </si>
  <si>
    <t>Yang, Jinseong</t>
  </si>
  <si>
    <t>00145359</t>
  </si>
  <si>
    <t>Kim, Yun Soo （김윤수）</t>
  </si>
  <si>
    <t>Sales Manager (BID3)</t>
  </si>
  <si>
    <t>00145402</t>
  </si>
  <si>
    <t>Baik, Seoungwoo （백승우 - 白承祐）</t>
  </si>
  <si>
    <t>Sales Rep (BID3)</t>
  </si>
  <si>
    <t>00171057</t>
  </si>
  <si>
    <t>Lee, Byeongchol</t>
  </si>
  <si>
    <t>00183048</t>
  </si>
  <si>
    <t>Kwon, Sunbong</t>
  </si>
  <si>
    <t>00199800</t>
  </si>
  <si>
    <t>Lee, Kwanwoo</t>
  </si>
  <si>
    <t>00145348</t>
  </si>
  <si>
    <t>Lee, Junjae （이준재）</t>
  </si>
  <si>
    <t>00145385</t>
  </si>
  <si>
    <t>Kim, Yong Min （김용민）</t>
  </si>
  <si>
    <t>00200589</t>
  </si>
  <si>
    <t>Shim, Jinhan （심진한 - 沈珍漢）</t>
  </si>
  <si>
    <t>00201930</t>
  </si>
  <si>
    <t>Han, Jisoo （한지수）</t>
  </si>
  <si>
    <t>00237067</t>
  </si>
  <si>
    <t>Yoon, Duckhyen</t>
  </si>
  <si>
    <t>00145346</t>
  </si>
  <si>
    <t>Sales Leader (Province)</t>
  </si>
  <si>
    <t>00145401</t>
  </si>
  <si>
    <t>Park, Youngjin （박영진）</t>
  </si>
  <si>
    <t>00145405</t>
  </si>
  <si>
    <t>Moon, HyeRan （문혜란）</t>
  </si>
  <si>
    <t>00145351</t>
  </si>
  <si>
    <t>Kim, Soyoung （김소영）</t>
  </si>
  <si>
    <t>00248361</t>
  </si>
  <si>
    <t>Kim, Youngil （김영일）</t>
  </si>
  <si>
    <t>00145332</t>
  </si>
  <si>
    <t>Yoo, Inseo （유인서）</t>
  </si>
  <si>
    <t>Sales Manager (Province)</t>
  </si>
  <si>
    <t>00145347</t>
  </si>
  <si>
    <t>Kim, Myeonseok （김면석）</t>
  </si>
  <si>
    <t>Sales Rep (Province)</t>
  </si>
  <si>
    <t>00181650</t>
  </si>
  <si>
    <t>Ha, Yun-Bae</t>
  </si>
  <si>
    <t>00239178</t>
  </si>
  <si>
    <t>Park, Byungju （박병주）</t>
  </si>
  <si>
    <t>00145369</t>
  </si>
  <si>
    <t>Lee, Jaeho （이재호）</t>
  </si>
  <si>
    <t>00148475</t>
  </si>
  <si>
    <t>Park, Chan Ju （박찬주 - 朴贊株）</t>
  </si>
  <si>
    <t>00206521</t>
  </si>
  <si>
    <t>Kwak, Taewon</t>
  </si>
  <si>
    <t>00145367</t>
  </si>
  <si>
    <t>Kim, Juyoung （김주영）</t>
  </si>
  <si>
    <t>00223321</t>
  </si>
  <si>
    <t>Lee, Kyosang</t>
  </si>
  <si>
    <t>00194985</t>
  </si>
  <si>
    <t>Jeong, Jeeman</t>
  </si>
  <si>
    <t>00170147</t>
  </si>
  <si>
    <t>Yeom, HyeJung</t>
  </si>
  <si>
    <t>00182341</t>
  </si>
  <si>
    <t>Heo, Seongbeom</t>
  </si>
  <si>
    <t>00183042</t>
  </si>
  <si>
    <t>Kim, Yoonjin （김윤진 - 金潤辰）</t>
  </si>
  <si>
    <t>00241996</t>
  </si>
  <si>
    <t>Kim, Yangeun</t>
  </si>
  <si>
    <t>00195005</t>
  </si>
  <si>
    <t>Kim, Taewoo</t>
  </si>
  <si>
    <t>00239758</t>
  </si>
  <si>
    <t>Kim, Injung （김인중 - 金仁中）</t>
  </si>
  <si>
    <t>00230280</t>
  </si>
  <si>
    <t>Ryu, Jaeyong</t>
  </si>
  <si>
    <t>BID-LED Channel Sales Team</t>
  </si>
  <si>
    <t>BID Channel Sales</t>
  </si>
  <si>
    <t>00145352</t>
  </si>
  <si>
    <t>Park, Sangtae （박상태）</t>
  </si>
  <si>
    <t>Channel Sales</t>
  </si>
  <si>
    <t>00145390</t>
  </si>
  <si>
    <t>Cho, Juho （조주호）</t>
  </si>
  <si>
    <t>00247457</t>
  </si>
  <si>
    <t>BPD Sales Director</t>
  </si>
  <si>
    <t>BPD/LCD Sales Director</t>
  </si>
  <si>
    <t>00145331</t>
  </si>
  <si>
    <t>Song, Seung Youl （송승열）</t>
  </si>
  <si>
    <t>R12</t>
  </si>
  <si>
    <t>BPD Sales Manager</t>
  </si>
  <si>
    <t>00145349</t>
  </si>
  <si>
    <t>Kim, Hyejin （김혜진 - 金惠鎭）</t>
  </si>
  <si>
    <t>BPD BAM</t>
  </si>
  <si>
    <t>MBO</t>
  </si>
  <si>
    <t>10084825</t>
  </si>
  <si>
    <t>Lee, HongKyu</t>
  </si>
  <si>
    <t>00209059</t>
  </si>
  <si>
    <t>Kim, Taegon</t>
  </si>
  <si>
    <t>BPD FAS</t>
  </si>
  <si>
    <t>BPD FAS Manager</t>
  </si>
  <si>
    <t>00151336</t>
  </si>
  <si>
    <t>Seo, Bong Su （서봉수）</t>
  </si>
  <si>
    <t>BPD FAS/TSS</t>
  </si>
  <si>
    <t>00138216</t>
  </si>
  <si>
    <t>Shin, Yong Nam （신용남）</t>
  </si>
  <si>
    <t>00174952</t>
  </si>
  <si>
    <t>Noh, Tae Hyun （노태현 - 盧太賢）</t>
  </si>
  <si>
    <t>00222074</t>
  </si>
  <si>
    <t>Shin, Monica （신민철）</t>
  </si>
  <si>
    <t>00238617</t>
  </si>
  <si>
    <t>So, Seonghyun</t>
  </si>
  <si>
    <t>GSDCSD Sales Director</t>
  </si>
  <si>
    <t>BID/LPD/GSD/CSD Sales Director</t>
  </si>
  <si>
    <t>00138217</t>
  </si>
  <si>
    <t>Kim, Jung Joo （김정주）</t>
  </si>
  <si>
    <t>VP</t>
  </si>
  <si>
    <t>30% BID Total Revenue</t>
  </si>
  <si>
    <t>GSDCSD Sales Manager</t>
  </si>
  <si>
    <t>GSDCSD Sales Rep</t>
  </si>
  <si>
    <t>GSDCSD Sales Team Leader</t>
  </si>
  <si>
    <t>00146060</t>
  </si>
  <si>
    <t>Lim, Chang Yong （임창용 - 林昌龍）</t>
  </si>
  <si>
    <t>I3</t>
  </si>
  <si>
    <t>GSDCSD Sales Rep (Affy)</t>
  </si>
  <si>
    <t>00198117</t>
  </si>
  <si>
    <t>Kim, Jinhong</t>
  </si>
  <si>
    <t>00145315</t>
  </si>
  <si>
    <t>Lee, Jehyun （이제현）</t>
  </si>
  <si>
    <t>00145316</t>
  </si>
  <si>
    <t>Sohn, Seungghyu （손승규）</t>
  </si>
  <si>
    <t>10087794</t>
  </si>
  <si>
    <t>Sim, Kyungseok （심경석 - 沈涇錫）</t>
  </si>
  <si>
    <t>00153129</t>
  </si>
  <si>
    <t>Shon, Heesoo （손희수）</t>
  </si>
  <si>
    <t>GSDCSD Sr. Sales Manager</t>
  </si>
  <si>
    <t>00142570</t>
  </si>
  <si>
    <t>00145319</t>
  </si>
  <si>
    <t>Kang, Yang Mo （강양모）</t>
  </si>
  <si>
    <t>00145306</t>
  </si>
  <si>
    <t>Seo, Kyoung-Hee （서경희）</t>
  </si>
  <si>
    <t>00183178</t>
  </si>
  <si>
    <t>Shin, Donghwa （신동화 - 申東禾）</t>
  </si>
  <si>
    <t>Team Leader</t>
  </si>
  <si>
    <t>GSDCSD Sales Leader</t>
  </si>
  <si>
    <t>00145313</t>
  </si>
  <si>
    <t>Kim, HyoungYoon （김형윤）</t>
  </si>
  <si>
    <t>00145314</t>
  </si>
  <si>
    <t>Kim, Kapjin （김갑진）</t>
  </si>
  <si>
    <t>00145317</t>
  </si>
  <si>
    <t>Roh, Suheun （노수흔）</t>
  </si>
  <si>
    <t>00200593</t>
  </si>
  <si>
    <t>Park, Gunhee （박건희 - 朴建熙）</t>
  </si>
  <si>
    <t>00232070</t>
  </si>
  <si>
    <t>Kim, Taekhoon</t>
  </si>
  <si>
    <t>00232081</t>
  </si>
  <si>
    <t>Shin, Jiwoo （신지우）</t>
  </si>
  <si>
    <t>00172647</t>
  </si>
  <si>
    <t>Kang, Minbum （강민범 - 姜敃範）</t>
  </si>
  <si>
    <t>00185504</t>
  </si>
  <si>
    <t>Min, Seonhu</t>
  </si>
  <si>
    <t>00196862</t>
  </si>
  <si>
    <t>Kim, Wooyoung</t>
  </si>
  <si>
    <t>Business Development Manager</t>
  </si>
  <si>
    <t>GSDCSD BD Team Leader</t>
  </si>
  <si>
    <t>00145297</t>
  </si>
  <si>
    <t>Koo, TaeWan （구태완）</t>
  </si>
  <si>
    <t>GSDCSD (BD)</t>
  </si>
  <si>
    <t>GSDCSD Sales Manager (Affy)</t>
  </si>
  <si>
    <t>GSDCSD BD</t>
  </si>
  <si>
    <t>00182605</t>
  </si>
  <si>
    <t>Jeon, Youngchul （전영철）</t>
  </si>
  <si>
    <t>Sales Rep (HID)</t>
  </si>
  <si>
    <t>Vertical Sales Team Leader</t>
  </si>
  <si>
    <t>00145308</t>
  </si>
  <si>
    <t>Lim, Sanghun （임상훈）</t>
  </si>
  <si>
    <t>GSDCSD TSS Manager</t>
  </si>
  <si>
    <t>00130214</t>
  </si>
  <si>
    <t>Park, Keun-Joon （박근준）</t>
  </si>
  <si>
    <t>TSS Lead</t>
  </si>
  <si>
    <t>GSDCSD TSS</t>
  </si>
  <si>
    <t>00141794</t>
  </si>
  <si>
    <t>Lee, Chang Hyeon （이창현）</t>
  </si>
  <si>
    <t>00193220</t>
  </si>
  <si>
    <t>Kim, Juhyun</t>
  </si>
  <si>
    <t>00145309</t>
  </si>
  <si>
    <t>Kim, Pyung Hee （김평희）</t>
  </si>
  <si>
    <t>00145302</t>
  </si>
  <si>
    <t>You, Hoesuk （유회숙）</t>
  </si>
  <si>
    <t>00187346</t>
  </si>
  <si>
    <t>Park, Mikyung</t>
  </si>
  <si>
    <t>00247264</t>
  </si>
  <si>
    <t>GSD/CSD sales analyst</t>
  </si>
  <si>
    <t>GSDCSD Sales Analyst</t>
  </si>
  <si>
    <t>00135967</t>
  </si>
  <si>
    <t>Choi, Seul Gi （최슬기）</t>
  </si>
  <si>
    <t>Sales Analyst</t>
  </si>
  <si>
    <t>00145298</t>
  </si>
  <si>
    <t>Choi, Hee Whan （최희환）</t>
  </si>
  <si>
    <t>BID Marketing Team Leader</t>
  </si>
  <si>
    <t>00145360</t>
  </si>
  <si>
    <t>Moon, Noory （문누리）</t>
  </si>
  <si>
    <t>MKTG</t>
  </si>
  <si>
    <t>Marketing</t>
  </si>
  <si>
    <t>BID Marketing</t>
  </si>
  <si>
    <t>00145393</t>
  </si>
  <si>
    <t>Yun, Seoyeon （윤서연）</t>
  </si>
  <si>
    <t>00182342</t>
  </si>
  <si>
    <t>Jang, Hansaem （장한샘）</t>
  </si>
  <si>
    <t>00195470</t>
  </si>
  <si>
    <t>Oh, Sujin</t>
  </si>
  <si>
    <t>00233908</t>
  </si>
  <si>
    <t>Yang, Mihye</t>
  </si>
  <si>
    <t>00237698</t>
  </si>
  <si>
    <t>Joo, Ilseob</t>
  </si>
  <si>
    <t>BPD Marketing</t>
  </si>
  <si>
    <t>10064228</t>
  </si>
  <si>
    <t>Rim, Yeonmi</t>
  </si>
  <si>
    <t>GSDCSD Marketing</t>
  </si>
  <si>
    <t>00142245</t>
  </si>
  <si>
    <t>Shin, Hyun Young （신현영）</t>
  </si>
  <si>
    <t>00225340</t>
  </si>
  <si>
    <t>Kwon, Jihyun</t>
  </si>
  <si>
    <t>00244230</t>
  </si>
  <si>
    <t>OEM Lead</t>
  </si>
  <si>
    <t>00147927</t>
  </si>
  <si>
    <t>Park, Hye-mi （박혜미）</t>
  </si>
  <si>
    <t>OEM</t>
  </si>
  <si>
    <t>Total Sales Performance Details</t>
  </si>
  <si>
    <t xml:space="preserve">Incentive Payment Details </t>
  </si>
  <si>
    <t>Employee</t>
  </si>
  <si>
    <t>Function</t>
  </si>
  <si>
    <t>YTD Actual</t>
  </si>
  <si>
    <t>YTD quota</t>
  </si>
  <si>
    <t>YTD Attainment</t>
  </si>
  <si>
    <t xml:space="preserve">Total YTD attainment % </t>
  </si>
  <si>
    <t>Total YTD earned sales commission (Local CCY)</t>
  </si>
  <si>
    <t>Total YTD earned payout %</t>
  </si>
  <si>
    <t>YTD TI 
(Local CCY)</t>
  </si>
  <si>
    <t>Previous Quarters' Payment 
(Local CCY)</t>
  </si>
  <si>
    <t>YTD Total Payment (Local CCY)</t>
  </si>
  <si>
    <t>macro ref</t>
  </si>
  <si>
    <t>Commission</t>
  </si>
  <si>
    <t>Weight</t>
  </si>
  <si>
    <t>YTD 
Quota</t>
  </si>
  <si>
    <t>YTD 
Actual</t>
  </si>
  <si>
    <t>YTD 
Attainment %</t>
  </si>
  <si>
    <t>YTD Payout % (Uncapped)</t>
  </si>
  <si>
    <t>Total</t>
  </si>
  <si>
    <t>Guaranteed payout</t>
  </si>
  <si>
    <t>Guaranteed Payment:</t>
  </si>
  <si>
    <t>Q1 Guaranteed Payment</t>
  </si>
  <si>
    <t>Q2 Guaranteed Payment</t>
  </si>
  <si>
    <t>Q3 Guaranteed Payment</t>
  </si>
  <si>
    <t>Q4 Guaranteed Payment</t>
  </si>
  <si>
    <t>* Payout based on higher of guaranteed payment or YTD earned payout</t>
  </si>
  <si>
    <t>SPIFF payout</t>
  </si>
  <si>
    <t>SPIFF Payment:</t>
  </si>
  <si>
    <t>Q1 SPIFF</t>
  </si>
  <si>
    <t>Q2 SPIFF</t>
  </si>
  <si>
    <t>YTD other payout</t>
  </si>
  <si>
    <t>Current Quarter clawback balance</t>
  </si>
  <si>
    <t>Less: Payment made for Q1 payout</t>
  </si>
  <si>
    <t>Less: Payment made for Q2 payout</t>
  </si>
  <si>
    <t>Less: Payment made for Q3 payout</t>
  </si>
  <si>
    <t>Input below details of the employees whom you wish to generate scorecard in email.</t>
  </si>
  <si>
    <t>Employee Name</t>
  </si>
  <si>
    <t>Employee Email</t>
  </si>
  <si>
    <t>Manager Email</t>
  </si>
  <si>
    <t>Curve</t>
  </si>
  <si>
    <t>Attainment % Lower Limit</t>
  </si>
  <si>
    <t>Attainment % Upper Limit</t>
  </si>
  <si>
    <t>Payout % Lower Limit</t>
  </si>
  <si>
    <t>Payout % Upper Limit</t>
  </si>
  <si>
    <t>Slope</t>
  </si>
  <si>
    <t>LPD</t>
  </si>
  <si>
    <t>KRW</t>
  </si>
  <si>
    <t>PLEASE DO NOT EDIT THIS SHEET</t>
  </si>
  <si>
    <t>Currency</t>
  </si>
  <si>
    <t>00147839</t>
  </si>
  <si>
    <t>00160434</t>
  </si>
  <si>
    <t>00161406</t>
  </si>
  <si>
    <t>00168337</t>
  </si>
  <si>
    <t>00174843</t>
  </si>
  <si>
    <t>00185816</t>
  </si>
  <si>
    <t>00189056</t>
  </si>
  <si>
    <t>00191181</t>
  </si>
  <si>
    <t>00194034</t>
  </si>
  <si>
    <t>00222327</t>
  </si>
  <si>
    <t>00222800</t>
  </si>
  <si>
    <t>00228092</t>
  </si>
  <si>
    <t>00228198</t>
  </si>
  <si>
    <t>00233577</t>
  </si>
  <si>
    <t>00235491</t>
  </si>
  <si>
    <t>00235575</t>
  </si>
  <si>
    <t>00235577</t>
  </si>
  <si>
    <t>00248695</t>
  </si>
  <si>
    <t>10060246</t>
  </si>
  <si>
    <t>10062533</t>
  </si>
  <si>
    <t>10073805</t>
  </si>
  <si>
    <t>10083093</t>
  </si>
  <si>
    <t>10086214</t>
  </si>
  <si>
    <t>10812098</t>
  </si>
  <si>
    <t>10812107</t>
  </si>
  <si>
    <t>10812469</t>
  </si>
  <si>
    <t>10820478</t>
  </si>
  <si>
    <t>10820895</t>
  </si>
  <si>
    <t>10823920</t>
  </si>
  <si>
    <t>10828317</t>
  </si>
  <si>
    <t>10838152</t>
  </si>
  <si>
    <t>10838245</t>
  </si>
  <si>
    <t>10844656</t>
  </si>
  <si>
    <t>10848061</t>
  </si>
  <si>
    <t>Chang, Timothy Uho （장티모시유호）</t>
  </si>
  <si>
    <t>Kim, Kwangmo</t>
  </si>
  <si>
    <t>Park, Edward （박상기 - 朴商起）</t>
  </si>
  <si>
    <t>Lee, Jongho</t>
  </si>
  <si>
    <t>Won, Jinwook （원진욱 - 元進煜）</t>
  </si>
  <si>
    <t>Moon, Dongwook</t>
  </si>
  <si>
    <t>Lee, Jeongwon （이정원 - 李正元）</t>
  </si>
  <si>
    <t>Hwang, Gyubin</t>
  </si>
  <si>
    <t>Seo, Seongwon</t>
  </si>
  <si>
    <t>Kim, Jongsoo</t>
  </si>
  <si>
    <t>Lee, Heontae</t>
  </si>
  <si>
    <t>Jang, Sechan</t>
  </si>
  <si>
    <t>Ahn, Youngmo （안영모 - 安英模）</t>
  </si>
  <si>
    <t>Park, Gayoung</t>
  </si>
  <si>
    <t>Kim, Taehoon （김태훈 - 金兌勳）</t>
  </si>
  <si>
    <t>Jee, Bonggyu （지봉규 - 池俸圭）</t>
  </si>
  <si>
    <t>Kim, Eunjeong</t>
  </si>
  <si>
    <t>Kim, Cheonsang （김천상 - 金千詳）</t>
  </si>
  <si>
    <t>Cho, YoungKeun （조영근）</t>
  </si>
  <si>
    <t>Bae, Sungil</t>
  </si>
  <si>
    <t>Jeong, Jaeseong （정재성 - 鄭在成）</t>
  </si>
  <si>
    <t>Cho, Seungbeom （조승범 - 趙勝範）</t>
  </si>
  <si>
    <t>Lee, Taewoong （이태웅）</t>
  </si>
  <si>
    <t>Youk, Changmin</t>
  </si>
  <si>
    <t>Hong, Yonghee （홍용희 - 洪容喜）</t>
  </si>
  <si>
    <t>Chun, Donghoon</t>
  </si>
  <si>
    <t>Kwak, Minjun</t>
  </si>
  <si>
    <t>Koo, Ilmo</t>
  </si>
  <si>
    <t>Song, Euichang</t>
  </si>
  <si>
    <t>Lim, Hyunjong</t>
  </si>
  <si>
    <t>Lee, Heawon</t>
  </si>
  <si>
    <t>Han, Sootaek</t>
  </si>
  <si>
    <t>Kim, Yunhyung</t>
  </si>
  <si>
    <t>SM</t>
  </si>
  <si>
    <t>RM</t>
    <phoneticPr fontId="37" type="noConversion"/>
  </si>
  <si>
    <t>BID/LPD Marketing Leader</t>
    <phoneticPr fontId="37" type="noConversion"/>
  </si>
  <si>
    <t>BID/LPD</t>
    <phoneticPr fontId="37" type="noConversion"/>
  </si>
  <si>
    <t>00145361</t>
  </si>
  <si>
    <t>Hyun, Eunkyung （현은경）</t>
  </si>
  <si>
    <t>LCD</t>
  </si>
  <si>
    <t>LCD</t>
    <phoneticPr fontId="37" type="noConversion"/>
  </si>
  <si>
    <t>00157204</t>
  </si>
  <si>
    <t>00157207</t>
  </si>
  <si>
    <t>00157209</t>
  </si>
  <si>
    <t>00222096</t>
  </si>
  <si>
    <t>00229093</t>
  </si>
  <si>
    <t>00231249</t>
  </si>
  <si>
    <t>00237828</t>
  </si>
  <si>
    <t>00248345</t>
  </si>
  <si>
    <t>10824996</t>
  </si>
  <si>
    <t>Lee, Mac （이정호 - 李政鎬）</t>
  </si>
  <si>
    <t>Hong, Yoojin</t>
  </si>
  <si>
    <t>Kang, Hana</t>
  </si>
  <si>
    <t>Park, Hyunjoo</t>
  </si>
  <si>
    <t>Kim, Gyutae</t>
  </si>
  <si>
    <t>Joo, Yongjae</t>
  </si>
  <si>
    <t>Park, Jaesung （박재성）</t>
  </si>
  <si>
    <t>Ham, Jaemin</t>
  </si>
  <si>
    <t>RM</t>
    <phoneticPr fontId="37" type="noConversion"/>
  </si>
  <si>
    <t>Business Development</t>
    <phoneticPr fontId="37" type="noConversion"/>
  </si>
  <si>
    <t>Product Management</t>
    <phoneticPr fontId="37" type="noConversion"/>
  </si>
  <si>
    <t>AM</t>
    <phoneticPr fontId="37" type="noConversion"/>
  </si>
  <si>
    <t>Ryu, Taeyeoul （유태열）</t>
    <phoneticPr fontId="37" type="noConversion"/>
  </si>
  <si>
    <t>Maeng, Sohyun</t>
    <phoneticPr fontId="37" type="noConversion"/>
  </si>
  <si>
    <t>Kim, Seonah （김선아）</t>
    <phoneticPr fontId="37" type="noConversion"/>
  </si>
  <si>
    <t>Joo, Woohyun （주우현）</t>
    <phoneticPr fontId="37" type="noConversion"/>
  </si>
  <si>
    <t>Shin, Joongkeun （신중근 - 申重根）</t>
  </si>
  <si>
    <t>Kim, Ryeonghwan （김령환 - 金鈴煥）</t>
  </si>
  <si>
    <t>Shin, Hanil （신한일）</t>
  </si>
  <si>
    <t>Dongju Lee (00248345)</t>
  </si>
  <si>
    <t>Y</t>
    <phoneticPr fontId="37" type="noConversion"/>
  </si>
  <si>
    <t>Y</t>
    <phoneticPr fontId="37" type="noConversion"/>
  </si>
  <si>
    <t>Hiring Month</t>
    <phoneticPr fontId="37" type="noConversion"/>
  </si>
  <si>
    <t>Eligible month</t>
  </si>
  <si>
    <t>BPD FSE</t>
    <phoneticPr fontId="37" type="noConversion"/>
  </si>
  <si>
    <t>Sungmin Lee (00238819)</t>
  </si>
  <si>
    <t>00238819</t>
  </si>
  <si>
    <t>Kyungchul Son (00194396)</t>
  </si>
  <si>
    <t>00194396</t>
  </si>
  <si>
    <t>Y</t>
    <phoneticPr fontId="37" type="noConversion"/>
  </si>
  <si>
    <t>BPD FAS</t>
    <phoneticPr fontId="37" type="noConversion"/>
  </si>
  <si>
    <t>00188499</t>
  </si>
  <si>
    <t>Yunsun Song(00188499)</t>
    <phoneticPr fontId="37" type="noConversion"/>
  </si>
  <si>
    <t>BPD FSE</t>
  </si>
  <si>
    <t>Maeng, Sohyun</t>
  </si>
  <si>
    <t>YTD</t>
    <phoneticPr fontId="37" type="noConversion"/>
  </si>
  <si>
    <t xml:space="preserve"> Specified Revenue(KAM)</t>
  </si>
  <si>
    <t xml:space="preserve"> BPD FAS Individual Revenue</t>
  </si>
  <si>
    <t xml:space="preserve"> Territory Team Instruments Revenue</t>
  </si>
  <si>
    <t xml:space="preserve"> Territory Individual Instruments Revenue</t>
  </si>
  <si>
    <t xml:space="preserve"> GSDCSD Instruments Total Revenue</t>
  </si>
  <si>
    <t xml:space="preserve"> BID OEM Total Revenue</t>
  </si>
  <si>
    <t xml:space="preserve"> Specified Revenue (BioPharma)</t>
  </si>
  <si>
    <t xml:space="preserve"> Individual Total Revenue</t>
  </si>
  <si>
    <t xml:space="preserve"> Product Group Revenue</t>
  </si>
  <si>
    <t xml:space="preserve"> BPD Individual Revenue</t>
  </si>
  <si>
    <t xml:space="preserve"> BD Team Total Revenue</t>
  </si>
  <si>
    <t xml:space="preserve"> BD Individual Total Revenue</t>
  </si>
  <si>
    <t xml:space="preserve"> BID Individual PG Total Revenue</t>
  </si>
  <si>
    <t xml:space="preserve"> BPD Total Revenue</t>
  </si>
  <si>
    <t xml:space="preserve"> BID Products Territory Total Revenue</t>
  </si>
  <si>
    <t xml:space="preserve"> BPD FSE Individual Revenue</t>
  </si>
  <si>
    <t xml:space="preserve"> BID Instrument Total Revenue</t>
  </si>
  <si>
    <t xml:space="preserve"> Individual BID Instrument Total Revenue</t>
  </si>
  <si>
    <t xml:space="preserve"> BPD/LCD Total Revenue</t>
  </si>
  <si>
    <t xml:space="preserve"> HID, AH Total Revenue</t>
  </si>
  <si>
    <t xml:space="preserve"> BID Total Revenue</t>
  </si>
  <si>
    <t xml:space="preserve"> LSG Korea Total Revenue(CTX)</t>
  </si>
  <si>
    <t xml:space="preserve"> Territory Team Consumables Revenue</t>
  </si>
  <si>
    <t xml:space="preserve"> Territory Individual Consumables Revenue</t>
  </si>
  <si>
    <t xml:space="preserve"> GSDCSD Consumables Total Revenue</t>
  </si>
  <si>
    <t xml:space="preserve"> GSDCSD OEM Total Revenue</t>
  </si>
  <si>
    <t xml:space="preserve"> CTD &amp; PSD Total Revenue</t>
  </si>
  <si>
    <t xml:space="preserve"> Team Total Revenue</t>
  </si>
  <si>
    <t xml:space="preserve"> LSG Korea Total Revenue</t>
  </si>
  <si>
    <t xml:space="preserve"> BPD Team Revenue</t>
  </si>
  <si>
    <t xml:space="preserve"> BPD FAS Team Total Revenue</t>
  </si>
  <si>
    <t xml:space="preserve"> GSDCSD Total Revenue</t>
  </si>
  <si>
    <t xml:space="preserve"> LSG HANA Shared Revenue (LPE, TPP)</t>
  </si>
  <si>
    <t xml:space="preserve"> LPD Total Revenue</t>
  </si>
  <si>
    <t xml:space="preserve"> BID Korea Total Revenue</t>
  </si>
  <si>
    <t>R10</t>
    <phoneticPr fontId="37" type="noConversion"/>
  </si>
  <si>
    <t>YTD</t>
    <phoneticPr fontId="37" type="noConversion"/>
  </si>
  <si>
    <t xml:space="preserve"> Individual BID Instrument Total Revenue</t>
    <phoneticPr fontId="37" type="noConversion"/>
  </si>
  <si>
    <t>LCD Individual Revenue (FCP)</t>
    <phoneticPr fontId="37" type="noConversion"/>
  </si>
  <si>
    <t>LCD Individual Revenue (LAR)</t>
    <phoneticPr fontId="37" type="noConversion"/>
  </si>
  <si>
    <t>LCD Individual Revenue</t>
  </si>
  <si>
    <t>LCD team Total revenue</t>
  </si>
  <si>
    <t>LCD Team Total Revenue (Sales team 1)</t>
  </si>
  <si>
    <t xml:space="preserve">LCD Team Total Revenue </t>
  </si>
  <si>
    <t>Sales Manager (BID1)</t>
  </si>
  <si>
    <t>Sales Rep (BID1)</t>
  </si>
  <si>
    <t>KingFisher</t>
    <phoneticPr fontId="37" type="noConversion"/>
  </si>
  <si>
    <t>OEM &amp; Acquisition</t>
    <phoneticPr fontId="37" type="noConversion"/>
  </si>
  <si>
    <t>LCD Individual Revenue</t>
    <phoneticPr fontId="37" type="noConversion"/>
  </si>
  <si>
    <t>R10</t>
    <phoneticPr fontId="37" type="noConversion"/>
  </si>
  <si>
    <t>R10</t>
    <phoneticPr fontId="37" type="noConversion"/>
  </si>
  <si>
    <t>LCD</t>
    <phoneticPr fontId="37" type="noConversion"/>
  </si>
  <si>
    <t>LPD</t>
    <phoneticPr fontId="37" type="noConversion"/>
  </si>
  <si>
    <t>00250416</t>
  </si>
  <si>
    <t>MKTG</t>
    <phoneticPr fontId="37" type="noConversion"/>
  </si>
  <si>
    <t>Jeeyeon Lee (00250416)</t>
  </si>
  <si>
    <t>MBO</t>
    <phoneticPr fontId="37" type="noConversion"/>
  </si>
  <si>
    <t>Annual</t>
    <phoneticPr fontId="37" type="noConversion"/>
  </si>
  <si>
    <t>YTD</t>
    <phoneticPr fontId="37" type="noConversion"/>
  </si>
  <si>
    <t>OEM Total Revenue</t>
    <phoneticPr fontId="37" type="noConversion"/>
  </si>
  <si>
    <t>LSG Korea Total Revenue</t>
    <phoneticPr fontId="37" type="noConversion"/>
  </si>
  <si>
    <t>LPD Total Revenue</t>
  </si>
  <si>
    <t>LPD Total Revenue</t>
    <phoneticPr fontId="37" type="noConversion"/>
  </si>
  <si>
    <t>LSG Korea Total Revenue</t>
    <phoneticPr fontId="37" type="noConversion"/>
  </si>
  <si>
    <t>LCD Total revenue</t>
  </si>
  <si>
    <t>LPD Channel Team Total</t>
  </si>
  <si>
    <t>LPD Channel Team Total</t>
    <phoneticPr fontId="37" type="noConversion"/>
  </si>
  <si>
    <t>YTD</t>
    <phoneticPr fontId="37" type="noConversion"/>
  </si>
  <si>
    <t xml:space="preserve"> GSDCSD Total Revenue(+Mol, TPP)</t>
  </si>
  <si>
    <t xml:space="preserve"> GSDCSD Total Revenue(+Mol, TPP)</t>
    <phoneticPr fontId="37" type="noConversion"/>
  </si>
  <si>
    <t>KPI</t>
  </si>
  <si>
    <t>Territory Total</t>
  </si>
  <si>
    <t>LE Total</t>
  </si>
  <si>
    <t>LPD SMF Total</t>
  </si>
  <si>
    <t>LPD TPP Total</t>
  </si>
  <si>
    <t>Current Qtr Clawback balance $ (Local CCY)</t>
    <phoneticPr fontId="37" type="noConversion"/>
  </si>
  <si>
    <t>Annual</t>
    <phoneticPr fontId="37" type="noConversion"/>
  </si>
  <si>
    <t>00253634</t>
    <phoneticPr fontId="37" type="noConversion"/>
  </si>
  <si>
    <t>Jangkyu Kim (00253634)</t>
    <phoneticPr fontId="37" type="noConversion"/>
  </si>
  <si>
    <t>LPD Total Revenue</t>
    <phoneticPr fontId="37" type="noConversion"/>
  </si>
  <si>
    <t xml:space="preserve"> BID Individual PG Total Revenue</t>
    <phoneticPr fontId="37" type="noConversion"/>
  </si>
  <si>
    <t>CTT+ANC Total</t>
  </si>
  <si>
    <t>LE Team Total</t>
  </si>
  <si>
    <t>Centrifuge+WAI Total</t>
  </si>
  <si>
    <t>Channel Team Total</t>
  </si>
  <si>
    <t>LPE Total</t>
  </si>
  <si>
    <t>Team Total</t>
  </si>
  <si>
    <t>Team Core Total</t>
  </si>
  <si>
    <t>Individual Total</t>
  </si>
  <si>
    <t>LPD Total Revenue</t>
    <phoneticPr fontId="37" type="noConversion"/>
  </si>
  <si>
    <t>LCD Total Revenue</t>
  </si>
  <si>
    <t>LCD Total Revenue</t>
    <phoneticPr fontId="37" type="noConversion"/>
  </si>
  <si>
    <t>LSG HANA (BID SERA)</t>
  </si>
  <si>
    <t>Team LPD SMF Total</t>
  </si>
  <si>
    <t>LPE &amp; TPP Team Total</t>
  </si>
  <si>
    <t>BID Total(=김면석)</t>
  </si>
  <si>
    <t>LSG Total Revenue</t>
  </si>
  <si>
    <t>LSG Total Revenue</t>
    <phoneticPr fontId="37" type="noConversion"/>
  </si>
  <si>
    <t>LCD Total Revenue</t>
    <phoneticPr fontId="37" type="noConversion"/>
  </si>
  <si>
    <t>BPD Total Revenue</t>
    <phoneticPr fontId="37" type="noConversion"/>
  </si>
  <si>
    <t>quarterly update</t>
    <phoneticPr fontId="37" type="noConversion"/>
  </si>
  <si>
    <t>GSD</t>
  </si>
  <si>
    <t>00258585</t>
  </si>
  <si>
    <t>00264010</t>
  </si>
  <si>
    <t>00263370</t>
  </si>
  <si>
    <t>00246573</t>
  </si>
  <si>
    <t>00264618</t>
  </si>
  <si>
    <t>00262658</t>
  </si>
  <si>
    <t>Core</t>
  </si>
  <si>
    <t>ANC</t>
  </si>
  <si>
    <t>LPD TOTAL</t>
  </si>
  <si>
    <t>MBO</t>
    <phoneticPr fontId="37" type="noConversion"/>
  </si>
  <si>
    <t>AH</t>
  </si>
  <si>
    <t>Team</t>
  </si>
  <si>
    <t xml:space="preserve">GSDCSD </t>
    <phoneticPr fontId="37" type="noConversion"/>
  </si>
  <si>
    <t>Lee, Uimin</t>
  </si>
  <si>
    <t>You, Hye Jin</t>
  </si>
  <si>
    <t>Lee, Hyowon</t>
  </si>
  <si>
    <t>Nam, Young-Sun</t>
  </si>
  <si>
    <t>Jeong, Da Eun</t>
  </si>
  <si>
    <t>Bae, Heejae</t>
  </si>
  <si>
    <t xml:space="preserve"> Actual Q3 (C1)</t>
    <phoneticPr fontId="37" type="noConversion"/>
  </si>
  <si>
    <t>BPD/LCD</t>
    <phoneticPr fontId="37" type="noConversion"/>
  </si>
  <si>
    <t>GSDCSD</t>
    <phoneticPr fontId="37" type="noConversion"/>
  </si>
  <si>
    <t>CTT</t>
    <phoneticPr fontId="37" type="noConversion"/>
  </si>
  <si>
    <t>LPE+WAI</t>
  </si>
  <si>
    <t>Centrifuge</t>
    <phoneticPr fontId="37" type="noConversion"/>
  </si>
  <si>
    <t>BID Channel Sales</t>
    <phoneticPr fontId="37" type="noConversion"/>
  </si>
  <si>
    <t>KR</t>
    <phoneticPr fontId="37" type="noConversion"/>
  </si>
  <si>
    <t>GSD/CSD Inst</t>
  </si>
  <si>
    <t>GSD/CSD Cons (Incl. NON-GSD/CSD)</t>
  </si>
  <si>
    <t>00145378</t>
  </si>
  <si>
    <t>00265947</t>
  </si>
  <si>
    <t>00267110</t>
  </si>
  <si>
    <t>00267093</t>
  </si>
  <si>
    <t>00267566</t>
  </si>
  <si>
    <t>00267557</t>
  </si>
  <si>
    <t>00267917</t>
  </si>
  <si>
    <t>00268475</t>
  </si>
  <si>
    <t>00269659</t>
  </si>
  <si>
    <t>00270925</t>
  </si>
  <si>
    <t>YTD</t>
    <phoneticPr fontId="37" type="noConversion"/>
  </si>
  <si>
    <t>Jang, Dong Min （장동민）</t>
  </si>
  <si>
    <t>Ahn, Sungjoon</t>
  </si>
  <si>
    <t>Choi, Hyunil</t>
  </si>
  <si>
    <t>Choi, HyunYoung</t>
  </si>
  <si>
    <t>Kwon, Hee-jun</t>
  </si>
  <si>
    <t>Kim, Hun</t>
  </si>
  <si>
    <t>Lim, Jongseok</t>
  </si>
  <si>
    <t>Kim, Jaeman （김재만）</t>
  </si>
  <si>
    <t>Cho, Seunghee</t>
  </si>
  <si>
    <t>Lee, Jihyun</t>
  </si>
  <si>
    <t>Account Management (ACTM)</t>
  </si>
  <si>
    <t>Instrument Sales (INST)</t>
  </si>
  <si>
    <t>Application Sciences (APSS)</t>
  </si>
  <si>
    <t>Product Specialist (TSSS)</t>
  </si>
  <si>
    <t>Business Development (BDEV)</t>
  </si>
  <si>
    <t>BPD</t>
    <phoneticPr fontId="37" type="noConversion"/>
  </si>
  <si>
    <t>LCD</t>
    <phoneticPr fontId="37" type="noConversion"/>
  </si>
  <si>
    <t>BID</t>
    <phoneticPr fontId="37" type="noConversion"/>
  </si>
  <si>
    <t>00247787</t>
  </si>
  <si>
    <t>Min, Kyungchul</t>
  </si>
  <si>
    <t>LPD</t>
    <phoneticPr fontId="37" type="noConversion"/>
  </si>
  <si>
    <t>Account Manager II</t>
  </si>
  <si>
    <t>GSDCSD</t>
    <phoneticPr fontId="37" type="noConversion"/>
  </si>
  <si>
    <t xml:space="preserve">Weigtage sum </t>
    <phoneticPr fontId="37" type="noConversion"/>
  </si>
  <si>
    <t>Avg</t>
  </si>
  <si>
    <t>Median</t>
  </si>
  <si>
    <t>Max</t>
  </si>
  <si>
    <t>Payout%</t>
  </si>
  <si>
    <t>Cost Center</t>
  </si>
  <si>
    <t>Previous</t>
  </si>
  <si>
    <t>72531018</t>
  </si>
  <si>
    <t>On Guarantee Payment in 2020? (Y/blank)</t>
    <phoneticPr fontId="37" type="noConversion"/>
  </si>
  <si>
    <t xml:space="preserve"> Actual Q1 (C2)</t>
    <phoneticPr fontId="37" type="noConversion"/>
  </si>
  <si>
    <t xml:space="preserve"> Actual Q3 
(C1)</t>
    <phoneticPr fontId="37" type="noConversion"/>
  </si>
  <si>
    <t>TI excl. MBO</t>
  </si>
  <si>
    <t/>
  </si>
  <si>
    <t>001111</t>
  </si>
  <si>
    <t>홍길동</t>
  </si>
  <si>
    <t>001453</t>
  </si>
  <si>
    <t>이순신</t>
  </si>
  <si>
    <t>001532</t>
  </si>
  <si>
    <t>김세종</t>
  </si>
  <si>
    <t>SR</t>
  </si>
  <si>
    <t>TL</t>
  </si>
  <si>
    <t>DL</t>
  </si>
  <si>
    <t>Salesrep</t>
  </si>
  <si>
    <t>영업1부</t>
  </si>
  <si>
    <t>영업1부1팀</t>
  </si>
  <si>
    <t>영업1부매출</t>
  </si>
  <si>
    <t>B5</t>
  </si>
  <si>
    <t>영업1부1팀매출</t>
  </si>
  <si>
    <t>B3</t>
  </si>
  <si>
    <t>개인매출</t>
  </si>
  <si>
    <t>B2</t>
  </si>
  <si>
    <t>B10</t>
  </si>
  <si>
    <t>C2</t>
  </si>
  <si>
    <t>C3</t>
  </si>
  <si>
    <t>C5</t>
  </si>
  <si>
    <t>C10</t>
  </si>
  <si>
    <t>영업부마진</t>
  </si>
  <si>
    <t>영업1부1팀마진</t>
  </si>
  <si>
    <t>개인마진</t>
  </si>
  <si>
    <t>영업부매출</t>
  </si>
  <si>
    <t>국가</t>
  </si>
  <si>
    <t>사번</t>
  </si>
  <si>
    <t>사원명</t>
  </si>
  <si>
    <t>부서명</t>
  </si>
  <si>
    <t>소속</t>
  </si>
  <si>
    <t>입사일</t>
  </si>
  <si>
    <t>인센티브 계산일</t>
  </si>
  <si>
    <t>입사월</t>
  </si>
  <si>
    <t>대상월</t>
  </si>
  <si>
    <t>퇴사일</t>
  </si>
  <si>
    <t>2020년 퇴사?
(Y/blank)</t>
  </si>
  <si>
    <t>분기</t>
  </si>
  <si>
    <t>월</t>
  </si>
  <si>
    <t>&lt;--- 매분기 선택</t>
  </si>
  <si>
    <t>매달업데이트 필요</t>
  </si>
  <si>
    <t>매달업데이트</t>
  </si>
  <si>
    <t>Target Incentive 
(Pro-rated)</t>
  </si>
  <si>
    <t>요약시트</t>
    <phoneticPr fontId="37" type="noConversion"/>
  </si>
  <si>
    <t>Gap</t>
    <phoneticPr fontId="37" type="noConversion"/>
  </si>
  <si>
    <t>지급액</t>
    <phoneticPr fontId="37" type="noConversion"/>
  </si>
  <si>
    <t>환율</t>
    <phoneticPr fontId="37" type="noConversion"/>
  </si>
  <si>
    <t>순번</t>
    <phoneticPr fontId="3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</si>
</sst>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_-* #,##0_-;\-* #,##0_-;_-* &quot;-&quot;_-;_-@_-"/>
    <numFmt numFmtId="165" formatCode="_(* ###0_);_(* \(###0\);_(* &quot;-&quot;??_);_(@_)"/>
    <numFmt numFmtId="166" formatCode="_(* #,##0_);_(* \(#,##0\);_(* &quot;-&quot;??_);_(@_)"/>
    <numFmt numFmtId="167" formatCode="0.0%"/>
    <numFmt numFmtId="168" formatCode="#,##0_);[Red]\(#,##0\);"/>
    <numFmt numFmtId="169" formatCode="0.00%;[Red]0.00%;"/>
    <numFmt numFmtId="170" formatCode="0%;[Red]0%;"/>
    <numFmt numFmtId="171" formatCode="#,###;\(#,###\);"/>
    <numFmt numFmtId="172" formatCode="#;#;"/>
    <numFmt numFmtId="173" formatCode="0%;\(0%\);"/>
    <numFmt numFmtId="174" formatCode="0.0%;\(0.0%\);"/>
    <numFmt numFmtId="175" formatCode="0.000000000"/>
    <numFmt numFmtId="176" formatCode="yyyy\-mm\-dd"/>
    <numFmt numFmtId="177" formatCode="[$-409]d&quot;-&quot;mmm&quot;-&quot;yy;@"/>
    <numFmt numFmtId="178" formatCode="0.0000000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7030A0"/>
      <name val="Calibri"/>
      <family val="2"/>
      <scheme val="minor"/>
    </font>
    <font>
      <sz val="16"/>
      <color rgb="FFFF0000"/>
      <name val="Calibri"/>
      <family val="2"/>
      <scheme val="minor"/>
    </font>
    <font>
      <sz val="10"/>
      <color theme="1"/>
      <name val="Tahoma"/>
      <family val="2"/>
    </font>
    <font>
      <b/>
      <sz val="11"/>
      <color rgb="FF0000FF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rgb="FFFF0000"/>
      <name val="Calibri"/>
      <family val="2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u val="singleAccounting"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rgb="FFFF0000"/>
      <name val="Calibri"/>
      <family val="2"/>
    </font>
    <font>
      <sz val="8"/>
      <name val="Calibri"/>
      <family val="3"/>
      <charset val="129"/>
      <scheme val="minor"/>
    </font>
    <font>
      <sz val="11"/>
      <name val="Calibri"/>
      <family val="3"/>
      <charset val="129"/>
      <scheme val="minor"/>
    </font>
    <font>
      <sz val="11"/>
      <color rgb="FF7030A0"/>
      <name val="Calibri"/>
      <family val="3"/>
      <charset val="129"/>
      <scheme val="minor"/>
    </font>
    <font>
      <b/>
      <sz val="1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color theme="7" tint="-0.249977111117893"/>
      <name val="Calibri"/>
      <family val="3"/>
      <charset val="129"/>
      <scheme val="minor"/>
    </font>
    <font>
      <sz val="11"/>
      <color rgb="FFFF0000"/>
      <name val="Calibri"/>
      <family val="3"/>
      <charset val="129"/>
      <scheme val="minor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11"/>
      <color rgb="FFFFFFFF"/>
      <name val="맑은 고딕"/>
      <family val="2"/>
    </font>
    <font>
      <b/>
      <sz val="11"/>
      <color rgb="FFFF0000"/>
      <name val="돋움"/>
      <family val="2"/>
      <charset val="129"/>
    </font>
    <font>
      <sz val="11"/>
      <color rgb="FF000000"/>
      <name val="돋움"/>
      <family val="2"/>
      <charset val="129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AD47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4" fillId="0" borderId="0"/>
    <xf numFmtId="43" fontId="34" fillId="0" borderId="0" applyFont="0" applyFill="0" applyBorder="0" applyAlignment="0" applyProtection="0"/>
    <xf numFmtId="164" fontId="1" fillId="0" borderId="0" applyFont="0" applyFill="0" applyBorder="0" applyAlignment="0" applyProtection="0">
      <alignment vertical="center"/>
    </xf>
    <xf numFmtId="0" fontId="45" fillId="0" borderId="0">
      <alignment vertical="center"/>
    </xf>
  </cellStyleXfs>
  <cellXfs count="748">
    <xf numFmtId="0" fontId="0" fillId="0" borderId="0" xfId="0"/>
    <xf numFmtId="0" fontId="3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left"/>
      <protection locked="0"/>
    </xf>
    <xf numFmtId="49" fontId="3" fillId="2" borderId="0" xfId="0" applyNumberFormat="1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center"/>
      <protection locked="0"/>
    </xf>
    <xf numFmtId="165" fontId="3" fillId="2" borderId="0" xfId="1" applyNumberFormat="1" applyFon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3" fillId="0" borderId="0" xfId="0" applyFont="1" applyFill="1" applyBorder="1" applyAlignment="1" applyProtection="1">
      <protection locked="0"/>
    </xf>
    <xf numFmtId="166" fontId="3" fillId="0" borderId="0" xfId="1" applyNumberFormat="1" applyFont="1" applyBorder="1" applyAlignment="1" applyProtection="1">
      <protection locked="0"/>
    </xf>
    <xf numFmtId="9" fontId="3" fillId="0" borderId="0" xfId="2" applyFont="1" applyBorder="1" applyAlignment="1" applyProtection="1">
      <protection locked="0"/>
    </xf>
    <xf numFmtId="37" fontId="3" fillId="0" borderId="0" xfId="1" applyNumberFormat="1" applyFont="1" applyBorder="1" applyAlignment="1" applyProtection="1">
      <protection locked="0"/>
    </xf>
    <xf numFmtId="0" fontId="3" fillId="0" borderId="0" xfId="0" applyFont="1" applyBorder="1" applyAlignment="1"/>
    <xf numFmtId="167" fontId="3" fillId="0" borderId="0" xfId="2" applyNumberFormat="1" applyFont="1" applyBorder="1" applyAlignment="1"/>
    <xf numFmtId="0" fontId="6" fillId="0" borderId="0" xfId="0" applyFont="1" applyFill="1" applyBorder="1" applyAlignment="1" applyProtection="1">
      <protection locked="0"/>
    </xf>
    <xf numFmtId="0" fontId="7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Border="1" applyAlignment="1" applyProtection="1">
      <alignment horizontal="left"/>
      <protection locked="0"/>
    </xf>
    <xf numFmtId="0" fontId="8" fillId="2" borderId="0" xfId="0" applyFont="1" applyFill="1" applyBorder="1" applyAlignment="1" applyProtection="1">
      <alignment horizontal="left"/>
      <protection locked="0"/>
    </xf>
    <xf numFmtId="0" fontId="8" fillId="2" borderId="0" xfId="0" applyFont="1" applyFill="1" applyBorder="1" applyAlignment="1" applyProtection="1">
      <alignment horizontal="center"/>
      <protection locked="0"/>
    </xf>
    <xf numFmtId="49" fontId="10" fillId="0" borderId="0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165" fontId="0" fillId="0" borderId="0" xfId="1" applyNumberFormat="1" applyFont="1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166" fontId="0" fillId="0" borderId="0" xfId="1" applyNumberFormat="1" applyFont="1" applyBorder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9" fontId="0" fillId="0" borderId="0" xfId="2" applyFont="1" applyBorder="1" applyAlignment="1" applyProtection="1">
      <protection locked="0"/>
    </xf>
    <xf numFmtId="37" fontId="0" fillId="0" borderId="0" xfId="1" applyNumberFormat="1" applyFont="1" applyBorder="1" applyAlignment="1" applyProtection="1">
      <protection locked="0"/>
    </xf>
    <xf numFmtId="9" fontId="0" fillId="0" borderId="0" xfId="0" applyNumberFormat="1" applyBorder="1" applyAlignment="1" applyProtection="1">
      <protection locked="0"/>
    </xf>
    <xf numFmtId="0" fontId="0" fillId="0" borderId="0" xfId="0" applyBorder="1" applyAlignment="1"/>
    <xf numFmtId="167" fontId="0" fillId="0" borderId="0" xfId="2" applyNumberFormat="1" applyFont="1" applyBorder="1" applyAlignment="1"/>
    <xf numFmtId="9" fontId="7" fillId="0" borderId="0" xfId="2" applyNumberFormat="1" applyFont="1" applyFill="1" applyBorder="1"/>
    <xf numFmtId="0" fontId="0" fillId="0" borderId="0" xfId="0" applyFill="1" applyBorder="1" applyAlignment="1" applyProtection="1">
      <protection locked="0"/>
    </xf>
    <xf numFmtId="49" fontId="8" fillId="2" borderId="0" xfId="0" applyNumberFormat="1" applyFont="1" applyFill="1" applyBorder="1" applyAlignment="1" applyProtection="1">
      <alignment horizontal="center"/>
      <protection locked="0"/>
    </xf>
    <xf numFmtId="14" fontId="14" fillId="3" borderId="0" xfId="0" applyNumberFormat="1" applyFont="1" applyFill="1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0" xfId="0" applyFill="1" applyBorder="1" applyAlignment="1" applyProtection="1">
      <protection locked="0"/>
    </xf>
    <xf numFmtId="165" fontId="0" fillId="3" borderId="0" xfId="1" applyNumberFormat="1" applyFont="1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43" fontId="0" fillId="3" borderId="0" xfId="0" applyNumberFormat="1" applyFill="1" applyBorder="1" applyAlignment="1" applyProtection="1">
      <protection locked="0"/>
    </xf>
    <xf numFmtId="0" fontId="13" fillId="3" borderId="0" xfId="0" applyFont="1" applyFill="1" applyBorder="1" applyAlignment="1" applyProtection="1">
      <protection locked="0"/>
    </xf>
    <xf numFmtId="0" fontId="0" fillId="3" borderId="0" xfId="0" applyFill="1" applyBorder="1" applyAlignment="1" applyProtection="1">
      <alignment horizontal="right"/>
      <protection locked="0"/>
    </xf>
    <xf numFmtId="166" fontId="0" fillId="3" borderId="0" xfId="1" applyNumberFormat="1" applyFont="1" applyFill="1" applyBorder="1" applyAlignment="1" applyProtection="1">
      <protection locked="0"/>
    </xf>
    <xf numFmtId="0" fontId="15" fillId="4" borderId="0" xfId="0" applyFont="1" applyFill="1" applyBorder="1" applyAlignment="1" applyProtection="1">
      <protection locked="0"/>
    </xf>
    <xf numFmtId="0" fontId="0" fillId="4" borderId="0" xfId="0" applyFill="1" applyBorder="1" applyAlignment="1" applyProtection="1">
      <protection locked="0"/>
    </xf>
    <xf numFmtId="9" fontId="0" fillId="3" borderId="0" xfId="2" applyFont="1" applyFill="1" applyBorder="1" applyAlignment="1" applyProtection="1">
      <protection locked="0"/>
    </xf>
    <xf numFmtId="37" fontId="0" fillId="3" borderId="0" xfId="1" applyNumberFormat="1" applyFont="1" applyFill="1" applyBorder="1" applyAlignment="1" applyProtection="1">
      <protection locked="0"/>
    </xf>
    <xf numFmtId="0" fontId="16" fillId="3" borderId="0" xfId="0" applyFont="1" applyFill="1" applyBorder="1" applyAlignment="1" applyProtection="1">
      <protection locked="0"/>
    </xf>
    <xf numFmtId="0" fontId="4" fillId="3" borderId="0" xfId="0" applyFont="1" applyFill="1" applyBorder="1" applyAlignment="1" applyProtection="1">
      <protection locked="0"/>
    </xf>
    <xf numFmtId="166" fontId="0" fillId="3" borderId="0" xfId="0" applyNumberFormat="1" applyFill="1" applyBorder="1" applyAlignment="1" applyProtection="1">
      <protection locked="0"/>
    </xf>
    <xf numFmtId="0" fontId="17" fillId="3" borderId="0" xfId="0" applyFont="1" applyFill="1" applyBorder="1" applyAlignment="1"/>
    <xf numFmtId="167" fontId="0" fillId="3" borderId="0" xfId="2" applyNumberFormat="1" applyFont="1" applyFill="1" applyBorder="1" applyAlignment="1"/>
    <xf numFmtId="9" fontId="0" fillId="3" borderId="0" xfId="2" applyNumberFormat="1" applyFont="1" applyFill="1" applyBorder="1" applyAlignment="1"/>
    <xf numFmtId="0" fontId="5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5" fillId="5" borderId="0" xfId="0" applyFont="1" applyFill="1" applyBorder="1" applyAlignment="1" applyProtection="1">
      <alignment horizontal="left" vertical="top"/>
      <protection locked="0"/>
    </xf>
    <xf numFmtId="0" fontId="3" fillId="5" borderId="0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Border="1" applyAlignment="1" applyProtection="1">
      <alignment horizontal="left" vertical="center" wrapText="1"/>
      <protection locked="0"/>
    </xf>
    <xf numFmtId="165" fontId="5" fillId="5" borderId="0" xfId="1" applyNumberFormat="1" applyFont="1" applyFill="1" applyBorder="1" applyAlignment="1" applyProtection="1">
      <alignment horizontal="center"/>
      <protection locked="0"/>
    </xf>
    <xf numFmtId="0" fontId="5" fillId="5" borderId="0" xfId="0" applyFont="1" applyFill="1" applyBorder="1" applyAlignment="1" applyProtection="1">
      <alignment horizontal="right" vertical="center" wrapText="1"/>
      <protection locked="0"/>
    </xf>
    <xf numFmtId="0" fontId="5" fillId="5" borderId="0" xfId="0" applyFont="1" applyFill="1" applyBorder="1" applyAlignment="1" applyProtection="1">
      <alignment horizontal="center"/>
      <protection locked="0"/>
    </xf>
    <xf numFmtId="166" fontId="18" fillId="5" borderId="0" xfId="1" applyNumberFormat="1" applyFont="1" applyFill="1" applyBorder="1" applyAlignment="1" applyProtection="1">
      <alignment vertical="top" wrapText="1"/>
      <protection locked="0"/>
    </xf>
    <xf numFmtId="0" fontId="18" fillId="5" borderId="0" xfId="0" quotePrefix="1" applyFont="1" applyFill="1" applyBorder="1" applyAlignment="1" applyProtection="1">
      <alignment vertical="top" wrapText="1"/>
      <protection locked="0"/>
    </xf>
    <xf numFmtId="166" fontId="18" fillId="8" borderId="0" xfId="1" applyNumberFormat="1" applyFont="1" applyFill="1" applyBorder="1" applyAlignment="1" applyProtection="1">
      <alignment horizontal="center" vertical="center" wrapText="1"/>
      <protection locked="0"/>
    </xf>
    <xf numFmtId="166" fontId="18" fillId="8" borderId="0" xfId="1" applyNumberFormat="1" applyFont="1" applyFill="1" applyBorder="1" applyAlignment="1" applyProtection="1">
      <alignment vertical="center" wrapText="1"/>
      <protection locked="0"/>
    </xf>
    <xf numFmtId="0" fontId="5" fillId="9" borderId="0" xfId="0" applyFont="1" applyFill="1" applyBorder="1" applyAlignment="1" applyProtection="1">
      <alignment horizontal="center" vertical="center"/>
      <protection locked="0"/>
    </xf>
    <xf numFmtId="0" fontId="5" fillId="9" borderId="0" xfId="0" applyFont="1" applyFill="1" applyBorder="1" applyAlignment="1" applyProtection="1">
      <protection locked="0"/>
    </xf>
    <xf numFmtId="0" fontId="5" fillId="10" borderId="0" xfId="0" applyFont="1" applyFill="1" applyBorder="1" applyAlignment="1" applyProtection="1">
      <alignment horizontal="center" vertical="center" wrapText="1"/>
      <protection locked="0"/>
    </xf>
    <xf numFmtId="0" fontId="5" fillId="10" borderId="0" xfId="0" applyFont="1" applyFill="1" applyBorder="1" applyAlignment="1" applyProtection="1">
      <alignment horizontal="center" vertical="center"/>
      <protection locked="0"/>
    </xf>
    <xf numFmtId="0" fontId="19" fillId="2" borderId="0" xfId="0" quotePrefix="1" applyFont="1" applyFill="1" applyBorder="1" applyAlignment="1" applyProtection="1">
      <alignment horizontal="left" vertical="top" wrapText="1"/>
      <protection locked="0"/>
    </xf>
    <xf numFmtId="0" fontId="8" fillId="2" borderId="0" xfId="0" applyFont="1" applyFill="1" applyBorder="1" applyAlignment="1" applyProtection="1">
      <alignment horizontal="center" vertical="top" wrapText="1"/>
      <protection locked="0"/>
    </xf>
    <xf numFmtId="0" fontId="20" fillId="11" borderId="0" xfId="0" applyFont="1" applyFill="1" applyBorder="1" applyAlignment="1" applyProtection="1">
      <alignment vertical="center"/>
      <protection locked="0"/>
    </xf>
    <xf numFmtId="0" fontId="2" fillId="11" borderId="0" xfId="0" applyFont="1" applyFill="1" applyBorder="1" applyAlignment="1" applyProtection="1">
      <protection locked="0"/>
    </xf>
    <xf numFmtId="0" fontId="21" fillId="11" borderId="0" xfId="0" applyFont="1" applyFill="1" applyBorder="1" applyAlignment="1" applyProtection="1">
      <protection locked="0"/>
    </xf>
    <xf numFmtId="0" fontId="7" fillId="0" borderId="0" xfId="0" applyFont="1" applyBorder="1" applyAlignment="1" applyProtection="1">
      <alignment vertical="center" wrapText="1"/>
      <protection locked="0"/>
    </xf>
    <xf numFmtId="0" fontId="23" fillId="2" borderId="0" xfId="0" applyFont="1" applyFill="1" applyBorder="1" applyAlignment="1" applyProtection="1">
      <alignment horizontal="center" vertical="top" wrapText="1"/>
      <protection locked="0"/>
    </xf>
    <xf numFmtId="0" fontId="4" fillId="2" borderId="0" xfId="0" applyFont="1" applyFill="1" applyBorder="1" applyAlignment="1" applyProtection="1">
      <alignment vertical="top" wrapText="1"/>
      <protection locked="0"/>
    </xf>
    <xf numFmtId="0" fontId="4" fillId="2" borderId="0" xfId="0" applyFont="1" applyFill="1" applyBorder="1" applyAlignment="1" applyProtection="1">
      <alignment horizontal="left" vertical="top" wrapText="1"/>
      <protection locked="0"/>
    </xf>
    <xf numFmtId="0" fontId="5" fillId="5" borderId="0" xfId="0" applyFont="1" applyFill="1" applyBorder="1" applyAlignment="1" applyProtection="1">
      <alignment horizontal="left" vertical="top" wrapText="1"/>
      <protection locked="0"/>
    </xf>
    <xf numFmtId="49" fontId="5" fillId="5" borderId="0" xfId="0" applyNumberFormat="1" applyFont="1" applyFill="1" applyBorder="1" applyAlignment="1" applyProtection="1">
      <alignment horizontal="center" vertical="top" wrapText="1"/>
      <protection locked="0"/>
    </xf>
    <xf numFmtId="49" fontId="5" fillId="5" borderId="0" xfId="0" applyNumberFormat="1" applyFont="1" applyFill="1" applyBorder="1" applyAlignment="1" applyProtection="1">
      <alignment horizontal="left" vertical="top" wrapText="1"/>
      <protection locked="0"/>
    </xf>
    <xf numFmtId="0" fontId="5" fillId="5" borderId="0" xfId="0" applyFont="1" applyFill="1" applyBorder="1" applyAlignment="1" applyProtection="1">
      <alignment horizontal="center" vertical="top" wrapText="1"/>
      <protection locked="0"/>
    </xf>
    <xf numFmtId="165" fontId="5" fillId="5" borderId="0" xfId="1" applyNumberFormat="1" applyFont="1" applyFill="1" applyBorder="1" applyAlignment="1" applyProtection="1">
      <alignment horizontal="center" vertical="top" wrapText="1"/>
      <protection locked="0"/>
    </xf>
    <xf numFmtId="0" fontId="5" fillId="7" borderId="0" xfId="0" applyFont="1" applyFill="1" applyBorder="1" applyAlignment="1" applyProtection="1">
      <alignment horizontal="center" vertical="top" wrapText="1"/>
      <protection locked="0"/>
    </xf>
    <xf numFmtId="0" fontId="5" fillId="7" borderId="0" xfId="0" applyFont="1" applyFill="1" applyBorder="1" applyAlignment="1" applyProtection="1">
      <alignment horizontal="center" vertical="center" wrapText="1"/>
      <protection locked="0"/>
    </xf>
    <xf numFmtId="166" fontId="18" fillId="5" borderId="0" xfId="1" applyNumberFormat="1" applyFont="1" applyFill="1" applyBorder="1" applyAlignment="1" applyProtection="1">
      <alignment horizontal="center" vertical="top" wrapText="1"/>
      <protection locked="0"/>
    </xf>
    <xf numFmtId="0" fontId="18" fillId="5" borderId="0" xfId="0" applyFont="1" applyFill="1" applyBorder="1" applyAlignment="1" applyProtection="1">
      <alignment horizontal="center" vertical="top" wrapText="1"/>
      <protection locked="0"/>
    </xf>
    <xf numFmtId="166" fontId="18" fillId="8" borderId="0" xfId="1" applyNumberFormat="1" applyFont="1" applyFill="1" applyBorder="1" applyAlignment="1" applyProtection="1">
      <alignment horizontal="center" vertical="top" wrapText="1"/>
      <protection locked="0"/>
    </xf>
    <xf numFmtId="0" fontId="5" fillId="9" borderId="0" xfId="0" applyFont="1" applyFill="1" applyBorder="1" applyAlignment="1" applyProtection="1">
      <alignment horizontal="center" vertical="top" wrapText="1"/>
      <protection locked="0"/>
    </xf>
    <xf numFmtId="0" fontId="5" fillId="10" borderId="0" xfId="0" applyFont="1" applyFill="1" applyBorder="1" applyAlignment="1" applyProtection="1">
      <alignment horizontal="center" vertical="top" wrapText="1"/>
      <protection locked="0"/>
    </xf>
    <xf numFmtId="0" fontId="19" fillId="2" borderId="0" xfId="0" applyFont="1" applyFill="1" applyBorder="1" applyAlignment="1" applyProtection="1">
      <alignment horizontal="center" vertical="top" wrapText="1"/>
      <protection locked="0"/>
    </xf>
    <xf numFmtId="0" fontId="3" fillId="2" borderId="0" xfId="0" applyFont="1" applyFill="1" applyBorder="1" applyAlignment="1" applyProtection="1">
      <alignment horizontal="center" vertical="top" wrapText="1"/>
      <protection locked="0"/>
    </xf>
    <xf numFmtId="0" fontId="20" fillId="11" borderId="0" xfId="0" applyFont="1" applyFill="1" applyBorder="1" applyAlignment="1" applyProtection="1">
      <alignment horizontal="center" vertical="top" wrapText="1"/>
      <protection locked="0"/>
    </xf>
    <xf numFmtId="0" fontId="23" fillId="0" borderId="0" xfId="0" applyFont="1" applyFill="1" applyBorder="1" applyAlignment="1" applyProtection="1">
      <alignment horizontal="center" vertical="top" wrapText="1"/>
      <protection locked="0"/>
    </xf>
    <xf numFmtId="0" fontId="5" fillId="12" borderId="0" xfId="0" applyFont="1" applyFill="1" applyBorder="1" applyAlignment="1">
      <alignment horizontal="center" vertical="top" wrapText="1"/>
    </xf>
    <xf numFmtId="167" fontId="5" fillId="12" borderId="0" xfId="2" applyNumberFormat="1" applyFont="1" applyFill="1" applyBorder="1" applyAlignment="1">
      <alignment horizontal="center" vertical="top" wrapText="1"/>
    </xf>
    <xf numFmtId="9" fontId="5" fillId="12" borderId="0" xfId="2" applyNumberFormat="1" applyFont="1" applyFill="1" applyBorder="1" applyAlignment="1">
      <alignment horizontal="center" vertical="top" wrapText="1"/>
    </xf>
    <xf numFmtId="0" fontId="7" fillId="0" borderId="0" xfId="0" applyFont="1" applyBorder="1" applyAlignment="1" applyProtection="1">
      <alignment vertical="top" wrapText="1"/>
      <protection locked="0"/>
    </xf>
    <xf numFmtId="0" fontId="0" fillId="0" borderId="0" xfId="0" applyBorder="1" applyAlignment="1" applyProtection="1">
      <alignment vertical="top" wrapText="1"/>
      <protection locked="0"/>
    </xf>
    <xf numFmtId="0" fontId="7" fillId="13" borderId="0" xfId="0" applyFont="1" applyFill="1" applyBorder="1" applyProtection="1">
      <protection locked="0"/>
    </xf>
    <xf numFmtId="0" fontId="7" fillId="14" borderId="0" xfId="0" applyFont="1" applyFill="1" applyBorder="1" applyProtection="1">
      <protection locked="0"/>
    </xf>
    <xf numFmtId="0" fontId="7" fillId="14" borderId="0" xfId="0" applyFont="1" applyFill="1" applyBorder="1" applyAlignment="1" applyProtection="1">
      <alignment horizontal="left"/>
      <protection locked="0"/>
    </xf>
    <xf numFmtId="49" fontId="7" fillId="14" borderId="0" xfId="0" applyNumberFormat="1" applyFont="1" applyFill="1" applyBorder="1" applyAlignment="1" applyProtection="1">
      <alignment horizontal="center"/>
      <protection locked="0"/>
    </xf>
    <xf numFmtId="0" fontId="7" fillId="14" borderId="0" xfId="0" applyNumberFormat="1" applyFont="1" applyFill="1" applyBorder="1" applyAlignment="1" applyProtection="1">
      <alignment horizontal="left"/>
      <protection locked="0"/>
    </xf>
    <xf numFmtId="0" fontId="7" fillId="14" borderId="0" xfId="0" applyFont="1" applyFill="1" applyBorder="1" applyAlignment="1" applyProtection="1">
      <alignment horizontal="center"/>
      <protection locked="0"/>
    </xf>
    <xf numFmtId="15" fontId="7" fillId="14" borderId="0" xfId="0" applyNumberFormat="1" applyFont="1" applyFill="1" applyBorder="1" applyProtection="1">
      <protection locked="0"/>
    </xf>
    <xf numFmtId="165" fontId="7" fillId="14" borderId="0" xfId="1" applyNumberFormat="1" applyFont="1" applyFill="1" applyBorder="1" applyProtection="1">
      <protection locked="0"/>
    </xf>
    <xf numFmtId="0" fontId="7" fillId="14" borderId="0" xfId="0" applyNumberFormat="1" applyFont="1" applyFill="1" applyBorder="1" applyProtection="1">
      <protection locked="0"/>
    </xf>
    <xf numFmtId="166" fontId="7" fillId="14" borderId="0" xfId="1" applyNumberFormat="1" applyFont="1" applyFill="1" applyBorder="1" applyProtection="1">
      <protection locked="0"/>
    </xf>
    <xf numFmtId="166" fontId="7" fillId="0" borderId="0" xfId="1" applyNumberFormat="1" applyFont="1" applyFill="1" applyBorder="1" applyProtection="1">
      <protection locked="0"/>
    </xf>
    <xf numFmtId="168" fontId="7" fillId="14" borderId="0" xfId="0" applyNumberFormat="1" applyFont="1" applyFill="1" applyBorder="1" applyProtection="1">
      <protection locked="0"/>
    </xf>
    <xf numFmtId="168" fontId="7" fillId="0" borderId="0" xfId="0" applyNumberFormat="1" applyFont="1" applyFill="1" applyBorder="1" applyProtection="1">
      <protection locked="0"/>
    </xf>
    <xf numFmtId="168" fontId="7" fillId="0" borderId="0" xfId="1" applyNumberFormat="1" applyFont="1" applyFill="1" applyBorder="1" applyProtection="1">
      <protection locked="0"/>
    </xf>
    <xf numFmtId="169" fontId="7" fillId="0" borderId="0" xfId="0" applyNumberFormat="1" applyFont="1" applyFill="1" applyBorder="1" applyProtection="1">
      <protection locked="0"/>
    </xf>
    <xf numFmtId="168" fontId="24" fillId="0" borderId="0" xfId="1" applyNumberFormat="1" applyFont="1" applyFill="1" applyBorder="1" applyProtection="1">
      <protection locked="0"/>
    </xf>
    <xf numFmtId="9" fontId="7" fillId="0" borderId="0" xfId="1" applyNumberFormat="1" applyFont="1" applyFill="1" applyBorder="1" applyAlignment="1" applyProtection="1">
      <alignment horizontal="right"/>
      <protection locked="0"/>
    </xf>
    <xf numFmtId="170" fontId="7" fillId="14" borderId="0" xfId="0" applyNumberFormat="1" applyFont="1" applyFill="1" applyBorder="1" applyProtection="1">
      <protection locked="0"/>
    </xf>
    <xf numFmtId="168" fontId="24" fillId="0" borderId="0" xfId="0" applyNumberFormat="1" applyFont="1" applyFill="1" applyBorder="1" applyProtection="1">
      <protection locked="0"/>
    </xf>
    <xf numFmtId="166" fontId="23" fillId="0" borderId="0" xfId="1" applyNumberFormat="1" applyFont="1" applyFill="1" applyBorder="1" applyProtection="1">
      <protection locked="0"/>
    </xf>
    <xf numFmtId="168" fontId="7" fillId="0" borderId="0" xfId="0" applyNumberFormat="1" applyFont="1" applyFill="1" applyBorder="1"/>
    <xf numFmtId="10" fontId="7" fillId="0" borderId="0" xfId="2" applyNumberFormat="1" applyFont="1" applyFill="1" applyBorder="1"/>
    <xf numFmtId="166" fontId="7" fillId="0" borderId="0" xfId="1" applyNumberFormat="1" applyFont="1" applyFill="1" applyBorder="1"/>
    <xf numFmtId="0" fontId="7" fillId="0" borderId="0" xfId="0" applyFont="1" applyBorder="1" applyProtection="1">
      <protection locked="0"/>
    </xf>
    <xf numFmtId="170" fontId="7" fillId="0" borderId="0" xfId="0" applyNumberFormat="1" applyFont="1" applyFill="1" applyBorder="1" applyProtection="1">
      <protection locked="0"/>
    </xf>
    <xf numFmtId="0" fontId="7" fillId="14" borderId="0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Border="1" applyProtection="1">
      <protection locked="0"/>
    </xf>
    <xf numFmtId="0" fontId="7" fillId="13" borderId="1" xfId="0" applyFont="1" applyFill="1" applyBorder="1" applyProtection="1">
      <protection locked="0"/>
    </xf>
    <xf numFmtId="0" fontId="7" fillId="14" borderId="1" xfId="0" applyFont="1" applyFill="1" applyBorder="1" applyProtection="1">
      <protection locked="0"/>
    </xf>
    <xf numFmtId="0" fontId="7" fillId="14" borderId="1" xfId="0" applyFont="1" applyFill="1" applyBorder="1" applyAlignment="1" applyProtection="1">
      <alignment horizontal="left"/>
      <protection locked="0"/>
    </xf>
    <xf numFmtId="49" fontId="7" fillId="14" borderId="1" xfId="0" applyNumberFormat="1" applyFont="1" applyFill="1" applyBorder="1" applyAlignment="1" applyProtection="1">
      <alignment horizontal="center"/>
      <protection locked="0"/>
    </xf>
    <xf numFmtId="0" fontId="7" fillId="14" borderId="1" xfId="0" applyNumberFormat="1" applyFont="1" applyFill="1" applyBorder="1" applyAlignment="1" applyProtection="1">
      <alignment horizontal="left"/>
      <protection locked="0"/>
    </xf>
    <xf numFmtId="0" fontId="7" fillId="14" borderId="1" xfId="0" applyFont="1" applyFill="1" applyBorder="1" applyAlignment="1" applyProtection="1">
      <alignment horizontal="center"/>
      <protection locked="0"/>
    </xf>
    <xf numFmtId="0" fontId="7" fillId="14" borderId="1" xfId="0" applyNumberFormat="1" applyFont="1" applyFill="1" applyBorder="1" applyAlignment="1" applyProtection="1">
      <alignment horizontal="center"/>
      <protection locked="0"/>
    </xf>
    <xf numFmtId="166" fontId="7" fillId="14" borderId="1" xfId="1" applyNumberFormat="1" applyFont="1" applyFill="1" applyBorder="1" applyProtection="1">
      <protection locked="0"/>
    </xf>
    <xf numFmtId="166" fontId="7" fillId="0" borderId="1" xfId="1" applyNumberFormat="1" applyFont="1" applyFill="1" applyBorder="1" applyProtection="1">
      <protection locked="0"/>
    </xf>
    <xf numFmtId="168" fontId="7" fillId="14" borderId="1" xfId="0" applyNumberFormat="1" applyFont="1" applyFill="1" applyBorder="1" applyProtection="1">
      <protection locked="0"/>
    </xf>
    <xf numFmtId="168" fontId="7" fillId="0" borderId="1" xfId="0" applyNumberFormat="1" applyFont="1" applyFill="1" applyBorder="1" applyProtection="1">
      <protection locked="0"/>
    </xf>
    <xf numFmtId="168" fontId="7" fillId="0" borderId="1" xfId="1" applyNumberFormat="1" applyFont="1" applyFill="1" applyBorder="1" applyProtection="1">
      <protection locked="0"/>
    </xf>
    <xf numFmtId="169" fontId="7" fillId="0" borderId="1" xfId="0" applyNumberFormat="1" applyFont="1" applyFill="1" applyBorder="1" applyProtection="1">
      <protection locked="0"/>
    </xf>
    <xf numFmtId="170" fontId="7" fillId="0" borderId="1" xfId="0" applyNumberFormat="1" applyFont="1" applyFill="1" applyBorder="1" applyProtection="1">
      <protection locked="0"/>
    </xf>
    <xf numFmtId="168" fontId="24" fillId="0" borderId="1" xfId="1" applyNumberFormat="1" applyFont="1" applyFill="1" applyBorder="1" applyProtection="1">
      <protection locked="0"/>
    </xf>
    <xf numFmtId="9" fontId="7" fillId="0" borderId="1" xfId="1" applyNumberFormat="1" applyFont="1" applyFill="1" applyBorder="1" applyAlignment="1" applyProtection="1">
      <alignment horizontal="right"/>
      <protection locked="0"/>
    </xf>
    <xf numFmtId="168" fontId="24" fillId="0" borderId="1" xfId="0" applyNumberFormat="1" applyFont="1" applyFill="1" applyBorder="1" applyProtection="1">
      <protection locked="0"/>
    </xf>
    <xf numFmtId="170" fontId="7" fillId="14" borderId="1" xfId="0" applyNumberFormat="1" applyFont="1" applyFill="1" applyBorder="1" applyProtection="1">
      <protection locked="0"/>
    </xf>
    <xf numFmtId="166" fontId="23" fillId="0" borderId="1" xfId="1" applyNumberFormat="1" applyFont="1" applyFill="1" applyBorder="1" applyProtection="1">
      <protection locked="0"/>
    </xf>
    <xf numFmtId="168" fontId="7" fillId="0" borderId="1" xfId="0" applyNumberFormat="1" applyFont="1" applyFill="1" applyBorder="1"/>
    <xf numFmtId="10" fontId="7" fillId="0" borderId="1" xfId="2" applyNumberFormat="1" applyFont="1" applyFill="1" applyBorder="1"/>
    <xf numFmtId="166" fontId="7" fillId="0" borderId="1" xfId="1" applyNumberFormat="1" applyFont="1" applyFill="1" applyBorder="1"/>
    <xf numFmtId="9" fontId="7" fillId="0" borderId="1" xfId="2" applyNumberFormat="1" applyFont="1" applyFill="1" applyBorder="1"/>
    <xf numFmtId="0" fontId="7" fillId="0" borderId="1" xfId="0" applyFont="1" applyBorder="1" applyProtection="1">
      <protection locked="0"/>
    </xf>
    <xf numFmtId="0" fontId="7" fillId="14" borderId="1" xfId="0" applyNumberFormat="1" applyFont="1" applyFill="1" applyBorder="1" applyProtection="1">
      <protection locked="0"/>
    </xf>
    <xf numFmtId="49" fontId="7" fillId="14" borderId="0" xfId="0" quotePrefix="1" applyNumberFormat="1" applyFont="1" applyFill="1" applyBorder="1" applyAlignment="1" applyProtection="1">
      <alignment horizontal="center"/>
      <protection locked="0"/>
    </xf>
    <xf numFmtId="15" fontId="7" fillId="14" borderId="1" xfId="0" applyNumberFormat="1" applyFont="1" applyFill="1" applyBorder="1" applyProtection="1">
      <protection locked="0"/>
    </xf>
    <xf numFmtId="9" fontId="7" fillId="14" borderId="1" xfId="0" applyNumberFormat="1" applyFont="1" applyFill="1" applyBorder="1" applyAlignment="1" applyProtection="1">
      <alignment horizontal="right"/>
      <protection locked="0"/>
    </xf>
    <xf numFmtId="9" fontId="7" fillId="14" borderId="1" xfId="0" applyNumberFormat="1" applyFont="1" applyFill="1" applyBorder="1" applyProtection="1">
      <protection locked="0"/>
    </xf>
    <xf numFmtId="9" fontId="7" fillId="14" borderId="1" xfId="2" applyFont="1" applyFill="1" applyBorder="1" applyProtection="1">
      <protection locked="0"/>
    </xf>
    <xf numFmtId="9" fontId="7" fillId="14" borderId="0" xfId="0" applyNumberFormat="1" applyFont="1" applyFill="1" applyBorder="1" applyAlignment="1" applyProtection="1">
      <alignment horizontal="right"/>
      <protection locked="0"/>
    </xf>
    <xf numFmtId="9" fontId="7" fillId="14" borderId="0" xfId="0" applyNumberFormat="1" applyFont="1" applyFill="1" applyBorder="1" applyProtection="1">
      <protection locked="0"/>
    </xf>
    <xf numFmtId="9" fontId="7" fillId="14" borderId="0" xfId="2" applyFont="1" applyFill="1" applyBorder="1" applyProtection="1">
      <protection locked="0"/>
    </xf>
    <xf numFmtId="0" fontId="3" fillId="13" borderId="0" xfId="0" applyFont="1" applyFill="1" applyBorder="1" applyProtection="1">
      <protection locked="0"/>
    </xf>
    <xf numFmtId="0" fontId="25" fillId="0" borderId="1" xfId="0" applyFont="1" applyBorder="1" applyProtection="1">
      <protection locked="0"/>
    </xf>
    <xf numFmtId="49" fontId="7" fillId="14" borderId="0" xfId="0" applyNumberFormat="1" applyFont="1" applyFill="1" applyBorder="1" applyAlignment="1" applyProtection="1">
      <alignment horizontal="left"/>
      <protection locked="0"/>
    </xf>
    <xf numFmtId="0" fontId="25" fillId="0" borderId="0" xfId="0" applyFont="1" applyBorder="1" applyProtection="1">
      <protection locked="0"/>
    </xf>
    <xf numFmtId="168" fontId="7" fillId="14" borderId="0" xfId="0" applyNumberFormat="1" applyFont="1" applyFill="1" applyBorder="1" applyAlignment="1" applyProtection="1">
      <protection locked="0"/>
    </xf>
    <xf numFmtId="0" fontId="24" fillId="0" borderId="1" xfId="0" applyFont="1" applyBorder="1" applyProtection="1">
      <protection locked="0"/>
    </xf>
    <xf numFmtId="0" fontId="7" fillId="15" borderId="0" xfId="0" applyFont="1" applyFill="1" applyBorder="1" applyAlignment="1" applyProtection="1">
      <alignment horizontal="left"/>
      <protection locked="0"/>
    </xf>
    <xf numFmtId="0" fontId="23" fillId="14" borderId="1" xfId="0" applyFont="1" applyFill="1" applyBorder="1" applyAlignment="1" applyProtection="1">
      <alignment horizontal="left"/>
      <protection locked="0"/>
    </xf>
    <xf numFmtId="0" fontId="23" fillId="14" borderId="0" xfId="0" applyFont="1" applyFill="1" applyBorder="1" applyAlignment="1" applyProtection="1">
      <alignment horizontal="left"/>
      <protection locked="0"/>
    </xf>
    <xf numFmtId="0" fontId="7" fillId="15" borderId="1" xfId="0" applyFont="1" applyFill="1" applyBorder="1" applyProtection="1">
      <protection locked="0"/>
    </xf>
    <xf numFmtId="49" fontId="7" fillId="14" borderId="1" xfId="0" quotePrefix="1" applyNumberFormat="1" applyFont="1" applyFill="1" applyBorder="1" applyAlignment="1" applyProtection="1">
      <alignment horizontal="center"/>
      <protection locked="0"/>
    </xf>
    <xf numFmtId="0" fontId="0" fillId="14" borderId="0" xfId="0" applyFill="1" applyBorder="1" applyAlignment="1" applyProtection="1">
      <protection locked="0"/>
    </xf>
    <xf numFmtId="168" fontId="26" fillId="14" borderId="0" xfId="0" applyNumberFormat="1" applyFont="1" applyFill="1" applyBorder="1" applyProtection="1">
      <protection locked="0"/>
    </xf>
    <xf numFmtId="9" fontId="26" fillId="14" borderId="0" xfId="0" applyNumberFormat="1" applyFont="1" applyFill="1" applyBorder="1" applyProtection="1">
      <protection locked="0"/>
    </xf>
    <xf numFmtId="165" fontId="0" fillId="14" borderId="0" xfId="1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9" fontId="0" fillId="2" borderId="0" xfId="0" applyNumberFormat="1" applyFill="1" applyBorder="1" applyAlignment="1" applyProtection="1">
      <protection locked="0"/>
    </xf>
    <xf numFmtId="9" fontId="0" fillId="2" borderId="0" xfId="2" applyNumberFormat="1" applyFont="1" applyFill="1" applyBorder="1" applyAlignment="1"/>
    <xf numFmtId="0" fontId="4" fillId="2" borderId="0" xfId="0" applyFont="1" applyFill="1"/>
    <xf numFmtId="0" fontId="0" fillId="16" borderId="0" xfId="0" applyFill="1"/>
    <xf numFmtId="0" fontId="2" fillId="16" borderId="0" xfId="0" applyFont="1" applyFill="1" applyBorder="1" applyAlignment="1" applyProtection="1">
      <alignment horizontal="left" vertical="top" wrapText="1"/>
      <protection locked="0"/>
    </xf>
    <xf numFmtId="49" fontId="2" fillId="16" borderId="0" xfId="0" applyNumberFormat="1" applyFont="1" applyFill="1" applyBorder="1" applyAlignment="1" applyProtection="1">
      <alignment horizontal="center" vertical="top" wrapText="1"/>
      <protection locked="0"/>
    </xf>
    <xf numFmtId="49" fontId="2" fillId="16" borderId="0" xfId="0" applyNumberFormat="1" applyFont="1" applyFill="1" applyBorder="1" applyAlignment="1" applyProtection="1">
      <alignment horizontal="left" vertical="top" wrapText="1"/>
      <protection locked="0"/>
    </xf>
    <xf numFmtId="166" fontId="2" fillId="17" borderId="0" xfId="1" applyNumberFormat="1" applyFont="1" applyFill="1" applyBorder="1" applyAlignment="1">
      <alignment horizontal="center" vertical="top" wrapText="1"/>
    </xf>
    <xf numFmtId="9" fontId="2" fillId="17" borderId="0" xfId="2" applyFont="1" applyFill="1" applyBorder="1" applyAlignment="1">
      <alignment horizontal="center" vertical="top" wrapText="1"/>
    </xf>
    <xf numFmtId="166" fontId="2" fillId="17" borderId="8" xfId="1" applyNumberFormat="1" applyFont="1" applyFill="1" applyBorder="1" applyAlignment="1">
      <alignment horizontal="center" vertical="top" wrapText="1"/>
    </xf>
    <xf numFmtId="167" fontId="2" fillId="16" borderId="2" xfId="2" applyNumberFormat="1" applyFont="1" applyFill="1" applyBorder="1" applyAlignment="1">
      <alignment horizontal="center" vertical="top" wrapText="1"/>
    </xf>
    <xf numFmtId="9" fontId="2" fillId="16" borderId="2" xfId="2" applyNumberFormat="1" applyFont="1" applyFill="1" applyBorder="1" applyAlignment="1">
      <alignment horizontal="center" vertical="top" wrapText="1"/>
    </xf>
    <xf numFmtId="0" fontId="4" fillId="0" borderId="0" xfId="0" applyFont="1" applyAlignment="1">
      <alignment vertical="top"/>
    </xf>
    <xf numFmtId="9" fontId="0" fillId="0" borderId="0" xfId="2" applyFont="1"/>
    <xf numFmtId="0" fontId="0" fillId="0" borderId="0" xfId="0" applyFill="1"/>
    <xf numFmtId="0" fontId="0" fillId="0" borderId="0" xfId="0" applyFont="1"/>
    <xf numFmtId="9" fontId="0" fillId="0" borderId="0" xfId="2" applyFont="1" applyAlignment="1">
      <alignment horizontal="center"/>
    </xf>
    <xf numFmtId="171" fontId="0" fillId="0" borderId="0" xfId="1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19" borderId="0" xfId="0" applyFill="1"/>
    <xf numFmtId="0" fontId="0" fillId="0" borderId="13" xfId="0" applyBorder="1"/>
    <xf numFmtId="0" fontId="0" fillId="0" borderId="14" xfId="0" applyFont="1" applyBorder="1"/>
    <xf numFmtId="9" fontId="0" fillId="0" borderId="14" xfId="2" applyFont="1" applyBorder="1" applyAlignment="1">
      <alignment horizontal="center"/>
    </xf>
    <xf numFmtId="166" fontId="0" fillId="0" borderId="14" xfId="1" applyNumberFormat="1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43" fontId="0" fillId="0" borderId="14" xfId="1" applyFont="1" applyBorder="1" applyAlignment="1">
      <alignment horizontal="right"/>
    </xf>
    <xf numFmtId="0" fontId="0" fillId="0" borderId="15" xfId="0" applyBorder="1"/>
    <xf numFmtId="0" fontId="16" fillId="0" borderId="16" xfId="0" applyFont="1" applyBorder="1"/>
    <xf numFmtId="0" fontId="16" fillId="2" borderId="0" xfId="0" applyFont="1" applyFill="1" applyBorder="1"/>
    <xf numFmtId="9" fontId="16" fillId="0" borderId="0" xfId="2" applyFont="1" applyBorder="1" applyAlignment="1">
      <alignment horizontal="center"/>
    </xf>
    <xf numFmtId="166" fontId="16" fillId="0" borderId="0" xfId="1" applyNumberFormat="1" applyFont="1" applyBorder="1" applyAlignment="1">
      <alignment horizontal="left"/>
    </xf>
    <xf numFmtId="166" fontId="16" fillId="0" borderId="0" xfId="1" applyNumberFormat="1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43" fontId="16" fillId="0" borderId="0" xfId="1" applyFont="1" applyBorder="1" applyAlignment="1">
      <alignment horizontal="right"/>
    </xf>
    <xf numFmtId="0" fontId="16" fillId="0" borderId="17" xfId="0" applyFont="1" applyBorder="1"/>
    <xf numFmtId="0" fontId="0" fillId="2" borderId="0" xfId="0" applyNumberFormat="1" applyFill="1"/>
    <xf numFmtId="0" fontId="0" fillId="0" borderId="16" xfId="0" applyBorder="1"/>
    <xf numFmtId="0" fontId="0" fillId="0" borderId="0" xfId="0" applyFont="1" applyBorder="1"/>
    <xf numFmtId="9" fontId="0" fillId="0" borderId="0" xfId="2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43" fontId="0" fillId="0" borderId="0" xfId="1" applyFont="1" applyBorder="1" applyAlignment="1">
      <alignment horizontal="right"/>
    </xf>
    <xf numFmtId="0" fontId="0" fillId="0" borderId="17" xfId="0" applyBorder="1"/>
    <xf numFmtId="0" fontId="0" fillId="19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16" xfId="0" applyBorder="1" applyAlignment="1">
      <alignment vertical="center"/>
    </xf>
    <xf numFmtId="0" fontId="2" fillId="16" borderId="13" xfId="0" applyFont="1" applyFill="1" applyBorder="1" applyAlignment="1">
      <alignment horizontal="left" vertical="top"/>
    </xf>
    <xf numFmtId="9" fontId="2" fillId="16" borderId="14" xfId="2" applyFont="1" applyFill="1" applyBorder="1" applyAlignment="1">
      <alignment horizontal="center" vertical="center" wrapText="1"/>
    </xf>
    <xf numFmtId="166" fontId="2" fillId="16" borderId="14" xfId="1" applyNumberFormat="1" applyFont="1" applyFill="1" applyBorder="1" applyAlignment="1">
      <alignment horizontal="center" vertical="center" wrapText="1"/>
    </xf>
    <xf numFmtId="43" fontId="2" fillId="16" borderId="15" xfId="1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6" xfId="0" applyBorder="1" applyAlignment="1">
      <alignment vertical="top"/>
    </xf>
    <xf numFmtId="172" fontId="0" fillId="0" borderId="16" xfId="0" applyNumberFormat="1" applyFont="1" applyBorder="1" applyAlignment="1">
      <alignment vertical="top"/>
    </xf>
    <xf numFmtId="9" fontId="0" fillId="0" borderId="0" xfId="2" applyFont="1" applyBorder="1" applyAlignment="1">
      <alignment horizontal="center" vertical="top"/>
    </xf>
    <xf numFmtId="3" fontId="0" fillId="0" borderId="0" xfId="1" applyNumberFormat="1" applyFont="1" applyBorder="1" applyAlignment="1">
      <alignment horizontal="center" vertical="top"/>
    </xf>
    <xf numFmtId="9" fontId="0" fillId="0" borderId="0" xfId="2" applyNumberFormat="1" applyFont="1" applyBorder="1" applyAlignment="1">
      <alignment horizontal="center" vertical="top"/>
    </xf>
    <xf numFmtId="166" fontId="0" fillId="0" borderId="17" xfId="1" applyNumberFormat="1" applyFont="1" applyBorder="1" applyAlignment="1">
      <alignment horizontal="right" vertical="top"/>
    </xf>
    <xf numFmtId="0" fontId="0" fillId="0" borderId="17" xfId="0" applyBorder="1" applyAlignment="1">
      <alignment vertical="top"/>
    </xf>
    <xf numFmtId="43" fontId="0" fillId="0" borderId="0" xfId="0" applyNumberFormat="1" applyAlignment="1">
      <alignment vertical="top"/>
    </xf>
    <xf numFmtId="173" fontId="0" fillId="0" borderId="0" xfId="2" applyNumberFormat="1" applyFont="1" applyBorder="1" applyAlignment="1">
      <alignment horizontal="center" vertical="top"/>
    </xf>
    <xf numFmtId="172" fontId="0" fillId="0" borderId="16" xfId="0" applyNumberFormat="1" applyFont="1" applyBorder="1"/>
    <xf numFmtId="173" fontId="0" fillId="0" borderId="0" xfId="2" applyNumberFormat="1" applyFont="1" applyBorder="1" applyAlignment="1">
      <alignment horizontal="center"/>
    </xf>
    <xf numFmtId="1" fontId="0" fillId="0" borderId="0" xfId="1" applyNumberFormat="1" applyFont="1" applyBorder="1" applyAlignment="1">
      <alignment horizontal="center"/>
    </xf>
    <xf numFmtId="3" fontId="0" fillId="0" borderId="0" xfId="1" applyNumberFormat="1" applyFont="1" applyBorder="1" applyAlignment="1">
      <alignment horizontal="center"/>
    </xf>
    <xf numFmtId="1" fontId="0" fillId="0" borderId="17" xfId="2" applyNumberFormat="1" applyFont="1" applyBorder="1" applyAlignment="1">
      <alignment horizontal="right" vertical="top"/>
    </xf>
    <xf numFmtId="0" fontId="4" fillId="0" borderId="16" xfId="0" applyFont="1" applyBorder="1"/>
    <xf numFmtId="0" fontId="4" fillId="0" borderId="18" xfId="0" applyFont="1" applyFill="1" applyBorder="1"/>
    <xf numFmtId="9" fontId="4" fillId="0" borderId="19" xfId="2" applyFont="1" applyFill="1" applyBorder="1" applyAlignment="1">
      <alignment horizontal="center"/>
    </xf>
    <xf numFmtId="171" fontId="4" fillId="0" borderId="19" xfId="1" applyNumberFormat="1" applyFont="1" applyFill="1" applyBorder="1" applyAlignment="1">
      <alignment horizontal="center"/>
    </xf>
    <xf numFmtId="166" fontId="4" fillId="0" borderId="19" xfId="1" applyNumberFormat="1" applyFont="1" applyFill="1" applyBorder="1" applyAlignment="1">
      <alignment horizontal="center"/>
    </xf>
    <xf numFmtId="173" fontId="4" fillId="0" borderId="19" xfId="2" applyNumberFormat="1" applyFont="1" applyFill="1" applyBorder="1" applyAlignment="1">
      <alignment horizontal="center" vertical="top" wrapText="1"/>
    </xf>
    <xf numFmtId="173" fontId="4" fillId="0" borderId="19" xfId="2" applyNumberFormat="1" applyFont="1" applyFill="1" applyBorder="1" applyAlignment="1">
      <alignment horizontal="center"/>
    </xf>
    <xf numFmtId="174" fontId="4" fillId="0" borderId="19" xfId="2" applyNumberFormat="1" applyFont="1" applyFill="1" applyBorder="1" applyAlignment="1">
      <alignment horizontal="center"/>
    </xf>
    <xf numFmtId="166" fontId="4" fillId="0" borderId="20" xfId="1" applyNumberFormat="1" applyFont="1" applyFill="1" applyBorder="1" applyAlignment="1">
      <alignment horizontal="right"/>
    </xf>
    <xf numFmtId="0" fontId="4" fillId="0" borderId="17" xfId="0" applyFont="1" applyBorder="1"/>
    <xf numFmtId="0" fontId="2" fillId="16" borderId="13" xfId="0" applyFont="1" applyFill="1" applyBorder="1"/>
    <xf numFmtId="174" fontId="5" fillId="16" borderId="14" xfId="2" applyNumberFormat="1" applyFont="1" applyFill="1" applyBorder="1" applyAlignment="1">
      <alignment horizontal="center"/>
    </xf>
    <xf numFmtId="171" fontId="5" fillId="16" borderId="14" xfId="1" applyNumberFormat="1" applyFont="1" applyFill="1" applyBorder="1" applyAlignment="1">
      <alignment horizontal="center"/>
    </xf>
    <xf numFmtId="174" fontId="5" fillId="16" borderId="14" xfId="0" applyNumberFormat="1" applyFont="1" applyFill="1" applyBorder="1" applyAlignment="1">
      <alignment horizontal="center"/>
    </xf>
    <xf numFmtId="171" fontId="5" fillId="16" borderId="15" xfId="1" applyNumberFormat="1" applyFont="1" applyFill="1" applyBorder="1" applyAlignment="1">
      <alignment horizontal="right"/>
    </xf>
    <xf numFmtId="0" fontId="0" fillId="0" borderId="16" xfId="0" applyFont="1" applyBorder="1"/>
    <xf numFmtId="174" fontId="0" fillId="0" borderId="0" xfId="2" applyNumberFormat="1" applyFont="1" applyBorder="1" applyAlignment="1">
      <alignment horizontal="center"/>
    </xf>
    <xf numFmtId="174" fontId="0" fillId="0" borderId="0" xfId="0" applyNumberFormat="1" applyFont="1" applyBorder="1" applyAlignment="1">
      <alignment horizontal="center"/>
    </xf>
    <xf numFmtId="1" fontId="0" fillId="0" borderId="17" xfId="1" applyNumberFormat="1" applyFont="1" applyBorder="1" applyAlignment="1">
      <alignment horizontal="right"/>
    </xf>
    <xf numFmtId="174" fontId="0" fillId="0" borderId="19" xfId="2" applyNumberFormat="1" applyFont="1" applyBorder="1" applyAlignment="1">
      <alignment horizontal="center"/>
    </xf>
    <xf numFmtId="171" fontId="0" fillId="0" borderId="19" xfId="1" applyNumberFormat="1" applyFont="1" applyBorder="1" applyAlignment="1">
      <alignment horizontal="center"/>
    </xf>
    <xf numFmtId="174" fontId="0" fillId="0" borderId="19" xfId="0" applyNumberFormat="1" applyFont="1" applyBorder="1" applyAlignment="1">
      <alignment horizontal="center"/>
    </xf>
    <xf numFmtId="171" fontId="4" fillId="0" borderId="0" xfId="1" applyNumberFormat="1" applyFont="1" applyBorder="1" applyAlignment="1">
      <alignment horizontal="right"/>
    </xf>
    <xf numFmtId="1" fontId="4" fillId="0" borderId="20" xfId="1" applyNumberFormat="1" applyFont="1" applyBorder="1" applyAlignment="1">
      <alignment horizontal="right"/>
    </xf>
    <xf numFmtId="0" fontId="4" fillId="0" borderId="0" xfId="0" applyFont="1" applyBorder="1"/>
    <xf numFmtId="0" fontId="4" fillId="0" borderId="13" xfId="0" applyFont="1" applyBorder="1"/>
    <xf numFmtId="174" fontId="0" fillId="0" borderId="14" xfId="2" applyNumberFormat="1" applyFont="1" applyBorder="1" applyAlignment="1">
      <alignment horizontal="center"/>
    </xf>
    <xf numFmtId="171" fontId="0" fillId="0" borderId="14" xfId="1" applyNumberFormat="1" applyFont="1" applyBorder="1" applyAlignment="1">
      <alignment horizontal="center"/>
    </xf>
    <xf numFmtId="174" fontId="0" fillId="0" borderId="14" xfId="0" applyNumberFormat="1" applyFont="1" applyBorder="1" applyAlignment="1">
      <alignment horizontal="center"/>
    </xf>
    <xf numFmtId="1" fontId="0" fillId="0" borderId="15" xfId="1" applyNumberFormat="1" applyFont="1" applyBorder="1" applyAlignment="1">
      <alignment horizontal="right"/>
    </xf>
    <xf numFmtId="0" fontId="4" fillId="0" borderId="21" xfId="0" applyFont="1" applyBorder="1"/>
    <xf numFmtId="174" fontId="0" fillId="0" borderId="22" xfId="2" applyNumberFormat="1" applyFont="1" applyBorder="1" applyAlignment="1">
      <alignment horizontal="center"/>
    </xf>
    <xf numFmtId="171" fontId="0" fillId="0" borderId="22" xfId="1" applyNumberFormat="1" applyFont="1" applyBorder="1" applyAlignment="1">
      <alignment horizontal="center"/>
    </xf>
    <xf numFmtId="174" fontId="0" fillId="0" borderId="22" xfId="0" applyNumberFormat="1" applyFont="1" applyBorder="1" applyAlignment="1">
      <alignment horizontal="center"/>
    </xf>
    <xf numFmtId="1" fontId="0" fillId="0" borderId="23" xfId="1" applyNumberFormat="1" applyFont="1" applyBorder="1" applyAlignment="1">
      <alignment horizontal="right"/>
    </xf>
    <xf numFmtId="171" fontId="0" fillId="0" borderId="0" xfId="1" applyNumberFormat="1" applyFont="1" applyBorder="1" applyAlignment="1">
      <alignment horizontal="right"/>
    </xf>
    <xf numFmtId="0" fontId="4" fillId="0" borderId="0" xfId="0" applyFont="1" applyFill="1" applyBorder="1"/>
    <xf numFmtId="166" fontId="0" fillId="0" borderId="0" xfId="1" applyNumberFormat="1" applyFont="1" applyBorder="1" applyAlignment="1">
      <alignment horizontal="right"/>
    </xf>
    <xf numFmtId="43" fontId="0" fillId="0" borderId="0" xfId="0" applyNumberFormat="1"/>
    <xf numFmtId="0" fontId="0" fillId="0" borderId="0" xfId="0" applyFont="1" applyFill="1" applyBorder="1"/>
    <xf numFmtId="0" fontId="29" fillId="0" borderId="16" xfId="0" applyFont="1" applyBorder="1"/>
    <xf numFmtId="0" fontId="17" fillId="0" borderId="0" xfId="0" applyFont="1" applyBorder="1"/>
    <xf numFmtId="174" fontId="29" fillId="0" borderId="0" xfId="2" applyNumberFormat="1" applyFont="1" applyBorder="1" applyAlignment="1">
      <alignment horizontal="center"/>
    </xf>
    <xf numFmtId="171" fontId="29" fillId="0" borderId="0" xfId="1" applyNumberFormat="1" applyFont="1" applyBorder="1" applyAlignment="1">
      <alignment horizontal="center"/>
    </xf>
    <xf numFmtId="174" fontId="29" fillId="0" borderId="0" xfId="0" applyNumberFormat="1" applyFont="1" applyBorder="1" applyAlignment="1">
      <alignment horizontal="center"/>
    </xf>
    <xf numFmtId="174" fontId="17" fillId="0" borderId="0" xfId="1" applyNumberFormat="1" applyFont="1" applyBorder="1" applyAlignment="1">
      <alignment horizontal="center"/>
    </xf>
    <xf numFmtId="166" fontId="30" fillId="0" borderId="0" xfId="1" applyNumberFormat="1" applyFont="1" applyBorder="1" applyAlignment="1">
      <alignment horizontal="right"/>
    </xf>
    <xf numFmtId="0" fontId="29" fillId="0" borderId="17" xfId="0" applyFont="1" applyBorder="1"/>
    <xf numFmtId="0" fontId="29" fillId="0" borderId="21" xfId="0" applyFont="1" applyBorder="1"/>
    <xf numFmtId="172" fontId="0" fillId="0" borderId="22" xfId="0" applyNumberFormat="1" applyFont="1" applyBorder="1"/>
    <xf numFmtId="174" fontId="29" fillId="0" borderId="22" xfId="2" applyNumberFormat="1" applyFont="1" applyBorder="1" applyAlignment="1">
      <alignment horizontal="center"/>
    </xf>
    <xf numFmtId="171" fontId="29" fillId="0" borderId="22" xfId="1" applyNumberFormat="1" applyFont="1" applyBorder="1" applyAlignment="1">
      <alignment horizontal="center"/>
    </xf>
    <xf numFmtId="174" fontId="29" fillId="0" borderId="22" xfId="0" applyNumberFormat="1" applyFont="1" applyBorder="1" applyAlignment="1">
      <alignment horizontal="center"/>
    </xf>
    <xf numFmtId="174" fontId="17" fillId="0" borderId="22" xfId="1" applyNumberFormat="1" applyFont="1" applyBorder="1" applyAlignment="1">
      <alignment horizontal="center"/>
    </xf>
    <xf numFmtId="171" fontId="0" fillId="0" borderId="22" xfId="1" applyNumberFormat="1" applyFont="1" applyBorder="1" applyAlignment="1">
      <alignment horizontal="right"/>
    </xf>
    <xf numFmtId="0" fontId="29" fillId="0" borderId="23" xfId="0" applyFont="1" applyBorder="1"/>
    <xf numFmtId="49" fontId="0" fillId="0" borderId="0" xfId="0" applyNumberFormat="1" applyFill="1"/>
    <xf numFmtId="49" fontId="31" fillId="2" borderId="0" xfId="0" applyNumberFormat="1" applyFont="1" applyFill="1"/>
    <xf numFmtId="0" fontId="31" fillId="2" borderId="0" xfId="0" applyFont="1" applyFill="1"/>
    <xf numFmtId="0" fontId="32" fillId="0" borderId="0" xfId="4" applyAlignment="1">
      <alignment vertical="center"/>
    </xf>
    <xf numFmtId="9" fontId="0" fillId="0" borderId="0" xfId="0" applyNumberFormat="1"/>
    <xf numFmtId="9" fontId="0" fillId="0" borderId="0" xfId="0" applyNumberFormat="1" applyFill="1"/>
    <xf numFmtId="175" fontId="0" fillId="0" borderId="0" xfId="2" applyNumberFormat="1" applyFont="1" applyFill="1"/>
    <xf numFmtId="175" fontId="0" fillId="0" borderId="0" xfId="0" applyNumberFormat="1" applyFill="1"/>
    <xf numFmtId="0" fontId="0" fillId="0" borderId="0" xfId="0" applyNumberFormat="1" applyFill="1"/>
    <xf numFmtId="0" fontId="33" fillId="21" borderId="0" xfId="0" applyFont="1" applyFill="1" applyAlignment="1">
      <alignment horizontal="center"/>
    </xf>
    <xf numFmtId="0" fontId="34" fillId="0" borderId="0" xfId="5"/>
    <xf numFmtId="0" fontId="34" fillId="0" borderId="0" xfId="5" applyAlignment="1">
      <alignment vertical="top"/>
    </xf>
    <xf numFmtId="0" fontId="35" fillId="0" borderId="0" xfId="5" applyFont="1" applyAlignment="1">
      <alignment vertical="top" wrapText="1"/>
    </xf>
    <xf numFmtId="49" fontId="36" fillId="0" borderId="0" xfId="5" applyNumberFormat="1" applyFont="1" applyFill="1" applyBorder="1" applyAlignment="1" applyProtection="1">
      <alignment vertical="top"/>
    </xf>
    <xf numFmtId="0" fontId="34" fillId="0" borderId="0" xfId="5" applyNumberFormat="1" applyFont="1" applyFill="1" applyBorder="1" applyAlignment="1" applyProtection="1"/>
    <xf numFmtId="176" fontId="34" fillId="0" borderId="0" xfId="5" applyNumberFormat="1"/>
    <xf numFmtId="49" fontId="34" fillId="0" borderId="0" xfId="5" applyNumberFormat="1" applyFont="1" applyFill="1" applyBorder="1" applyAlignment="1" applyProtection="1"/>
    <xf numFmtId="43" fontId="34" fillId="0" borderId="0" xfId="5" applyNumberFormat="1"/>
    <xf numFmtId="0" fontId="7" fillId="2" borderId="0" xfId="0" applyFont="1" applyFill="1" applyBorder="1" applyAlignment="1" applyProtection="1">
      <alignment horizontal="center"/>
      <protection locked="0"/>
    </xf>
    <xf numFmtId="0" fontId="7" fillId="14" borderId="1" xfId="1" applyNumberFormat="1" applyFont="1" applyFill="1" applyBorder="1" applyProtection="1">
      <protection locked="0"/>
    </xf>
    <xf numFmtId="0" fontId="7" fillId="14" borderId="0" xfId="1" applyNumberFormat="1" applyFont="1" applyFill="1" applyBorder="1" applyProtection="1">
      <protection locked="0"/>
    </xf>
    <xf numFmtId="0" fontId="0" fillId="14" borderId="0" xfId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Protection="1">
      <protection locked="0"/>
    </xf>
    <xf numFmtId="0" fontId="7" fillId="2" borderId="0" xfId="0" applyFont="1" applyFill="1" applyBorder="1" applyAlignment="1" applyProtection="1">
      <alignment horizontal="left"/>
      <protection locked="0"/>
    </xf>
    <xf numFmtId="168" fontId="7" fillId="2" borderId="0" xfId="0" applyNumberFormat="1" applyFont="1" applyFill="1" applyBorder="1" applyProtection="1">
      <protection locked="0"/>
    </xf>
    <xf numFmtId="49" fontId="7" fillId="2" borderId="0" xfId="0" applyNumberFormat="1" applyFont="1" applyFill="1" applyBorder="1" applyAlignment="1" applyProtection="1">
      <alignment horizontal="center"/>
      <protection locked="0"/>
    </xf>
    <xf numFmtId="0" fontId="7" fillId="2" borderId="0" xfId="0" applyNumberFormat="1" applyFont="1" applyFill="1" applyBorder="1" applyAlignment="1" applyProtection="1">
      <alignment horizontal="left"/>
      <protection locked="0"/>
    </xf>
    <xf numFmtId="15" fontId="7" fillId="2" borderId="0" xfId="0" applyNumberFormat="1" applyFont="1" applyFill="1" applyBorder="1" applyProtection="1">
      <protection locked="0"/>
    </xf>
    <xf numFmtId="0" fontId="7" fillId="2" borderId="0" xfId="1" applyNumberFormat="1" applyFont="1" applyFill="1" applyBorder="1" applyProtection="1">
      <protection locked="0"/>
    </xf>
    <xf numFmtId="165" fontId="7" fillId="2" borderId="0" xfId="1" applyNumberFormat="1" applyFont="1" applyFill="1" applyBorder="1" applyProtection="1">
      <protection locked="0"/>
    </xf>
    <xf numFmtId="0" fontId="7" fillId="2" borderId="0" xfId="0" applyNumberFormat="1" applyFont="1" applyFill="1" applyBorder="1" applyProtection="1">
      <protection locked="0"/>
    </xf>
    <xf numFmtId="166" fontId="7" fillId="2" borderId="0" xfId="1" applyNumberFormat="1" applyFont="1" applyFill="1" applyBorder="1" applyProtection="1">
      <protection locked="0"/>
    </xf>
    <xf numFmtId="9" fontId="7" fillId="2" borderId="0" xfId="0" applyNumberFormat="1" applyFont="1" applyFill="1" applyBorder="1" applyAlignment="1" applyProtection="1">
      <alignment horizontal="right"/>
      <protection locked="0"/>
    </xf>
    <xf numFmtId="9" fontId="7" fillId="2" borderId="0" xfId="0" applyNumberFormat="1" applyFont="1" applyFill="1" applyBorder="1" applyProtection="1">
      <protection locked="0"/>
    </xf>
    <xf numFmtId="170" fontId="7" fillId="2" borderId="0" xfId="0" applyNumberFormat="1" applyFont="1" applyFill="1" applyBorder="1" applyProtection="1">
      <protection locked="0"/>
    </xf>
    <xf numFmtId="168" fontId="7" fillId="2" borderId="0" xfId="1" applyNumberFormat="1" applyFont="1" applyFill="1" applyBorder="1" applyProtection="1">
      <protection locked="0"/>
    </xf>
    <xf numFmtId="169" fontId="7" fillId="2" borderId="0" xfId="0" applyNumberFormat="1" applyFont="1" applyFill="1" applyBorder="1" applyProtection="1">
      <protection locked="0"/>
    </xf>
    <xf numFmtId="168" fontId="24" fillId="2" borderId="0" xfId="1" applyNumberFormat="1" applyFont="1" applyFill="1" applyBorder="1" applyProtection="1">
      <protection locked="0"/>
    </xf>
    <xf numFmtId="9" fontId="7" fillId="2" borderId="0" xfId="1" applyNumberFormat="1" applyFont="1" applyFill="1" applyBorder="1" applyAlignment="1" applyProtection="1">
      <alignment horizontal="right"/>
      <protection locked="0"/>
    </xf>
    <xf numFmtId="9" fontId="7" fillId="2" borderId="0" xfId="2" applyFont="1" applyFill="1" applyBorder="1" applyProtection="1">
      <protection locked="0"/>
    </xf>
    <xf numFmtId="168" fontId="24" fillId="2" borderId="0" xfId="0" applyNumberFormat="1" applyFont="1" applyFill="1" applyBorder="1" applyProtection="1">
      <protection locked="0"/>
    </xf>
    <xf numFmtId="166" fontId="23" fillId="2" borderId="0" xfId="1" applyNumberFormat="1" applyFont="1" applyFill="1" applyBorder="1" applyProtection="1">
      <protection locked="0"/>
    </xf>
    <xf numFmtId="168" fontId="7" fillId="2" borderId="0" xfId="0" applyNumberFormat="1" applyFont="1" applyFill="1" applyBorder="1"/>
    <xf numFmtId="10" fontId="7" fillId="2" borderId="0" xfId="2" applyNumberFormat="1" applyFont="1" applyFill="1" applyBorder="1"/>
    <xf numFmtId="166" fontId="7" fillId="2" borderId="0" xfId="1" applyNumberFormat="1" applyFont="1" applyFill="1" applyBorder="1"/>
    <xf numFmtId="9" fontId="7" fillId="2" borderId="0" xfId="2" applyNumberFormat="1" applyFont="1" applyFill="1" applyBorder="1"/>
    <xf numFmtId="0" fontId="5" fillId="22" borderId="0" xfId="0" applyFont="1" applyFill="1" applyBorder="1" applyAlignment="1" applyProtection="1">
      <alignment horizontal="right" vertical="top" wrapText="1"/>
      <protection locked="0"/>
    </xf>
    <xf numFmtId="166" fontId="5" fillId="22" borderId="0" xfId="1" applyNumberFormat="1" applyFont="1" applyFill="1" applyBorder="1" applyAlignment="1" applyProtection="1">
      <alignment horizontal="center" vertical="top" wrapText="1"/>
      <protection locked="0"/>
    </xf>
    <xf numFmtId="0" fontId="5" fillId="22" borderId="0" xfId="0" applyFont="1" applyFill="1" applyBorder="1" applyAlignment="1" applyProtection="1">
      <alignment horizontal="center" vertical="top" wrapText="1"/>
      <protection locked="0"/>
    </xf>
    <xf numFmtId="0" fontId="5" fillId="22" borderId="0" xfId="0" applyFont="1" applyFill="1" applyBorder="1" applyAlignment="1" applyProtection="1">
      <alignment horizontal="center" vertical="center" wrapText="1"/>
      <protection locked="0"/>
    </xf>
    <xf numFmtId="166" fontId="5" fillId="22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18" borderId="0" xfId="0" applyFont="1" applyFill="1" applyBorder="1" applyAlignment="1" applyProtection="1">
      <alignment horizontal="center" vertical="top" wrapText="1"/>
      <protection locked="0"/>
    </xf>
    <xf numFmtId="0" fontId="5" fillId="18" borderId="0" xfId="0" applyFont="1" applyFill="1" applyBorder="1" applyAlignment="1" applyProtection="1">
      <alignment horizontal="center" vertical="center" wrapText="1"/>
      <protection locked="0"/>
    </xf>
    <xf numFmtId="0" fontId="5" fillId="23" borderId="0" xfId="0" applyFont="1" applyFill="1" applyBorder="1" applyAlignment="1" applyProtection="1">
      <alignment horizontal="center" vertical="top" wrapText="1"/>
      <protection locked="0"/>
    </xf>
    <xf numFmtId="0" fontId="5" fillId="23" borderId="0" xfId="0" applyFont="1" applyFill="1" applyBorder="1" applyAlignment="1" applyProtection="1">
      <alignment horizontal="center" vertical="center" wrapText="1"/>
      <protection locked="0"/>
    </xf>
    <xf numFmtId="166" fontId="5" fillId="24" borderId="0" xfId="1" applyNumberFormat="1" applyFont="1" applyFill="1" applyBorder="1" applyAlignment="1" applyProtection="1">
      <alignment horizontal="center" vertical="top" wrapText="1"/>
      <protection locked="0"/>
    </xf>
    <xf numFmtId="166" fontId="5" fillId="24" borderId="0" xfId="1" applyNumberFormat="1" applyFont="1" applyFill="1" applyBorder="1" applyAlignment="1" applyProtection="1">
      <alignment horizontal="center" vertical="center" wrapText="1"/>
      <protection locked="0"/>
    </xf>
    <xf numFmtId="15" fontId="3" fillId="14" borderId="0" xfId="0" applyNumberFormat="1" applyFont="1" applyFill="1" applyBorder="1" applyProtection="1">
      <protection locked="0"/>
    </xf>
    <xf numFmtId="164" fontId="3" fillId="0" borderId="0" xfId="7" applyFont="1" applyBorder="1" applyAlignment="1" applyProtection="1">
      <protection locked="0"/>
    </xf>
    <xf numFmtId="164" fontId="0" fillId="0" borderId="0" xfId="7" applyFont="1" applyBorder="1" applyAlignment="1" applyProtection="1">
      <protection locked="0"/>
    </xf>
    <xf numFmtId="164" fontId="0" fillId="3" borderId="0" xfId="7" applyFont="1" applyFill="1" applyBorder="1" applyAlignment="1" applyProtection="1">
      <protection locked="0"/>
    </xf>
    <xf numFmtId="164" fontId="8" fillId="2" borderId="0" xfId="7" applyFont="1" applyFill="1" applyBorder="1" applyAlignment="1" applyProtection="1">
      <alignment horizontal="center" vertical="top" wrapText="1"/>
      <protection locked="0"/>
    </xf>
    <xf numFmtId="164" fontId="6" fillId="2" borderId="0" xfId="7" applyFont="1" applyFill="1" applyBorder="1" applyAlignment="1" applyProtection="1">
      <alignment horizontal="center" vertical="top" wrapText="1"/>
      <protection locked="0"/>
    </xf>
    <xf numFmtId="164" fontId="23" fillId="2" borderId="1" xfId="7" applyFont="1" applyFill="1" applyBorder="1" applyAlignment="1" applyProtection="1">
      <protection locked="0"/>
    </xf>
    <xf numFmtId="164" fontId="23" fillId="2" borderId="0" xfId="7" applyFont="1" applyFill="1" applyBorder="1" applyAlignment="1" applyProtection="1">
      <protection locked="0"/>
    </xf>
    <xf numFmtId="49" fontId="34" fillId="0" borderId="0" xfId="5" applyNumberFormat="1"/>
    <xf numFmtId="0" fontId="3" fillId="2" borderId="0" xfId="0" applyFont="1" applyFill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4" fontId="7" fillId="14" borderId="1" xfId="7" applyFont="1" applyFill="1" applyBorder="1" applyAlignment="1" applyProtection="1">
      <protection hidden="1"/>
    </xf>
    <xf numFmtId="0" fontId="0" fillId="0" borderId="0" xfId="0" applyBorder="1" applyAlignment="1" applyProtection="1">
      <protection hidden="1"/>
    </xf>
    <xf numFmtId="166" fontId="0" fillId="0" borderId="0" xfId="1" applyNumberFormat="1" applyFont="1" applyBorder="1" applyAlignment="1" applyProtection="1">
      <protection hidden="1"/>
    </xf>
    <xf numFmtId="0" fontId="0" fillId="3" borderId="0" xfId="0" applyFill="1" applyBorder="1" applyAlignment="1" applyProtection="1">
      <alignment horizontal="center"/>
      <protection hidden="1"/>
    </xf>
    <xf numFmtId="15" fontId="7" fillId="14" borderId="1" xfId="0" applyNumberFormat="1" applyFont="1" applyFill="1" applyBorder="1" applyProtection="1">
      <protection hidden="1"/>
    </xf>
    <xf numFmtId="43" fontId="0" fillId="3" borderId="0" xfId="0" applyNumberFormat="1" applyFill="1" applyBorder="1" applyAlignment="1" applyProtection="1">
      <protection hidden="1"/>
    </xf>
    <xf numFmtId="166" fontId="3" fillId="3" borderId="0" xfId="1" applyNumberFormat="1" applyFont="1" applyFill="1" applyBorder="1" applyProtection="1">
      <protection hidden="1"/>
    </xf>
    <xf numFmtId="0" fontId="0" fillId="3" borderId="0" xfId="0" applyFill="1" applyBorder="1" applyAlignment="1" applyProtection="1">
      <protection hidden="1"/>
    </xf>
    <xf numFmtId="0" fontId="5" fillId="6" borderId="0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Alignment="1" applyProtection="1">
      <alignment horizontal="center"/>
      <protection hidden="1"/>
    </xf>
    <xf numFmtId="0" fontId="5" fillId="6" borderId="0" xfId="0" applyFont="1" applyFill="1" applyBorder="1" applyAlignment="1" applyProtection="1">
      <alignment horizontal="center" vertical="top" wrapText="1"/>
      <protection hidden="1"/>
    </xf>
    <xf numFmtId="14" fontId="5" fillId="6" borderId="0" xfId="0" applyNumberFormat="1" applyFont="1" applyFill="1" applyBorder="1" applyAlignment="1" applyProtection="1">
      <alignment horizontal="center" vertical="top" wrapText="1"/>
      <protection hidden="1"/>
    </xf>
    <xf numFmtId="0" fontId="7" fillId="14" borderId="1" xfId="0" applyFont="1" applyFill="1" applyBorder="1" applyAlignment="1" applyProtection="1">
      <alignment horizontal="center"/>
      <protection hidden="1"/>
    </xf>
    <xf numFmtId="166" fontId="7" fillId="0" borderId="1" xfId="1" applyNumberFormat="1" applyFont="1" applyFill="1" applyBorder="1" applyProtection="1">
      <protection hidden="1"/>
    </xf>
    <xf numFmtId="166" fontId="7" fillId="14" borderId="1" xfId="1" applyNumberFormat="1" applyFont="1" applyFill="1" applyBorder="1" applyProtection="1">
      <protection hidden="1"/>
    </xf>
    <xf numFmtId="0" fontId="7" fillId="14" borderId="0" xfId="0" applyFont="1" applyFill="1" applyBorder="1" applyAlignment="1" applyProtection="1">
      <alignment horizontal="center"/>
      <protection hidden="1"/>
    </xf>
    <xf numFmtId="164" fontId="7" fillId="14" borderId="0" xfId="7" applyFont="1" applyFill="1" applyBorder="1" applyAlignment="1" applyProtection="1">
      <protection hidden="1"/>
    </xf>
    <xf numFmtId="166" fontId="7" fillId="0" borderId="0" xfId="1" applyNumberFormat="1" applyFont="1" applyFill="1" applyBorder="1" applyProtection="1">
      <protection hidden="1"/>
    </xf>
    <xf numFmtId="166" fontId="7" fillId="14" borderId="0" xfId="1" applyNumberFormat="1" applyFont="1" applyFill="1" applyBorder="1" applyProtection="1">
      <protection hidden="1"/>
    </xf>
    <xf numFmtId="166" fontId="7" fillId="14" borderId="0" xfId="1" applyNumberFormat="1" applyFont="1" applyFill="1" applyBorder="1" applyAlignment="1" applyProtection="1">
      <protection hidden="1"/>
    </xf>
    <xf numFmtId="0" fontId="7" fillId="2" borderId="0" xfId="0" applyFont="1" applyFill="1" applyBorder="1" applyAlignment="1" applyProtection="1">
      <alignment horizontal="center"/>
      <protection hidden="1"/>
    </xf>
    <xf numFmtId="164" fontId="7" fillId="2" borderId="0" xfId="7" applyFont="1" applyFill="1" applyBorder="1" applyAlignment="1" applyProtection="1">
      <protection hidden="1"/>
    </xf>
    <xf numFmtId="166" fontId="7" fillId="2" borderId="0" xfId="1" applyNumberFormat="1" applyFont="1" applyFill="1" applyBorder="1" applyProtection="1">
      <protection hidden="1"/>
    </xf>
    <xf numFmtId="164" fontId="0" fillId="14" borderId="0" xfId="7" applyFont="1" applyFill="1" applyBorder="1" applyAlignment="1" applyProtection="1">
      <protection hidden="1"/>
    </xf>
    <xf numFmtId="15" fontId="3" fillId="2" borderId="0" xfId="0" applyNumberFormat="1" applyFont="1" applyFill="1" applyBorder="1" applyProtection="1">
      <protection locked="0"/>
    </xf>
    <xf numFmtId="0" fontId="7" fillId="2" borderId="0" xfId="0" applyNumberFormat="1" applyFont="1" applyFill="1" applyBorder="1" applyAlignment="1" applyProtection="1">
      <alignment horizontal="center"/>
      <protection locked="0"/>
    </xf>
    <xf numFmtId="0" fontId="25" fillId="2" borderId="0" xfId="0" applyFont="1" applyFill="1" applyBorder="1" applyProtection="1">
      <protection locked="0"/>
    </xf>
    <xf numFmtId="166" fontId="0" fillId="25" borderId="0" xfId="1" applyNumberFormat="1" applyFont="1" applyFill="1" applyBorder="1" applyAlignment="1" applyProtection="1">
      <protection locked="0"/>
    </xf>
    <xf numFmtId="166" fontId="0" fillId="25" borderId="0" xfId="0" applyNumberFormat="1" applyFill="1" applyBorder="1" applyAlignment="1" applyProtection="1">
      <protection locked="0"/>
    </xf>
    <xf numFmtId="0" fontId="0" fillId="25" borderId="0" xfId="0" applyFill="1" applyBorder="1" applyAlignment="1" applyProtection="1">
      <protection locked="0"/>
    </xf>
    <xf numFmtId="166" fontId="0" fillId="26" borderId="0" xfId="1" applyNumberFormat="1" applyFont="1" applyFill="1" applyBorder="1" applyAlignment="1" applyProtection="1">
      <protection locked="0"/>
    </xf>
    <xf numFmtId="0" fontId="0" fillId="0" borderId="0" xfId="0" applyFont="1" applyBorder="1" applyAlignment="1" applyProtection="1">
      <alignment horizontal="left"/>
      <protection locked="0"/>
    </xf>
    <xf numFmtId="0" fontId="0" fillId="14" borderId="0" xfId="0" applyFont="1" applyFill="1" applyBorder="1" applyAlignment="1" applyProtection="1">
      <alignment horizontal="left"/>
      <protection locked="0"/>
    </xf>
    <xf numFmtId="0" fontId="0" fillId="14" borderId="0" xfId="0" applyFont="1" applyFill="1" applyBorder="1" applyAlignment="1" applyProtection="1">
      <alignment horizontal="center"/>
      <protection locked="0"/>
    </xf>
    <xf numFmtId="0" fontId="0" fillId="14" borderId="0" xfId="0" applyFont="1" applyFill="1" applyBorder="1" applyAlignment="1" applyProtection="1">
      <protection locked="0"/>
    </xf>
    <xf numFmtId="0" fontId="0" fillId="14" borderId="0" xfId="0" applyFont="1" applyFill="1" applyBorder="1" applyAlignment="1" applyProtection="1">
      <alignment horizontal="center"/>
      <protection hidden="1"/>
    </xf>
    <xf numFmtId="164" fontId="7" fillId="2" borderId="0" xfId="7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1" xfId="0" applyFont="1" applyBorder="1"/>
    <xf numFmtId="0" fontId="38" fillId="13" borderId="1" xfId="0" applyFont="1" applyFill="1" applyBorder="1" applyProtection="1">
      <protection locked="0"/>
    </xf>
    <xf numFmtId="0" fontId="38" fillId="14" borderId="1" xfId="0" applyFont="1" applyFill="1" applyBorder="1" applyProtection="1">
      <protection locked="0"/>
    </xf>
    <xf numFmtId="0" fontId="38" fillId="14" borderId="1" xfId="0" applyFont="1" applyFill="1" applyBorder="1" applyAlignment="1" applyProtection="1">
      <alignment horizontal="left"/>
      <protection locked="0"/>
    </xf>
    <xf numFmtId="168" fontId="38" fillId="14" borderId="1" xfId="0" applyNumberFormat="1" applyFont="1" applyFill="1" applyBorder="1" applyProtection="1">
      <protection locked="0"/>
    </xf>
    <xf numFmtId="49" fontId="38" fillId="14" borderId="1" xfId="0" applyNumberFormat="1" applyFont="1" applyFill="1" applyBorder="1" applyAlignment="1" applyProtection="1">
      <alignment horizontal="center"/>
      <protection locked="0"/>
    </xf>
    <xf numFmtId="0" fontId="38" fillId="14" borderId="1" xfId="0" applyNumberFormat="1" applyFont="1" applyFill="1" applyBorder="1" applyAlignment="1" applyProtection="1">
      <alignment horizontal="left"/>
      <protection locked="0"/>
    </xf>
    <xf numFmtId="0" fontId="38" fillId="14" borderId="1" xfId="0" applyFont="1" applyFill="1" applyBorder="1" applyAlignment="1" applyProtection="1">
      <alignment horizontal="center"/>
      <protection locked="0"/>
    </xf>
    <xf numFmtId="15" fontId="38" fillId="14" borderId="1" xfId="0" applyNumberFormat="1" applyFont="1" applyFill="1" applyBorder="1" applyProtection="1">
      <protection locked="0"/>
    </xf>
    <xf numFmtId="0" fontId="38" fillId="14" borderId="1" xfId="1" applyNumberFormat="1" applyFont="1" applyFill="1" applyBorder="1" applyProtection="1">
      <protection locked="0"/>
    </xf>
    <xf numFmtId="165" fontId="38" fillId="14" borderId="0" xfId="1" applyNumberFormat="1" applyFont="1" applyFill="1" applyBorder="1" applyProtection="1">
      <protection locked="0"/>
    </xf>
    <xf numFmtId="15" fontId="38" fillId="14" borderId="0" xfId="0" applyNumberFormat="1" applyFont="1" applyFill="1" applyBorder="1" applyProtection="1">
      <protection locked="0"/>
    </xf>
    <xf numFmtId="0" fontId="38" fillId="14" borderId="1" xfId="0" applyNumberFormat="1" applyFont="1" applyFill="1" applyBorder="1" applyAlignment="1" applyProtection="1">
      <alignment horizontal="center"/>
      <protection locked="0"/>
    </xf>
    <xf numFmtId="0" fontId="38" fillId="14" borderId="1" xfId="0" applyFont="1" applyFill="1" applyBorder="1" applyAlignment="1" applyProtection="1">
      <alignment horizontal="center"/>
      <protection hidden="1"/>
    </xf>
    <xf numFmtId="164" fontId="38" fillId="14" borderId="1" xfId="7" applyFont="1" applyFill="1" applyBorder="1" applyAlignment="1" applyProtection="1">
      <protection hidden="1"/>
    </xf>
    <xf numFmtId="166" fontId="38" fillId="0" borderId="1" xfId="1" applyNumberFormat="1" applyFont="1" applyFill="1" applyBorder="1" applyProtection="1">
      <protection hidden="1"/>
    </xf>
    <xf numFmtId="166" fontId="38" fillId="14" borderId="1" xfId="1" applyNumberFormat="1" applyFont="1" applyFill="1" applyBorder="1" applyProtection="1">
      <protection hidden="1"/>
    </xf>
    <xf numFmtId="9" fontId="38" fillId="14" borderId="1" xfId="0" applyNumberFormat="1" applyFont="1" applyFill="1" applyBorder="1" applyAlignment="1" applyProtection="1">
      <alignment horizontal="right"/>
      <protection locked="0"/>
    </xf>
    <xf numFmtId="9" fontId="38" fillId="14" borderId="1" xfId="0" applyNumberFormat="1" applyFont="1" applyFill="1" applyBorder="1" applyProtection="1">
      <protection locked="0"/>
    </xf>
    <xf numFmtId="170" fontId="38" fillId="14" borderId="1" xfId="0" applyNumberFormat="1" applyFont="1" applyFill="1" applyBorder="1" applyProtection="1">
      <protection locked="0"/>
    </xf>
    <xf numFmtId="166" fontId="38" fillId="14" borderId="1" xfId="1" applyNumberFormat="1" applyFont="1" applyFill="1" applyBorder="1" applyProtection="1">
      <protection locked="0"/>
    </xf>
    <xf numFmtId="168" fontId="38" fillId="0" borderId="1" xfId="0" applyNumberFormat="1" applyFont="1" applyFill="1" applyBorder="1" applyProtection="1">
      <protection locked="0"/>
    </xf>
    <xf numFmtId="168" fontId="38" fillId="0" borderId="1" xfId="1" applyNumberFormat="1" applyFont="1" applyFill="1" applyBorder="1" applyProtection="1">
      <protection locked="0"/>
    </xf>
    <xf numFmtId="169" fontId="38" fillId="0" borderId="1" xfId="0" applyNumberFormat="1" applyFont="1" applyFill="1" applyBorder="1" applyProtection="1">
      <protection locked="0"/>
    </xf>
    <xf numFmtId="170" fontId="38" fillId="0" borderId="1" xfId="0" applyNumberFormat="1" applyFont="1" applyFill="1" applyBorder="1" applyProtection="1">
      <protection locked="0"/>
    </xf>
    <xf numFmtId="168" fontId="39" fillId="0" borderId="1" xfId="1" applyNumberFormat="1" applyFont="1" applyFill="1" applyBorder="1" applyProtection="1">
      <protection locked="0"/>
    </xf>
    <xf numFmtId="9" fontId="38" fillId="0" borderId="1" xfId="1" applyNumberFormat="1" applyFont="1" applyFill="1" applyBorder="1" applyAlignment="1" applyProtection="1">
      <alignment horizontal="right"/>
      <protection locked="0"/>
    </xf>
    <xf numFmtId="9" fontId="38" fillId="14" borderId="1" xfId="2" applyFont="1" applyFill="1" applyBorder="1" applyProtection="1">
      <protection locked="0"/>
    </xf>
    <xf numFmtId="168" fontId="39" fillId="0" borderId="1" xfId="0" applyNumberFormat="1" applyFont="1" applyFill="1" applyBorder="1" applyProtection="1">
      <protection locked="0"/>
    </xf>
    <xf numFmtId="166" fontId="38" fillId="0" borderId="1" xfId="1" applyNumberFormat="1" applyFont="1" applyFill="1" applyBorder="1" applyProtection="1">
      <protection locked="0"/>
    </xf>
    <xf numFmtId="164" fontId="40" fillId="2" borderId="1" xfId="7" applyFont="1" applyFill="1" applyBorder="1" applyAlignment="1" applyProtection="1">
      <protection locked="0"/>
    </xf>
    <xf numFmtId="166" fontId="40" fillId="0" borderId="1" xfId="1" applyNumberFormat="1" applyFont="1" applyFill="1" applyBorder="1" applyProtection="1">
      <protection locked="0"/>
    </xf>
    <xf numFmtId="0" fontId="41" fillId="0" borderId="1" xfId="0" applyFont="1" applyBorder="1"/>
    <xf numFmtId="168" fontId="38" fillId="0" borderId="1" xfId="0" applyNumberFormat="1" applyFont="1" applyFill="1" applyBorder="1"/>
    <xf numFmtId="10" fontId="38" fillId="0" borderId="1" xfId="2" applyNumberFormat="1" applyFont="1" applyFill="1" applyBorder="1"/>
    <xf numFmtId="166" fontId="38" fillId="0" borderId="1" xfId="1" applyNumberFormat="1" applyFont="1" applyFill="1" applyBorder="1"/>
    <xf numFmtId="9" fontId="38" fillId="0" borderId="1" xfId="2" applyNumberFormat="1" applyFont="1" applyFill="1" applyBorder="1"/>
    <xf numFmtId="0" fontId="42" fillId="0" borderId="1" xfId="0" applyFont="1" applyBorder="1" applyProtection="1">
      <protection locked="0"/>
    </xf>
    <xf numFmtId="0" fontId="38" fillId="13" borderId="0" xfId="0" applyFont="1" applyFill="1" applyBorder="1" applyProtection="1">
      <protection locked="0"/>
    </xf>
    <xf numFmtId="0" fontId="38" fillId="14" borderId="0" xfId="0" applyFont="1" applyFill="1" applyBorder="1" applyProtection="1">
      <protection locked="0"/>
    </xf>
    <xf numFmtId="0" fontId="38" fillId="14" borderId="0" xfId="0" applyFont="1" applyFill="1" applyBorder="1" applyAlignment="1" applyProtection="1">
      <alignment horizontal="left"/>
      <protection locked="0"/>
    </xf>
    <xf numFmtId="49" fontId="38" fillId="14" borderId="0" xfId="0" applyNumberFormat="1" applyFont="1" applyFill="1" applyBorder="1" applyAlignment="1" applyProtection="1">
      <alignment horizontal="center"/>
      <protection locked="0"/>
    </xf>
    <xf numFmtId="0" fontId="38" fillId="14" borderId="0" xfId="0" applyNumberFormat="1" applyFont="1" applyFill="1" applyBorder="1" applyAlignment="1" applyProtection="1">
      <alignment horizontal="left"/>
      <protection locked="0"/>
    </xf>
    <xf numFmtId="0" fontId="38" fillId="14" borderId="0" xfId="0" applyFont="1" applyFill="1" applyBorder="1" applyAlignment="1" applyProtection="1">
      <alignment horizontal="center"/>
      <protection locked="0"/>
    </xf>
    <xf numFmtId="0" fontId="38" fillId="14" borderId="0" xfId="1" applyNumberFormat="1" applyFont="1" applyFill="1" applyBorder="1" applyProtection="1">
      <protection locked="0"/>
    </xf>
    <xf numFmtId="0" fontId="38" fillId="14" borderId="0" xfId="0" applyNumberFormat="1" applyFont="1" applyFill="1" applyBorder="1" applyProtection="1">
      <protection locked="0"/>
    </xf>
    <xf numFmtId="0" fontId="38" fillId="2" borderId="0" xfId="0" applyFont="1" applyFill="1" applyBorder="1" applyAlignment="1" applyProtection="1">
      <alignment horizontal="center"/>
      <protection locked="0"/>
    </xf>
    <xf numFmtId="0" fontId="38" fillId="14" borderId="0" xfId="0" applyFont="1" applyFill="1" applyBorder="1" applyAlignment="1" applyProtection="1">
      <alignment horizontal="center"/>
      <protection hidden="1"/>
    </xf>
    <xf numFmtId="164" fontId="38" fillId="14" borderId="0" xfId="7" applyFont="1" applyFill="1" applyBorder="1" applyAlignment="1" applyProtection="1">
      <protection hidden="1"/>
    </xf>
    <xf numFmtId="166" fontId="38" fillId="0" borderId="0" xfId="1" applyNumberFormat="1" applyFont="1" applyFill="1" applyBorder="1" applyProtection="1">
      <protection hidden="1"/>
    </xf>
    <xf numFmtId="166" fontId="38" fillId="14" borderId="0" xfId="1" applyNumberFormat="1" applyFont="1" applyFill="1" applyBorder="1" applyProtection="1">
      <protection hidden="1"/>
    </xf>
    <xf numFmtId="168" fontId="38" fillId="14" borderId="0" xfId="0" applyNumberFormat="1" applyFont="1" applyFill="1" applyBorder="1" applyProtection="1">
      <protection locked="0"/>
    </xf>
    <xf numFmtId="9" fontId="38" fillId="14" borderId="0" xfId="0" applyNumberFormat="1" applyFont="1" applyFill="1" applyBorder="1" applyAlignment="1" applyProtection="1">
      <alignment horizontal="right"/>
      <protection locked="0"/>
    </xf>
    <xf numFmtId="9" fontId="38" fillId="14" borderId="0" xfId="0" applyNumberFormat="1" applyFont="1" applyFill="1" applyBorder="1" applyProtection="1">
      <protection locked="0"/>
    </xf>
    <xf numFmtId="170" fontId="38" fillId="14" borderId="0" xfId="0" applyNumberFormat="1" applyFont="1" applyFill="1" applyBorder="1" applyProtection="1">
      <protection locked="0"/>
    </xf>
    <xf numFmtId="166" fontId="38" fillId="14" borderId="0" xfId="1" applyNumberFormat="1" applyFont="1" applyFill="1" applyBorder="1" applyProtection="1">
      <protection locked="0"/>
    </xf>
    <xf numFmtId="168" fontId="38" fillId="0" borderId="0" xfId="0" applyNumberFormat="1" applyFont="1" applyFill="1" applyBorder="1" applyProtection="1">
      <protection locked="0"/>
    </xf>
    <xf numFmtId="168" fontId="38" fillId="0" borderId="0" xfId="1" applyNumberFormat="1" applyFont="1" applyFill="1" applyBorder="1" applyProtection="1">
      <protection locked="0"/>
    </xf>
    <xf numFmtId="169" fontId="38" fillId="0" borderId="0" xfId="0" applyNumberFormat="1" applyFont="1" applyFill="1" applyBorder="1" applyProtection="1">
      <protection locked="0"/>
    </xf>
    <xf numFmtId="170" fontId="38" fillId="0" borderId="0" xfId="0" applyNumberFormat="1" applyFont="1" applyFill="1" applyBorder="1" applyProtection="1">
      <protection locked="0"/>
    </xf>
    <xf numFmtId="168" fontId="39" fillId="0" borderId="0" xfId="1" applyNumberFormat="1" applyFont="1" applyFill="1" applyBorder="1" applyProtection="1">
      <protection locked="0"/>
    </xf>
    <xf numFmtId="9" fontId="38" fillId="0" borderId="0" xfId="1" applyNumberFormat="1" applyFont="1" applyFill="1" applyBorder="1" applyAlignment="1" applyProtection="1">
      <alignment horizontal="right"/>
      <protection locked="0"/>
    </xf>
    <xf numFmtId="9" fontId="38" fillId="14" borderId="0" xfId="2" applyFont="1" applyFill="1" applyBorder="1" applyProtection="1">
      <protection locked="0"/>
    </xf>
    <xf numFmtId="168" fontId="39" fillId="0" borderId="0" xfId="0" applyNumberFormat="1" applyFont="1" applyFill="1" applyBorder="1" applyProtection="1">
      <protection locked="0"/>
    </xf>
    <xf numFmtId="166" fontId="38" fillId="0" borderId="0" xfId="1" applyNumberFormat="1" applyFont="1" applyFill="1" applyBorder="1" applyProtection="1">
      <protection locked="0"/>
    </xf>
    <xf numFmtId="164" fontId="40" fillId="2" borderId="0" xfId="7" applyFont="1" applyFill="1" applyBorder="1" applyAlignment="1" applyProtection="1">
      <protection locked="0"/>
    </xf>
    <xf numFmtId="166" fontId="40" fillId="0" borderId="0" xfId="1" applyNumberFormat="1" applyFont="1" applyFill="1" applyBorder="1" applyProtection="1">
      <protection locked="0"/>
    </xf>
    <xf numFmtId="0" fontId="41" fillId="0" borderId="0" xfId="0" applyFont="1"/>
    <xf numFmtId="168" fontId="38" fillId="0" borderId="0" xfId="0" applyNumberFormat="1" applyFont="1" applyFill="1" applyBorder="1"/>
    <xf numFmtId="10" fontId="38" fillId="0" borderId="0" xfId="2" applyNumberFormat="1" applyFont="1" applyFill="1" applyBorder="1"/>
    <xf numFmtId="166" fontId="38" fillId="0" borderId="0" xfId="1" applyNumberFormat="1" applyFont="1" applyFill="1" applyBorder="1"/>
    <xf numFmtId="9" fontId="38" fillId="0" borderId="0" xfId="2" applyNumberFormat="1" applyFont="1" applyFill="1" applyBorder="1"/>
    <xf numFmtId="0" fontId="38" fillId="0" borderId="0" xfId="0" applyFont="1" applyBorder="1" applyProtection="1">
      <protection locked="0"/>
    </xf>
    <xf numFmtId="0" fontId="38" fillId="14" borderId="0" xfId="0" applyNumberFormat="1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Alignment="1" applyProtection="1">
      <protection locked="0"/>
    </xf>
    <xf numFmtId="0" fontId="0" fillId="2" borderId="0" xfId="0" applyFont="1" applyFill="1"/>
    <xf numFmtId="177" fontId="0" fillId="14" borderId="0" xfId="0" applyNumberFormat="1" applyFont="1" applyFill="1" applyBorder="1" applyAlignment="1" applyProtection="1">
      <protection locked="0"/>
    </xf>
    <xf numFmtId="168" fontId="7" fillId="27" borderId="0" xfId="0" applyNumberFormat="1" applyFont="1" applyFill="1" applyBorder="1" applyProtection="1">
      <protection locked="0"/>
    </xf>
    <xf numFmtId="168" fontId="7" fillId="3" borderId="0" xfId="1" applyNumberFormat="1" applyFont="1" applyFill="1" applyBorder="1" applyProtection="1">
      <protection locked="0"/>
    </xf>
    <xf numFmtId="0" fontId="3" fillId="5" borderId="0" xfId="0" applyFont="1" applyFill="1" applyBorder="1" applyAlignment="1" applyProtection="1">
      <alignment vertical="top" wrapText="1"/>
      <protection locked="0"/>
    </xf>
    <xf numFmtId="0" fontId="3" fillId="5" borderId="0" xfId="0" applyFont="1" applyFill="1" applyBorder="1" applyAlignment="1" applyProtection="1">
      <alignment vertical="top" wrapText="1"/>
      <protection hidden="1"/>
    </xf>
    <xf numFmtId="0" fontId="5" fillId="5" borderId="0" xfId="0" applyFont="1" applyFill="1" applyBorder="1" applyAlignment="1" applyProtection="1">
      <alignment horizontal="center" vertical="top" wrapText="1"/>
      <protection hidden="1"/>
    </xf>
    <xf numFmtId="0" fontId="0" fillId="14" borderId="0" xfId="0" applyFont="1" applyFill="1" applyBorder="1" applyAlignment="1" applyProtection="1">
      <protection hidden="1"/>
    </xf>
    <xf numFmtId="0" fontId="0" fillId="2" borderId="0" xfId="0" applyFont="1" applyFill="1" applyBorder="1" applyAlignment="1" applyProtection="1">
      <protection hidden="1"/>
    </xf>
    <xf numFmtId="0" fontId="13" fillId="3" borderId="0" xfId="0" applyFont="1" applyFill="1" applyBorder="1" applyAlignment="1" applyProtection="1">
      <protection hidden="1"/>
    </xf>
    <xf numFmtId="0" fontId="5" fillId="5" borderId="0" xfId="0" applyFont="1" applyFill="1" applyBorder="1" applyAlignment="1" applyProtection="1">
      <alignment horizontal="center" vertical="center" wrapText="1"/>
      <protection hidden="1"/>
    </xf>
    <xf numFmtId="0" fontId="5" fillId="23" borderId="0" xfId="0" applyFont="1" applyFill="1" applyBorder="1" applyAlignment="1" applyProtection="1">
      <alignment horizontal="center" vertical="top" wrapText="1"/>
      <protection hidden="1"/>
    </xf>
    <xf numFmtId="168" fontId="7" fillId="14" borderId="1" xfId="0" applyNumberFormat="1" applyFont="1" applyFill="1" applyBorder="1" applyProtection="1">
      <protection hidden="1"/>
    </xf>
    <xf numFmtId="168" fontId="7" fillId="14" borderId="0" xfId="0" applyNumberFormat="1" applyFont="1" applyFill="1" applyBorder="1" applyProtection="1">
      <protection hidden="1"/>
    </xf>
    <xf numFmtId="168" fontId="38" fillId="14" borderId="1" xfId="0" applyNumberFormat="1" applyFont="1" applyFill="1" applyBorder="1" applyProtection="1">
      <protection hidden="1"/>
    </xf>
    <xf numFmtId="168" fontId="38" fillId="14" borderId="0" xfId="0" applyNumberFormat="1" applyFont="1" applyFill="1" applyBorder="1" applyProtection="1">
      <protection hidden="1"/>
    </xf>
    <xf numFmtId="168" fontId="7" fillId="2" borderId="0" xfId="0" applyNumberFormat="1" applyFont="1" applyFill="1" applyBorder="1" applyProtection="1">
      <protection hidden="1"/>
    </xf>
    <xf numFmtId="0" fontId="7" fillId="14" borderId="0" xfId="0" applyFont="1" applyFill="1" applyBorder="1" applyProtection="1">
      <protection hidden="1"/>
    </xf>
    <xf numFmtId="166" fontId="34" fillId="0" borderId="0" xfId="1" applyNumberFormat="1" applyFont="1" applyFill="1" applyBorder="1" applyAlignment="1" applyProtection="1"/>
    <xf numFmtId="166" fontId="0" fillId="14" borderId="0" xfId="1" applyNumberFormat="1" applyFont="1" applyFill="1" applyBorder="1" applyAlignment="1" applyProtection="1">
      <protection locked="0"/>
    </xf>
    <xf numFmtId="9" fontId="0" fillId="14" borderId="0" xfId="2" applyFont="1" applyFill="1" applyBorder="1" applyAlignment="1" applyProtection="1">
      <protection locked="0"/>
    </xf>
    <xf numFmtId="164" fontId="0" fillId="14" borderId="0" xfId="7" applyFont="1" applyFill="1" applyBorder="1" applyAlignment="1" applyProtection="1">
      <protection locked="0"/>
    </xf>
    <xf numFmtId="164" fontId="0" fillId="0" borderId="0" xfId="7" applyFont="1" applyBorder="1" applyAlignment="1"/>
    <xf numFmtId="0" fontId="7" fillId="2" borderId="1" xfId="0" applyFont="1" applyFill="1" applyBorder="1" applyAlignment="1" applyProtection="1">
      <alignment horizontal="left"/>
      <protection locked="0"/>
    </xf>
    <xf numFmtId="0" fontId="38" fillId="2" borderId="1" xfId="0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 applyProtection="1">
      <alignment horizontal="left"/>
      <protection locked="0"/>
    </xf>
    <xf numFmtId="0" fontId="7" fillId="25" borderId="0" xfId="0" applyFont="1" applyFill="1" applyBorder="1" applyAlignment="1" applyProtection="1">
      <alignment horizontal="left"/>
      <protection locked="0"/>
    </xf>
    <xf numFmtId="0" fontId="38" fillId="25" borderId="0" xfId="0" applyFont="1" applyFill="1" applyBorder="1" applyAlignment="1" applyProtection="1">
      <alignment horizontal="left"/>
      <protection locked="0"/>
    </xf>
    <xf numFmtId="0" fontId="0" fillId="28" borderId="0" xfId="0" applyFill="1" applyBorder="1"/>
    <xf numFmtId="0" fontId="7" fillId="14" borderId="0" xfId="0" applyFont="1" applyFill="1" applyBorder="1" applyAlignment="1" applyProtection="1">
      <protection locked="0"/>
    </xf>
    <xf numFmtId="0" fontId="0" fillId="25" borderId="0" xfId="0" applyFont="1" applyFill="1" applyBorder="1" applyAlignment="1" applyProtection="1">
      <alignment horizontal="left"/>
      <protection locked="0"/>
    </xf>
    <xf numFmtId="0" fontId="0" fillId="29" borderId="0" xfId="0" applyFill="1" applyBorder="1" applyAlignment="1" applyProtection="1">
      <alignment horizontal="left"/>
      <protection locked="0"/>
    </xf>
    <xf numFmtId="0" fontId="0" fillId="29" borderId="0" xfId="0" applyFill="1" applyBorder="1" applyAlignment="1" applyProtection="1">
      <protection locked="0"/>
    </xf>
    <xf numFmtId="0" fontId="0" fillId="29" borderId="0" xfId="0" applyFill="1" applyBorder="1" applyAlignment="1" applyProtection="1">
      <alignment horizontal="center"/>
      <protection locked="0"/>
    </xf>
    <xf numFmtId="165" fontId="0" fillId="29" borderId="0" xfId="1" applyNumberFormat="1" applyFont="1" applyFill="1" applyBorder="1" applyAlignment="1" applyProtection="1">
      <alignment horizontal="center"/>
      <protection locked="0"/>
    </xf>
    <xf numFmtId="0" fontId="0" fillId="29" borderId="0" xfId="0" applyNumberFormat="1" applyFill="1" applyBorder="1" applyAlignment="1" applyProtection="1">
      <alignment horizontal="center"/>
      <protection locked="0"/>
    </xf>
    <xf numFmtId="0" fontId="0" fillId="29" borderId="0" xfId="0" applyFill="1" applyBorder="1" applyAlignment="1" applyProtection="1">
      <protection hidden="1"/>
    </xf>
    <xf numFmtId="0" fontId="0" fillId="29" borderId="0" xfId="0" applyFill="1" applyBorder="1" applyAlignment="1" applyProtection="1">
      <alignment horizontal="center"/>
      <protection hidden="1"/>
    </xf>
    <xf numFmtId="0" fontId="0" fillId="29" borderId="0" xfId="0" applyFill="1" applyBorder="1" applyAlignment="1" applyProtection="1">
      <alignment horizontal="right"/>
      <protection locked="0"/>
    </xf>
    <xf numFmtId="166" fontId="0" fillId="29" borderId="0" xfId="1" applyNumberFormat="1" applyFont="1" applyFill="1" applyBorder="1" applyAlignment="1" applyProtection="1">
      <protection locked="0"/>
    </xf>
    <xf numFmtId="0" fontId="7" fillId="29" borderId="0" xfId="0" applyFont="1" applyFill="1" applyBorder="1" applyAlignment="1" applyProtection="1">
      <protection locked="0"/>
    </xf>
    <xf numFmtId="9" fontId="0" fillId="29" borderId="0" xfId="2" applyFont="1" applyFill="1" applyBorder="1" applyAlignment="1" applyProtection="1">
      <protection locked="0"/>
    </xf>
    <xf numFmtId="37" fontId="0" fillId="29" borderId="0" xfId="1" applyNumberFormat="1" applyFont="1" applyFill="1" applyBorder="1" applyAlignment="1" applyProtection="1">
      <protection locked="0"/>
    </xf>
    <xf numFmtId="164" fontId="0" fillId="29" borderId="0" xfId="7" applyFont="1" applyFill="1" applyBorder="1" applyAlignment="1" applyProtection="1">
      <protection locked="0"/>
    </xf>
    <xf numFmtId="0" fontId="0" fillId="29" borderId="0" xfId="0" applyFill="1"/>
    <xf numFmtId="0" fontId="0" fillId="29" borderId="0" xfId="0" applyFill="1" applyBorder="1" applyAlignment="1"/>
    <xf numFmtId="167" fontId="0" fillId="29" borderId="0" xfId="2" applyNumberFormat="1" applyFont="1" applyFill="1" applyBorder="1" applyAlignment="1"/>
    <xf numFmtId="9" fontId="0" fillId="29" borderId="0" xfId="2" applyNumberFormat="1" applyFont="1" applyFill="1" applyBorder="1" applyAlignment="1"/>
    <xf numFmtId="166" fontId="0" fillId="28" borderId="24" xfId="7" applyNumberFormat="1" applyFont="1" applyFill="1" applyBorder="1" applyAlignment="1"/>
    <xf numFmtId="164" fontId="0" fillId="28" borderId="24" xfId="7" applyFont="1" applyFill="1" applyBorder="1" applyAlignment="1"/>
    <xf numFmtId="0" fontId="5" fillId="5" borderId="0" xfId="0" applyFont="1" applyFill="1" applyBorder="1" applyAlignment="1" applyProtection="1">
      <alignment horizontal="center" vertical="center" wrapText="1"/>
      <protection locked="0"/>
    </xf>
    <xf numFmtId="0" fontId="7" fillId="15" borderId="1" xfId="0" applyFont="1" applyFill="1" applyBorder="1" applyAlignment="1" applyProtection="1">
      <alignment horizontal="left"/>
      <protection locked="0"/>
    </xf>
    <xf numFmtId="15" fontId="7" fillId="30" borderId="0" xfId="0" applyNumberFormat="1" applyFont="1" applyFill="1" applyBorder="1" applyProtection="1">
      <protection locked="0"/>
    </xf>
    <xf numFmtId="177" fontId="0" fillId="30" borderId="0" xfId="0" applyNumberFormat="1" applyFont="1" applyFill="1" applyBorder="1" applyAlignment="1" applyProtection="1">
      <protection locked="0"/>
    </xf>
    <xf numFmtId="15" fontId="38" fillId="30" borderId="0" xfId="0" applyNumberFormat="1" applyFont="1" applyFill="1" applyBorder="1" applyProtection="1">
      <protection locked="0"/>
    </xf>
    <xf numFmtId="15" fontId="7" fillId="30" borderId="1" xfId="0" applyNumberFormat="1" applyFont="1" applyFill="1" applyBorder="1" applyProtection="1">
      <protection locked="0"/>
    </xf>
    <xf numFmtId="15" fontId="38" fillId="30" borderId="1" xfId="0" applyNumberFormat="1" applyFont="1" applyFill="1" applyBorder="1" applyProtection="1">
      <protection locked="0"/>
    </xf>
    <xf numFmtId="0" fontId="3" fillId="14" borderId="0" xfId="0" applyFont="1" applyFill="1" applyBorder="1" applyAlignment="1" applyProtection="1">
      <alignment horizontal="left"/>
      <protection locked="0"/>
    </xf>
    <xf numFmtId="0" fontId="43" fillId="2" borderId="0" xfId="0" applyFont="1" applyFill="1" applyBorder="1" applyAlignment="1" applyProtection="1">
      <alignment horizontal="left"/>
      <protection locked="0"/>
    </xf>
    <xf numFmtId="0" fontId="43" fillId="14" borderId="0" xfId="0" applyFont="1" applyFill="1" applyBorder="1" applyAlignment="1" applyProtection="1">
      <alignment horizontal="left"/>
      <protection locked="0"/>
    </xf>
    <xf numFmtId="0" fontId="3" fillId="25" borderId="0" xfId="0" applyFont="1" applyFill="1" applyBorder="1" applyAlignment="1" applyProtection="1">
      <alignment horizontal="left"/>
      <protection locked="0"/>
    </xf>
    <xf numFmtId="0" fontId="3" fillId="14" borderId="0" xfId="0" applyNumberFormat="1" applyFont="1" applyFill="1" applyBorder="1" applyAlignment="1" applyProtection="1">
      <alignment horizontal="left"/>
      <protection locked="0"/>
    </xf>
    <xf numFmtId="0" fontId="43" fillId="14" borderId="0" xfId="0" applyNumberFormat="1" applyFont="1" applyFill="1" applyBorder="1" applyAlignment="1" applyProtection="1">
      <alignment horizontal="left"/>
      <protection locked="0"/>
    </xf>
    <xf numFmtId="0" fontId="43" fillId="14" borderId="0" xfId="0" applyFont="1" applyFill="1" applyBorder="1" applyAlignment="1" applyProtection="1">
      <alignment horizontal="center"/>
      <protection locked="0"/>
    </xf>
    <xf numFmtId="15" fontId="7" fillId="31" borderId="0" xfId="0" applyNumberFormat="1" applyFont="1" applyFill="1" applyBorder="1" applyProtection="1">
      <protection locked="0"/>
    </xf>
    <xf numFmtId="15" fontId="38" fillId="31" borderId="0" xfId="0" applyNumberFormat="1" applyFont="1" applyFill="1" applyBorder="1" applyProtection="1">
      <protection locked="0"/>
    </xf>
    <xf numFmtId="15" fontId="7" fillId="31" borderId="1" xfId="0" applyNumberFormat="1" applyFont="1" applyFill="1" applyBorder="1" applyProtection="1">
      <protection locked="0"/>
    </xf>
    <xf numFmtId="15" fontId="38" fillId="31" borderId="1" xfId="0" applyNumberFormat="1" applyFont="1" applyFill="1" applyBorder="1" applyProtection="1">
      <protection locked="0"/>
    </xf>
    <xf numFmtId="177" fontId="0" fillId="31" borderId="0" xfId="0" applyNumberFormat="1" applyFont="1" applyFill="1" applyBorder="1" applyAlignment="1" applyProtection="1">
      <protection locked="0"/>
    </xf>
    <xf numFmtId="168" fontId="7" fillId="14" borderId="24" xfId="0" applyNumberFormat="1" applyFont="1" applyFill="1" applyBorder="1"/>
    <xf numFmtId="0" fontId="0" fillId="14" borderId="1" xfId="0" applyFont="1" applyFill="1" applyBorder="1" applyAlignment="1" applyProtection="1">
      <alignment horizontal="left"/>
      <protection locked="0"/>
    </xf>
    <xf numFmtId="0" fontId="0" fillId="14" borderId="1" xfId="0" applyFont="1" applyFill="1" applyBorder="1" applyAlignment="1" applyProtection="1">
      <protection locked="0"/>
    </xf>
    <xf numFmtId="0" fontId="0" fillId="25" borderId="1" xfId="0" applyFont="1" applyFill="1" applyBorder="1" applyAlignment="1" applyProtection="1">
      <alignment horizontal="left"/>
      <protection locked="0"/>
    </xf>
    <xf numFmtId="0" fontId="0" fillId="14" borderId="1" xfId="1" applyNumberFormat="1" applyFont="1" applyFill="1" applyBorder="1" applyAlignment="1" applyProtection="1">
      <alignment horizontal="center"/>
      <protection locked="0"/>
    </xf>
    <xf numFmtId="165" fontId="7" fillId="14" borderId="1" xfId="1" applyNumberFormat="1" applyFont="1" applyFill="1" applyBorder="1" applyProtection="1">
      <protection locked="0"/>
    </xf>
    <xf numFmtId="0" fontId="0" fillId="2" borderId="1" xfId="0" applyFont="1" applyFill="1" applyBorder="1" applyAlignment="1" applyProtection="1">
      <alignment horizontal="center"/>
      <protection locked="0"/>
    </xf>
    <xf numFmtId="0" fontId="0" fillId="14" borderId="1" xfId="0" applyFont="1" applyFill="1" applyBorder="1" applyAlignment="1" applyProtection="1">
      <protection hidden="1"/>
    </xf>
    <xf numFmtId="0" fontId="7" fillId="14" borderId="1" xfId="0" applyFont="1" applyFill="1" applyBorder="1" applyProtection="1">
      <protection hidden="1"/>
    </xf>
    <xf numFmtId="166" fontId="0" fillId="14" borderId="1" xfId="1" applyNumberFormat="1" applyFont="1" applyFill="1" applyBorder="1" applyAlignment="1" applyProtection="1">
      <protection locked="0"/>
    </xf>
    <xf numFmtId="0" fontId="0" fillId="14" borderId="1" xfId="0" applyFill="1" applyBorder="1" applyAlignment="1" applyProtection="1">
      <protection locked="0"/>
    </xf>
    <xf numFmtId="166" fontId="0" fillId="14" borderId="1" xfId="0" applyNumberFormat="1" applyFill="1" applyBorder="1" applyAlignment="1" applyProtection="1">
      <protection locked="0"/>
    </xf>
    <xf numFmtId="9" fontId="0" fillId="14" borderId="1" xfId="2" applyFont="1" applyFill="1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7" fillId="0" borderId="1" xfId="0" applyFont="1" applyBorder="1" applyAlignment="1" applyProtection="1">
      <protection locked="0"/>
    </xf>
    <xf numFmtId="0" fontId="7" fillId="14" borderId="1" xfId="0" applyFont="1" applyFill="1" applyBorder="1" applyAlignment="1" applyProtection="1">
      <protection locked="0"/>
    </xf>
    <xf numFmtId="0" fontId="0" fillId="0" borderId="1" xfId="0" applyFill="1" applyBorder="1" applyAlignment="1" applyProtection="1">
      <protection locked="0"/>
    </xf>
    <xf numFmtId="164" fontId="0" fillId="0" borderId="1" xfId="7" applyFont="1" applyBorder="1" applyAlignment="1" applyProtection="1">
      <protection locked="0"/>
    </xf>
    <xf numFmtId="0" fontId="0" fillId="0" borderId="1" xfId="0" applyBorder="1"/>
    <xf numFmtId="0" fontId="0" fillId="0" borderId="1" xfId="0" applyBorder="1" applyAlignment="1"/>
    <xf numFmtId="167" fontId="0" fillId="0" borderId="1" xfId="2" applyNumberFormat="1" applyFont="1" applyBorder="1" applyAlignment="1"/>
    <xf numFmtId="9" fontId="0" fillId="2" borderId="1" xfId="2" applyNumberFormat="1" applyFont="1" applyFill="1" applyBorder="1" applyAlignment="1"/>
    <xf numFmtId="0" fontId="0" fillId="32" borderId="1" xfId="0" applyFill="1" applyBorder="1" applyAlignment="1" applyProtection="1">
      <protection locked="0"/>
    </xf>
    <xf numFmtId="0" fontId="0" fillId="32" borderId="0" xfId="0" applyFill="1" applyBorder="1" applyAlignment="1" applyProtection="1">
      <protection locked="0"/>
    </xf>
    <xf numFmtId="168" fontId="7" fillId="32" borderId="0" xfId="0" applyNumberFormat="1" applyFont="1" applyFill="1" applyBorder="1" applyProtection="1">
      <protection locked="0"/>
    </xf>
    <xf numFmtId="164" fontId="7" fillId="14" borderId="1" xfId="7" applyFont="1" applyFill="1" applyBorder="1" applyAlignment="1" applyProtection="1">
      <protection locked="0"/>
    </xf>
    <xf numFmtId="164" fontId="0" fillId="14" borderId="1" xfId="7" applyFont="1" applyFill="1" applyBorder="1" applyAlignment="1" applyProtection="1">
      <protection locked="0"/>
    </xf>
    <xf numFmtId="164" fontId="7" fillId="14" borderId="0" xfId="7" applyFont="1" applyFill="1" applyBorder="1" applyAlignment="1" applyProtection="1">
      <protection locked="0"/>
    </xf>
    <xf numFmtId="0" fontId="5" fillId="5" borderId="0" xfId="0" applyFont="1" applyFill="1" applyBorder="1" applyAlignment="1" applyProtection="1">
      <alignment horizontal="center" vertical="center" wrapText="1"/>
      <protection locked="0"/>
    </xf>
    <xf numFmtId="166" fontId="7" fillId="29" borderId="0" xfId="1" applyNumberFormat="1" applyFont="1" applyFill="1" applyBorder="1" applyProtection="1">
      <protection locked="0"/>
    </xf>
    <xf numFmtId="0" fontId="0" fillId="14" borderId="0" xfId="0" applyNumberFormat="1" applyFont="1" applyFill="1" applyBorder="1" applyAlignment="1" applyProtection="1">
      <alignment horizontal="left"/>
      <protection locked="0"/>
    </xf>
    <xf numFmtId="0" fontId="41" fillId="14" borderId="0" xfId="0" applyNumberFormat="1" applyFont="1" applyFill="1" applyBorder="1" applyAlignment="1" applyProtection="1">
      <alignment horizontal="left"/>
      <protection locked="0"/>
    </xf>
    <xf numFmtId="0" fontId="41" fillId="14" borderId="0" xfId="0" applyFont="1" applyFill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center" vertical="center"/>
      <protection hidden="1"/>
    </xf>
    <xf numFmtId="166" fontId="7" fillId="33" borderId="0" xfId="1" applyNumberFormat="1" applyFont="1" applyFill="1" applyBorder="1" applyProtection="1">
      <protection locked="0"/>
    </xf>
    <xf numFmtId="168" fontId="7" fillId="33" borderId="0" xfId="0" applyNumberFormat="1" applyFont="1" applyFill="1" applyBorder="1" applyProtection="1">
      <protection locked="0"/>
    </xf>
    <xf numFmtId="168" fontId="38" fillId="33" borderId="0" xfId="0" applyNumberFormat="1" applyFont="1" applyFill="1" applyBorder="1" applyProtection="1">
      <protection locked="0"/>
    </xf>
    <xf numFmtId="168" fontId="0" fillId="33" borderId="0" xfId="0" applyNumberFormat="1" applyFont="1" applyFill="1" applyBorder="1" applyProtection="1">
      <protection locked="0"/>
    </xf>
    <xf numFmtId="168" fontId="0" fillId="0" borderId="0" xfId="0" applyNumberFormat="1" applyFont="1" applyFill="1" applyBorder="1" applyProtection="1">
      <protection locked="0"/>
    </xf>
    <xf numFmtId="0" fontId="7" fillId="14" borderId="0" xfId="0" quotePrefix="1" applyNumberFormat="1" applyFont="1" applyFill="1" applyBorder="1" applyAlignment="1" applyProtection="1">
      <alignment horizontal="center"/>
      <protection locked="0"/>
    </xf>
    <xf numFmtId="0" fontId="7" fillId="14" borderId="1" xfId="0" quotePrefix="1" applyNumberFormat="1" applyFont="1" applyFill="1" applyBorder="1" applyAlignment="1" applyProtection="1">
      <alignment horizontal="center"/>
      <protection locked="0"/>
    </xf>
    <xf numFmtId="0" fontId="0" fillId="14" borderId="0" xfId="0" applyNumberFormat="1" applyFont="1" applyFill="1" applyBorder="1" applyAlignment="1" applyProtection="1">
      <protection locked="0"/>
    </xf>
    <xf numFmtId="168" fontId="7" fillId="29" borderId="0" xfId="0" applyNumberFormat="1" applyFont="1" applyFill="1" applyBorder="1" applyProtection="1">
      <protection locked="0"/>
    </xf>
    <xf numFmtId="168" fontId="0" fillId="29" borderId="0" xfId="0" applyNumberFormat="1" applyFont="1" applyFill="1" applyBorder="1" applyProtection="1">
      <protection locked="0"/>
    </xf>
    <xf numFmtId="168" fontId="38" fillId="29" borderId="0" xfId="0" applyNumberFormat="1" applyFont="1" applyFill="1" applyBorder="1" applyProtection="1">
      <protection locked="0"/>
    </xf>
    <xf numFmtId="168" fontId="26" fillId="29" borderId="0" xfId="0" applyNumberFormat="1" applyFont="1" applyFill="1" applyBorder="1" applyProtection="1">
      <protection locked="0"/>
    </xf>
    <xf numFmtId="166" fontId="38" fillId="29" borderId="0" xfId="1" applyNumberFormat="1" applyFont="1" applyFill="1" applyBorder="1" applyProtection="1">
      <protection locked="0"/>
    </xf>
    <xf numFmtId="0" fontId="3" fillId="0" borderId="8" xfId="0" applyFont="1" applyBorder="1" applyAlignment="1" applyProtection="1">
      <protection locked="0"/>
    </xf>
    <xf numFmtId="166" fontId="0" fillId="0" borderId="8" xfId="1" applyNumberFormat="1" applyFont="1" applyBorder="1" applyAlignment="1" applyProtection="1">
      <protection locked="0"/>
    </xf>
    <xf numFmtId="0" fontId="5" fillId="5" borderId="8" xfId="0" applyFont="1" applyFill="1" applyBorder="1" applyAlignment="1" applyProtection="1">
      <alignment horizontal="center" vertical="center" wrapText="1"/>
      <protection locked="0"/>
    </xf>
    <xf numFmtId="0" fontId="5" fillId="23" borderId="8" xfId="0" applyFont="1" applyFill="1" applyBorder="1" applyAlignment="1" applyProtection="1">
      <alignment horizontal="center" vertical="top" wrapText="1"/>
      <protection locked="0"/>
    </xf>
    <xf numFmtId="0" fontId="0" fillId="0" borderId="8" xfId="0" applyBorder="1" applyAlignment="1" applyProtection="1">
      <protection locked="0"/>
    </xf>
    <xf numFmtId="0" fontId="5" fillId="23" borderId="8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64" fontId="7" fillId="0" borderId="0" xfId="7" applyFont="1" applyFill="1" applyBorder="1" applyAlignment="1" applyProtection="1">
      <protection locked="0"/>
    </xf>
    <xf numFmtId="0" fontId="13" fillId="3" borderId="8" xfId="0" applyFont="1" applyFill="1" applyBorder="1" applyAlignment="1" applyProtection="1">
      <alignment horizontal="center" vertical="center"/>
      <protection locked="0"/>
    </xf>
    <xf numFmtId="164" fontId="3" fillId="2" borderId="0" xfId="7" applyFont="1" applyFill="1" applyBorder="1" applyAlignment="1" applyProtection="1">
      <alignment horizontal="center"/>
      <protection locked="0"/>
    </xf>
    <xf numFmtId="166" fontId="3" fillId="0" borderId="0" xfId="1" applyNumberFormat="1" applyFont="1" applyBorder="1" applyAlignment="1" applyProtection="1">
      <protection hidden="1"/>
    </xf>
    <xf numFmtId="166" fontId="0" fillId="3" borderId="0" xfId="1" applyNumberFormat="1" applyFont="1" applyFill="1" applyBorder="1" applyAlignment="1" applyProtection="1">
      <protection hidden="1"/>
    </xf>
    <xf numFmtId="166" fontId="5" fillId="6" borderId="0" xfId="1" applyNumberFormat="1" applyFont="1" applyFill="1" applyBorder="1" applyAlignment="1" applyProtection="1">
      <alignment horizontal="center"/>
      <protection hidden="1"/>
    </xf>
    <xf numFmtId="166" fontId="5" fillId="6" borderId="0" xfId="1" applyNumberFormat="1" applyFont="1" applyFill="1" applyBorder="1" applyAlignment="1" applyProtection="1">
      <alignment horizontal="center" vertical="top" wrapText="1"/>
      <protection hidden="1"/>
    </xf>
    <xf numFmtId="166" fontId="0" fillId="0" borderId="0" xfId="1" applyNumberFormat="1" applyFont="1" applyFill="1" applyBorder="1" applyAlignment="1" applyProtection="1">
      <protection locked="0"/>
    </xf>
    <xf numFmtId="166" fontId="6" fillId="0" borderId="0" xfId="1" applyNumberFormat="1" applyFont="1" applyFill="1" applyBorder="1" applyAlignment="1" applyProtection="1">
      <protection locked="0"/>
    </xf>
    <xf numFmtId="166" fontId="16" fillId="3" borderId="0" xfId="1" applyNumberFormat="1" applyFont="1" applyFill="1" applyBorder="1" applyAlignment="1" applyProtection="1">
      <protection locked="0"/>
    </xf>
    <xf numFmtId="166" fontId="19" fillId="2" borderId="0" xfId="1" quotePrefix="1" applyNumberFormat="1" applyFont="1" applyFill="1" applyBorder="1" applyAlignment="1" applyProtection="1">
      <alignment horizontal="left" vertical="top" wrapText="1"/>
      <protection locked="0"/>
    </xf>
    <xf numFmtId="166" fontId="8" fillId="2" borderId="0" xfId="1" applyNumberFormat="1" applyFont="1" applyFill="1" applyBorder="1" applyAlignment="1" applyProtection="1">
      <alignment horizontal="center" vertical="top" wrapText="1"/>
      <protection locked="0"/>
    </xf>
    <xf numFmtId="166" fontId="19" fillId="2" borderId="0" xfId="1" applyNumberFormat="1" applyFont="1" applyFill="1" applyBorder="1" applyAlignment="1" applyProtection="1">
      <alignment horizontal="center" vertical="top" wrapText="1"/>
      <protection locked="0"/>
    </xf>
    <xf numFmtId="166" fontId="6" fillId="2" borderId="0" xfId="1" applyNumberFormat="1" applyFont="1" applyFill="1" applyBorder="1" applyAlignment="1" applyProtection="1">
      <alignment horizontal="center" vertical="top" wrapText="1"/>
      <protection locked="0"/>
    </xf>
    <xf numFmtId="166" fontId="3" fillId="2" borderId="0" xfId="1" applyNumberFormat="1" applyFont="1" applyFill="1" applyBorder="1" applyAlignment="1" applyProtection="1">
      <alignment horizontal="center" vertical="top" wrapText="1"/>
      <protection locked="0"/>
    </xf>
    <xf numFmtId="166" fontId="0" fillId="0" borderId="0" xfId="1" applyNumberFormat="1" applyFont="1"/>
    <xf numFmtId="49" fontId="4" fillId="2" borderId="0" xfId="0" applyNumberFormat="1" applyFont="1" applyFill="1"/>
    <xf numFmtId="49" fontId="7" fillId="14" borderId="0" xfId="0" applyNumberFormat="1" applyFont="1" applyFill="1" applyBorder="1" applyProtection="1">
      <protection locked="0"/>
    </xf>
    <xf numFmtId="166" fontId="2" fillId="18" borderId="10" xfId="1" applyNumberFormat="1" applyFont="1" applyFill="1" applyBorder="1" applyAlignment="1">
      <alignment horizontal="center" vertical="top" wrapText="1"/>
    </xf>
    <xf numFmtId="166" fontId="2" fillId="18" borderId="11" xfId="1" applyNumberFormat="1" applyFont="1" applyFill="1" applyBorder="1" applyAlignment="1">
      <alignment horizontal="center" vertical="top" wrapText="1"/>
    </xf>
    <xf numFmtId="166" fontId="2" fillId="18" borderId="12" xfId="1" applyNumberFormat="1" applyFont="1" applyFill="1" applyBorder="1" applyAlignment="1">
      <alignment horizontal="center" vertical="top" wrapText="1"/>
    </xf>
    <xf numFmtId="166" fontId="0" fillId="0" borderId="0" xfId="1" applyNumberFormat="1" applyFont="1" applyAlignment="1"/>
    <xf numFmtId="166" fontId="0" fillId="2" borderId="0" xfId="1" applyNumberFormat="1" applyFont="1" applyFill="1" applyAlignment="1"/>
    <xf numFmtId="166" fontId="0" fillId="0" borderId="0" xfId="1" applyNumberFormat="1" applyFont="1" applyFill="1" applyAlignment="1"/>
    <xf numFmtId="166" fontId="2" fillId="16" borderId="2" xfId="1" applyNumberFormat="1" applyFont="1" applyFill="1" applyBorder="1" applyAlignment="1">
      <alignment horizontal="center" vertical="top" wrapText="1"/>
    </xf>
    <xf numFmtId="166" fontId="2" fillId="16" borderId="9" xfId="1" applyNumberFormat="1" applyFont="1" applyFill="1" applyBorder="1" applyAlignment="1">
      <alignment horizontal="center" vertical="top" wrapText="1"/>
    </xf>
    <xf numFmtId="167" fontId="0" fillId="0" borderId="0" xfId="2" applyNumberFormat="1" applyFont="1"/>
    <xf numFmtId="166" fontId="0" fillId="0" borderId="0" xfId="0" applyNumberFormat="1"/>
    <xf numFmtId="43" fontId="0" fillId="0" borderId="0" xfId="1" applyNumberFormat="1" applyFont="1"/>
    <xf numFmtId="15" fontId="7" fillId="0" borderId="0" xfId="0" applyNumberFormat="1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hidden="1"/>
    </xf>
    <xf numFmtId="164" fontId="7" fillId="0" borderId="0" xfId="7" applyFont="1" applyFill="1" applyBorder="1" applyAlignment="1" applyProtection="1">
      <protection hidden="1"/>
    </xf>
    <xf numFmtId="9" fontId="7" fillId="0" borderId="0" xfId="0" applyNumberFormat="1" applyFont="1" applyFill="1" applyBorder="1" applyAlignment="1" applyProtection="1">
      <alignment horizontal="right"/>
      <protection locked="0"/>
    </xf>
    <xf numFmtId="9" fontId="7" fillId="0" borderId="0" xfId="0" applyNumberFormat="1" applyFont="1" applyFill="1" applyBorder="1" applyProtection="1">
      <protection locked="0"/>
    </xf>
    <xf numFmtId="9" fontId="7" fillId="0" borderId="0" xfId="2" applyFont="1" applyFill="1" applyBorder="1" applyProtection="1">
      <protection locked="0"/>
    </xf>
    <xf numFmtId="166" fontId="7" fillId="0" borderId="0" xfId="1" applyNumberFormat="1" applyFont="1" applyFill="1" applyBorder="1" applyAlignment="1" applyProtection="1">
      <protection hidden="1"/>
    </xf>
    <xf numFmtId="0" fontId="7" fillId="0" borderId="0" xfId="0" applyFont="1" applyFill="1" applyBorder="1" applyAlignment="1" applyProtection="1">
      <protection locked="0"/>
    </xf>
    <xf numFmtId="0" fontId="7" fillId="0" borderId="0" xfId="0" applyFont="1" applyFill="1" applyBorder="1" applyAlignment="1" applyProtection="1">
      <protection hidden="1"/>
    </xf>
    <xf numFmtId="166" fontId="7" fillId="0" borderId="0" xfId="1" applyNumberFormat="1" applyFont="1" applyFill="1" applyBorder="1" applyAlignment="1" applyProtection="1">
      <protection locked="0"/>
    </xf>
    <xf numFmtId="165" fontId="7" fillId="0" borderId="0" xfId="1" applyNumberFormat="1" applyFont="1" applyFill="1" applyBorder="1" applyAlignment="1" applyProtection="1">
      <alignment horizontal="center"/>
      <protection locked="0"/>
    </xf>
    <xf numFmtId="9" fontId="7" fillId="0" borderId="0" xfId="2" applyFont="1" applyFill="1" applyBorder="1" applyAlignment="1" applyProtection="1">
      <protection locked="0"/>
    </xf>
    <xf numFmtId="0" fontId="7" fillId="0" borderId="0" xfId="0" applyFont="1" applyFill="1" applyBorder="1" applyAlignment="1" applyProtection="1">
      <alignment horizontal="right"/>
      <protection locked="0"/>
    </xf>
    <xf numFmtId="37" fontId="7" fillId="0" borderId="0" xfId="1" applyNumberFormat="1" applyFont="1" applyFill="1" applyBorder="1" applyAlignment="1" applyProtection="1">
      <protection locked="0"/>
    </xf>
    <xf numFmtId="0" fontId="7" fillId="29" borderId="0" xfId="0" applyNumberFormat="1" applyFont="1" applyFill="1" applyBorder="1" applyAlignment="1" applyProtection="1">
      <alignment horizontal="center"/>
      <protection locked="0"/>
    </xf>
    <xf numFmtId="166" fontId="7" fillId="29" borderId="0" xfId="1" applyNumberFormat="1" applyFont="1" applyFill="1" applyBorder="1" applyProtection="1">
      <protection hidden="1"/>
    </xf>
    <xf numFmtId="168" fontId="7" fillId="29" borderId="0" xfId="1" applyNumberFormat="1" applyFont="1" applyFill="1" applyBorder="1" applyProtection="1">
      <protection locked="0"/>
    </xf>
    <xf numFmtId="169" fontId="7" fillId="29" borderId="0" xfId="0" applyNumberFormat="1" applyFont="1" applyFill="1" applyBorder="1" applyProtection="1">
      <protection locked="0"/>
    </xf>
    <xf numFmtId="170" fontId="7" fillId="29" borderId="0" xfId="0" applyNumberFormat="1" applyFont="1" applyFill="1" applyBorder="1" applyProtection="1">
      <protection locked="0"/>
    </xf>
    <xf numFmtId="9" fontId="7" fillId="29" borderId="0" xfId="1" applyNumberFormat="1" applyFont="1" applyFill="1" applyBorder="1" applyAlignment="1" applyProtection="1">
      <alignment horizontal="right"/>
      <protection locked="0"/>
    </xf>
    <xf numFmtId="0" fontId="0" fillId="15" borderId="0" xfId="0" applyFill="1" applyBorder="1" applyAlignment="1" applyProtection="1">
      <protection locked="0"/>
    </xf>
    <xf numFmtId="0" fontId="0" fillId="34" borderId="0" xfId="0" applyFill="1" applyBorder="1" applyAlignment="1" applyProtection="1">
      <alignment horizontal="right"/>
      <protection locked="0"/>
    </xf>
    <xf numFmtId="0" fontId="0" fillId="34" borderId="0" xfId="0" applyFill="1" applyBorder="1" applyAlignment="1" applyProtection="1">
      <protection locked="0"/>
    </xf>
    <xf numFmtId="166" fontId="0" fillId="34" borderId="0" xfId="1" applyNumberFormat="1" applyFont="1" applyFill="1" applyBorder="1" applyAlignment="1" applyProtection="1">
      <protection locked="0"/>
    </xf>
    <xf numFmtId="164" fontId="0" fillId="34" borderId="0" xfId="7" applyFont="1" applyFill="1" applyBorder="1" applyAlignment="1" applyProtection="1">
      <protection locked="0"/>
    </xf>
    <xf numFmtId="0" fontId="15" fillId="34" borderId="0" xfId="0" applyFont="1" applyFill="1" applyBorder="1" applyAlignment="1" applyProtection="1">
      <protection locked="0"/>
    </xf>
    <xf numFmtId="9" fontId="0" fillId="34" borderId="0" xfId="2" applyFont="1" applyFill="1" applyBorder="1" applyAlignment="1" applyProtection="1">
      <protection locked="0"/>
    </xf>
    <xf numFmtId="37" fontId="0" fillId="34" borderId="0" xfId="1" applyNumberFormat="1" applyFont="1" applyFill="1" applyBorder="1" applyAlignment="1" applyProtection="1">
      <protection locked="0"/>
    </xf>
    <xf numFmtId="43" fontId="0" fillId="34" borderId="0" xfId="0" applyNumberFormat="1" applyFill="1" applyBorder="1" applyAlignment="1" applyProtection="1">
      <protection locked="0"/>
    </xf>
    <xf numFmtId="0" fontId="13" fillId="35" borderId="8" xfId="0" applyFont="1" applyFill="1" applyBorder="1" applyAlignment="1" applyProtection="1">
      <protection locked="0"/>
    </xf>
    <xf numFmtId="0" fontId="0" fillId="35" borderId="0" xfId="0" applyFill="1" applyBorder="1" applyAlignment="1" applyProtection="1">
      <protection locked="0"/>
    </xf>
    <xf numFmtId="166" fontId="5" fillId="34" borderId="0" xfId="1" applyNumberFormat="1" applyFont="1" applyFill="1" applyBorder="1" applyAlignment="1" applyProtection="1">
      <alignment horizontal="center" vertical="top" wrapText="1"/>
      <protection locked="0"/>
    </xf>
    <xf numFmtId="166" fontId="5" fillId="36" borderId="0" xfId="1" applyNumberFormat="1" applyFont="1" applyFill="1" applyBorder="1" applyAlignment="1" applyProtection="1">
      <alignment horizontal="center" vertical="top" wrapText="1"/>
      <protection locked="0"/>
    </xf>
    <xf numFmtId="0" fontId="5" fillId="37" borderId="0" xfId="0" applyFont="1" applyFill="1" applyBorder="1" applyAlignment="1" applyProtection="1">
      <alignment horizontal="center" vertical="top" wrapText="1"/>
      <protection locked="0"/>
    </xf>
    <xf numFmtId="166" fontId="5" fillId="36" borderId="0" xfId="1" applyNumberFormat="1" applyFont="1" applyFill="1" applyBorder="1" applyAlignment="1" applyProtection="1">
      <alignment horizontal="center" vertical="center" wrapText="1"/>
      <protection locked="0"/>
    </xf>
    <xf numFmtId="0" fontId="13" fillId="15" borderId="8" xfId="0" applyFont="1" applyFill="1" applyBorder="1" applyAlignment="1" applyProtection="1">
      <protection locked="0"/>
    </xf>
    <xf numFmtId="168" fontId="7" fillId="0" borderId="8" xfId="0" applyNumberFormat="1" applyFont="1" applyFill="1" applyBorder="1" applyProtection="1">
      <protection locked="0"/>
    </xf>
    <xf numFmtId="0" fontId="7" fillId="0" borderId="8" xfId="0" applyFont="1" applyFill="1" applyBorder="1" applyAlignment="1" applyProtection="1">
      <protection locked="0"/>
    </xf>
    <xf numFmtId="0" fontId="0" fillId="0" borderId="8" xfId="0" applyBorder="1" applyAlignment="1" applyProtection="1">
      <protection hidden="1"/>
    </xf>
    <xf numFmtId="0" fontId="3" fillId="0" borderId="8" xfId="0" applyFont="1" applyBorder="1" applyAlignment="1" applyProtection="1">
      <protection hidden="1"/>
    </xf>
    <xf numFmtId="0" fontId="13" fillId="34" borderId="8" xfId="0" applyFont="1" applyFill="1" applyBorder="1" applyAlignment="1" applyProtection="1">
      <alignment horizontal="center" vertical="center"/>
      <protection hidden="1"/>
    </xf>
    <xf numFmtId="0" fontId="5" fillId="5" borderId="8" xfId="0" applyFont="1" applyFill="1" applyBorder="1" applyAlignment="1" applyProtection="1">
      <alignment horizontal="center" vertical="center" wrapText="1"/>
      <protection hidden="1"/>
    </xf>
    <xf numFmtId="0" fontId="5" fillId="23" borderId="8" xfId="0" applyFont="1" applyFill="1" applyBorder="1" applyAlignment="1" applyProtection="1">
      <alignment horizontal="center" vertical="top" wrapText="1"/>
      <protection hidden="1"/>
    </xf>
    <xf numFmtId="168" fontId="7" fillId="0" borderId="8" xfId="0" applyNumberFormat="1" applyFont="1" applyFill="1" applyBorder="1" applyProtection="1">
      <protection hidden="1"/>
    </xf>
    <xf numFmtId="0" fontId="7" fillId="0" borderId="8" xfId="0" applyFont="1" applyFill="1" applyBorder="1" applyAlignment="1" applyProtection="1">
      <protection hidden="1"/>
    </xf>
    <xf numFmtId="0" fontId="7" fillId="0" borderId="0" xfId="0" applyFont="1" applyAlignment="1" applyProtection="1">
      <alignment horizontal="left" vertical="center" wrapText="1"/>
      <protection locked="0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166" fontId="23" fillId="29" borderId="0" xfId="1" applyNumberFormat="1" applyFont="1" applyFill="1" applyBorder="1" applyAlignment="1" applyProtection="1">
      <protection locked="0"/>
    </xf>
    <xf numFmtId="166" fontId="23" fillId="29" borderId="0" xfId="1" applyNumberFormat="1" applyFont="1" applyFill="1" applyBorder="1" applyProtection="1">
      <protection locked="0"/>
    </xf>
    <xf numFmtId="168" fontId="7" fillId="29" borderId="0" xfId="0" applyNumberFormat="1" applyFont="1" applyFill="1" applyBorder="1"/>
    <xf numFmtId="10" fontId="7" fillId="29" borderId="0" xfId="2" applyNumberFormat="1" applyFont="1" applyFill="1" applyBorder="1"/>
    <xf numFmtId="166" fontId="7" fillId="29" borderId="0" xfId="1" applyNumberFormat="1" applyFont="1" applyFill="1" applyBorder="1"/>
    <xf numFmtId="9" fontId="7" fillId="29" borderId="0" xfId="2" applyNumberFormat="1" applyFont="1" applyFill="1" applyBorder="1"/>
    <xf numFmtId="9" fontId="7" fillId="29" borderId="0" xfId="0" applyNumberFormat="1" applyFont="1" applyFill="1" applyBorder="1" applyProtection="1">
      <protection locked="0"/>
    </xf>
    <xf numFmtId="164" fontId="46" fillId="38" borderId="0" xfId="7" applyFont="1" applyFill="1" applyBorder="1" applyAlignment="1" applyProtection="1">
      <alignment horizontal="center" vertical="top" wrapText="1"/>
      <protection locked="0"/>
    </xf>
    <xf numFmtId="164" fontId="0" fillId="25" borderId="0" xfId="7" applyFont="1" applyFill="1" applyBorder="1" applyAlignment="1" applyProtection="1">
      <protection locked="0"/>
    </xf>
    <xf numFmtId="164" fontId="5" fillId="15" borderId="0" xfId="7" applyFont="1" applyFill="1" applyAlignment="1" applyProtection="1">
      <alignment horizontal="center" vertical="center" wrapText="1"/>
      <protection locked="0"/>
    </xf>
    <xf numFmtId="0" fontId="5" fillId="15" borderId="0" xfId="0" applyFont="1" applyFill="1" applyBorder="1" applyAlignment="1" applyProtection="1">
      <alignment horizontal="center" vertical="center" wrapText="1"/>
      <protection locked="0"/>
    </xf>
    <xf numFmtId="164" fontId="0" fillId="35" borderId="0" xfId="7" applyFont="1" applyFill="1" applyBorder="1" applyAlignment="1" applyProtection="1">
      <protection locked="0"/>
    </xf>
    <xf numFmtId="0" fontId="5" fillId="39" borderId="0" xfId="0" applyFont="1" applyFill="1" applyAlignment="1" applyProtection="1">
      <alignment horizontal="center" vertical="center" wrapText="1"/>
      <protection locked="0"/>
    </xf>
    <xf numFmtId="0" fontId="5" fillId="39" borderId="0" xfId="0" applyFont="1" applyFill="1" applyBorder="1" applyAlignment="1" applyProtection="1">
      <alignment horizontal="center" vertical="center" wrapText="1"/>
      <protection locked="0"/>
    </xf>
    <xf numFmtId="165" fontId="5" fillId="29" borderId="0" xfId="1" applyNumberFormat="1" applyFont="1" applyFill="1" applyBorder="1" applyAlignment="1" applyProtection="1">
      <alignment horizontal="center" vertical="center"/>
      <protection locked="0"/>
    </xf>
    <xf numFmtId="165" fontId="5" fillId="29" borderId="0" xfId="1" applyNumberFormat="1" applyFont="1" applyFill="1" applyBorder="1" applyAlignment="1" applyProtection="1">
      <alignment vertical="center"/>
      <protection locked="0"/>
    </xf>
    <xf numFmtId="0" fontId="5" fillId="40" borderId="0" xfId="0" applyFont="1" applyFill="1" applyAlignment="1" applyProtection="1">
      <alignment horizontal="center" vertical="center" wrapText="1"/>
      <protection locked="0"/>
    </xf>
    <xf numFmtId="164" fontId="5" fillId="40" borderId="25" xfId="7" applyFont="1" applyFill="1" applyBorder="1" applyAlignment="1" applyProtection="1">
      <alignment horizontal="center" vertical="center" wrapText="1"/>
      <protection locked="0"/>
    </xf>
    <xf numFmtId="166" fontId="3" fillId="2" borderId="0" xfId="1" applyNumberFormat="1" applyFont="1" applyFill="1" applyBorder="1" applyAlignment="1" applyProtection="1">
      <alignment horizontal="center"/>
      <protection locked="0"/>
    </xf>
    <xf numFmtId="166" fontId="5" fillId="40" borderId="0" xfId="1" applyNumberFormat="1" applyFont="1" applyFill="1" applyAlignment="1" applyProtection="1">
      <alignment horizontal="center" vertical="center" wrapText="1"/>
      <protection locked="0"/>
    </xf>
    <xf numFmtId="0" fontId="34" fillId="0" borderId="0" xfId="5" applyNumberFormat="1"/>
    <xf numFmtId="166" fontId="0" fillId="0" borderId="0" xfId="0" applyNumberFormat="1" applyBorder="1" applyAlignment="1" applyProtection="1">
      <protection locked="0"/>
    </xf>
    <xf numFmtId="43" fontId="0" fillId="0" borderId="0" xfId="0" applyNumberFormat="1" applyBorder="1" applyAlignment="1" applyProtection="1">
      <protection locked="0"/>
    </xf>
    <xf numFmtId="9" fontId="7" fillId="29" borderId="0" xfId="2" applyFont="1" applyFill="1" applyBorder="1" applyProtection="1">
      <protection locked="0"/>
    </xf>
    <xf numFmtId="166" fontId="35" fillId="0" borderId="0" xfId="1" applyNumberFormat="1" applyFont="1" applyAlignment="1">
      <alignment vertical="top" wrapText="1"/>
    </xf>
    <xf numFmtId="166" fontId="34" fillId="0" borderId="0" xfId="1" applyNumberFormat="1" applyFont="1" applyFill="1" applyAlignment="1"/>
    <xf numFmtId="166" fontId="34" fillId="0" borderId="0" xfId="1" applyNumberFormat="1" applyFont="1"/>
    <xf numFmtId="168" fontId="0" fillId="0" borderId="1" xfId="0" applyNumberFormat="1" applyFont="1" applyBorder="1"/>
    <xf numFmtId="168" fontId="0" fillId="0" borderId="0" xfId="0" applyNumberFormat="1" applyFont="1" applyBorder="1"/>
    <xf numFmtId="0" fontId="0" fillId="11" borderId="0" xfId="0" applyFill="1" applyBorder="1" applyAlignment="1" applyProtection="1">
      <protection locked="0"/>
    </xf>
    <xf numFmtId="166" fontId="0" fillId="11" borderId="0" xfId="1" applyNumberFormat="1" applyFont="1" applyFill="1" applyBorder="1" applyAlignment="1" applyProtection="1">
      <protection locked="0"/>
    </xf>
    <xf numFmtId="0" fontId="0" fillId="0" borderId="0" xfId="0" applyFill="1" applyAlignment="1">
      <alignment vertical="center"/>
    </xf>
    <xf numFmtId="0" fontId="7" fillId="0" borderId="0" xfId="0" applyFont="1" applyFill="1" applyAlignment="1" applyProtection="1">
      <alignment horizontal="left" vertical="center" wrapText="1"/>
      <protection locked="0"/>
    </xf>
    <xf numFmtId="14" fontId="7" fillId="0" borderId="0" xfId="0" applyNumberFormat="1" applyFont="1" applyFill="1" applyAlignment="1" applyProtection="1">
      <alignment horizontal="center" vertical="center" wrapText="1"/>
      <protection locked="0"/>
    </xf>
    <xf numFmtId="9" fontId="0" fillId="0" borderId="0" xfId="2" applyFont="1" applyFill="1"/>
    <xf numFmtId="178" fontId="0" fillId="0" borderId="0" xfId="0" applyNumberFormat="1" applyFill="1"/>
    <xf numFmtId="0" fontId="5" fillId="6" borderId="0" xfId="0" applyFont="1" applyFill="1" applyBorder="1" applyAlignment="1" applyProtection="1">
      <alignment vertical="center" wrapText="1"/>
      <protection hidden="1"/>
    </xf>
    <xf numFmtId="164" fontId="0" fillId="0" borderId="0" xfId="7" applyFont="1" applyAlignment="1"/>
    <xf numFmtId="0" fontId="3" fillId="2" borderId="0" xfId="0" applyFont="1" applyFill="1"/>
    <xf numFmtId="0" fontId="47" fillId="0" borderId="0" xfId="5" applyFont="1" applyAlignment="1">
      <alignment vertical="top" wrapText="1"/>
    </xf>
    <xf numFmtId="0" fontId="48" fillId="0" borderId="0" xfId="5" applyFont="1" applyAlignment="1">
      <alignment vertical="top"/>
    </xf>
    <xf numFmtId="0" fontId="22" fillId="12" borderId="0" xfId="0" applyFont="1" applyFill="1" applyBorder="1" applyAlignment="1">
      <alignment horizontal="center" vertical="center" wrapText="1"/>
    </xf>
    <xf numFmtId="0" fontId="5" fillId="5" borderId="0" xfId="0" applyFont="1" applyFill="1" applyBorder="1" applyAlignment="1" applyProtection="1">
      <alignment horizontal="center" vertical="center" wrapText="1"/>
      <protection locked="0"/>
    </xf>
    <xf numFmtId="0" fontId="7" fillId="5" borderId="0" xfId="0" applyFont="1" applyFill="1" applyBorder="1" applyAlignment="1" applyProtection="1">
      <alignment horizontal="center" vertical="center" wrapText="1"/>
      <protection locked="0"/>
    </xf>
    <xf numFmtId="9" fontId="5" fillId="5" borderId="0" xfId="2" applyFont="1" applyFill="1" applyBorder="1" applyAlignment="1" applyProtection="1">
      <alignment horizontal="center" vertical="center" wrapText="1"/>
      <protection locked="0"/>
    </xf>
    <xf numFmtId="37" fontId="5" fillId="5" borderId="0" xfId="1" applyNumberFormat="1" applyFont="1" applyFill="1" applyBorder="1" applyAlignment="1" applyProtection="1">
      <alignment horizontal="center" vertical="center" wrapText="1"/>
      <protection locked="0"/>
    </xf>
    <xf numFmtId="166" fontId="5" fillId="5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19" fillId="2" borderId="0" xfId="0" quotePrefix="1" applyFont="1" applyFill="1" applyBorder="1" applyAlignment="1" applyProtection="1">
      <alignment horizontal="center" vertical="top" wrapText="1"/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164" fontId="5" fillId="5" borderId="0" xfId="7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/>
      <protection hidden="1"/>
    </xf>
    <xf numFmtId="166" fontId="19" fillId="2" borderId="0" xfId="1" quotePrefix="1" applyNumberFormat="1" applyFont="1" applyFill="1" applyBorder="1" applyAlignment="1" applyProtection="1">
      <alignment horizontal="center" vertical="top" wrapText="1"/>
      <protection locked="0"/>
    </xf>
    <xf numFmtId="166" fontId="2" fillId="18" borderId="5" xfId="1" applyNumberFormat="1" applyFont="1" applyFill="1" applyBorder="1" applyAlignment="1">
      <alignment horizontal="center" vertical="top"/>
    </xf>
    <xf numFmtId="166" fontId="2" fillId="18" borderId="6" xfId="1" applyNumberFormat="1" applyFont="1" applyFill="1" applyBorder="1" applyAlignment="1">
      <alignment horizontal="center" vertical="top"/>
    </xf>
    <xf numFmtId="166" fontId="2" fillId="18" borderId="7" xfId="1" applyNumberFormat="1" applyFont="1" applyFill="1" applyBorder="1" applyAlignment="1">
      <alignment horizontal="center" vertical="top"/>
    </xf>
    <xf numFmtId="0" fontId="2" fillId="17" borderId="3" xfId="0" applyFont="1" applyFill="1" applyBorder="1" applyAlignment="1">
      <alignment horizontal="center"/>
    </xf>
    <xf numFmtId="0" fontId="2" fillId="17" borderId="4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 vertical="top" wrapText="1"/>
    </xf>
    <xf numFmtId="0" fontId="2" fillId="16" borderId="4" xfId="0" applyFont="1" applyFill="1" applyBorder="1" applyAlignment="1">
      <alignment horizontal="center" vertical="top" wrapText="1"/>
    </xf>
    <xf numFmtId="0" fontId="21" fillId="20" borderId="0" xfId="0" applyFont="1" applyFill="1" applyAlignment="1">
      <alignment horizontal="center" vertical="center"/>
    </xf>
  </cellXfs>
  <cellStyles count="9">
    <cellStyle name="Comma" xfId="1" builtinId="3"/>
    <cellStyle name="Comma [0]" xfId="7" builtinId="6"/>
    <cellStyle name="Comma 10 2" xfId="6" xr:uid="{00000000-0005-0000-0000-000002000000}"/>
    <cellStyle name="Comma 2 46" xfId="3" xr:uid="{00000000-0005-0000-0000-000003000000}"/>
    <cellStyle name="Hyperlink" xfId="4" builtinId="8"/>
    <cellStyle name="Normal" xfId="0" builtinId="0"/>
    <cellStyle name="Normal 18" xfId="5" xr:uid="{00000000-0005-0000-0000-000006000000}"/>
    <cellStyle name="Percent" xfId="2" builtinId="5"/>
    <cellStyle name="표준 2" xfId="8" xr:uid="{0F69DB23-D563-4EFA-A56A-2F1AB1C07344}"/>
  </cellStyles>
  <dxfs count="333"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CC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2</xdr:row>
      <xdr:rowOff>0</xdr:rowOff>
    </xdr:from>
    <xdr:to>
      <xdr:col>17</xdr:col>
      <xdr:colOff>421341</xdr:colOff>
      <xdr:row>4</xdr:row>
      <xdr:rowOff>8964</xdr:rowOff>
    </xdr:to>
    <xdr:sp macro="[0]!HideRo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041380" y="518160"/>
          <a:ext cx="1777701" cy="39758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1"/>
              </a:solidFill>
            </a:rPr>
            <a:t>Show Relevant Rows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251013</xdr:colOff>
      <xdr:row>5</xdr:row>
      <xdr:rowOff>0</xdr:rowOff>
    </xdr:from>
    <xdr:to>
      <xdr:col>17</xdr:col>
      <xdr:colOff>313766</xdr:colOff>
      <xdr:row>7</xdr:row>
      <xdr:rowOff>0</xdr:rowOff>
    </xdr:to>
    <xdr:sp macro="[0]!Unhid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139993" y="1516380"/>
          <a:ext cx="1571513" cy="37338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Unhide</a:t>
          </a:r>
          <a:r>
            <a:rPr lang="en-US" sz="1400" b="1" baseline="0">
              <a:solidFill>
                <a:schemeClr val="bg1"/>
              </a:solidFill>
            </a:rPr>
            <a:t> All Rows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869576</xdr:colOff>
      <xdr:row>2</xdr:row>
      <xdr:rowOff>26894</xdr:rowOff>
    </xdr:from>
    <xdr:to>
      <xdr:col>15</xdr:col>
      <xdr:colOff>2662518</xdr:colOff>
      <xdr:row>4</xdr:row>
      <xdr:rowOff>35858</xdr:rowOff>
    </xdr:to>
    <xdr:sp macro="[0]!HideRo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079505" y="537882"/>
          <a:ext cx="1792942" cy="39444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1"/>
              </a:solidFill>
            </a:rPr>
            <a:t>Show Relevant Rows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914402</xdr:colOff>
      <xdr:row>4</xdr:row>
      <xdr:rowOff>331694</xdr:rowOff>
    </xdr:from>
    <xdr:to>
      <xdr:col>15</xdr:col>
      <xdr:colOff>2662518</xdr:colOff>
      <xdr:row>5</xdr:row>
      <xdr:rowOff>80682</xdr:rowOff>
    </xdr:to>
    <xdr:sp macro="[0]!Unhid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3124331" y="1228165"/>
          <a:ext cx="1748116" cy="35858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Unhide</a:t>
          </a:r>
          <a:r>
            <a:rPr lang="en-US" sz="1400" b="1" baseline="0">
              <a:solidFill>
                <a:schemeClr val="bg1"/>
              </a:solidFill>
            </a:rPr>
            <a:t> All Rows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0</xdr:row>
      <xdr:rowOff>60960</xdr:rowOff>
    </xdr:from>
    <xdr:to>
      <xdr:col>6</xdr:col>
      <xdr:colOff>480060</xdr:colOff>
      <xdr:row>1</xdr:row>
      <xdr:rowOff>137160</xdr:rowOff>
    </xdr:to>
    <xdr:sp macro="[0]!NewScorecard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292340" y="60960"/>
          <a:ext cx="1546860" cy="304800"/>
        </a:xfrm>
        <a:prstGeom prst="rect">
          <a:avLst/>
        </a:prstGeom>
        <a:solidFill>
          <a:srgbClr val="C00000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Generate Scorecard</a:t>
          </a:r>
          <a:endParaRPr lang="en-US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rmofisher-my.sharepoint.com/Users/jieling.tan/OneDrive%20-%20Thermo%20Fisher%20Scientific/JIELING/5.%20Sales%20Compensation/2019/Commission%20Calculation/2019%20IPAC%20commission%20accrual%20template%20v4(Consol)_Q1_0504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rmofisher-my.sharepoint.com/Users/sumi.paek/Desktop/Sales%20Operation/SIP/2019Q4/GSD/IT%20IS%20Baseline_LSG_Q4%20for%20gs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ationFile"/>
      <sheetName val="Jan HC Data"/>
      <sheetName val="Feb HC Data"/>
      <sheetName val="Mar HC Data"/>
      <sheetName val="Apr HC Data"/>
      <sheetName val="PayCurve"/>
      <sheetName val="Database"/>
      <sheetName val="Summary Tab"/>
      <sheetName val="Scorecard"/>
      <sheetName val="SC_Template"/>
      <sheetName val="SC_Generate"/>
      <sheetName val="May HC Data"/>
      <sheetName val="Jun HC Data"/>
      <sheetName val="Jul HC Data"/>
      <sheetName val="Aug HC Data"/>
      <sheetName val="Sep HC Data"/>
      <sheetName val="Oct HC Data"/>
      <sheetName val="Nov HC Data"/>
      <sheetName val="Dec HC Data"/>
      <sheetName val="PMAR Rates"/>
      <sheetName val="Instruction"/>
      <sheetName val="Summary"/>
      <sheetName val="PayoutInfo"/>
      <sheetName val="PIVOT (Accrual)"/>
      <sheetName val="PIVOT (Accrual name)"/>
      <sheetName val="TI"/>
      <sheetName val="Svc Accrual name"/>
      <sheetName val="Svc TI"/>
      <sheetName val="Svc TI consol"/>
      <sheetName val="svc org mapping"/>
      <sheetName val="Svc heads accrual logic"/>
      <sheetName val="Sheet1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Curve</v>
          </cell>
        </row>
        <row r="2">
          <cell r="A2" t="str">
            <v>R5</v>
          </cell>
        </row>
        <row r="3">
          <cell r="A3" t="str">
            <v>R5</v>
          </cell>
        </row>
        <row r="4">
          <cell r="A4" t="str">
            <v>R5</v>
          </cell>
        </row>
        <row r="5">
          <cell r="A5" t="str">
            <v>R5</v>
          </cell>
        </row>
        <row r="6">
          <cell r="A6" t="str">
            <v>R7</v>
          </cell>
        </row>
        <row r="7">
          <cell r="A7" t="str">
            <v>R7</v>
          </cell>
        </row>
        <row r="8">
          <cell r="A8" t="str">
            <v>R14</v>
          </cell>
        </row>
        <row r="9">
          <cell r="A9" t="str">
            <v>R14</v>
          </cell>
        </row>
        <row r="10">
          <cell r="A10" t="str">
            <v>R14</v>
          </cell>
        </row>
        <row r="11">
          <cell r="A11" t="str">
            <v>R9</v>
          </cell>
        </row>
        <row r="12">
          <cell r="A12" t="str">
            <v>R9</v>
          </cell>
        </row>
        <row r="13">
          <cell r="A13" t="str">
            <v>R9</v>
          </cell>
        </row>
        <row r="14">
          <cell r="A14" t="str">
            <v>R12</v>
          </cell>
        </row>
        <row r="15">
          <cell r="A15" t="str">
            <v>R12</v>
          </cell>
        </row>
        <row r="16">
          <cell r="A16" t="str">
            <v>R12</v>
          </cell>
        </row>
        <row r="17">
          <cell r="A17" t="str">
            <v>R8</v>
          </cell>
        </row>
        <row r="18">
          <cell r="A18" t="str">
            <v>R8</v>
          </cell>
        </row>
        <row r="19">
          <cell r="A19" t="str">
            <v>R8</v>
          </cell>
        </row>
        <row r="20">
          <cell r="A20" t="str">
            <v>R10</v>
          </cell>
        </row>
        <row r="21">
          <cell r="A21" t="str">
            <v>R10</v>
          </cell>
        </row>
        <row r="22">
          <cell r="A22" t="str">
            <v>R10</v>
          </cell>
        </row>
        <row r="23">
          <cell r="A23" t="str">
            <v>I3</v>
          </cell>
        </row>
        <row r="24">
          <cell r="A24" t="str">
            <v>I3</v>
          </cell>
        </row>
        <row r="25">
          <cell r="A25" t="str">
            <v>I3</v>
          </cell>
        </row>
        <row r="26">
          <cell r="A26" t="str">
            <v>I3</v>
          </cell>
        </row>
        <row r="27">
          <cell r="A27" t="str">
            <v>R1</v>
          </cell>
        </row>
        <row r="28">
          <cell r="A28" t="str">
            <v>R1</v>
          </cell>
        </row>
        <row r="29">
          <cell r="A29" t="str">
            <v>R1</v>
          </cell>
        </row>
        <row r="30">
          <cell r="A30" t="str">
            <v>R1</v>
          </cell>
        </row>
        <row r="31">
          <cell r="A31" t="str">
            <v>A1</v>
          </cell>
        </row>
        <row r="32">
          <cell r="A32" t="str">
            <v>A1</v>
          </cell>
        </row>
        <row r="33">
          <cell r="A33" t="str">
            <v>A2</v>
          </cell>
        </row>
        <row r="34">
          <cell r="A34" t="str">
            <v>A2</v>
          </cell>
        </row>
        <row r="35">
          <cell r="A35" t="str">
            <v>A2</v>
          </cell>
        </row>
        <row r="36">
          <cell r="A36" t="str">
            <v>R3</v>
          </cell>
        </row>
        <row r="37">
          <cell r="A37" t="str">
            <v>R3</v>
          </cell>
        </row>
        <row r="38">
          <cell r="A38" t="str">
            <v>R3</v>
          </cell>
        </row>
        <row r="39">
          <cell r="A39" t="str">
            <v>R3</v>
          </cell>
        </row>
        <row r="40">
          <cell r="A40" t="str">
            <v>R13</v>
          </cell>
        </row>
        <row r="41">
          <cell r="A41" t="str">
            <v>R13</v>
          </cell>
        </row>
        <row r="42">
          <cell r="A42" t="str">
            <v>R13</v>
          </cell>
        </row>
        <row r="43">
          <cell r="A43" t="str">
            <v>I3*</v>
          </cell>
        </row>
        <row r="44">
          <cell r="A44" t="str">
            <v>I3*</v>
          </cell>
        </row>
        <row r="45">
          <cell r="A45" t="str">
            <v>I3*</v>
          </cell>
        </row>
        <row r="46">
          <cell r="A46" t="str">
            <v>R6</v>
          </cell>
        </row>
        <row r="47">
          <cell r="A47" t="str">
            <v>R6</v>
          </cell>
        </row>
        <row r="48">
          <cell r="A48" t="str">
            <v>R6</v>
          </cell>
        </row>
        <row r="49">
          <cell r="A49" t="str">
            <v>R6</v>
          </cell>
        </row>
        <row r="50">
          <cell r="A50" t="str">
            <v>R10 (mod)</v>
          </cell>
        </row>
        <row r="51">
          <cell r="A51" t="str">
            <v>R10 (mod)</v>
          </cell>
        </row>
        <row r="52">
          <cell r="A52" t="str">
            <v>R10 (mod)</v>
          </cell>
        </row>
        <row r="53">
          <cell r="A53" t="str">
            <v>LPD</v>
          </cell>
        </row>
        <row r="54">
          <cell r="A54" t="str">
            <v>LPD</v>
          </cell>
        </row>
        <row r="55">
          <cell r="A55" t="str">
            <v>T2</v>
          </cell>
        </row>
        <row r="56">
          <cell r="A56" t="str">
            <v>T2</v>
          </cell>
        </row>
        <row r="57">
          <cell r="A57" t="str">
            <v>T2</v>
          </cell>
        </row>
        <row r="58">
          <cell r="A58" t="str">
            <v>R11</v>
          </cell>
        </row>
        <row r="59">
          <cell r="A59" t="str">
            <v>R11</v>
          </cell>
        </row>
        <row r="60">
          <cell r="A60" t="str">
            <v>R11</v>
          </cell>
        </row>
        <row r="61">
          <cell r="A61" t="str">
            <v>SVC_ANZ</v>
          </cell>
        </row>
        <row r="62">
          <cell r="A62" t="str">
            <v>SVC_ANZ</v>
          </cell>
        </row>
        <row r="63">
          <cell r="A63" t="str">
            <v>SVC_ANZ</v>
          </cell>
        </row>
        <row r="64">
          <cell r="A64" t="str">
            <v>SVC_ANZ</v>
          </cell>
        </row>
        <row r="65">
          <cell r="A65" t="str">
            <v>SVC_ANZ_CAS</v>
          </cell>
        </row>
        <row r="66">
          <cell r="A66" t="str">
            <v>SVC_ANZ_CAS</v>
          </cell>
        </row>
        <row r="67">
          <cell r="A67" t="str">
            <v>SVC_FAS_EM</v>
          </cell>
        </row>
        <row r="68">
          <cell r="A68" t="str">
            <v>SVC_FAS_EM</v>
          </cell>
        </row>
        <row r="69">
          <cell r="A69" t="str">
            <v>SVC_FAS_EM</v>
          </cell>
        </row>
        <row r="70">
          <cell r="A70" t="str">
            <v>SVC_EM_CAS</v>
          </cell>
        </row>
        <row r="71">
          <cell r="A71" t="str">
            <v>SVC_EM_CAS</v>
          </cell>
        </row>
        <row r="72">
          <cell r="A72" t="str">
            <v>SVC_FAS_HID</v>
          </cell>
        </row>
        <row r="73">
          <cell r="A73" t="str">
            <v>SVC_FAS_HID</v>
          </cell>
        </row>
        <row r="74">
          <cell r="A74" t="str">
            <v>SVC_FAS_HID</v>
          </cell>
        </row>
        <row r="75">
          <cell r="A75" t="str">
            <v>SVC_FSE_KR</v>
          </cell>
        </row>
        <row r="76">
          <cell r="A76" t="str">
            <v>SVC_FSE_KR</v>
          </cell>
        </row>
        <row r="77">
          <cell r="A77" t="str">
            <v>SVC_SALES_EM</v>
          </cell>
        </row>
        <row r="78">
          <cell r="A78" t="str">
            <v>SVC_SALES_EM</v>
          </cell>
        </row>
        <row r="79">
          <cell r="A79" t="str">
            <v>SVC_FSE_SA</v>
          </cell>
        </row>
        <row r="80">
          <cell r="A80" t="str">
            <v>SVC_FSE_SA</v>
          </cell>
        </row>
        <row r="81">
          <cell r="A81" t="str">
            <v>SVC_FAS_SEATW</v>
          </cell>
        </row>
        <row r="82">
          <cell r="A82" t="str">
            <v>SVC_FAS_SEATW</v>
          </cell>
        </row>
        <row r="83">
          <cell r="A83" t="str">
            <v>SVC_FAS_SEATW</v>
          </cell>
        </row>
        <row r="84">
          <cell r="A84" t="str">
            <v>SVC_FSE_SEATW</v>
          </cell>
        </row>
        <row r="85">
          <cell r="A85" t="str">
            <v>SVC_FSE_SEATW</v>
          </cell>
        </row>
        <row r="86">
          <cell r="A86" t="str">
            <v>SVC_FSE_SEATW</v>
          </cell>
        </row>
        <row r="87">
          <cell r="A87" t="str">
            <v>SVC_FSE_SEATW_T</v>
          </cell>
        </row>
        <row r="88">
          <cell r="A88" t="str">
            <v>SVC_FSE_SEATW_T</v>
          </cell>
        </row>
        <row r="89">
          <cell r="A89" t="str">
            <v>SVC_SALES_M</v>
          </cell>
        </row>
        <row r="90">
          <cell r="A90" t="str">
            <v>SVC_SALES_M</v>
          </cell>
        </row>
        <row r="91">
          <cell r="A91" t="str">
            <v>SVC_SALES_M</v>
          </cell>
        </row>
        <row r="92">
          <cell r="A92" t="str">
            <v>SVC_SALES_M_PS</v>
          </cell>
        </row>
        <row r="93">
          <cell r="A93" t="str">
            <v>SVC_SALES_M_PS</v>
          </cell>
        </row>
        <row r="94">
          <cell r="A94" t="str">
            <v>SVC_ADV</v>
          </cell>
        </row>
        <row r="95">
          <cell r="A95" t="str">
            <v>SVC_ADV</v>
          </cell>
        </row>
        <row r="96">
          <cell r="A96" t="str">
            <v>SVC_ADV_2</v>
          </cell>
        </row>
        <row r="97">
          <cell r="A97" t="str">
            <v>SVC_ADV_2</v>
          </cell>
        </row>
        <row r="98">
          <cell r="A98" t="str">
            <v>SVC_ADV_2</v>
          </cell>
        </row>
        <row r="99">
          <cell r="A99" t="str">
            <v>SVC_LEAD</v>
          </cell>
        </row>
        <row r="100">
          <cell r="A100" t="str">
            <v>SVC_LEAD</v>
          </cell>
        </row>
        <row r="101">
          <cell r="A101" t="str">
            <v>SVC_LEAD</v>
          </cell>
        </row>
        <row r="102">
          <cell r="A102" t="str">
            <v>SVC_LEAD_2</v>
          </cell>
        </row>
        <row r="103">
          <cell r="A103" t="str">
            <v>SVC_LEAD_2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 (2)"/>
      <sheetName val="pivot"/>
      <sheetName val="list"/>
      <sheetName val="Sheet2"/>
      <sheetName val="Sheet1"/>
      <sheetName val="Job"/>
      <sheetName val="LPD target change"/>
    </sheetNames>
    <sheetDataSet>
      <sheetData sheetId="0"/>
      <sheetData sheetId="1">
        <row r="1">
          <cell r="V1" t="str">
            <v>Division</v>
          </cell>
          <cell r="W1" t="str">
            <v>GSD</v>
          </cell>
        </row>
        <row r="2">
          <cell r="V2" t="str">
            <v>ACT</v>
          </cell>
        </row>
        <row r="3">
          <cell r="V3" t="str">
            <v xml:space="preserve">Sum of Q4 2019 ACT </v>
          </cell>
          <cell r="W3"/>
          <cell r="X3" t="str">
            <v>Component</v>
          </cell>
          <cell r="Y3"/>
          <cell r="Z3"/>
        </row>
        <row r="4">
          <cell r="V4" t="str">
            <v>Employee ID</v>
          </cell>
          <cell r="W4" t="str">
            <v>Name</v>
          </cell>
          <cell r="X4">
            <v>1</v>
          </cell>
          <cell r="Y4">
            <v>2</v>
          </cell>
          <cell r="Z4">
            <v>3</v>
          </cell>
        </row>
        <row r="5">
          <cell r="V5" t="str">
            <v>00130214</v>
          </cell>
          <cell r="W5" t="str">
            <v>박근준</v>
          </cell>
          <cell r="X5">
            <v>6588538.9955100007</v>
          </cell>
          <cell r="Y5">
            <v>8207270.3578199986</v>
          </cell>
          <cell r="Z5">
            <v>77591011.898499951</v>
          </cell>
        </row>
        <row r="6">
          <cell r="V6" t="str">
            <v>00135967</v>
          </cell>
          <cell r="W6" t="str">
            <v>최슬기</v>
          </cell>
          <cell r="X6">
            <v>6588538.9955100007</v>
          </cell>
          <cell r="Y6">
            <v>8207270.3578199986</v>
          </cell>
          <cell r="Z6">
            <v>77591011.898499951</v>
          </cell>
        </row>
        <row r="7">
          <cell r="V7" t="str">
            <v>00141794</v>
          </cell>
          <cell r="W7" t="str">
            <v>이창현</v>
          </cell>
          <cell r="X7">
            <v>6588538.9955100007</v>
          </cell>
          <cell r="Y7">
            <v>8207270.3578199986</v>
          </cell>
          <cell r="Z7">
            <v>77591011.898499951</v>
          </cell>
        </row>
        <row r="8">
          <cell r="V8" t="str">
            <v>00142245</v>
          </cell>
          <cell r="W8" t="str">
            <v>신현영</v>
          </cell>
          <cell r="X8">
            <v>6588538.9955100007</v>
          </cell>
          <cell r="Y8">
            <v>8207270.3578199986</v>
          </cell>
          <cell r="Z8">
            <v>77591011.898499951</v>
          </cell>
        </row>
        <row r="9">
          <cell r="V9" t="str">
            <v>00142570</v>
          </cell>
          <cell r="W9" t="str">
            <v>신한일</v>
          </cell>
          <cell r="X9">
            <v>6588538.9955100007</v>
          </cell>
          <cell r="Y9">
            <v>8207270.3578199986</v>
          </cell>
          <cell r="Z9">
            <v>77591011.898499951</v>
          </cell>
        </row>
        <row r="10">
          <cell r="V10" t="str">
            <v>00145297</v>
          </cell>
          <cell r="W10" t="str">
            <v>구태완</v>
          </cell>
          <cell r="X10">
            <v>1954840.7528999997</v>
          </cell>
          <cell r="Y10">
            <v>16137299.457686201</v>
          </cell>
          <cell r="Z10">
            <v>77591011.898499951</v>
          </cell>
        </row>
        <row r="11">
          <cell r="V11" t="str">
            <v>00145298</v>
          </cell>
          <cell r="W11" t="str">
            <v>최희환</v>
          </cell>
          <cell r="X11">
            <v>6588538.9955100007</v>
          </cell>
          <cell r="Y11">
            <v>8207270.3578199986</v>
          </cell>
          <cell r="Z11">
            <v>77591011.898499951</v>
          </cell>
        </row>
        <row r="12">
          <cell r="V12" t="str">
            <v>00145300</v>
          </cell>
          <cell r="W12" t="str">
            <v>공명</v>
          </cell>
          <cell r="X12"/>
          <cell r="Y12"/>
          <cell r="Z12"/>
        </row>
        <row r="13">
          <cell r="V13" t="str">
            <v>00145302</v>
          </cell>
          <cell r="W13" t="str">
            <v>유회숙</v>
          </cell>
          <cell r="X13">
            <v>6588538.9955100007</v>
          </cell>
          <cell r="Y13">
            <v>8207270.3578199986</v>
          </cell>
          <cell r="Z13">
            <v>77591011.898499951</v>
          </cell>
        </row>
        <row r="14">
          <cell r="V14" t="str">
            <v>00145303</v>
          </cell>
          <cell r="W14" t="str">
            <v>정용대</v>
          </cell>
          <cell r="X14">
            <v>1144854.3450000002</v>
          </cell>
          <cell r="Y14">
            <v>1072259.2160999996</v>
          </cell>
          <cell r="Z14">
            <v>16137299.457686201</v>
          </cell>
        </row>
        <row r="15">
          <cell r="V15" t="str">
            <v>00145306</v>
          </cell>
          <cell r="W15" t="str">
            <v>서경희</v>
          </cell>
          <cell r="X15">
            <v>36232.200000000004</v>
          </cell>
          <cell r="Y15">
            <v>4832187.5457999939</v>
          </cell>
          <cell r="Z15">
            <v>5621160.3867999902</v>
          </cell>
        </row>
        <row r="16">
          <cell r="V16" t="str">
            <v>00145307</v>
          </cell>
          <cell r="W16" t="str">
            <v>유영선</v>
          </cell>
          <cell r="X16"/>
          <cell r="Y16"/>
          <cell r="Z16"/>
        </row>
        <row r="17">
          <cell r="V17" t="str">
            <v>00145308</v>
          </cell>
          <cell r="W17" t="str">
            <v>임상훈</v>
          </cell>
          <cell r="X17">
            <v>1092201.1711000004</v>
          </cell>
          <cell r="Y17">
            <v>16137299.457686201</v>
          </cell>
          <cell r="Z17"/>
        </row>
        <row r="18">
          <cell r="V18" t="str">
            <v>00145309</v>
          </cell>
          <cell r="W18" t="str">
            <v>김평희</v>
          </cell>
          <cell r="X18">
            <v>6588538.9955100007</v>
          </cell>
          <cell r="Y18">
            <v>8207270.3578199986</v>
          </cell>
          <cell r="Z18">
            <v>77591011.898499951</v>
          </cell>
        </row>
        <row r="19">
          <cell r="V19" t="str">
            <v>00145313</v>
          </cell>
          <cell r="W19" t="str">
            <v>김형윤</v>
          </cell>
          <cell r="X19">
            <v>934949.745</v>
          </cell>
          <cell r="Y19">
            <v>5047253.2467999905</v>
          </cell>
          <cell r="Z19">
            <v>16137299.457686201</v>
          </cell>
        </row>
        <row r="20">
          <cell r="V20" t="str">
            <v>00145314</v>
          </cell>
          <cell r="W20" t="str">
            <v>김갑진</v>
          </cell>
          <cell r="X20">
            <v>426656.565</v>
          </cell>
          <cell r="Y20">
            <v>4832187.5457999939</v>
          </cell>
          <cell r="Z20">
            <v>5982202.9917999906</v>
          </cell>
        </row>
        <row r="21">
          <cell r="V21" t="str">
            <v>00145315</v>
          </cell>
          <cell r="W21" t="str">
            <v>이제현</v>
          </cell>
          <cell r="X21">
            <v>276816.51000000007</v>
          </cell>
          <cell r="Y21">
            <v>2441373.2713999702</v>
          </cell>
          <cell r="Z21">
            <v>5251915.8515999708</v>
          </cell>
        </row>
        <row r="22">
          <cell r="V22" t="str">
            <v>00145316</v>
          </cell>
          <cell r="W22" t="str">
            <v>손승규</v>
          </cell>
          <cell r="X22">
            <v>616305.16620000033</v>
          </cell>
          <cell r="Y22">
            <v>2447037.9163999702</v>
          </cell>
          <cell r="Z22">
            <v>5251915.8515999708</v>
          </cell>
        </row>
        <row r="23">
          <cell r="V23" t="str">
            <v>00145317</v>
          </cell>
          <cell r="W23" t="str">
            <v>노수흔</v>
          </cell>
          <cell r="X23">
            <v>383685.26310000021</v>
          </cell>
          <cell r="Y23"/>
          <cell r="Z23">
            <v>1092201.1711000004</v>
          </cell>
        </row>
        <row r="24">
          <cell r="V24" t="str">
            <v>00145319</v>
          </cell>
          <cell r="W24" t="str">
            <v>강양모</v>
          </cell>
          <cell r="X24">
            <v>684774.19000000018</v>
          </cell>
          <cell r="Y24">
            <v>2414193.2713999702</v>
          </cell>
          <cell r="Z24">
            <v>5251915.8515999708</v>
          </cell>
        </row>
        <row r="25">
          <cell r="V25" t="str">
            <v>00145388</v>
          </cell>
          <cell r="W25" t="str">
            <v>최수진</v>
          </cell>
          <cell r="X25"/>
          <cell r="Y25"/>
          <cell r="Z25"/>
        </row>
        <row r="26">
          <cell r="V26" t="str">
            <v>00146060</v>
          </cell>
          <cell r="W26" t="str">
            <v>임창용</v>
          </cell>
          <cell r="X26">
            <v>2695887.9352000006</v>
          </cell>
          <cell r="Y26">
            <v>2556027.9163999702</v>
          </cell>
          <cell r="Z26">
            <v>16137299.457686201</v>
          </cell>
        </row>
        <row r="27">
          <cell r="V27" t="str">
            <v>00153129</v>
          </cell>
          <cell r="W27" t="str">
            <v>손희수</v>
          </cell>
          <cell r="X27">
            <v>591391.71</v>
          </cell>
          <cell r="Y27">
            <v>2451363.2713999702</v>
          </cell>
          <cell r="Z27">
            <v>5251915.8515999708</v>
          </cell>
        </row>
        <row r="28">
          <cell r="V28" t="str">
            <v>00172647</v>
          </cell>
          <cell r="W28" t="str">
            <v>강민범</v>
          </cell>
          <cell r="X28">
            <v>258891.56999999998</v>
          </cell>
          <cell r="Y28">
            <v>746763.11639999948</v>
          </cell>
          <cell r="Z28">
            <v>2217113.5610999996</v>
          </cell>
        </row>
        <row r="29">
          <cell r="V29" t="str">
            <v>00182605</v>
          </cell>
          <cell r="W29" t="str">
            <v>전영철</v>
          </cell>
          <cell r="X29">
            <v>1163569.7249999999</v>
          </cell>
          <cell r="Y29">
            <v>16137299.457686201</v>
          </cell>
          <cell r="Z29">
            <v>77591011.898499951</v>
          </cell>
        </row>
        <row r="30">
          <cell r="V30" t="str">
            <v>00183178</v>
          </cell>
          <cell r="W30" t="str">
            <v>신동화</v>
          </cell>
          <cell r="X30">
            <v>573907.14</v>
          </cell>
          <cell r="Y30">
            <v>5047253.2467999905</v>
          </cell>
          <cell r="Z30">
            <v>16137299.457686201</v>
          </cell>
        </row>
        <row r="31">
          <cell r="V31" t="str">
            <v>00185504</v>
          </cell>
          <cell r="W31" t="str">
            <v>민선후</v>
          </cell>
          <cell r="X31">
            <v>441247.94000000018</v>
          </cell>
          <cell r="Y31">
            <v>709362.5363999994</v>
          </cell>
          <cell r="Z31">
            <v>2217113.5610999996</v>
          </cell>
        </row>
        <row r="32">
          <cell r="V32" t="str">
            <v>00187346</v>
          </cell>
          <cell r="W32" t="str">
            <v>박미경</v>
          </cell>
          <cell r="X32">
            <v>6588538.9955100007</v>
          </cell>
          <cell r="Y32">
            <v>8207270.3578199986</v>
          </cell>
          <cell r="Z32">
            <v>77591011.898499951</v>
          </cell>
        </row>
        <row r="33">
          <cell r="V33" t="str">
            <v>00187350</v>
          </cell>
          <cell r="W33" t="str">
            <v>이재영</v>
          </cell>
          <cell r="X33"/>
          <cell r="Y33"/>
          <cell r="Z33"/>
        </row>
        <row r="34">
          <cell r="V34" t="str">
            <v>00193220</v>
          </cell>
          <cell r="W34" t="str">
            <v>김주현</v>
          </cell>
          <cell r="X34">
            <v>6588538.9955100007</v>
          </cell>
          <cell r="Y34">
            <v>8207270.3578199986</v>
          </cell>
          <cell r="Z34">
            <v>77591011.898499951</v>
          </cell>
        </row>
        <row r="35">
          <cell r="V35" t="str">
            <v>00196862</v>
          </cell>
          <cell r="W35" t="str">
            <v>김우영</v>
          </cell>
          <cell r="X35">
            <v>444714.83500000008</v>
          </cell>
          <cell r="Y35">
            <v>975370.70609999949</v>
          </cell>
          <cell r="Z35">
            <v>2217113.5610999996</v>
          </cell>
        </row>
        <row r="36">
          <cell r="V36" t="str">
            <v>00198117</v>
          </cell>
          <cell r="W36" t="str">
            <v>김진홍</v>
          </cell>
          <cell r="X36">
            <v>459295.29899999994</v>
          </cell>
          <cell r="Y36">
            <v>2413833.2713999702</v>
          </cell>
          <cell r="Z36">
            <v>5251915.8515999708</v>
          </cell>
        </row>
        <row r="37">
          <cell r="V37" t="str">
            <v>00200593</v>
          </cell>
          <cell r="W37" t="str">
            <v>박건희</v>
          </cell>
          <cell r="X37">
            <v>376930.98</v>
          </cell>
          <cell r="Y37">
            <v>4832187.5457999939</v>
          </cell>
          <cell r="Z37">
            <v>5621160.3867999902</v>
          </cell>
        </row>
        <row r="38">
          <cell r="V38" t="str">
            <v>00225340</v>
          </cell>
          <cell r="W38" t="str">
            <v>권지현</v>
          </cell>
          <cell r="X38">
            <v>6588538.9955100007</v>
          </cell>
          <cell r="Y38">
            <v>8207270.3578199986</v>
          </cell>
          <cell r="Z38">
            <v>77591011.898499951</v>
          </cell>
        </row>
        <row r="39">
          <cell r="V39" t="str">
            <v>00232070</v>
          </cell>
          <cell r="W39" t="str">
            <v>김택훈</v>
          </cell>
          <cell r="X39">
            <v>100906.56</v>
          </cell>
          <cell r="Y39">
            <v>4832187.5457999939</v>
          </cell>
          <cell r="Z39">
            <v>5621160.3867999902</v>
          </cell>
        </row>
        <row r="40">
          <cell r="V40" t="str">
            <v>00232081</v>
          </cell>
          <cell r="W40" t="str">
            <v>신지우</v>
          </cell>
          <cell r="X40">
            <v>315515.52000000002</v>
          </cell>
          <cell r="Y40">
            <v>4832187.5457999939</v>
          </cell>
          <cell r="Z40">
            <v>5982202.9917999906</v>
          </cell>
        </row>
        <row r="41">
          <cell r="V41" t="str">
            <v>00244230</v>
          </cell>
          <cell r="W41" t="str">
            <v>김선아</v>
          </cell>
          <cell r="X41">
            <v>6588538.9955100007</v>
          </cell>
          <cell r="Y41">
            <v>8207270.3578199986</v>
          </cell>
          <cell r="Z41">
            <v>77591011.898499951</v>
          </cell>
        </row>
        <row r="42">
          <cell r="V42" t="str">
            <v>00247264</v>
          </cell>
          <cell r="W42" t="str">
            <v>맹소현</v>
          </cell>
          <cell r="X42">
            <v>6588538.9955100007</v>
          </cell>
          <cell r="Y42">
            <v>8207270.3578199986</v>
          </cell>
          <cell r="Z42">
            <v>77591011.898499951</v>
          </cell>
        </row>
        <row r="43">
          <cell r="V43" t="str">
            <v>10087794</v>
          </cell>
          <cell r="W43" t="str">
            <v>심경석</v>
          </cell>
          <cell r="X43">
            <v>708515.90800000005</v>
          </cell>
          <cell r="Y43"/>
          <cell r="Z43">
            <v>1092201.1711000004</v>
          </cell>
        </row>
        <row r="44">
          <cell r="V44" t="str">
            <v>(blank)</v>
          </cell>
          <cell r="W44" t="str">
            <v>TBD</v>
          </cell>
          <cell r="X44"/>
          <cell r="Y44"/>
          <cell r="Z44"/>
        </row>
        <row r="45">
          <cell r="V45" t="str">
            <v>00264618</v>
          </cell>
          <cell r="W45" t="str">
            <v>이의민</v>
          </cell>
          <cell r="X45"/>
          <cell r="Y45"/>
          <cell r="Z45"/>
        </row>
        <row r="46">
          <cell r="V46" t="str">
            <v>Grand Total</v>
          </cell>
          <cell r="W46"/>
          <cell r="X46">
            <v>101333097.97212997</v>
          </cell>
          <cell r="Y46">
            <v>207589441.74071839</v>
          </cell>
          <cell r="Z46">
            <v>1292337585.7357435</v>
          </cell>
        </row>
        <row r="47">
          <cell r="V47"/>
          <cell r="W47"/>
          <cell r="X47"/>
          <cell r="Y47"/>
          <cell r="Z47"/>
        </row>
        <row r="48">
          <cell r="V48"/>
          <cell r="W48"/>
          <cell r="X48"/>
          <cell r="Y48"/>
          <cell r="Z48"/>
        </row>
        <row r="49">
          <cell r="V49"/>
          <cell r="W49"/>
          <cell r="X49"/>
          <cell r="Y49"/>
          <cell r="Z49"/>
        </row>
        <row r="50">
          <cell r="V50"/>
          <cell r="W50"/>
          <cell r="X50"/>
          <cell r="Y50"/>
          <cell r="Z50"/>
        </row>
        <row r="51">
          <cell r="V51"/>
          <cell r="W51"/>
          <cell r="X51"/>
          <cell r="Y51"/>
          <cell r="Z51"/>
        </row>
        <row r="52">
          <cell r="V52"/>
          <cell r="W52"/>
          <cell r="X52"/>
          <cell r="Y52"/>
          <cell r="Z52"/>
        </row>
        <row r="53">
          <cell r="V53"/>
          <cell r="W53"/>
          <cell r="X53"/>
          <cell r="Y53"/>
          <cell r="Z53"/>
        </row>
        <row r="54">
          <cell r="V54"/>
          <cell r="W54"/>
          <cell r="X54"/>
          <cell r="Y54"/>
          <cell r="Z54"/>
        </row>
        <row r="55">
          <cell r="V55"/>
          <cell r="W55"/>
          <cell r="X55"/>
          <cell r="Y55"/>
          <cell r="Z55"/>
        </row>
        <row r="56">
          <cell r="V56"/>
          <cell r="W56"/>
          <cell r="X56"/>
          <cell r="Y56"/>
          <cell r="Z56"/>
        </row>
        <row r="57">
          <cell r="V57"/>
          <cell r="W57"/>
          <cell r="X57"/>
          <cell r="Y57"/>
          <cell r="Z57"/>
        </row>
        <row r="58">
          <cell r="V58"/>
          <cell r="W58"/>
          <cell r="X58"/>
          <cell r="Y58"/>
          <cell r="Z58"/>
        </row>
        <row r="59">
          <cell r="V59"/>
          <cell r="W59"/>
          <cell r="X59"/>
          <cell r="Y59"/>
          <cell r="Z59"/>
        </row>
        <row r="60">
          <cell r="V60"/>
          <cell r="W60"/>
          <cell r="X60"/>
          <cell r="Y60"/>
          <cell r="Z60"/>
        </row>
        <row r="61">
          <cell r="V61"/>
          <cell r="W61"/>
          <cell r="X61"/>
          <cell r="Y61"/>
          <cell r="Z61"/>
        </row>
        <row r="62">
          <cell r="V62"/>
          <cell r="W62"/>
          <cell r="X62"/>
          <cell r="Y62"/>
          <cell r="Z62"/>
        </row>
        <row r="63">
          <cell r="V63"/>
          <cell r="W63"/>
          <cell r="X63"/>
          <cell r="Y63"/>
          <cell r="Z63"/>
        </row>
        <row r="64">
          <cell r="V64"/>
          <cell r="W64"/>
          <cell r="X64"/>
          <cell r="Y64"/>
          <cell r="Z64"/>
        </row>
        <row r="65">
          <cell r="V65"/>
          <cell r="W65"/>
          <cell r="X65"/>
          <cell r="Y65"/>
          <cell r="Z65"/>
        </row>
        <row r="66">
          <cell r="V66"/>
          <cell r="W66"/>
          <cell r="X66"/>
          <cell r="Y66"/>
          <cell r="Z66"/>
        </row>
        <row r="67">
          <cell r="V67"/>
          <cell r="W67"/>
          <cell r="X67"/>
          <cell r="Y67"/>
          <cell r="Z67"/>
        </row>
        <row r="68">
          <cell r="V68"/>
          <cell r="W68"/>
          <cell r="X68"/>
          <cell r="Y68"/>
          <cell r="Z68"/>
        </row>
        <row r="69">
          <cell r="V69"/>
          <cell r="W69"/>
          <cell r="X69"/>
          <cell r="Y69"/>
          <cell r="Z69"/>
        </row>
        <row r="70">
          <cell r="V70"/>
          <cell r="W70"/>
          <cell r="X70"/>
          <cell r="Y70"/>
          <cell r="Z70"/>
        </row>
        <row r="71">
          <cell r="V71"/>
          <cell r="W71"/>
          <cell r="X71"/>
          <cell r="Y71"/>
          <cell r="Z71"/>
        </row>
        <row r="72">
          <cell r="V72"/>
          <cell r="W72"/>
          <cell r="X72"/>
          <cell r="Y72"/>
          <cell r="Z72"/>
        </row>
        <row r="73">
          <cell r="V73"/>
          <cell r="W73"/>
          <cell r="X73"/>
          <cell r="Y73"/>
          <cell r="Z73"/>
        </row>
        <row r="74">
          <cell r="V74"/>
          <cell r="W74"/>
          <cell r="X74"/>
          <cell r="Y74"/>
          <cell r="Z74"/>
        </row>
        <row r="75">
          <cell r="V75"/>
          <cell r="W75"/>
          <cell r="X75"/>
          <cell r="Y75"/>
          <cell r="Z75"/>
        </row>
        <row r="76">
          <cell r="V76"/>
          <cell r="W76"/>
          <cell r="X76"/>
          <cell r="Y76"/>
          <cell r="Z76"/>
        </row>
        <row r="77">
          <cell r="V77"/>
          <cell r="W77"/>
          <cell r="X77"/>
          <cell r="Y77"/>
          <cell r="Z77"/>
        </row>
        <row r="78">
          <cell r="V78"/>
          <cell r="W78"/>
          <cell r="X78"/>
          <cell r="Y78"/>
          <cell r="Z78"/>
        </row>
        <row r="79">
          <cell r="V79"/>
          <cell r="W79"/>
          <cell r="X79"/>
          <cell r="Y79"/>
          <cell r="Z79"/>
        </row>
        <row r="80">
          <cell r="V80"/>
          <cell r="W80"/>
          <cell r="X80"/>
          <cell r="Y80"/>
          <cell r="Z80"/>
        </row>
        <row r="81">
          <cell r="V81"/>
          <cell r="W81"/>
          <cell r="X81"/>
          <cell r="Y81"/>
          <cell r="Z81"/>
        </row>
        <row r="82">
          <cell r="V82"/>
          <cell r="W82"/>
          <cell r="X82"/>
          <cell r="Y82"/>
          <cell r="Z82"/>
        </row>
        <row r="83">
          <cell r="V83"/>
          <cell r="W83"/>
          <cell r="X83"/>
          <cell r="Y83"/>
          <cell r="Z83"/>
        </row>
        <row r="84">
          <cell r="V84"/>
          <cell r="W84"/>
          <cell r="X84"/>
          <cell r="Y84"/>
          <cell r="Z84"/>
        </row>
        <row r="85">
          <cell r="V85"/>
          <cell r="W85"/>
          <cell r="X85"/>
          <cell r="Y85"/>
          <cell r="Z85"/>
        </row>
        <row r="86">
          <cell r="V86"/>
          <cell r="W86"/>
          <cell r="X86"/>
          <cell r="Y86"/>
          <cell r="Z86"/>
        </row>
        <row r="87">
          <cell r="V87"/>
          <cell r="W87"/>
          <cell r="X87"/>
          <cell r="Y87"/>
          <cell r="Z87"/>
        </row>
        <row r="88">
          <cell r="V88"/>
          <cell r="W88"/>
          <cell r="X88"/>
          <cell r="Y88"/>
          <cell r="Z88"/>
        </row>
        <row r="89">
          <cell r="V89"/>
          <cell r="W89"/>
          <cell r="X89"/>
          <cell r="Y89"/>
          <cell r="Z89"/>
        </row>
        <row r="90">
          <cell r="V90"/>
          <cell r="W90"/>
          <cell r="X90"/>
          <cell r="Y90"/>
          <cell r="Z90"/>
        </row>
        <row r="91">
          <cell r="V91"/>
          <cell r="W91"/>
          <cell r="X91"/>
          <cell r="Y91"/>
          <cell r="Z91"/>
        </row>
        <row r="92">
          <cell r="V92"/>
          <cell r="W92"/>
          <cell r="X92"/>
          <cell r="Y92"/>
          <cell r="Z92"/>
        </row>
        <row r="93">
          <cell r="V93"/>
          <cell r="W93"/>
          <cell r="X93"/>
          <cell r="Y93"/>
          <cell r="Z93"/>
        </row>
        <row r="94">
          <cell r="V94"/>
          <cell r="W94"/>
          <cell r="X94"/>
          <cell r="Y94"/>
          <cell r="Z94"/>
        </row>
        <row r="95">
          <cell r="V95"/>
          <cell r="W95"/>
          <cell r="X95"/>
          <cell r="Y95"/>
          <cell r="Z95"/>
        </row>
        <row r="96">
          <cell r="V96"/>
          <cell r="W96"/>
          <cell r="X96"/>
          <cell r="Y96"/>
          <cell r="Z96"/>
        </row>
        <row r="97">
          <cell r="V97"/>
          <cell r="W97"/>
          <cell r="X97"/>
          <cell r="Y97"/>
          <cell r="Z97"/>
        </row>
        <row r="98">
          <cell r="V98"/>
          <cell r="W98"/>
          <cell r="X98"/>
          <cell r="Y98"/>
          <cell r="Z98"/>
        </row>
        <row r="99">
          <cell r="V99"/>
          <cell r="W99"/>
          <cell r="X99"/>
          <cell r="Y99"/>
          <cell r="Z99"/>
        </row>
        <row r="100">
          <cell r="V100"/>
          <cell r="W100"/>
          <cell r="X100"/>
          <cell r="Y100"/>
          <cell r="Z100"/>
        </row>
        <row r="101">
          <cell r="V101"/>
          <cell r="W101"/>
          <cell r="X101"/>
          <cell r="Y101"/>
          <cell r="Z101"/>
        </row>
        <row r="102">
          <cell r="V102"/>
          <cell r="W102"/>
          <cell r="X102"/>
          <cell r="Y102"/>
          <cell r="Z102"/>
        </row>
        <row r="103">
          <cell r="V103"/>
          <cell r="W103"/>
          <cell r="X103"/>
          <cell r="Y103"/>
          <cell r="Z103"/>
        </row>
        <row r="104">
          <cell r="V104"/>
          <cell r="W104"/>
          <cell r="X104"/>
          <cell r="Y104"/>
          <cell r="Z104"/>
        </row>
        <row r="105">
          <cell r="V105"/>
          <cell r="W105"/>
          <cell r="X105"/>
          <cell r="Y105"/>
          <cell r="Z105"/>
        </row>
        <row r="106">
          <cell r="V106"/>
          <cell r="W106"/>
          <cell r="X106"/>
          <cell r="Y106"/>
          <cell r="Z106"/>
        </row>
        <row r="107">
          <cell r="V107"/>
          <cell r="W107"/>
          <cell r="X107"/>
          <cell r="Y107"/>
          <cell r="Z107"/>
        </row>
        <row r="108">
          <cell r="V108"/>
          <cell r="W108"/>
          <cell r="X108"/>
          <cell r="Y108"/>
          <cell r="Z108"/>
        </row>
        <row r="109">
          <cell r="V109"/>
          <cell r="W109"/>
          <cell r="X109"/>
          <cell r="Y109"/>
          <cell r="Z109"/>
        </row>
        <row r="110">
          <cell r="V110"/>
          <cell r="W110"/>
          <cell r="X110"/>
          <cell r="Y110"/>
          <cell r="Z110"/>
        </row>
        <row r="111">
          <cell r="V111"/>
          <cell r="W111"/>
          <cell r="X111"/>
          <cell r="Y111"/>
          <cell r="Z111"/>
        </row>
        <row r="112">
          <cell r="V112"/>
          <cell r="W112"/>
          <cell r="X112"/>
          <cell r="Y112"/>
          <cell r="Z112"/>
        </row>
        <row r="113">
          <cell r="V113"/>
          <cell r="W113"/>
          <cell r="X113"/>
          <cell r="Y113"/>
          <cell r="Z113"/>
        </row>
        <row r="114">
          <cell r="V114"/>
          <cell r="W114"/>
          <cell r="X114"/>
          <cell r="Y114"/>
          <cell r="Z114"/>
        </row>
        <row r="115">
          <cell r="V115"/>
          <cell r="W115"/>
          <cell r="X115"/>
          <cell r="Y115"/>
          <cell r="Z115"/>
        </row>
        <row r="116">
          <cell r="V116"/>
          <cell r="W116"/>
          <cell r="X116"/>
          <cell r="Y116"/>
          <cell r="Z116"/>
        </row>
        <row r="117">
          <cell r="V117"/>
          <cell r="W117"/>
          <cell r="X117"/>
          <cell r="Y117"/>
          <cell r="Z117"/>
        </row>
        <row r="118">
          <cell r="V118"/>
          <cell r="W118"/>
          <cell r="X118"/>
          <cell r="Y118"/>
          <cell r="Z118"/>
        </row>
        <row r="119">
          <cell r="V119"/>
          <cell r="W119"/>
          <cell r="X119"/>
          <cell r="Y119"/>
          <cell r="Z119"/>
        </row>
        <row r="120">
          <cell r="V120"/>
          <cell r="W120"/>
          <cell r="X120"/>
          <cell r="Y120"/>
          <cell r="Z120"/>
        </row>
        <row r="121">
          <cell r="V121"/>
          <cell r="W121"/>
          <cell r="X121"/>
          <cell r="Y121"/>
          <cell r="Z121"/>
        </row>
        <row r="122">
          <cell r="V122"/>
          <cell r="W122"/>
          <cell r="X122"/>
          <cell r="Y122"/>
          <cell r="Z122"/>
        </row>
        <row r="123">
          <cell r="V123"/>
          <cell r="W123"/>
          <cell r="X123"/>
          <cell r="Y123"/>
          <cell r="Z123"/>
        </row>
        <row r="124">
          <cell r="V124"/>
          <cell r="W124"/>
          <cell r="X124"/>
          <cell r="Y124"/>
          <cell r="Z124"/>
        </row>
        <row r="125">
          <cell r="V125"/>
          <cell r="W125"/>
          <cell r="X125"/>
          <cell r="Y125"/>
          <cell r="Z125"/>
        </row>
        <row r="126">
          <cell r="V126"/>
          <cell r="W126"/>
          <cell r="X126"/>
          <cell r="Y126"/>
          <cell r="Z126"/>
        </row>
        <row r="127">
          <cell r="V127"/>
          <cell r="W127"/>
          <cell r="X127"/>
          <cell r="Y127"/>
          <cell r="Z127"/>
        </row>
        <row r="128">
          <cell r="V128"/>
          <cell r="W128"/>
          <cell r="X128"/>
          <cell r="Y128"/>
          <cell r="Z128"/>
        </row>
        <row r="129">
          <cell r="V129"/>
          <cell r="W129"/>
          <cell r="X129"/>
          <cell r="Y129"/>
          <cell r="Z129"/>
        </row>
        <row r="130">
          <cell r="V130"/>
          <cell r="W130"/>
          <cell r="X130"/>
          <cell r="Y130"/>
          <cell r="Z130"/>
        </row>
        <row r="131">
          <cell r="V131"/>
          <cell r="W131"/>
          <cell r="X131"/>
          <cell r="Y131"/>
          <cell r="Z131"/>
        </row>
        <row r="132">
          <cell r="V132"/>
          <cell r="W132"/>
          <cell r="X132"/>
          <cell r="Y132"/>
          <cell r="Z132"/>
        </row>
        <row r="133">
          <cell r="V133"/>
          <cell r="W133"/>
          <cell r="X133"/>
          <cell r="Y133"/>
          <cell r="Z133"/>
        </row>
        <row r="134">
          <cell r="V134"/>
          <cell r="W134"/>
          <cell r="X134"/>
          <cell r="Y134"/>
          <cell r="Z134"/>
        </row>
        <row r="135">
          <cell r="V135"/>
          <cell r="W135"/>
          <cell r="X135"/>
          <cell r="Y135"/>
          <cell r="Z135"/>
        </row>
        <row r="136">
          <cell r="V136"/>
          <cell r="W136"/>
          <cell r="X136"/>
          <cell r="Y136"/>
          <cell r="Z136"/>
        </row>
        <row r="137">
          <cell r="V137"/>
          <cell r="W137"/>
          <cell r="X137"/>
          <cell r="Y137"/>
          <cell r="Z137"/>
        </row>
        <row r="138">
          <cell r="V138"/>
          <cell r="W138"/>
          <cell r="X138"/>
          <cell r="Y138"/>
          <cell r="Z138"/>
        </row>
        <row r="139">
          <cell r="V139"/>
          <cell r="W139"/>
          <cell r="X139"/>
          <cell r="Y139"/>
          <cell r="Z139"/>
        </row>
        <row r="140">
          <cell r="V140"/>
          <cell r="W140"/>
          <cell r="X140"/>
          <cell r="Y140"/>
          <cell r="Z140"/>
        </row>
        <row r="141">
          <cell r="V141"/>
          <cell r="W141"/>
          <cell r="X141"/>
          <cell r="Y141"/>
          <cell r="Z141"/>
        </row>
        <row r="142">
          <cell r="V142"/>
          <cell r="W142"/>
          <cell r="X142"/>
          <cell r="Y142"/>
          <cell r="Z142"/>
        </row>
        <row r="143">
          <cell r="V143"/>
          <cell r="W143"/>
          <cell r="X143"/>
          <cell r="Y143"/>
          <cell r="Z143"/>
        </row>
        <row r="144">
          <cell r="V144"/>
          <cell r="W144"/>
          <cell r="X144"/>
          <cell r="Y144"/>
          <cell r="Z144"/>
        </row>
        <row r="145">
          <cell r="V145"/>
          <cell r="W145"/>
          <cell r="X145"/>
          <cell r="Y145"/>
          <cell r="Z145"/>
        </row>
        <row r="146">
          <cell r="V146"/>
          <cell r="W146"/>
          <cell r="X146"/>
          <cell r="Y146"/>
          <cell r="Z146"/>
        </row>
        <row r="147">
          <cell r="V147"/>
          <cell r="W147"/>
          <cell r="X147"/>
          <cell r="Y147"/>
          <cell r="Z147"/>
        </row>
        <row r="148">
          <cell r="V148"/>
          <cell r="W148"/>
          <cell r="X148"/>
          <cell r="Y148"/>
          <cell r="Z148"/>
        </row>
        <row r="149">
          <cell r="V149"/>
          <cell r="W149"/>
          <cell r="X149"/>
          <cell r="Y149"/>
          <cell r="Z149"/>
        </row>
        <row r="150">
          <cell r="V150"/>
          <cell r="W150"/>
          <cell r="X150"/>
          <cell r="Y150"/>
          <cell r="Z150"/>
        </row>
        <row r="151">
          <cell r="V151"/>
          <cell r="W151"/>
          <cell r="X151"/>
          <cell r="Y151"/>
          <cell r="Z151"/>
        </row>
        <row r="152">
          <cell r="V152"/>
          <cell r="W152"/>
          <cell r="X152"/>
          <cell r="Y152"/>
          <cell r="Z152"/>
        </row>
        <row r="153">
          <cell r="V153"/>
          <cell r="W153"/>
          <cell r="X153"/>
          <cell r="Y153"/>
          <cell r="Z153"/>
        </row>
        <row r="154">
          <cell r="V154"/>
          <cell r="W154"/>
          <cell r="X154"/>
          <cell r="Y154"/>
          <cell r="Z154"/>
        </row>
        <row r="155">
          <cell r="V155"/>
          <cell r="W155"/>
          <cell r="X155"/>
          <cell r="Y155"/>
          <cell r="Z155"/>
        </row>
        <row r="156">
          <cell r="V156"/>
          <cell r="W156"/>
          <cell r="X156"/>
          <cell r="Y156"/>
          <cell r="Z156"/>
        </row>
        <row r="157">
          <cell r="V157"/>
          <cell r="W157"/>
          <cell r="X157"/>
          <cell r="Y157"/>
          <cell r="Z157"/>
        </row>
        <row r="158">
          <cell r="V158"/>
          <cell r="W158"/>
          <cell r="X158"/>
          <cell r="Y158"/>
          <cell r="Z158"/>
        </row>
        <row r="159">
          <cell r="V159"/>
          <cell r="W159"/>
          <cell r="X159"/>
          <cell r="Y159"/>
          <cell r="Z159"/>
        </row>
        <row r="160">
          <cell r="V160"/>
          <cell r="W160"/>
          <cell r="X160"/>
          <cell r="Y160"/>
          <cell r="Z160"/>
        </row>
        <row r="161">
          <cell r="V161"/>
          <cell r="W161"/>
          <cell r="X161"/>
          <cell r="Y161"/>
          <cell r="Z161"/>
        </row>
        <row r="162">
          <cell r="V162"/>
          <cell r="W162"/>
          <cell r="X162"/>
          <cell r="Y162"/>
          <cell r="Z162"/>
        </row>
        <row r="163">
          <cell r="V163"/>
          <cell r="W163"/>
          <cell r="X163"/>
          <cell r="Y163"/>
          <cell r="Z163"/>
        </row>
        <row r="164">
          <cell r="V164"/>
          <cell r="W164"/>
          <cell r="X164"/>
          <cell r="Y164"/>
          <cell r="Z164"/>
        </row>
        <row r="165">
          <cell r="V165"/>
          <cell r="W165"/>
          <cell r="X165"/>
          <cell r="Y165"/>
          <cell r="Z165"/>
        </row>
        <row r="166">
          <cell r="V166"/>
          <cell r="W166"/>
          <cell r="X166"/>
          <cell r="Y166"/>
          <cell r="Z166"/>
        </row>
        <row r="167">
          <cell r="V167"/>
          <cell r="W167"/>
          <cell r="X167"/>
          <cell r="Y167"/>
          <cell r="Z167"/>
        </row>
        <row r="168">
          <cell r="V168"/>
          <cell r="W168"/>
          <cell r="X168"/>
          <cell r="Y168"/>
          <cell r="Z168"/>
        </row>
        <row r="169">
          <cell r="V169"/>
          <cell r="W169"/>
          <cell r="X169"/>
          <cell r="Y169"/>
          <cell r="Z169"/>
        </row>
        <row r="170">
          <cell r="V170"/>
          <cell r="W170"/>
          <cell r="X170"/>
          <cell r="Y170"/>
          <cell r="Z170"/>
        </row>
        <row r="171">
          <cell r="V171"/>
          <cell r="W171"/>
          <cell r="X171"/>
          <cell r="Y171"/>
          <cell r="Z171"/>
        </row>
        <row r="172">
          <cell r="V172"/>
          <cell r="W172"/>
          <cell r="X172"/>
          <cell r="Y172"/>
          <cell r="Z172"/>
        </row>
        <row r="173">
          <cell r="V173"/>
          <cell r="W173"/>
          <cell r="X173"/>
          <cell r="Y173"/>
          <cell r="Z173"/>
        </row>
        <row r="174">
          <cell r="V174"/>
          <cell r="W174"/>
          <cell r="X174"/>
          <cell r="Y174"/>
          <cell r="Z174"/>
        </row>
        <row r="175">
          <cell r="V175"/>
          <cell r="W175"/>
          <cell r="X175"/>
          <cell r="Y175"/>
          <cell r="Z175"/>
        </row>
        <row r="176">
          <cell r="V176"/>
          <cell r="W176"/>
          <cell r="X176"/>
          <cell r="Y176"/>
          <cell r="Z176"/>
        </row>
        <row r="177">
          <cell r="V177"/>
          <cell r="W177"/>
          <cell r="X177"/>
          <cell r="Y177"/>
          <cell r="Z177"/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AAA39-195D-465C-82E2-031367CEF0DC}">
  <sheetPr codeName="Sheet34" filterMode="1">
    <tabColor rgb="FF92D050"/>
    <pageSetUpPr autoPageBreaks="0"/>
  </sheetPr>
  <dimension ref="A1:GY268"/>
  <sheetViews>
    <sheetView showGridLines="0" zoomScaleNormal="100" workbookViewId="0">
      <pane xSplit="14" ySplit="5" topLeftCell="O6" activePane="bottomRight" state="frozen"/>
      <selection activeCell="F1" sqref="F1"/>
      <selection pane="topRight" activeCell="O1" sqref="O1"/>
      <selection pane="bottomLeft" activeCell="F6" sqref="F6"/>
      <selection pane="bottomRight" activeCell="H91" sqref="H91"/>
    </sheetView>
  </sheetViews>
  <sheetFormatPr defaultColWidth="9.109375" defaultRowHeight="14.4" outlineLevelCol="2"/>
  <cols>
    <col min="1" max="1" width="23.33203125" style="16" hidden="1" customWidth="1" outlineLevel="1"/>
    <col min="2" max="2" width="9.33203125" style="16" hidden="1" customWidth="1" outlineLevel="1"/>
    <col min="3" max="3" width="9" style="17" hidden="1" customWidth="1" outlineLevel="1"/>
    <col min="4" max="4" width="9.6640625" style="17" hidden="1" customWidth="1" outlineLevel="1"/>
    <col min="5" max="5" width="25.6640625" style="17" hidden="1" customWidth="1" outlineLevel="1"/>
    <col min="6" max="6" width="23.77734375" style="17" bestFit="1" customWidth="1" collapsed="1"/>
    <col min="7" max="7" width="4.33203125" style="17" customWidth="1"/>
    <col min="8" max="8" width="12" style="16" customWidth="1" outlineLevel="1"/>
    <col min="9" max="9" width="26.77734375" style="22" customWidth="1"/>
    <col min="10" max="10" width="8.77734375" style="17" customWidth="1"/>
    <col min="11" max="11" width="8.21875" style="17" customWidth="1"/>
    <col min="12" max="12" width="16.77734375" style="17" hidden="1" customWidth="1"/>
    <col min="13" max="13" width="17" style="17" hidden="1" customWidth="1"/>
    <col min="14" max="14" width="21.33203125" style="22" hidden="1" customWidth="1"/>
    <col min="15" max="16" width="11.33203125" style="16" customWidth="1"/>
    <col min="17" max="17" width="10.33203125" style="23" customWidth="1"/>
    <col min="18" max="18" width="8.33203125" style="23" customWidth="1"/>
    <col min="19" max="19" width="10.33203125" style="23" customWidth="1"/>
    <col min="20" max="20" width="10.33203125" style="177" hidden="1" customWidth="1"/>
    <col min="21" max="22" width="11.77734375" style="22" hidden="1" customWidth="1"/>
    <col min="23" max="24" width="11.77734375" style="16" hidden="1" customWidth="1"/>
    <col min="25" max="25" width="29.44140625" style="372" hidden="1" customWidth="1"/>
    <col min="26" max="26" width="11.6640625" style="370" hidden="1" customWidth="1" outlineLevel="1"/>
    <col min="27" max="38" width="13" style="372" hidden="1" customWidth="1" outlineLevel="1"/>
    <col min="39" max="39" width="15.6640625" style="372" hidden="1" customWidth="1" outlineLevel="1"/>
    <col min="40" max="40" width="20.44140625" style="372" hidden="1" customWidth="1" outlineLevel="1" collapsed="1"/>
    <col min="41" max="41" width="22.88671875" style="372" hidden="1" customWidth="1" collapsed="1"/>
    <col min="42" max="42" width="39.109375" style="372" bestFit="1" customWidth="1"/>
    <col min="43" max="43" width="10.109375" style="26" customWidth="1"/>
    <col min="44" max="44" width="11.6640625" style="16" customWidth="1"/>
    <col min="45" max="45" width="12" style="16" customWidth="1"/>
    <col min="46" max="46" width="13" style="25" customWidth="1" outlineLevel="1"/>
    <col min="47" max="47" width="13.33203125" style="25" customWidth="1" outlineLevel="1"/>
    <col min="48" max="49" width="13.77734375" style="25" customWidth="1" outlineLevel="1"/>
    <col min="50" max="50" width="13.33203125" style="16" customWidth="1" outlineLevel="1"/>
    <col min="51" max="51" width="12.77734375" style="16" customWidth="1" outlineLevel="1"/>
    <col min="52" max="52" width="13.44140625" style="16" customWidth="1" outlineLevel="1"/>
    <col min="53" max="53" width="12.21875" style="16" customWidth="1" outlineLevel="1"/>
    <col min="54" max="56" width="11.6640625" style="16" customWidth="1" outlineLevel="2"/>
    <col min="57" max="57" width="10.77734375" style="16" customWidth="1" outlineLevel="2"/>
    <col min="58" max="58" width="12.109375" style="16" customWidth="1" outlineLevel="1"/>
    <col min="59" max="59" width="13" style="15" customWidth="1" outlineLevel="1"/>
    <col min="60" max="60" width="11.109375" style="27" customWidth="1" outlineLevel="1"/>
    <col min="61" max="61" width="11.109375" style="28" customWidth="1" outlineLevel="1"/>
    <col min="62" max="63" width="13.6640625" style="16" customWidth="1" outlineLevel="1"/>
    <col min="64" max="64" width="16.33203125" style="16" customWidth="1" outlineLevel="1"/>
    <col min="65" max="65" width="14.109375" style="16" customWidth="1" outlineLevel="1"/>
    <col min="66" max="66" width="16.33203125" style="16" customWidth="1" outlineLevel="1"/>
    <col min="67" max="67" width="16.6640625" style="16" customWidth="1" outlineLevel="1"/>
    <col min="68" max="68" width="16" style="16" customWidth="1" outlineLevel="1"/>
    <col min="69" max="69" width="19.109375" style="16" customWidth="1" outlineLevel="1"/>
    <col min="70" max="70" width="28.6640625" style="16" customWidth="1"/>
    <col min="71" max="71" width="12" style="27" customWidth="1"/>
    <col min="72" max="72" width="13.109375" style="16" customWidth="1"/>
    <col min="73" max="73" width="11.109375" style="16" customWidth="1"/>
    <col min="74" max="77" width="11.77734375" style="16" customWidth="1" outlineLevel="1"/>
    <col min="78" max="79" width="11.6640625" style="16" customWidth="1" outlineLevel="1"/>
    <col min="80" max="80" width="11.6640625" style="25" customWidth="1" outlineLevel="1"/>
    <col min="81" max="81" width="11.6640625" style="16" customWidth="1" outlineLevel="1"/>
    <col min="82" max="85" width="10.77734375" style="16" customWidth="1" outlineLevel="2"/>
    <col min="86" max="86" width="12.109375" style="25" customWidth="1" outlineLevel="1"/>
    <col min="87" max="87" width="11.88671875" style="16" customWidth="1" outlineLevel="1"/>
    <col min="88" max="89" width="10.33203125" style="16" customWidth="1" outlineLevel="1"/>
    <col min="90" max="90" width="15" style="16" customWidth="1" outlineLevel="1"/>
    <col min="91" max="92" width="14.33203125" style="16" customWidth="1" outlineLevel="1"/>
    <col min="93" max="93" width="11.33203125" style="16" customWidth="1" outlineLevel="1"/>
    <col min="94" max="94" width="13.109375" style="16" customWidth="1" outlineLevel="1"/>
    <col min="95" max="96" width="12.6640625" style="16" customWidth="1" outlineLevel="1"/>
    <col min="97" max="97" width="15.6640625" style="16" customWidth="1" outlineLevel="1"/>
    <col min="98" max="98" width="31.77734375" style="16" customWidth="1"/>
    <col min="99" max="99" width="8.6640625" style="16" customWidth="1"/>
    <col min="100" max="100" width="9.109375" style="16" customWidth="1"/>
    <col min="101" max="101" width="9.6640625" style="16" customWidth="1"/>
    <col min="102" max="102" width="11.77734375" style="16" customWidth="1" outlineLevel="1"/>
    <col min="103" max="105" width="12.6640625" style="16" customWidth="1" outlineLevel="1"/>
    <col min="106" max="107" width="11.77734375" style="16" customWidth="1" outlineLevel="1"/>
    <col min="108" max="108" width="12.88671875" style="16" customWidth="1" outlineLevel="1"/>
    <col min="109" max="109" width="11.6640625" style="16" customWidth="1" outlineLevel="1"/>
    <col min="110" max="113" width="10.77734375" style="16" customWidth="1" outlineLevel="2"/>
    <col min="114" max="114" width="11.88671875" style="16" customWidth="1" outlineLevel="1"/>
    <col min="115" max="115" width="11.33203125" style="16" customWidth="1" outlineLevel="1"/>
    <col min="116" max="117" width="10.77734375" style="16" customWidth="1" outlineLevel="1"/>
    <col min="118" max="119" width="20" style="16" customWidth="1" outlineLevel="1"/>
    <col min="120" max="121" width="15.6640625" style="16" customWidth="1" outlineLevel="1"/>
    <col min="122" max="122" width="13.109375" style="16" customWidth="1" outlineLevel="1"/>
    <col min="123" max="124" width="12.6640625" style="16" customWidth="1" outlineLevel="1"/>
    <col min="125" max="125" width="14.6640625" style="16" customWidth="1" outlineLevel="1"/>
    <col min="126" max="126" width="23.33203125" style="16" customWidth="1"/>
    <col min="127" max="127" width="8.6640625" style="16" customWidth="1"/>
    <col min="128" max="128" width="9.109375" style="16" customWidth="1"/>
    <col min="129" max="129" width="15.109375" style="16" customWidth="1"/>
    <col min="130" max="135" width="11.21875" style="16" customWidth="1"/>
    <col min="136" max="136" width="10.77734375" style="16" customWidth="1"/>
    <col min="137" max="137" width="11.44140625" style="16" customWidth="1"/>
    <col min="138" max="141" width="10.77734375" style="16" hidden="1" customWidth="1" outlineLevel="1"/>
    <col min="142" max="142" width="11.33203125" style="16" customWidth="1" collapsed="1"/>
    <col min="143" max="143" width="11.33203125" style="16" customWidth="1"/>
    <col min="144" max="145" width="10.77734375" style="16" customWidth="1"/>
    <col min="146" max="146" width="12.6640625" style="16" customWidth="1"/>
    <col min="147" max="147" width="13" style="16" customWidth="1"/>
    <col min="148" max="148" width="12.6640625" style="16" customWidth="1"/>
    <col min="149" max="149" width="16.6640625" style="16" customWidth="1"/>
    <col min="150" max="150" width="14.6640625" style="16" customWidth="1"/>
    <col min="151" max="151" width="19.77734375" style="16" customWidth="1"/>
    <col min="152" max="152" width="12.6640625" style="16" customWidth="1"/>
    <col min="153" max="153" width="18.33203125" style="16" customWidth="1"/>
    <col min="154" max="154" width="22" style="25" customWidth="1"/>
    <col min="155" max="155" width="22" style="16" customWidth="1"/>
    <col min="156" max="157" width="14.109375" style="16" customWidth="1"/>
    <col min="158" max="159" width="15.109375" style="16" customWidth="1"/>
    <col min="160" max="161" width="17.6640625" style="16" customWidth="1"/>
    <col min="162" max="166" width="16.6640625" style="15" hidden="1" customWidth="1" outlineLevel="1"/>
    <col min="167" max="167" width="21.6640625" style="16" hidden="1" customWidth="1" outlineLevel="1"/>
    <col min="168" max="172" width="16.6640625" style="15" hidden="1" customWidth="1" outlineLevel="1"/>
    <col min="173" max="173" width="20.6640625" style="16" customWidth="1" collapsed="1"/>
    <col min="174" max="174" width="22.77734375" style="16" customWidth="1"/>
    <col min="175" max="175" width="20.6640625" style="16" customWidth="1"/>
    <col min="176" max="176" width="22.6640625" style="33" hidden="1" customWidth="1" outlineLevel="1"/>
    <col min="177" max="177" width="18.77734375" style="361" customWidth="1" collapsed="1"/>
    <col min="178" max="178" width="19.6640625" style="33" hidden="1" customWidth="1" outlineLevel="1"/>
    <col min="179" max="182" width="11.6640625" style="33" hidden="1" customWidth="1" outlineLevel="1"/>
    <col min="183" max="183" width="14.33203125" style="33" hidden="1" customWidth="1" outlineLevel="1"/>
    <col min="184" max="184" width="11.33203125" style="33" hidden="1" customWidth="1" outlineLevel="1"/>
    <col min="185" max="187" width="10" style="33" hidden="1" customWidth="1" outlineLevel="1"/>
    <col min="188" max="188" width="13.33203125" style="33" hidden="1" customWidth="1" outlineLevel="1"/>
    <col min="189" max="189" width="14.33203125" style="33" hidden="1" customWidth="1" outlineLevel="1"/>
    <col min="190" max="193" width="14.6640625" style="33" hidden="1" customWidth="1" outlineLevel="1"/>
    <col min="194" max="194" width="12.77734375" style="33" hidden="1" customWidth="1" outlineLevel="1"/>
    <col min="195" max="199" width="11.6640625" style="33" hidden="1" customWidth="1" outlineLevel="1"/>
    <col min="200" max="200" width="8.33203125" customWidth="1" collapsed="1"/>
    <col min="201" max="201" width="14.33203125" style="30" customWidth="1"/>
    <col min="202" max="202" width="13" style="30" customWidth="1"/>
    <col min="203" max="203" width="16.6640625" style="31" customWidth="1"/>
    <col min="204" max="205" width="21.109375" style="31" customWidth="1"/>
    <col min="206" max="206" width="17" style="179" customWidth="1"/>
    <col min="207" max="207" width="9.109375" style="15"/>
    <col min="208" max="16384" width="9.109375" style="16"/>
  </cols>
  <sheetData>
    <row r="1" spans="1:207" s="1" customFormat="1">
      <c r="C1" s="2"/>
      <c r="D1" s="2"/>
      <c r="E1" s="2"/>
      <c r="F1" s="2"/>
      <c r="G1" s="3" t="s">
        <v>0</v>
      </c>
      <c r="H1" s="4" t="s">
        <v>0</v>
      </c>
      <c r="I1" s="5" t="s">
        <v>0</v>
      </c>
      <c r="J1" s="3" t="s">
        <v>0</v>
      </c>
      <c r="K1" s="3"/>
      <c r="L1" s="3" t="s">
        <v>0</v>
      </c>
      <c r="M1" s="3" t="s">
        <v>0</v>
      </c>
      <c r="N1" s="3" t="s">
        <v>1</v>
      </c>
      <c r="O1" s="5" t="s">
        <v>0</v>
      </c>
      <c r="P1" s="5" t="s">
        <v>0</v>
      </c>
      <c r="Q1" s="6" t="s">
        <v>0</v>
      </c>
      <c r="R1" s="6" t="s">
        <v>0</v>
      </c>
      <c r="S1" s="6" t="s">
        <v>0</v>
      </c>
      <c r="T1" s="5" t="s">
        <v>0</v>
      </c>
      <c r="U1" s="5" t="s">
        <v>0</v>
      </c>
      <c r="V1" s="5" t="s">
        <v>2</v>
      </c>
      <c r="W1" s="5" t="s">
        <v>2</v>
      </c>
      <c r="X1" s="5" t="s">
        <v>2</v>
      </c>
      <c r="Y1" s="368" t="s">
        <v>2</v>
      </c>
      <c r="Z1" s="368" t="s">
        <v>0</v>
      </c>
      <c r="AA1" s="368" t="s">
        <v>0</v>
      </c>
      <c r="AB1" s="368" t="s">
        <v>0</v>
      </c>
      <c r="AC1" s="368" t="s">
        <v>0</v>
      </c>
      <c r="AD1" s="368" t="s">
        <v>0</v>
      </c>
      <c r="AE1" s="368" t="s">
        <v>0</v>
      </c>
      <c r="AF1" s="368" t="s">
        <v>0</v>
      </c>
      <c r="AG1" s="368" t="s">
        <v>0</v>
      </c>
      <c r="AH1" s="368" t="s">
        <v>0</v>
      </c>
      <c r="AI1" s="368" t="s">
        <v>0</v>
      </c>
      <c r="AJ1" s="368" t="s">
        <v>0</v>
      </c>
      <c r="AK1" s="368" t="s">
        <v>0</v>
      </c>
      <c r="AL1" s="368" t="s">
        <v>0</v>
      </c>
      <c r="AM1" s="369"/>
      <c r="AN1" s="369"/>
      <c r="AO1" s="368" t="s">
        <v>0</v>
      </c>
      <c r="AP1" s="369"/>
      <c r="AQ1" s="7"/>
      <c r="AR1" s="8"/>
      <c r="AS1" s="8"/>
      <c r="AT1" s="9"/>
      <c r="AU1" s="9"/>
      <c r="AV1" s="9"/>
      <c r="AW1" s="9"/>
      <c r="AX1" s="5" t="s">
        <v>2</v>
      </c>
      <c r="AY1" s="5" t="s">
        <v>2</v>
      </c>
      <c r="AZ1" s="5" t="s">
        <v>768</v>
      </c>
      <c r="BA1" s="5" t="s">
        <v>2</v>
      </c>
      <c r="BB1" s="5" t="s">
        <v>2</v>
      </c>
      <c r="BC1" s="5" t="s">
        <v>2</v>
      </c>
      <c r="BD1" s="5" t="s">
        <v>2</v>
      </c>
      <c r="BE1" s="5" t="s">
        <v>2</v>
      </c>
      <c r="BH1" s="10"/>
      <c r="BI1" s="11"/>
      <c r="BS1" s="10"/>
      <c r="BZ1" s="5" t="s">
        <v>2</v>
      </c>
      <c r="CA1" s="5" t="s">
        <v>2</v>
      </c>
      <c r="CB1" s="5" t="s">
        <v>2</v>
      </c>
      <c r="CC1" s="5" t="s">
        <v>2</v>
      </c>
      <c r="CD1" s="5" t="s">
        <v>2</v>
      </c>
      <c r="CE1" s="5" t="s">
        <v>2</v>
      </c>
      <c r="CF1" s="5" t="s">
        <v>2</v>
      </c>
      <c r="CG1" s="5" t="s">
        <v>2</v>
      </c>
      <c r="CH1" s="9"/>
      <c r="DB1" s="5" t="s">
        <v>2</v>
      </c>
      <c r="DC1" s="5" t="s">
        <v>2</v>
      </c>
      <c r="DD1" s="5" t="s">
        <v>2</v>
      </c>
      <c r="DE1" s="5" t="s">
        <v>2</v>
      </c>
      <c r="DF1" s="5" t="s">
        <v>2</v>
      </c>
      <c r="DG1" s="5" t="s">
        <v>2</v>
      </c>
      <c r="DH1" s="5" t="s">
        <v>2</v>
      </c>
      <c r="DI1" s="5" t="s">
        <v>2</v>
      </c>
      <c r="ED1" s="5" t="s">
        <v>2</v>
      </c>
      <c r="EE1" s="5" t="s">
        <v>2</v>
      </c>
      <c r="EF1" s="5" t="s">
        <v>2</v>
      </c>
      <c r="EG1" s="5" t="s">
        <v>2</v>
      </c>
      <c r="EH1" s="5" t="s">
        <v>2</v>
      </c>
      <c r="EI1" s="5" t="s">
        <v>2</v>
      </c>
      <c r="EJ1" s="5" t="s">
        <v>2</v>
      </c>
      <c r="EK1" s="5" t="s">
        <v>2</v>
      </c>
      <c r="EX1" s="9"/>
      <c r="EZ1" s="1" t="s">
        <v>3</v>
      </c>
      <c r="FA1" s="1" t="s">
        <v>4</v>
      </c>
      <c r="FB1" s="1" t="s">
        <v>5</v>
      </c>
      <c r="FC1" s="1" t="s">
        <v>6</v>
      </c>
      <c r="FF1" s="1" t="s">
        <v>3</v>
      </c>
      <c r="FG1" s="1" t="s">
        <v>4</v>
      </c>
      <c r="FH1" s="1" t="s">
        <v>5</v>
      </c>
      <c r="FI1" s="1" t="s">
        <v>6</v>
      </c>
      <c r="FL1" s="1" t="s">
        <v>3</v>
      </c>
      <c r="FM1" s="1" t="s">
        <v>4</v>
      </c>
      <c r="FN1" s="1" t="s">
        <v>5</v>
      </c>
      <c r="FO1" s="1" t="s">
        <v>6</v>
      </c>
      <c r="FQ1" s="1" t="s">
        <v>4</v>
      </c>
      <c r="FR1" s="1" t="s">
        <v>5</v>
      </c>
      <c r="FS1" s="1" t="s">
        <v>6</v>
      </c>
      <c r="FU1" s="360"/>
      <c r="GR1"/>
      <c r="GS1" s="12"/>
      <c r="GT1" s="12"/>
      <c r="GU1" s="13"/>
      <c r="GV1" s="13"/>
      <c r="GW1" s="13"/>
      <c r="GX1" s="14" t="s">
        <v>7</v>
      </c>
      <c r="GY1" s="15"/>
    </row>
    <row r="2" spans="1:207" ht="19.5" customHeight="1">
      <c r="G2" s="18" t="s">
        <v>8</v>
      </c>
      <c r="H2" s="19">
        <v>4</v>
      </c>
      <c r="I2" s="736" t="s">
        <v>9</v>
      </c>
      <c r="J2" s="20"/>
      <c r="K2" s="20"/>
      <c r="L2" s="21"/>
      <c r="M2" s="21"/>
      <c r="Q2" s="155">
        <v>43466</v>
      </c>
      <c r="T2" s="22"/>
      <c r="V2" s="24">
        <v>1</v>
      </c>
      <c r="W2" s="24">
        <v>2</v>
      </c>
      <c r="X2" s="24">
        <v>3</v>
      </c>
      <c r="AA2" s="371">
        <v>22</v>
      </c>
      <c r="AB2" s="371">
        <v>17</v>
      </c>
      <c r="AC2" s="371">
        <v>20</v>
      </c>
      <c r="AD2" s="371">
        <v>22</v>
      </c>
      <c r="AE2" s="371">
        <v>22</v>
      </c>
      <c r="AF2" s="371">
        <v>19</v>
      </c>
      <c r="AG2" s="371">
        <v>23</v>
      </c>
      <c r="AH2" s="371">
        <v>21</v>
      </c>
      <c r="AI2" s="371">
        <v>19</v>
      </c>
      <c r="AJ2" s="371">
        <v>21</v>
      </c>
      <c r="AK2" s="371">
        <v>21</v>
      </c>
      <c r="AL2" s="371">
        <v>21</v>
      </c>
      <c r="AN2" s="373"/>
      <c r="AO2" s="373"/>
      <c r="AT2" s="398">
        <v>3</v>
      </c>
      <c r="AU2" s="398">
        <v>3</v>
      </c>
      <c r="AV2" s="401">
        <v>3</v>
      </c>
      <c r="AW2" s="401">
        <v>3</v>
      </c>
      <c r="AX2" s="400">
        <v>3</v>
      </c>
      <c r="AY2" s="400">
        <v>3</v>
      </c>
      <c r="AZ2" s="400">
        <v>3</v>
      </c>
      <c r="BA2" s="16">
        <v>3</v>
      </c>
      <c r="BR2" s="25">
        <f>780880-315878</f>
        <v>465002</v>
      </c>
      <c r="BV2" s="400">
        <v>4</v>
      </c>
      <c r="BW2" s="400">
        <v>4</v>
      </c>
      <c r="BX2" s="399">
        <v>4</v>
      </c>
      <c r="BY2" s="399">
        <v>4</v>
      </c>
      <c r="BZ2" s="400">
        <v>4</v>
      </c>
      <c r="CA2" s="400">
        <v>4</v>
      </c>
      <c r="CB2" s="398">
        <v>4</v>
      </c>
      <c r="CC2" s="16">
        <v>4</v>
      </c>
      <c r="CI2" s="29"/>
      <c r="CX2" s="400">
        <v>5</v>
      </c>
      <c r="CY2" s="400">
        <v>5</v>
      </c>
      <c r="CZ2" s="400">
        <v>5</v>
      </c>
      <c r="DA2" s="400">
        <v>5</v>
      </c>
      <c r="DB2" s="400">
        <v>5</v>
      </c>
      <c r="DC2" s="400">
        <v>5</v>
      </c>
      <c r="DD2" s="400">
        <v>5</v>
      </c>
      <c r="DE2" s="16">
        <v>5</v>
      </c>
      <c r="DZ2" s="400">
        <v>6</v>
      </c>
      <c r="EA2" s="400">
        <v>6</v>
      </c>
      <c r="EB2" s="400">
        <v>6</v>
      </c>
      <c r="EC2" s="400">
        <v>6</v>
      </c>
      <c r="ED2" s="400">
        <v>6</v>
      </c>
      <c r="EE2" s="400">
        <v>6</v>
      </c>
      <c r="EF2" s="400">
        <v>6</v>
      </c>
      <c r="EG2" s="16">
        <v>6</v>
      </c>
      <c r="FF2" s="16"/>
      <c r="FG2" s="16"/>
      <c r="FH2" s="16"/>
      <c r="FI2" s="16"/>
      <c r="FJ2" s="16"/>
      <c r="FL2" s="16"/>
      <c r="FM2" s="16"/>
      <c r="FN2" s="16"/>
      <c r="FO2" s="16"/>
      <c r="FP2" s="16"/>
      <c r="FQ2" s="14"/>
      <c r="FT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X2" s="32"/>
    </row>
    <row r="3" spans="1:207" ht="18" customHeight="1">
      <c r="A3" s="33"/>
      <c r="C3" s="17" t="s">
        <v>10</v>
      </c>
      <c r="G3" s="18" t="s">
        <v>11</v>
      </c>
      <c r="H3" s="34" t="s">
        <v>81</v>
      </c>
      <c r="I3" s="736"/>
      <c r="J3" s="35" t="s">
        <v>13</v>
      </c>
      <c r="K3" s="35"/>
      <c r="L3" s="36"/>
      <c r="M3" s="36"/>
      <c r="N3" s="37"/>
      <c r="O3" s="37"/>
      <c r="P3" s="37"/>
      <c r="Q3" s="38"/>
      <c r="R3" s="38"/>
      <c r="S3" s="38"/>
      <c r="T3" s="39"/>
      <c r="U3" s="39"/>
      <c r="V3" s="39"/>
      <c r="W3" s="37"/>
      <c r="X3" s="37"/>
      <c r="Y3" s="378"/>
      <c r="Z3" s="374" t="s">
        <v>14</v>
      </c>
      <c r="AA3" s="375">
        <v>43481</v>
      </c>
      <c r="AB3" s="375">
        <v>43517</v>
      </c>
      <c r="AC3" s="375">
        <v>43540</v>
      </c>
      <c r="AD3" s="375">
        <v>43568</v>
      </c>
      <c r="AE3" s="375">
        <v>43606</v>
      </c>
      <c r="AF3" s="375">
        <v>43634</v>
      </c>
      <c r="AG3" s="375">
        <v>43659</v>
      </c>
      <c r="AH3" s="375">
        <v>43697</v>
      </c>
      <c r="AI3" s="375">
        <v>43726</v>
      </c>
      <c r="AJ3" s="375">
        <v>43754</v>
      </c>
      <c r="AK3" s="375">
        <v>43785</v>
      </c>
      <c r="AL3" s="375">
        <v>43813</v>
      </c>
      <c r="AM3" s="376"/>
      <c r="AN3" s="377"/>
      <c r="AO3" s="378"/>
      <c r="AP3" s="587" t="s">
        <v>15</v>
      </c>
      <c r="AQ3" s="42"/>
      <c r="AR3" s="37"/>
      <c r="AS3" s="37"/>
      <c r="AT3" s="43"/>
      <c r="AU3" s="43"/>
      <c r="AV3" s="43"/>
      <c r="AW3" s="43"/>
      <c r="AX3" s="43"/>
      <c r="AY3" s="43"/>
      <c r="AZ3" s="37"/>
      <c r="BA3" s="37"/>
      <c r="BB3" s="44" t="s">
        <v>16</v>
      </c>
      <c r="BC3" s="45"/>
      <c r="BD3" s="37"/>
      <c r="BE3" s="37"/>
      <c r="BF3" s="43"/>
      <c r="BG3" s="43"/>
      <c r="BH3" s="46"/>
      <c r="BI3" s="47"/>
      <c r="BJ3" s="37"/>
      <c r="BK3" s="37"/>
      <c r="BL3" s="37"/>
      <c r="BM3" s="46"/>
      <c r="BN3" s="40"/>
      <c r="BO3" s="40"/>
      <c r="BP3" s="37"/>
      <c r="BQ3" s="37"/>
      <c r="BR3" s="41" t="s">
        <v>17</v>
      </c>
      <c r="BS3" s="46"/>
      <c r="BT3" s="37"/>
      <c r="BU3" s="37"/>
      <c r="BV3" s="37"/>
      <c r="BW3" s="37"/>
      <c r="BX3" s="43"/>
      <c r="BY3" s="43"/>
      <c r="BZ3" s="37"/>
      <c r="CA3" s="37"/>
      <c r="CB3" s="43"/>
      <c r="CC3" s="37"/>
      <c r="CD3" s="37"/>
      <c r="CE3" s="37"/>
      <c r="CF3" s="37"/>
      <c r="CG3" s="37"/>
      <c r="CH3" s="43"/>
      <c r="CI3" s="37"/>
      <c r="CJ3" s="37"/>
      <c r="CK3" s="37"/>
      <c r="CL3" s="37"/>
      <c r="CM3" s="37"/>
      <c r="CN3" s="37"/>
      <c r="CO3" s="37"/>
      <c r="CP3" s="40"/>
      <c r="CQ3" s="40"/>
      <c r="CR3" s="37"/>
      <c r="CS3" s="40"/>
      <c r="CT3" s="41" t="s">
        <v>18</v>
      </c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41" t="s">
        <v>19</v>
      </c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48" t="s">
        <v>20</v>
      </c>
      <c r="EY3" s="37"/>
      <c r="EZ3" s="48" t="s">
        <v>21</v>
      </c>
      <c r="FA3" s="37"/>
      <c r="FB3" s="37"/>
      <c r="FC3" s="37"/>
      <c r="FD3" s="37"/>
      <c r="FE3" s="37"/>
      <c r="FF3" s="48" t="s">
        <v>22</v>
      </c>
      <c r="FG3" s="49"/>
      <c r="FH3" s="49"/>
      <c r="FI3" s="49"/>
      <c r="FJ3" s="49"/>
      <c r="FK3" s="37"/>
      <c r="FL3" s="48" t="s">
        <v>23</v>
      </c>
      <c r="FM3" s="49"/>
      <c r="FN3" s="49"/>
      <c r="FO3" s="49"/>
      <c r="FP3" s="49"/>
      <c r="FQ3" s="48" t="s">
        <v>24</v>
      </c>
      <c r="FR3" s="50"/>
      <c r="FS3" s="37"/>
      <c r="FT3" s="37"/>
      <c r="FU3" s="362"/>
      <c r="FV3" s="37"/>
      <c r="FW3" s="49" t="s">
        <v>25</v>
      </c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S3" s="51" t="s">
        <v>26</v>
      </c>
      <c r="GT3" s="51"/>
      <c r="GU3" s="52"/>
      <c r="GV3" s="52"/>
      <c r="GW3" s="52"/>
      <c r="GX3" s="53"/>
    </row>
    <row r="4" spans="1:207" s="55" customFormat="1" ht="58.65" customHeight="1">
      <c r="A4" s="54"/>
      <c r="C4" s="56"/>
      <c r="D4" s="56"/>
      <c r="E4" s="56"/>
      <c r="F4" s="56"/>
      <c r="G4" s="57"/>
      <c r="H4" s="58" t="s">
        <v>27</v>
      </c>
      <c r="I4" s="582"/>
      <c r="J4" s="60"/>
      <c r="K4" s="60"/>
      <c r="L4" s="60"/>
      <c r="M4" s="60"/>
      <c r="N4" s="582"/>
      <c r="O4" s="582"/>
      <c r="P4" s="582"/>
      <c r="Q4" s="61"/>
      <c r="R4" s="61"/>
      <c r="S4" s="61"/>
      <c r="T4" s="582"/>
      <c r="U4" s="582"/>
      <c r="V4" s="489" t="s">
        <v>28</v>
      </c>
      <c r="W4" s="489"/>
      <c r="X4" s="489"/>
      <c r="Y4" s="490"/>
      <c r="Z4" s="379" t="s">
        <v>29</v>
      </c>
      <c r="AA4" s="379"/>
      <c r="AB4" s="379"/>
      <c r="AC4" s="379"/>
      <c r="AD4" s="379"/>
      <c r="AE4" s="379"/>
      <c r="AF4" s="379"/>
      <c r="AG4" s="379"/>
      <c r="AH4" s="379"/>
      <c r="AI4" s="379"/>
      <c r="AJ4" s="379"/>
      <c r="AK4" s="379"/>
      <c r="AL4" s="379"/>
      <c r="AM4" s="380"/>
      <c r="AN4" s="380"/>
      <c r="AO4" s="380"/>
      <c r="AP4" s="495"/>
      <c r="AQ4" s="62"/>
      <c r="AR4" s="582"/>
      <c r="AS4" s="582"/>
      <c r="AT4" s="732" t="s">
        <v>30</v>
      </c>
      <c r="AU4" s="732"/>
      <c r="AV4" s="732"/>
      <c r="AW4" s="732"/>
      <c r="AX4" s="733" t="s">
        <v>31</v>
      </c>
      <c r="AY4" s="733"/>
      <c r="AZ4" s="733"/>
      <c r="BA4" s="733"/>
      <c r="BB4" s="734" t="s">
        <v>32</v>
      </c>
      <c r="BC4" s="734"/>
      <c r="BD4" s="734"/>
      <c r="BE4" s="734"/>
      <c r="BF4" s="728" t="s">
        <v>33</v>
      </c>
      <c r="BG4" s="729"/>
      <c r="BH4" s="730"/>
      <c r="BI4" s="731"/>
      <c r="BJ4" s="582"/>
      <c r="BK4" s="582"/>
      <c r="BL4" s="582"/>
      <c r="BM4" s="582"/>
      <c r="BN4" s="582"/>
      <c r="BO4" s="63"/>
      <c r="BP4" s="582"/>
      <c r="BQ4" s="63"/>
      <c r="BR4" s="582"/>
      <c r="BS4" s="582"/>
      <c r="BT4" s="582"/>
      <c r="BU4" s="582"/>
      <c r="BV4" s="732" t="s">
        <v>34</v>
      </c>
      <c r="BW4" s="732"/>
      <c r="BX4" s="732"/>
      <c r="BY4" s="732"/>
      <c r="BZ4" s="733" t="s">
        <v>35</v>
      </c>
      <c r="CA4" s="733"/>
      <c r="CB4" s="733"/>
      <c r="CC4" s="733"/>
      <c r="CD4" s="734" t="s">
        <v>32</v>
      </c>
      <c r="CE4" s="734"/>
      <c r="CF4" s="734"/>
      <c r="CG4" s="734"/>
      <c r="CH4" s="728" t="s">
        <v>33</v>
      </c>
      <c r="CI4" s="729"/>
      <c r="CJ4" s="730"/>
      <c r="CK4" s="731"/>
      <c r="CL4" s="582"/>
      <c r="CM4" s="582"/>
      <c r="CN4" s="582"/>
      <c r="CO4" s="582"/>
      <c r="CP4" s="582"/>
      <c r="CQ4" s="63"/>
      <c r="CR4" s="582"/>
      <c r="CS4" s="63"/>
      <c r="CT4" s="582"/>
      <c r="CU4" s="582"/>
      <c r="CV4" s="582"/>
      <c r="CW4" s="582"/>
      <c r="CX4" s="732" t="s">
        <v>36</v>
      </c>
      <c r="CY4" s="732"/>
      <c r="CZ4" s="732"/>
      <c r="DA4" s="732"/>
      <c r="DB4" s="733" t="s">
        <v>37</v>
      </c>
      <c r="DC4" s="733"/>
      <c r="DD4" s="733"/>
      <c r="DE4" s="733"/>
      <c r="DF4" s="734" t="s">
        <v>32</v>
      </c>
      <c r="DG4" s="734"/>
      <c r="DH4" s="734"/>
      <c r="DI4" s="734"/>
      <c r="DJ4" s="728" t="s">
        <v>33</v>
      </c>
      <c r="DK4" s="729"/>
      <c r="DL4" s="730"/>
      <c r="DM4" s="731"/>
      <c r="DN4" s="582"/>
      <c r="DO4" s="582"/>
      <c r="DP4" s="582"/>
      <c r="DQ4" s="582"/>
      <c r="DR4" s="582"/>
      <c r="DS4" s="63"/>
      <c r="DT4" s="582"/>
      <c r="DU4" s="63"/>
      <c r="DV4" s="582"/>
      <c r="DW4" s="582"/>
      <c r="DX4" s="582"/>
      <c r="DY4" s="582"/>
      <c r="DZ4" s="732" t="s">
        <v>38</v>
      </c>
      <c r="EA4" s="732"/>
      <c r="EB4" s="732"/>
      <c r="EC4" s="732"/>
      <c r="ED4" s="733" t="s">
        <v>39</v>
      </c>
      <c r="EE4" s="733"/>
      <c r="EF4" s="733"/>
      <c r="EG4" s="733"/>
      <c r="EH4" s="734" t="s">
        <v>32</v>
      </c>
      <c r="EI4" s="734"/>
      <c r="EJ4" s="734"/>
      <c r="EK4" s="734"/>
      <c r="EL4" s="728" t="s">
        <v>33</v>
      </c>
      <c r="EM4" s="729"/>
      <c r="EN4" s="730"/>
      <c r="EO4" s="731"/>
      <c r="EP4" s="582"/>
      <c r="EQ4" s="582"/>
      <c r="ER4" s="582"/>
      <c r="ES4" s="582"/>
      <c r="ET4" s="582"/>
      <c r="EU4" s="63"/>
      <c r="EV4" s="582"/>
      <c r="EW4" s="63"/>
      <c r="EX4" s="64" t="s">
        <v>40</v>
      </c>
      <c r="EY4" s="65" t="s">
        <v>41</v>
      </c>
      <c r="EZ4" s="66" t="s">
        <v>42</v>
      </c>
      <c r="FA4" s="66" t="s">
        <v>43</v>
      </c>
      <c r="FB4" s="66" t="s">
        <v>44</v>
      </c>
      <c r="FC4" s="66" t="s">
        <v>45</v>
      </c>
      <c r="FD4" s="67"/>
      <c r="FE4" s="67"/>
      <c r="FF4" s="68" t="s">
        <v>42</v>
      </c>
      <c r="FG4" s="68" t="s">
        <v>43</v>
      </c>
      <c r="FH4" s="68" t="s">
        <v>44</v>
      </c>
      <c r="FI4" s="68" t="s">
        <v>45</v>
      </c>
      <c r="FJ4" s="68"/>
      <c r="FK4" s="69"/>
      <c r="FL4" s="70" t="s">
        <v>42</v>
      </c>
      <c r="FM4" s="71" t="s">
        <v>43</v>
      </c>
      <c r="FN4" s="71" t="s">
        <v>44</v>
      </c>
      <c r="FO4" s="71" t="s">
        <v>45</v>
      </c>
      <c r="FP4" s="71"/>
      <c r="FQ4" s="735" t="s">
        <v>46</v>
      </c>
      <c r="FR4" s="735"/>
      <c r="FS4" s="735"/>
      <c r="FT4" s="72"/>
      <c r="FU4" s="363"/>
      <c r="FV4" s="73"/>
      <c r="FW4" s="74" t="s">
        <v>47</v>
      </c>
      <c r="FX4" s="75"/>
      <c r="FY4" s="75"/>
      <c r="FZ4" s="75"/>
      <c r="GA4" s="75"/>
      <c r="GB4" s="75"/>
      <c r="GC4" s="76"/>
      <c r="GD4" s="75"/>
      <c r="GE4" s="75"/>
      <c r="GF4" s="74"/>
      <c r="GG4" s="74"/>
      <c r="GH4" s="74"/>
      <c r="GI4" s="74"/>
      <c r="GJ4" s="74"/>
      <c r="GK4" s="74"/>
      <c r="GL4" s="75"/>
      <c r="GM4" s="75"/>
      <c r="GN4" s="75"/>
      <c r="GO4" s="75"/>
      <c r="GP4" s="75"/>
      <c r="GQ4" s="75"/>
      <c r="GR4"/>
      <c r="GS4" s="727" t="s">
        <v>48</v>
      </c>
      <c r="GT4" s="727"/>
      <c r="GU4" s="727"/>
      <c r="GV4" s="727"/>
      <c r="GW4" s="727"/>
      <c r="GX4" s="727"/>
      <c r="GY4" s="77"/>
    </row>
    <row r="5" spans="1:207" s="101" customFormat="1" ht="33" customHeight="1">
      <c r="A5" s="78" t="s">
        <v>49</v>
      </c>
      <c r="B5" s="79" t="s">
        <v>50</v>
      </c>
      <c r="C5" s="80" t="s">
        <v>51</v>
      </c>
      <c r="D5" s="80" t="s">
        <v>52</v>
      </c>
      <c r="E5" s="80" t="s">
        <v>53</v>
      </c>
      <c r="F5" s="80" t="s">
        <v>54</v>
      </c>
      <c r="G5" s="81" t="s">
        <v>55</v>
      </c>
      <c r="H5" s="82" t="s">
        <v>56</v>
      </c>
      <c r="I5" s="83" t="s">
        <v>57</v>
      </c>
      <c r="J5" s="81" t="s">
        <v>58</v>
      </c>
      <c r="K5" s="81" t="s">
        <v>59</v>
      </c>
      <c r="L5" s="81" t="s">
        <v>60</v>
      </c>
      <c r="M5" s="81" t="s">
        <v>61</v>
      </c>
      <c r="N5" s="84" t="s">
        <v>62</v>
      </c>
      <c r="O5" s="84" t="s">
        <v>63</v>
      </c>
      <c r="P5" s="84" t="s">
        <v>64</v>
      </c>
      <c r="Q5" s="85" t="s">
        <v>654</v>
      </c>
      <c r="R5" s="85" t="s">
        <v>655</v>
      </c>
      <c r="S5" s="85" t="s">
        <v>65</v>
      </c>
      <c r="T5" s="84" t="s">
        <v>66</v>
      </c>
      <c r="U5" s="84" t="s">
        <v>67</v>
      </c>
      <c r="V5" s="84" t="s">
        <v>68</v>
      </c>
      <c r="W5" s="84" t="s">
        <v>69</v>
      </c>
      <c r="X5" s="84" t="s">
        <v>70</v>
      </c>
      <c r="Y5" s="491" t="s">
        <v>71</v>
      </c>
      <c r="Z5" s="381" t="s">
        <v>72</v>
      </c>
      <c r="AA5" s="382" t="s">
        <v>12</v>
      </c>
      <c r="AB5" s="382" t="s">
        <v>73</v>
      </c>
      <c r="AC5" s="382" t="s">
        <v>74</v>
      </c>
      <c r="AD5" s="382" t="s">
        <v>75</v>
      </c>
      <c r="AE5" s="382" t="s">
        <v>76</v>
      </c>
      <c r="AF5" s="382" t="s">
        <v>77</v>
      </c>
      <c r="AG5" s="382" t="s">
        <v>78</v>
      </c>
      <c r="AH5" s="382" t="s">
        <v>79</v>
      </c>
      <c r="AI5" s="382" t="s">
        <v>80</v>
      </c>
      <c r="AJ5" s="382" t="s">
        <v>81</v>
      </c>
      <c r="AK5" s="382" t="s">
        <v>82</v>
      </c>
      <c r="AL5" s="382" t="s">
        <v>83</v>
      </c>
      <c r="AM5" s="381" t="s">
        <v>84</v>
      </c>
      <c r="AN5" s="381" t="s">
        <v>85</v>
      </c>
      <c r="AO5" s="381" t="s">
        <v>86</v>
      </c>
      <c r="AP5" s="496" t="s">
        <v>87</v>
      </c>
      <c r="AQ5" s="348" t="s">
        <v>88</v>
      </c>
      <c r="AR5" s="353" t="s">
        <v>89</v>
      </c>
      <c r="AS5" s="84" t="s">
        <v>90</v>
      </c>
      <c r="AT5" s="349" t="s">
        <v>91</v>
      </c>
      <c r="AU5" s="357" t="s">
        <v>92</v>
      </c>
      <c r="AV5" s="357" t="s">
        <v>93</v>
      </c>
      <c r="AW5" s="357" t="s">
        <v>94</v>
      </c>
      <c r="AX5" s="350" t="s">
        <v>95</v>
      </c>
      <c r="AY5" s="84" t="s">
        <v>96</v>
      </c>
      <c r="AZ5" s="84" t="s">
        <v>789</v>
      </c>
      <c r="BA5" s="84" t="s">
        <v>98</v>
      </c>
      <c r="BB5" s="86" t="s">
        <v>95</v>
      </c>
      <c r="BC5" s="86" t="s">
        <v>96</v>
      </c>
      <c r="BD5" s="86" t="s">
        <v>97</v>
      </c>
      <c r="BE5" s="86" t="s">
        <v>98</v>
      </c>
      <c r="BF5" s="84" t="s">
        <v>95</v>
      </c>
      <c r="BG5" s="84" t="s">
        <v>96</v>
      </c>
      <c r="BH5" s="84" t="s">
        <v>97</v>
      </c>
      <c r="BI5" s="84" t="s">
        <v>98</v>
      </c>
      <c r="BJ5" s="84" t="s">
        <v>99</v>
      </c>
      <c r="BK5" s="84" t="s">
        <v>100</v>
      </c>
      <c r="BL5" s="84" t="s">
        <v>101</v>
      </c>
      <c r="BM5" s="84" t="s">
        <v>102</v>
      </c>
      <c r="BN5" s="84" t="s">
        <v>103</v>
      </c>
      <c r="BO5" s="84" t="s">
        <v>104</v>
      </c>
      <c r="BP5" s="84" t="s">
        <v>105</v>
      </c>
      <c r="BQ5" s="84" t="s">
        <v>106</v>
      </c>
      <c r="BR5" s="355" t="s">
        <v>107</v>
      </c>
      <c r="BS5" s="350" t="s">
        <v>108</v>
      </c>
      <c r="BT5" s="353" t="s">
        <v>109</v>
      </c>
      <c r="BU5" s="84" t="s">
        <v>110</v>
      </c>
      <c r="BV5" s="349" t="s">
        <v>111</v>
      </c>
      <c r="BW5" s="357" t="s">
        <v>112</v>
      </c>
      <c r="BX5" s="357" t="s">
        <v>113</v>
      </c>
      <c r="BY5" s="357" t="s">
        <v>114</v>
      </c>
      <c r="BZ5" s="350" t="s">
        <v>115</v>
      </c>
      <c r="CA5" s="84" t="s">
        <v>116</v>
      </c>
      <c r="CB5" s="84" t="s">
        <v>117</v>
      </c>
      <c r="CC5" s="84" t="s">
        <v>118</v>
      </c>
      <c r="CD5" s="86" t="s">
        <v>115</v>
      </c>
      <c r="CE5" s="86" t="s">
        <v>116</v>
      </c>
      <c r="CF5" s="86" t="s">
        <v>117</v>
      </c>
      <c r="CG5" s="86" t="s">
        <v>118</v>
      </c>
      <c r="CH5" s="84" t="s">
        <v>115</v>
      </c>
      <c r="CI5" s="84" t="s">
        <v>116</v>
      </c>
      <c r="CJ5" s="84" t="s">
        <v>117</v>
      </c>
      <c r="CK5" s="84" t="s">
        <v>118</v>
      </c>
      <c r="CL5" s="84" t="s">
        <v>119</v>
      </c>
      <c r="CM5" s="84" t="s">
        <v>120</v>
      </c>
      <c r="CN5" s="84" t="s">
        <v>121</v>
      </c>
      <c r="CO5" s="84" t="s">
        <v>122</v>
      </c>
      <c r="CP5" s="84" t="s">
        <v>123</v>
      </c>
      <c r="CQ5" s="84" t="s">
        <v>124</v>
      </c>
      <c r="CR5" s="84" t="s">
        <v>105</v>
      </c>
      <c r="CS5" s="84" t="s">
        <v>125</v>
      </c>
      <c r="CT5" s="356" t="s">
        <v>126</v>
      </c>
      <c r="CU5" s="351" t="s">
        <v>127</v>
      </c>
      <c r="CV5" s="354" t="s">
        <v>128</v>
      </c>
      <c r="CW5" s="582" t="s">
        <v>129</v>
      </c>
      <c r="CX5" s="352" t="s">
        <v>130</v>
      </c>
      <c r="CY5" s="358" t="s">
        <v>131</v>
      </c>
      <c r="CZ5" s="358" t="s">
        <v>132</v>
      </c>
      <c r="DA5" s="358" t="s">
        <v>133</v>
      </c>
      <c r="DB5" s="582" t="s">
        <v>134</v>
      </c>
      <c r="DC5" s="582" t="s">
        <v>135</v>
      </c>
      <c r="DD5" s="582" t="s">
        <v>136</v>
      </c>
      <c r="DE5" s="582" t="s">
        <v>137</v>
      </c>
      <c r="DF5" s="87" t="s">
        <v>134</v>
      </c>
      <c r="DG5" s="87" t="s">
        <v>135</v>
      </c>
      <c r="DH5" s="87" t="s">
        <v>136</v>
      </c>
      <c r="DI5" s="87" t="s">
        <v>137</v>
      </c>
      <c r="DJ5" s="582" t="s">
        <v>134</v>
      </c>
      <c r="DK5" s="582" t="s">
        <v>135</v>
      </c>
      <c r="DL5" s="582" t="s">
        <v>136</v>
      </c>
      <c r="DM5" s="582" t="s">
        <v>137</v>
      </c>
      <c r="DN5" s="582" t="s">
        <v>138</v>
      </c>
      <c r="DO5" s="582" t="s">
        <v>139</v>
      </c>
      <c r="DP5" s="582" t="s">
        <v>140</v>
      </c>
      <c r="DQ5" s="582" t="s">
        <v>141</v>
      </c>
      <c r="DR5" s="582" t="s">
        <v>142</v>
      </c>
      <c r="DS5" s="582" t="s">
        <v>143</v>
      </c>
      <c r="DT5" s="582" t="s">
        <v>105</v>
      </c>
      <c r="DU5" s="582" t="s">
        <v>144</v>
      </c>
      <c r="DV5" s="582" t="s">
        <v>145</v>
      </c>
      <c r="DW5" s="351" t="s">
        <v>146</v>
      </c>
      <c r="DX5" s="354" t="s">
        <v>147</v>
      </c>
      <c r="DY5" s="582" t="s">
        <v>148</v>
      </c>
      <c r="DZ5" s="352" t="s">
        <v>149</v>
      </c>
      <c r="EA5" s="358" t="s">
        <v>150</v>
      </c>
      <c r="EB5" s="358" t="s">
        <v>151</v>
      </c>
      <c r="EC5" s="358" t="s">
        <v>152</v>
      </c>
      <c r="ED5" s="351" t="s">
        <v>153</v>
      </c>
      <c r="EE5" s="582" t="s">
        <v>154</v>
      </c>
      <c r="EF5" s="582" t="s">
        <v>155</v>
      </c>
      <c r="EG5" s="582" t="s">
        <v>156</v>
      </c>
      <c r="EH5" s="87" t="s">
        <v>153</v>
      </c>
      <c r="EI5" s="87" t="s">
        <v>154</v>
      </c>
      <c r="EJ5" s="87" t="s">
        <v>155</v>
      </c>
      <c r="EK5" s="87" t="s">
        <v>156</v>
      </c>
      <c r="EL5" s="582" t="s">
        <v>153</v>
      </c>
      <c r="EM5" s="582" t="s">
        <v>154</v>
      </c>
      <c r="EN5" s="582" t="s">
        <v>155</v>
      </c>
      <c r="EO5" s="582" t="s">
        <v>156</v>
      </c>
      <c r="EP5" s="582" t="s">
        <v>157</v>
      </c>
      <c r="EQ5" s="582" t="s">
        <v>158</v>
      </c>
      <c r="ER5" s="582" t="s">
        <v>159</v>
      </c>
      <c r="ES5" s="582" t="s">
        <v>160</v>
      </c>
      <c r="ET5" s="582" t="s">
        <v>161</v>
      </c>
      <c r="EU5" s="582" t="s">
        <v>162</v>
      </c>
      <c r="EV5" s="582" t="s">
        <v>105</v>
      </c>
      <c r="EW5" s="582" t="s">
        <v>163</v>
      </c>
      <c r="EX5" s="88" t="s">
        <v>164</v>
      </c>
      <c r="EY5" s="89" t="s">
        <v>165</v>
      </c>
      <c r="EZ5" s="90" t="s">
        <v>166</v>
      </c>
      <c r="FA5" s="90" t="s">
        <v>166</v>
      </c>
      <c r="FB5" s="90" t="s">
        <v>166</v>
      </c>
      <c r="FC5" s="90" t="s">
        <v>166</v>
      </c>
      <c r="FD5" s="90" t="s">
        <v>167</v>
      </c>
      <c r="FE5" s="90" t="s">
        <v>168</v>
      </c>
      <c r="FF5" s="91" t="s">
        <v>169</v>
      </c>
      <c r="FG5" s="91" t="s">
        <v>169</v>
      </c>
      <c r="FH5" s="91" t="s">
        <v>169</v>
      </c>
      <c r="FI5" s="91" t="s">
        <v>169</v>
      </c>
      <c r="FJ5" s="91" t="s">
        <v>170</v>
      </c>
      <c r="FK5" s="91" t="s">
        <v>171</v>
      </c>
      <c r="FL5" s="92" t="s">
        <v>172</v>
      </c>
      <c r="FM5" s="92" t="s">
        <v>172</v>
      </c>
      <c r="FN5" s="92" t="s">
        <v>172</v>
      </c>
      <c r="FO5" s="92" t="s">
        <v>172</v>
      </c>
      <c r="FP5" s="92" t="s">
        <v>743</v>
      </c>
      <c r="FQ5" s="93" t="s">
        <v>173</v>
      </c>
      <c r="FR5" s="93" t="s">
        <v>174</v>
      </c>
      <c r="FS5" s="93" t="s">
        <v>175</v>
      </c>
      <c r="FT5" s="93" t="s">
        <v>176</v>
      </c>
      <c r="FU5" s="364" t="s">
        <v>177</v>
      </c>
      <c r="FV5" s="94" t="s">
        <v>178</v>
      </c>
      <c r="FW5" s="95" t="s">
        <v>179</v>
      </c>
      <c r="FX5" s="95" t="s">
        <v>180</v>
      </c>
      <c r="FY5" s="95" t="s">
        <v>181</v>
      </c>
      <c r="FZ5" s="95" t="s">
        <v>182</v>
      </c>
      <c r="GA5" s="95" t="s">
        <v>183</v>
      </c>
      <c r="GB5" s="95" t="s">
        <v>184</v>
      </c>
      <c r="GC5" s="95" t="s">
        <v>185</v>
      </c>
      <c r="GD5" s="95" t="s">
        <v>186</v>
      </c>
      <c r="GE5" s="95" t="s">
        <v>187</v>
      </c>
      <c r="GF5" s="95" t="s">
        <v>188</v>
      </c>
      <c r="GG5" s="95" t="s">
        <v>189</v>
      </c>
      <c r="GH5" s="95" t="s">
        <v>190</v>
      </c>
      <c r="GI5" s="95" t="s">
        <v>191</v>
      </c>
      <c r="GJ5" s="95" t="s">
        <v>192</v>
      </c>
      <c r="GK5" s="95" t="s">
        <v>193</v>
      </c>
      <c r="GL5" s="95" t="s">
        <v>194</v>
      </c>
      <c r="GM5" s="95" t="s">
        <v>195</v>
      </c>
      <c r="GN5" s="95" t="s">
        <v>196</v>
      </c>
      <c r="GO5" s="95" t="s">
        <v>197</v>
      </c>
      <c r="GP5" s="95" t="s">
        <v>198</v>
      </c>
      <c r="GQ5" s="95" t="s">
        <v>199</v>
      </c>
      <c r="GR5" s="96" t="s">
        <v>200</v>
      </c>
      <c r="GS5" s="97" t="s">
        <v>201</v>
      </c>
      <c r="GT5" s="97" t="s">
        <v>202</v>
      </c>
      <c r="GU5" s="98" t="s">
        <v>203</v>
      </c>
      <c r="GV5" s="98" t="s">
        <v>204</v>
      </c>
      <c r="GW5" s="98" t="s">
        <v>205</v>
      </c>
      <c r="GX5" s="99" t="s">
        <v>206</v>
      </c>
      <c r="GY5" s="100"/>
    </row>
    <row r="6" spans="1:207" s="152" customFormat="1" ht="15" hidden="1" customHeight="1">
      <c r="A6" s="129"/>
      <c r="B6" s="130"/>
      <c r="C6" s="130"/>
      <c r="D6" s="131"/>
      <c r="E6" s="131" t="s">
        <v>224</v>
      </c>
      <c r="F6" s="131" t="s">
        <v>225</v>
      </c>
      <c r="G6" s="131" t="s">
        <v>226</v>
      </c>
      <c r="H6" s="132" t="s">
        <v>227</v>
      </c>
      <c r="I6" s="133" t="s">
        <v>228</v>
      </c>
      <c r="J6" s="131" t="s">
        <v>212</v>
      </c>
      <c r="K6" s="131" t="s">
        <v>221</v>
      </c>
      <c r="L6" s="131" t="s">
        <v>229</v>
      </c>
      <c r="M6" s="131" t="s">
        <v>229</v>
      </c>
      <c r="N6" s="134"/>
      <c r="O6" s="540">
        <v>41376</v>
      </c>
      <c r="P6" s="155">
        <v>43282</v>
      </c>
      <c r="Q6" s="321">
        <f t="shared" ref="Q6:Q69" si="0">IF(P6&gt;$Q$2,MONTH(P6),0)</f>
        <v>0</v>
      </c>
      <c r="R6" s="109">
        <f>IF((P6-VLOOKUP(Q6,month!$A$1:$C$13,3,0))&lt;0,Q6,Q6+1)</f>
        <v>0</v>
      </c>
      <c r="S6" s="108"/>
      <c r="T6" s="135" t="str">
        <f t="shared" ref="T6:T12" si="1">IF(S6&gt;0,"Y","")</f>
        <v/>
      </c>
      <c r="U6" s="134"/>
      <c r="V6" s="134"/>
      <c r="W6" s="134"/>
      <c r="X6" s="134"/>
      <c r="Y6" s="383"/>
      <c r="Z6" s="383" t="s">
        <v>545</v>
      </c>
      <c r="AA6" s="371">
        <v>5000000</v>
      </c>
      <c r="AB6" s="371">
        <v>5000000</v>
      </c>
      <c r="AC6" s="371">
        <v>5000000</v>
      </c>
      <c r="AD6" s="371">
        <v>5000000</v>
      </c>
      <c r="AE6" s="371">
        <v>5000000</v>
      </c>
      <c r="AF6" s="371">
        <v>5000000</v>
      </c>
      <c r="AG6" s="371">
        <v>5000000</v>
      </c>
      <c r="AH6" s="371">
        <v>5000000</v>
      </c>
      <c r="AI6" s="371">
        <v>5000000</v>
      </c>
      <c r="AJ6" s="371">
        <v>5000000</v>
      </c>
      <c r="AK6" s="371">
        <v>5000000</v>
      </c>
      <c r="AL6" s="371">
        <v>5000000</v>
      </c>
      <c r="AM6" s="384">
        <f t="shared" ref="AM6:AM35" si="2">IF($H$2=1,SUM(AA6:AC6),IF($H$2=2,SUM(AA6:AF6),IF($H$2=3,SUM(AA6:AI6),SUM(AA6:AL6))))</f>
        <v>60000000</v>
      </c>
      <c r="AN6" s="384">
        <f t="shared" ref="AN6:AN69" si="3">SUM(AA6:AL6)+INDEX(AA6:AL6,,MATCH($H$3,$AA$5:$AL$5,0))*(12-COUNTA(AA6:AL6))</f>
        <v>60000000</v>
      </c>
      <c r="AO6" s="385">
        <f>AI6</f>
        <v>5000000</v>
      </c>
      <c r="AP6" s="497" t="s">
        <v>668</v>
      </c>
      <c r="AQ6" s="156">
        <v>0.4</v>
      </c>
      <c r="AR6" s="153" t="s">
        <v>211</v>
      </c>
      <c r="AS6" s="146" t="s">
        <v>210</v>
      </c>
      <c r="AT6" s="136">
        <v>19653413.080999997</v>
      </c>
      <c r="AU6" s="136"/>
      <c r="AV6" s="136"/>
      <c r="AW6" s="111"/>
      <c r="AX6" s="138">
        <v>19427532.107000571</v>
      </c>
      <c r="AY6" s="138"/>
      <c r="AZ6" s="138"/>
      <c r="BA6" s="138"/>
      <c r="BB6" s="138"/>
      <c r="BC6" s="138"/>
      <c r="BD6" s="138"/>
      <c r="BE6" s="138"/>
      <c r="BF6" s="139">
        <f>AX6+BB6</f>
        <v>19427532.107000571</v>
      </c>
      <c r="BG6" s="139">
        <f>AY6+BC6</f>
        <v>0</v>
      </c>
      <c r="BH6" s="139">
        <f>AZ6+BD6</f>
        <v>0</v>
      </c>
      <c r="BI6" s="139">
        <f>BA6+BE6</f>
        <v>0</v>
      </c>
      <c r="BJ6" s="139">
        <f t="shared" ref="BJ6:BJ37" si="4">IF($BB$3="After AR Adjustment",IF($H$2=1,BF6,IF($H$2=2,SUM(BF6:BG6),IF($H$2=3,SUM(BF6:BH6),SUM(BF6:BI6)))),IF($H$2=1,AX6,IF($H$2=2,SUM(AX6:AY6),IF($H$2=3,SUM(AX6:AZ6),SUM(AX6:BA6)))))</f>
        <v>19427532.107000571</v>
      </c>
      <c r="BK6" s="140">
        <f t="shared" ref="BK6:BK35" si="5">IF($H$2=1,AT6,IF($H$2=2,SUM(AT6:AU6),IF($H$2=3,SUM(AT6:AV6),SUM(AT6:AW6))))</f>
        <v>19653413.080999997</v>
      </c>
      <c r="BL6" s="140">
        <f>SUM(AT6:AW6)</f>
        <v>19653413.080999997</v>
      </c>
      <c r="BM6" s="141">
        <f>IFERROR(ROUND(BJ6/BK6,4),0)</f>
        <v>0.98850000000000005</v>
      </c>
      <c r="BN6" s="142">
        <f t="shared" ref="BN6:BN69" ca="1" si="6">IF(OR(AP6="MBO",AP6="10% Realized Price"),BM6,SUMPRODUCT(Lower_Payout*(Curve=AR6)*(Lower_Attain&lt;=BM6)*(Upper_Attain&gt;BM6))+(BM6-SUMPRODUCT(Lower_Attain*(Curve=AR6)*(Lower_Attain&lt;=BM6)*(Upper_Attain&gt;BM6)))*SUMPRODUCT(Slope*(Curve=AR6)*(Lower_Attain&lt;=BM6)*(Upper_Attain&gt;BM6)))</f>
        <v>0</v>
      </c>
      <c r="BO6" s="143">
        <f t="shared" ref="BO6:BO69" ca="1" si="7">IFERROR(AM6*AQ6*BN6,0)</f>
        <v>0</v>
      </c>
      <c r="BP6" s="144" t="str">
        <f t="shared" ref="BP6:BP69" si="8">IF($T6="Y","100%",IF($H$2=4,"Uncapped",IF(N6="Y","100%",IF($G6="AA","50%",IF($G6="SA","90%",IF($G6="APJ Regional-AA","50%",IF($G6="APJ Regional-SA","90%",75%)))))))</f>
        <v>Uncapped</v>
      </c>
      <c r="BQ6" s="140">
        <f t="shared" ref="BQ6:BQ69" ca="1" si="9">IF(BP6="Uncapped",BO6,IFERROR(AM6*AQ6*BP6,0))</f>
        <v>0</v>
      </c>
      <c r="BR6" s="138" t="s">
        <v>689</v>
      </c>
      <c r="BS6" s="158">
        <v>0.2</v>
      </c>
      <c r="BT6" s="138" t="s">
        <v>211</v>
      </c>
      <c r="BU6" s="157" t="s">
        <v>210</v>
      </c>
      <c r="BV6" s="138">
        <v>19653413.080999997</v>
      </c>
      <c r="BW6" s="136"/>
      <c r="BX6" s="136"/>
      <c r="BY6" s="111"/>
      <c r="BZ6" s="138">
        <v>19427532.107000571</v>
      </c>
      <c r="CA6" s="138"/>
      <c r="CB6" s="138"/>
      <c r="CC6" s="138"/>
      <c r="CD6" s="138"/>
      <c r="CE6" s="138"/>
      <c r="CF6" s="138"/>
      <c r="CG6" s="138"/>
      <c r="CH6" s="139">
        <f>BZ6+CD6</f>
        <v>19427532.107000571</v>
      </c>
      <c r="CI6" s="139">
        <f>CA6+CE6</f>
        <v>0</v>
      </c>
      <c r="CJ6" s="145">
        <f>CB6+CF6</f>
        <v>0</v>
      </c>
      <c r="CK6" s="139">
        <f>CC6+CG6</f>
        <v>0</v>
      </c>
      <c r="CL6" s="139">
        <f t="shared" ref="CL6:CL69" si="10">IF($BB$3="After AR Adjustment",IF($H$2=1,CH6,IF($H$2=2,SUM(CH6:CI6),IF($H$2=3,SUM(CH6:CJ6),SUM(CH6:CK6)))),IF($H$2=1,BZ6,IF($H$2=2,SUM(BZ6:CA6),IF($H$2=3,SUM(BZ6:CB6),SUM(BZ6:CC6)))))</f>
        <v>19427532.107000571</v>
      </c>
      <c r="CM6" s="139">
        <f t="shared" ref="CM6:CM35" si="11">IF($H$2=1,BV6,IF($H$2=2,SUM(BV6:BW6),IF($H$2=3,SUM(BV6:BX6),SUM(BV6:BY6))))</f>
        <v>19653413.080999997</v>
      </c>
      <c r="CN6" s="139">
        <f>SUM(BV6:BY6)</f>
        <v>19653413.080999997</v>
      </c>
      <c r="CO6" s="141">
        <f>IFERROR(ROUND(CL6/CM6,4),0)</f>
        <v>0.98850000000000005</v>
      </c>
      <c r="CP6" s="142">
        <f ca="1">IF(OR(BR6="MBO",BR6="10% Realized Price"),CO6,SUMPRODUCT(Lower_Payout*(Curve=BT6)*(Lower_Attain&lt;=CO6)*(Upper_Attain&gt;CO6))+(CO6-SUMPRODUCT(Lower_Attain*(Curve=BT6)*(Lower_Attain&lt;=CO6)*(Upper_Attain&gt;CO6)))*SUMPRODUCT(Slope*(Curve=BT6)*(Lower_Attain&lt;=CO6)*(Upper_Attain&gt;CO6)))</f>
        <v>0</v>
      </c>
      <c r="CQ6" s="140">
        <f t="shared" ref="CQ6:CQ69" ca="1" si="12">AM6*BS6*CP6</f>
        <v>0</v>
      </c>
      <c r="CR6" s="144">
        <v>1</v>
      </c>
      <c r="CS6" s="140">
        <f t="shared" ref="CS6:CS69" si="13">IF(CR6="Uncapped",CQ6,IFERROR(AM6*BS6*CR6,0))</f>
        <v>12000000</v>
      </c>
      <c r="CT6" s="113" t="s">
        <v>696</v>
      </c>
      <c r="CU6" s="146">
        <v>0.4</v>
      </c>
      <c r="CV6" s="138" t="s">
        <v>217</v>
      </c>
      <c r="CW6" s="138" t="s">
        <v>667</v>
      </c>
      <c r="CX6" s="138">
        <v>61881722.047854595</v>
      </c>
      <c r="CY6" s="136"/>
      <c r="CZ6" s="136"/>
      <c r="DA6" s="113"/>
      <c r="DB6" s="138">
        <v>63657388.730680585</v>
      </c>
      <c r="DC6" s="138"/>
      <c r="DD6" s="138"/>
      <c r="DE6" s="138"/>
      <c r="DF6" s="138"/>
      <c r="DG6" s="138"/>
      <c r="DH6" s="138"/>
      <c r="DI6" s="138"/>
      <c r="DJ6" s="139">
        <f>DB6+DF6</f>
        <v>63657388.730680585</v>
      </c>
      <c r="DK6" s="139">
        <f>DC6+DG6</f>
        <v>0</v>
      </c>
      <c r="DL6" s="139">
        <f>DD6+DH6</f>
        <v>0</v>
      </c>
      <c r="DM6" s="139">
        <f>DE6+DI6</f>
        <v>0</v>
      </c>
      <c r="DN6" s="139">
        <f>IF($BB$3="After AR Adjustment",IF($H$2=1,DJ6,IF($H$2=2,SUM(DJ6:DK6),IF($H$2=3,SUM(DJ6:DL6),SUM(DJ6:DM6)))),IF($H$2=1,DB6,IF($H$2=2,SUM(DB6:DC6),IF($H$2=3,SUM(DB6:DD6),SUM(DB6:DE6)))))</f>
        <v>63657388.730680585</v>
      </c>
      <c r="DO6" s="139">
        <f t="shared" ref="DO6:DO35" si="14">IF($H$2=1,CX6,IF($H$2=2,SUM(CX6:CY6),IF($H$2=3,SUM(CX6:CZ6),SUM(CX6:DA6))))</f>
        <v>61881722.047854595</v>
      </c>
      <c r="DP6" s="139">
        <f>SUM(CX6:DA6)</f>
        <v>61881722.047854595</v>
      </c>
      <c r="DQ6" s="141">
        <f>IFERROR(ROUND(DN6/DO6,4),0)</f>
        <v>1.0286999999999999</v>
      </c>
      <c r="DR6" s="142">
        <f t="shared" ref="DR6:DR69" ca="1" si="15">IF(OR(CT6="MBO",CT6="10% Realized Price"),DQ6,SUMPRODUCT(Lower_Payout*(Curve=CV6)*(Lower_Attain&lt;=DQ6)*(Upper_Attain&gt;DQ6))+(DQ6-SUMPRODUCT(Lower_Attain*(Curve=CV6)*(Lower_Attain&lt;=DQ6)*(Upper_Attain&gt;DQ6)))*SUMPRODUCT(Slope*(Curve=CV6)*(Lower_Attain&lt;=DQ6)*(Upper_Attain&gt;DQ6)))</f>
        <v>0</v>
      </c>
      <c r="DS6" s="140">
        <f t="shared" ref="DS6:DS69" ca="1" si="16">AM6*CU6*DR6</f>
        <v>0</v>
      </c>
      <c r="DT6" s="144">
        <v>1</v>
      </c>
      <c r="DU6" s="140">
        <f t="shared" ref="DU6:DU69" si="17">IF(DT6="Uncapped",DS6,IFERROR(AM6*CU6*DT6,0))</f>
        <v>24000000</v>
      </c>
      <c r="DV6" s="138"/>
      <c r="DW6" s="146">
        <v>0</v>
      </c>
      <c r="DX6" s="138"/>
      <c r="DY6" s="138"/>
      <c r="DZ6" s="138">
        <v>0</v>
      </c>
      <c r="EA6" s="136">
        <v>0</v>
      </c>
      <c r="EB6" s="136">
        <v>0</v>
      </c>
      <c r="EC6" s="136">
        <v>0</v>
      </c>
      <c r="ED6" s="138">
        <v>0</v>
      </c>
      <c r="EE6" s="138">
        <v>0</v>
      </c>
      <c r="EF6" s="138"/>
      <c r="EG6" s="138"/>
      <c r="EH6" s="138"/>
      <c r="EI6" s="138"/>
      <c r="EJ6" s="138"/>
      <c r="EK6" s="138"/>
      <c r="EL6" s="139">
        <f>ED6+EH6</f>
        <v>0</v>
      </c>
      <c r="EM6" s="139">
        <f>EE6+EI6</f>
        <v>0</v>
      </c>
      <c r="EN6" s="139">
        <f>EF6+EJ6</f>
        <v>0</v>
      </c>
      <c r="EO6" s="139">
        <f>EG6+EK6</f>
        <v>0</v>
      </c>
      <c r="EP6" s="139">
        <f t="shared" ref="EP6:EP69" si="18">IF($BB$3="After AR Adjustment",IF($H$2=1,EL6,IF($H$2=2,SUM(EL6:EM6),IF($H$2=3,SUM(EL6:EN6),SUM(EL6:EO6)))),IF($H$2=1,ED6,IF($H$2=2,SUM(ED6:EE6),IF($H$2=3,SUM(ED6:EF6),SUM(ED6:EG6)))))</f>
        <v>0</v>
      </c>
      <c r="EQ6" s="139">
        <f t="shared" ref="EQ6:EQ35" si="19">IF($H$2=1,DZ6,IF($H$2=2,SUM(DZ6:EA6),IF($H$2=3,SUM(DZ6:EB6),SUM(DZ6:EC6))))</f>
        <v>0</v>
      </c>
      <c r="ER6" s="139">
        <f>SUM(DZ6:EC6)</f>
        <v>0</v>
      </c>
      <c r="ES6" s="141">
        <f>IFERROR(ROUND(EP6/EQ6,4),0)</f>
        <v>0</v>
      </c>
      <c r="ET6" s="142">
        <f ca="1">IF(OR(DV6="MBO",DV6="10% Realized Price"),ES6,SUMPRODUCT(Lower_Payout*(Curve=DX6)*(Lower_Attain&lt;=ES6)*(Upper_Attain&gt;ES6))+(ES6-SUMPRODUCT(Lower_Attain*(Curve=DX6)*(Lower_Attain&lt;=ES6)*(Upper_Attain&gt;ES6)))*SUMPRODUCT(Slope*(Curve=DX6)*(Lower_Attain&lt;=ES6)*(Upper_Attain&gt;ES6)))</f>
        <v>0</v>
      </c>
      <c r="EU6" s="140">
        <f t="shared" ref="EU6:EU69" ca="1" si="20">AM6*DW6*ET6</f>
        <v>0</v>
      </c>
      <c r="EV6" s="144" t="str">
        <f t="shared" ref="EV6:EV69" si="21">IF($T6="Y","100%",IF(DX6="T2","200%",IF($H$2=4,"Uncapped",IF($G6="AA","50%",IF($G6="SA","90%",IF($G6="APJ Regional-AA","50%",IF($G6="APJ Regional-SA","90%",75%)))))))</f>
        <v>Uncapped</v>
      </c>
      <c r="EW6" s="140">
        <f t="shared" ref="EW6:EW69" ca="1" si="22">IF(EV6="Uncapped",EU6,IFERROR(AM6*DW6*EV6,0))</f>
        <v>0</v>
      </c>
      <c r="EX6" s="137">
        <f t="shared" ref="EX6:EX69" ca="1" si="23">MIN(BO6,BQ6)+MIN(CQ6,CS6)+MIN(DS6,DU6)+MIN(EU6,EW6)</f>
        <v>0</v>
      </c>
      <c r="EY6" s="139">
        <f ca="1">MAX(EX6,GP6)</f>
        <v>0</v>
      </c>
      <c r="EZ6" s="140"/>
      <c r="FA6" s="140"/>
      <c r="FB6" s="115">
        <v>59297</v>
      </c>
      <c r="FC6" s="115">
        <v>0</v>
      </c>
      <c r="FD6" s="140">
        <f t="shared" ref="FD6:FD35" si="24">IF($H$2=1,EZ6,IF($H$2=2,SUM(EZ6:FA6),IF($H$2=3,SUM(EZ6:FB6),SUM(EZ6:FC6))))</f>
        <v>59297</v>
      </c>
      <c r="FE6" s="139">
        <f t="shared" ref="FE6:FE37" si="25">SUMIFS(6:6,$5:$5,"SPIFF payout $ (Local CCY)",$4:$4,CONCATENATE("Q",$H$2))</f>
        <v>0</v>
      </c>
      <c r="FF6" s="140">
        <v>0</v>
      </c>
      <c r="FG6" s="140">
        <v>0</v>
      </c>
      <c r="FH6" s="115">
        <v>0</v>
      </c>
      <c r="FI6" s="115">
        <v>0</v>
      </c>
      <c r="FJ6" s="140">
        <f t="shared" ref="FJ6:FJ35" si="26">IF($H$2=1,FF6,IF($H$2=2,SUM(FF6:FG6),IF($H$2=3,SUM(FF6:FH6),SUM(FF6:FI6))))</f>
        <v>0</v>
      </c>
      <c r="FK6" s="139">
        <f t="shared" ref="FK6:FK37" si="27">SUMIFS(6:6,$5:$5,"Other payout $ (Local CCY)",$4:$4,CONCATENATE("Q",$H$2))</f>
        <v>0</v>
      </c>
      <c r="FL6" s="113"/>
      <c r="FM6" s="111"/>
      <c r="FN6" s="111"/>
      <c r="FO6" s="111"/>
      <c r="FP6" s="140">
        <f t="shared" ref="FP6:FP69" si="28">SUM(FL6:FO6)</f>
        <v>0</v>
      </c>
      <c r="FQ6" s="140"/>
      <c r="FR6" s="140"/>
      <c r="FS6" s="140"/>
      <c r="FT6" s="139">
        <f>SUM(FQ6:FS6)</f>
        <v>0</v>
      </c>
      <c r="FU6" s="365">
        <f ca="1">ROUND(MAX(FV6-FT6,0),2)</f>
        <v>59297</v>
      </c>
      <c r="FV6" s="147">
        <f ca="1">SUM(EY6,FD6,FJ6,FP6)</f>
        <v>59297</v>
      </c>
      <c r="FW6" s="139">
        <f t="shared" ref="FW6:FZ21" si="29">FF6</f>
        <v>0</v>
      </c>
      <c r="FX6" s="139">
        <f t="shared" si="29"/>
        <v>0</v>
      </c>
      <c r="FY6" s="139">
        <f t="shared" si="29"/>
        <v>0</v>
      </c>
      <c r="FZ6" s="139">
        <f t="shared" si="29"/>
        <v>0</v>
      </c>
      <c r="GA6" s="139">
        <f t="shared" ref="GA6:GA69" si="30">SUM(FW6:FZ6)</f>
        <v>0</v>
      </c>
      <c r="GB6" s="139">
        <f t="shared" ref="GB6:GE21" si="31">EZ6</f>
        <v>0</v>
      </c>
      <c r="GC6" s="139">
        <f t="shared" si="31"/>
        <v>0</v>
      </c>
      <c r="GD6" s="139">
        <f t="shared" si="31"/>
        <v>59297</v>
      </c>
      <c r="GE6" s="139">
        <f t="shared" si="31"/>
        <v>0</v>
      </c>
      <c r="GF6" s="139">
        <f t="shared" ref="GF6:GI20" si="32">GB6+FW6</f>
        <v>0</v>
      </c>
      <c r="GG6" s="139">
        <f t="shared" si="32"/>
        <v>0</v>
      </c>
      <c r="GH6" s="139">
        <f t="shared" si="32"/>
        <v>59297</v>
      </c>
      <c r="GI6" s="139">
        <f t="shared" si="32"/>
        <v>0</v>
      </c>
      <c r="GJ6" s="140">
        <f t="shared" ref="GJ6:GJ35" si="33">IF($H$2=1,GF6,IF($H$2=2,SUM(GF6:GG6),IF($H$2=3,SUM(GF6:GH6),SUM(GF6:GI6))))</f>
        <v>59297</v>
      </c>
      <c r="GK6" s="139">
        <f t="shared" ref="GK6:GK69" si="34">SUM(GF6:GI6)</f>
        <v>59297</v>
      </c>
      <c r="GL6" s="139">
        <f t="shared" ref="GL6:GL69" si="35">IF(U6="Y",V6*AO6,0)</f>
        <v>0</v>
      </c>
      <c r="GM6" s="139">
        <f t="shared" ref="GM6:GM69" si="36">IF(U6="Y",W6*AO6,0)</f>
        <v>0</v>
      </c>
      <c r="GN6" s="139">
        <f t="shared" ref="GN6:GN69" si="37">IF(U6="Y",X6*AO6,0)</f>
        <v>0</v>
      </c>
      <c r="GO6" s="139">
        <f t="shared" ref="GO6:GO69" si="38">IF(U6="Y",Y6*AO6,0)</f>
        <v>0</v>
      </c>
      <c r="GP6" s="139">
        <f t="shared" ref="GP6:GP59" si="39">IF($H$2=1,GL6,IF($H$2=2,SUM(GL6:GM6),IF($H$2=3,SUM(GL6:GN6),IF($H$2=4,SUM(GL6:GO6)))))</f>
        <v>0</v>
      </c>
      <c r="GQ6" s="139">
        <f t="shared" ref="GQ6:GQ69" si="40">SUM(GL6:GO6)</f>
        <v>0</v>
      </c>
      <c r="GR6" s="409"/>
      <c r="GS6" s="148">
        <f t="shared" ref="GS6:GT37" si="41">IFERROR(BJ6+CL6+DN6+EP6,0)</f>
        <v>102512452.94468173</v>
      </c>
      <c r="GT6" s="148">
        <f t="shared" si="41"/>
        <v>101188548.20985459</v>
      </c>
      <c r="GU6" s="149">
        <f t="shared" ref="GU6:GU69" si="42">IFERROR(GS6/GT6,"")</f>
        <v>1.0130835431306071</v>
      </c>
      <c r="GV6" s="150">
        <f t="shared" ref="GV6:GV69" ca="1" si="43">BO6+CQ6+DS6+EU6</f>
        <v>0</v>
      </c>
      <c r="GW6" s="150">
        <v>0</v>
      </c>
      <c r="GX6" s="151">
        <f t="shared" ref="GX6:GX69" ca="1" si="44">IFERROR(GV6/AM6,0)</f>
        <v>0</v>
      </c>
      <c r="GY6" s="100"/>
    </row>
    <row r="7" spans="1:207" s="128" customFormat="1" ht="15" hidden="1" customHeight="1">
      <c r="A7" s="102" t="s">
        <v>230</v>
      </c>
      <c r="B7" s="103"/>
      <c r="C7" s="103"/>
      <c r="D7" s="104"/>
      <c r="E7" s="113" t="s">
        <v>229</v>
      </c>
      <c r="F7" s="104" t="s">
        <v>231</v>
      </c>
      <c r="G7" s="104" t="s">
        <v>226</v>
      </c>
      <c r="H7" s="105" t="s">
        <v>232</v>
      </c>
      <c r="I7" s="106" t="s">
        <v>233</v>
      </c>
      <c r="J7" s="104" t="s">
        <v>207</v>
      </c>
      <c r="K7" s="104" t="s">
        <v>221</v>
      </c>
      <c r="L7" s="104" t="s">
        <v>229</v>
      </c>
      <c r="M7" s="104" t="s">
        <v>229</v>
      </c>
      <c r="N7" s="107"/>
      <c r="O7" s="537">
        <v>41376</v>
      </c>
      <c r="P7" s="108">
        <v>43132</v>
      </c>
      <c r="Q7" s="322">
        <f t="shared" si="0"/>
        <v>0</v>
      </c>
      <c r="R7" s="109">
        <f>IF((P7-VLOOKUP(Q7,month!$A$1:$C$13,3,0))&lt;0,Q7,Q7+1)</f>
        <v>0</v>
      </c>
      <c r="S7" s="108"/>
      <c r="T7" s="127" t="str">
        <f t="shared" si="1"/>
        <v/>
      </c>
      <c r="U7" s="107"/>
      <c r="V7" s="107"/>
      <c r="W7" s="107"/>
      <c r="X7" s="107"/>
      <c r="Y7" s="386"/>
      <c r="Z7" s="386" t="s">
        <v>545</v>
      </c>
      <c r="AA7" s="387">
        <v>1000</v>
      </c>
      <c r="AB7" s="387">
        <v>1000</v>
      </c>
      <c r="AC7" s="387">
        <v>1000</v>
      </c>
      <c r="AD7" s="387">
        <v>1000</v>
      </c>
      <c r="AE7" s="387">
        <v>1000</v>
      </c>
      <c r="AF7" s="387">
        <v>1000</v>
      </c>
      <c r="AG7" s="387">
        <v>1000</v>
      </c>
      <c r="AH7" s="387">
        <v>1000</v>
      </c>
      <c r="AI7" s="387">
        <v>1000</v>
      </c>
      <c r="AJ7" s="387">
        <v>1000</v>
      </c>
      <c r="AK7" s="387">
        <v>1000</v>
      </c>
      <c r="AL7" s="387">
        <v>1000</v>
      </c>
      <c r="AM7" s="388">
        <f t="shared" si="2"/>
        <v>12000</v>
      </c>
      <c r="AN7" s="388">
        <f t="shared" si="3"/>
        <v>12000</v>
      </c>
      <c r="AO7" s="389">
        <f t="shared" ref="AO7:AO14" si="45">AI7</f>
        <v>1000</v>
      </c>
      <c r="AP7" s="498" t="s">
        <v>674</v>
      </c>
      <c r="AQ7" s="159">
        <v>0.6</v>
      </c>
      <c r="AR7" s="160" t="s">
        <v>211</v>
      </c>
      <c r="AS7" s="119" t="s">
        <v>210</v>
      </c>
      <c r="AT7" s="111">
        <v>2100000</v>
      </c>
      <c r="AU7" s="111">
        <v>1650000</v>
      </c>
      <c r="AV7" s="111">
        <v>1875000</v>
      </c>
      <c r="AW7" s="111"/>
      <c r="AX7" s="113">
        <v>2119297.8245000001</v>
      </c>
      <c r="AY7" s="113">
        <v>2145952.0949000004</v>
      </c>
      <c r="AZ7" s="113">
        <v>3988198.8207000098</v>
      </c>
      <c r="BA7" s="113"/>
      <c r="BB7" s="113"/>
      <c r="BC7" s="113"/>
      <c r="BD7" s="113"/>
      <c r="BE7" s="113"/>
      <c r="BF7" s="114">
        <f t="shared" ref="BF7:BI61" si="46">AX7+BB7</f>
        <v>2119297.8245000001</v>
      </c>
      <c r="BG7" s="114">
        <f t="shared" si="46"/>
        <v>2145952.0949000004</v>
      </c>
      <c r="BH7" s="114">
        <f t="shared" si="46"/>
        <v>3988198.8207000098</v>
      </c>
      <c r="BI7" s="114">
        <f t="shared" si="46"/>
        <v>0</v>
      </c>
      <c r="BJ7" s="114">
        <f t="shared" si="4"/>
        <v>8253448.7401000112</v>
      </c>
      <c r="BK7" s="115">
        <f t="shared" si="5"/>
        <v>5625000</v>
      </c>
      <c r="BL7" s="115">
        <f t="shared" ref="BL7:BL70" si="47">SUM(AT7:AW7)</f>
        <v>5625000</v>
      </c>
      <c r="BM7" s="116">
        <f t="shared" ref="BM7:BM70" si="48">IFERROR(ROUND(BJ7/BK7,4),0)</f>
        <v>1.4673</v>
      </c>
      <c r="BN7" s="126">
        <f t="shared" ca="1" si="6"/>
        <v>0</v>
      </c>
      <c r="BO7" s="117">
        <f t="shared" ca="1" si="7"/>
        <v>0</v>
      </c>
      <c r="BP7" s="118" t="str">
        <f t="shared" si="8"/>
        <v>Uncapped</v>
      </c>
      <c r="BQ7" s="115">
        <f t="shared" ca="1" si="9"/>
        <v>0</v>
      </c>
      <c r="BR7" s="113" t="s">
        <v>727</v>
      </c>
      <c r="BS7" s="161">
        <v>0.1</v>
      </c>
      <c r="BT7" s="113" t="s">
        <v>211</v>
      </c>
      <c r="BU7" s="160" t="s">
        <v>210</v>
      </c>
      <c r="BV7" s="113">
        <v>432125.40409999999</v>
      </c>
      <c r="BW7" s="113">
        <v>541635.46629999997</v>
      </c>
      <c r="BX7" s="113">
        <v>495425.28200000001</v>
      </c>
      <c r="BY7" s="113"/>
      <c r="BZ7" s="113">
        <v>452580.67280000006</v>
      </c>
      <c r="CA7" s="113">
        <v>306226.92700000003</v>
      </c>
      <c r="CB7" s="113">
        <v>569314.60470000003</v>
      </c>
      <c r="CC7" s="113"/>
      <c r="CD7" s="113"/>
      <c r="CE7" s="113"/>
      <c r="CF7" s="113"/>
      <c r="CG7" s="113"/>
      <c r="CH7" s="114">
        <f t="shared" ref="CH7:CK61" si="49">BZ7+CD7</f>
        <v>452580.67280000006</v>
      </c>
      <c r="CI7" s="114">
        <f t="shared" si="49"/>
        <v>306226.92700000003</v>
      </c>
      <c r="CJ7" s="120">
        <f t="shared" si="49"/>
        <v>569314.60470000003</v>
      </c>
      <c r="CK7" s="114">
        <f t="shared" si="49"/>
        <v>0</v>
      </c>
      <c r="CL7" s="114">
        <f t="shared" si="10"/>
        <v>1328122.2045</v>
      </c>
      <c r="CM7" s="114">
        <f t="shared" si="11"/>
        <v>1469186.1524</v>
      </c>
      <c r="CN7" s="114">
        <f t="shared" ref="CN7:CN70" si="50">SUM(BV7:BY7)</f>
        <v>1469186.1524</v>
      </c>
      <c r="CO7" s="116">
        <f t="shared" ref="CO7:CO70" si="51">IFERROR(ROUND(CL7/CM7,4),0)</f>
        <v>0.90400000000000003</v>
      </c>
      <c r="CP7" s="126">
        <f t="shared" ref="CP7:CP70" ca="1" si="52">IF(OR(BR7="MBO",BR7="10% Realized Price"),CO7,SUMPRODUCT(Lower_Payout*(Curve=BT7)*(Lower_Attain&lt;=CO7)*(Upper_Attain&gt;CO7))+(CO7-SUMPRODUCT(Lower_Attain*(Curve=BT7)*(Lower_Attain&lt;=CO7)*(Upper_Attain&gt;CO7)))*SUMPRODUCT(Slope*(Curve=BT7)*(Lower_Attain&lt;=CO7)*(Upper_Attain&gt;CO7)))</f>
        <v>0</v>
      </c>
      <c r="CQ7" s="115">
        <f t="shared" ca="1" si="12"/>
        <v>0</v>
      </c>
      <c r="CR7" s="118" t="str">
        <f t="shared" ref="CR7:CR70" si="53">IF($T7="Y","100%",IF($H$2=4,"Uncapped",IF(N7="Y","100%",IF($G7="AA","50%",IF($G7="SA","90%",IF($G7="APJ Regional-AA","50%",IF($G7="APJ Regional-SA","90%",75%)))))))</f>
        <v>Uncapped</v>
      </c>
      <c r="CS7" s="115">
        <f t="shared" ca="1" si="13"/>
        <v>0</v>
      </c>
      <c r="CT7" s="113" t="s">
        <v>694</v>
      </c>
      <c r="CU7" s="119">
        <v>0.1</v>
      </c>
      <c r="CV7" s="113" t="s">
        <v>211</v>
      </c>
      <c r="CW7" s="113" t="s">
        <v>210</v>
      </c>
      <c r="CX7" s="113">
        <v>6164694.6851657163</v>
      </c>
      <c r="CY7" s="113">
        <v>5001296.8631040156</v>
      </c>
      <c r="CZ7" s="113">
        <v>5558354.7349214032</v>
      </c>
      <c r="DA7" s="113"/>
      <c r="DB7" s="113">
        <v>9104118.8802279979</v>
      </c>
      <c r="DC7" s="113">
        <v>3962684.696800001</v>
      </c>
      <c r="DD7" s="113">
        <v>3271518.9</v>
      </c>
      <c r="DE7" s="113"/>
      <c r="DF7" s="113"/>
      <c r="DG7" s="113"/>
      <c r="DH7" s="113"/>
      <c r="DI7" s="113"/>
      <c r="DJ7" s="114">
        <f t="shared" ref="DJ7:DM61" si="54">DB7+DF7</f>
        <v>9104118.8802279979</v>
      </c>
      <c r="DK7" s="114">
        <f t="shared" si="54"/>
        <v>3962684.696800001</v>
      </c>
      <c r="DL7" s="114">
        <f t="shared" si="54"/>
        <v>3271518.9</v>
      </c>
      <c r="DM7" s="114">
        <f t="shared" si="54"/>
        <v>0</v>
      </c>
      <c r="DN7" s="114">
        <f t="shared" ref="DN7:DN37" si="55">IF($BB$3="After AR Adjustment",IF($H$2=1,DJ7,IF($H$2=2,SUM(DJ7:DK7),IF($H$2=3,SUM(DJ7:DL7),SUM(DJ7:DM7)))),IF($H$2=1,DB7,IF($H$2=2,SUM(DB7:DC7),IF($H$2=3,SUM(DB7:DD7),SUM(DB7:DE7)))))</f>
        <v>16338322.477027999</v>
      </c>
      <c r="DO7" s="114">
        <f t="shared" si="14"/>
        <v>16724346.283191135</v>
      </c>
      <c r="DP7" s="114">
        <f t="shared" ref="DP7:DP61" si="56">SUM(CX7:DA7)</f>
        <v>16724346.283191135</v>
      </c>
      <c r="DQ7" s="116">
        <f t="shared" ref="DQ7:DQ70" si="57">IFERROR(ROUND(DN7/DO7,4),0)</f>
        <v>0.97689999999999999</v>
      </c>
      <c r="DR7" s="126">
        <f t="shared" ca="1" si="15"/>
        <v>0</v>
      </c>
      <c r="DS7" s="115">
        <f t="shared" ca="1" si="16"/>
        <v>0</v>
      </c>
      <c r="DT7" s="118" t="str">
        <f t="shared" ref="DT7:DT70" si="58">IF($T7="Y","100%",IF($H$2=4,"Uncapped",IF(N7="Y","100%",IF($G7="AA","50%",IF($G7="SA","90%",IF($G7="APJ Regional-AA","50%",IF($G7="APJ Regional-SA","90%",75%)))))))</f>
        <v>Uncapped</v>
      </c>
      <c r="DU7" s="115">
        <f t="shared" ca="1" si="17"/>
        <v>0</v>
      </c>
      <c r="DV7" s="113" t="s">
        <v>728</v>
      </c>
      <c r="DW7" s="119">
        <v>0.2</v>
      </c>
      <c r="DX7" s="113" t="s">
        <v>703</v>
      </c>
      <c r="DY7" s="113" t="s">
        <v>210</v>
      </c>
      <c r="DZ7" s="113">
        <v>61881722.047854595</v>
      </c>
      <c r="EA7" s="113">
        <v>72180793.063260496</v>
      </c>
      <c r="EB7" s="113">
        <v>69179032.514420599</v>
      </c>
      <c r="EC7" s="113"/>
      <c r="ED7" s="113">
        <v>63657388.730680585</v>
      </c>
      <c r="EE7" s="113">
        <v>65995192.891159989</v>
      </c>
      <c r="EF7" s="113">
        <v>66410604.684560001</v>
      </c>
      <c r="EG7" s="113"/>
      <c r="EH7" s="113"/>
      <c r="EI7" s="113"/>
      <c r="EJ7" s="113"/>
      <c r="EK7" s="113"/>
      <c r="EL7" s="114">
        <f t="shared" ref="EL7:EO61" si="59">ED7+EH7</f>
        <v>63657388.730680585</v>
      </c>
      <c r="EM7" s="114">
        <f t="shared" si="59"/>
        <v>65995192.891159989</v>
      </c>
      <c r="EN7" s="114">
        <f t="shared" si="59"/>
        <v>66410604.684560001</v>
      </c>
      <c r="EO7" s="114">
        <f t="shared" si="59"/>
        <v>0</v>
      </c>
      <c r="EP7" s="114">
        <f t="shared" si="18"/>
        <v>196063186.30640057</v>
      </c>
      <c r="EQ7" s="114">
        <f t="shared" si="19"/>
        <v>203241547.6255357</v>
      </c>
      <c r="ER7" s="114">
        <f t="shared" ref="ER7:ER70" si="60">SUM(DZ7:EC7)</f>
        <v>203241547.6255357</v>
      </c>
      <c r="ES7" s="116">
        <f t="shared" ref="ES7:ES70" si="61">IFERROR(ROUND(EP7/EQ7,4),0)</f>
        <v>0.9647</v>
      </c>
      <c r="ET7" s="126">
        <f t="shared" ref="ET7:ET70" ca="1" si="62">IF(OR(DV7="MBO",DV7="10% Realized Price"),ES7,SUMPRODUCT(Lower_Payout*(Curve=DX7)*(Lower_Attain&lt;=ES7)*(Upper_Attain&gt;ES7))+(ES7-SUMPRODUCT(Lower_Attain*(Curve=DX7)*(Lower_Attain&lt;=ES7)*(Upper_Attain&gt;ES7)))*SUMPRODUCT(Slope*(Curve=DX7)*(Lower_Attain&lt;=ES7)*(Upper_Attain&gt;ES7)))</f>
        <v>0</v>
      </c>
      <c r="EU7" s="115">
        <f t="shared" ca="1" si="20"/>
        <v>0</v>
      </c>
      <c r="EV7" s="118" t="str">
        <f t="shared" si="21"/>
        <v>Uncapped</v>
      </c>
      <c r="EW7" s="115">
        <f t="shared" ca="1" si="22"/>
        <v>0</v>
      </c>
      <c r="EX7" s="112">
        <f t="shared" ca="1" si="23"/>
        <v>0</v>
      </c>
      <c r="EY7" s="114">
        <f t="shared" ref="EY7:EY70" ca="1" si="63">MAX(EX7,GP7)</f>
        <v>0</v>
      </c>
      <c r="EZ7" s="115">
        <v>780258</v>
      </c>
      <c r="FA7" s="115">
        <v>217597.50000000003</v>
      </c>
      <c r="FB7" s="115">
        <v>337543</v>
      </c>
      <c r="FC7" s="115">
        <v>0</v>
      </c>
      <c r="FD7" s="115">
        <f t="shared" si="24"/>
        <v>1335398.5</v>
      </c>
      <c r="FE7" s="114">
        <f t="shared" si="25"/>
        <v>0</v>
      </c>
      <c r="FF7" s="115">
        <v>0</v>
      </c>
      <c r="FG7" s="115">
        <v>0</v>
      </c>
      <c r="FH7" s="115">
        <v>0</v>
      </c>
      <c r="FI7" s="115">
        <v>0</v>
      </c>
      <c r="FJ7" s="115">
        <f t="shared" si="26"/>
        <v>0</v>
      </c>
      <c r="FK7" s="114">
        <f t="shared" si="27"/>
        <v>0</v>
      </c>
      <c r="FL7" s="113"/>
      <c r="FM7" s="111"/>
      <c r="FN7" s="111"/>
      <c r="FO7" s="111"/>
      <c r="FP7" s="115">
        <f>SUM(FL7:FO7)</f>
        <v>0</v>
      </c>
      <c r="FQ7" s="488"/>
      <c r="FR7" s="115"/>
      <c r="FS7" s="115"/>
      <c r="FT7" s="114">
        <f t="shared" ref="FT7:FT70" si="64">SUM(FQ7:FS7)</f>
        <v>0</v>
      </c>
      <c r="FU7" s="366">
        <f ca="1">ROUND(MAX(FV7-FT7,0),2)</f>
        <v>1335398.5</v>
      </c>
      <c r="FV7" s="121">
        <f t="shared" ref="FV7:FV70" ca="1" si="65">SUM(EY7,FD7,FJ7,FP7)</f>
        <v>1335398.5</v>
      </c>
      <c r="FW7" s="114">
        <f>FF7</f>
        <v>0</v>
      </c>
      <c r="FX7" s="114">
        <f>FG7</f>
        <v>0</v>
      </c>
      <c r="FY7" s="114">
        <f>FH7</f>
        <v>0</v>
      </c>
      <c r="FZ7" s="114">
        <f>FI7</f>
        <v>0</v>
      </c>
      <c r="GA7" s="114">
        <f>SUM(FW7:FZ7)</f>
        <v>0</v>
      </c>
      <c r="GB7" s="114">
        <f>EZ7</f>
        <v>780258</v>
      </c>
      <c r="GC7" s="114">
        <f>FA7</f>
        <v>217597.50000000003</v>
      </c>
      <c r="GD7" s="114">
        <f>FB7</f>
        <v>337543</v>
      </c>
      <c r="GE7" s="114">
        <f>FC7</f>
        <v>0</v>
      </c>
      <c r="GF7" s="114">
        <f t="shared" si="32"/>
        <v>780258</v>
      </c>
      <c r="GG7" s="114">
        <f t="shared" si="32"/>
        <v>217597.50000000003</v>
      </c>
      <c r="GH7" s="114">
        <f t="shared" si="32"/>
        <v>337543</v>
      </c>
      <c r="GI7" s="114">
        <f t="shared" si="32"/>
        <v>0</v>
      </c>
      <c r="GJ7" s="115">
        <f t="shared" si="33"/>
        <v>1335398.5</v>
      </c>
      <c r="GK7" s="114">
        <f>SUM(GF7:GI7)</f>
        <v>1335398.5</v>
      </c>
      <c r="GL7" s="114">
        <f t="shared" si="35"/>
        <v>0</v>
      </c>
      <c r="GM7" s="114">
        <f t="shared" si="36"/>
        <v>0</v>
      </c>
      <c r="GN7" s="114">
        <f t="shared" si="37"/>
        <v>0</v>
      </c>
      <c r="GO7" s="114">
        <f t="shared" si="38"/>
        <v>0</v>
      </c>
      <c r="GP7" s="114">
        <f t="shared" si="39"/>
        <v>0</v>
      </c>
      <c r="GQ7" s="114">
        <f>SUM(GL7:GO7)</f>
        <v>0</v>
      </c>
      <c r="GR7" s="216"/>
      <c r="GS7" s="122">
        <f>IFERROR(BJ7+CL7+DN7+EP7,0)</f>
        <v>221983079.7280286</v>
      </c>
      <c r="GT7" s="122">
        <f t="shared" si="41"/>
        <v>227060080.06112683</v>
      </c>
      <c r="GU7" s="123">
        <f>IFERROR(GS7/GT7,"")</f>
        <v>0.97764027771094131</v>
      </c>
      <c r="GV7" s="124">
        <f t="shared" ca="1" si="43"/>
        <v>0</v>
      </c>
      <c r="GW7" s="124">
        <v>0</v>
      </c>
      <c r="GX7" s="32">
        <f t="shared" ca="1" si="44"/>
        <v>0</v>
      </c>
      <c r="GY7" s="100"/>
    </row>
    <row r="8" spans="1:207" s="152" customFormat="1" ht="15" hidden="1" customHeight="1">
      <c r="A8" s="129"/>
      <c r="B8" s="130"/>
      <c r="C8" s="130"/>
      <c r="D8" s="131"/>
      <c r="E8" s="131" t="s">
        <v>234</v>
      </c>
      <c r="F8" s="131" t="s">
        <v>235</v>
      </c>
      <c r="G8" s="131" t="s">
        <v>226</v>
      </c>
      <c r="H8" s="132" t="s">
        <v>236</v>
      </c>
      <c r="I8" s="133" t="s">
        <v>237</v>
      </c>
      <c r="J8" s="131" t="s">
        <v>238</v>
      </c>
      <c r="K8" s="508" t="s">
        <v>208</v>
      </c>
      <c r="L8" s="131" t="s">
        <v>239</v>
      </c>
      <c r="M8" s="131" t="s">
        <v>240</v>
      </c>
      <c r="N8" s="134"/>
      <c r="O8" s="540">
        <v>41376</v>
      </c>
      <c r="P8" s="155">
        <v>42309</v>
      </c>
      <c r="Q8" s="321">
        <f t="shared" si="0"/>
        <v>0</v>
      </c>
      <c r="R8" s="109">
        <f>IF((P8-VLOOKUP(Q8,month!$A$1:$C$13,3,0))&lt;0,Q8,Q8+1)</f>
        <v>0</v>
      </c>
      <c r="S8" s="108"/>
      <c r="T8" s="153" t="str">
        <f t="shared" si="1"/>
        <v/>
      </c>
      <c r="U8" s="134"/>
      <c r="V8" s="134"/>
      <c r="W8" s="134"/>
      <c r="X8" s="134"/>
      <c r="Y8" s="383"/>
      <c r="Z8" s="383" t="s">
        <v>545</v>
      </c>
      <c r="AA8" s="371">
        <v>5000000</v>
      </c>
      <c r="AB8" s="371">
        <v>5000000</v>
      </c>
      <c r="AC8" s="371">
        <v>5000000</v>
      </c>
      <c r="AD8" s="371">
        <v>5000000</v>
      </c>
      <c r="AE8" s="371">
        <v>5000000</v>
      </c>
      <c r="AF8" s="371">
        <v>5000000</v>
      </c>
      <c r="AG8" s="371"/>
      <c r="AH8" s="371"/>
      <c r="AI8" s="371"/>
      <c r="AJ8" s="371"/>
      <c r="AK8" s="371"/>
      <c r="AL8" s="371"/>
      <c r="AM8" s="384">
        <f t="shared" si="2"/>
        <v>30000000</v>
      </c>
      <c r="AN8" s="384">
        <f t="shared" si="3"/>
        <v>30000000</v>
      </c>
      <c r="AO8" s="385">
        <f t="shared" si="45"/>
        <v>0</v>
      </c>
      <c r="AP8" s="497" t="s">
        <v>682</v>
      </c>
      <c r="AQ8" s="156">
        <v>0.5</v>
      </c>
      <c r="AR8" s="157" t="s">
        <v>211</v>
      </c>
      <c r="AS8" s="146" t="s">
        <v>210</v>
      </c>
      <c r="AT8" s="136">
        <v>13799337.512500001</v>
      </c>
      <c r="AU8" s="136">
        <v>16114582.428400001</v>
      </c>
      <c r="AV8" s="136"/>
      <c r="AW8" s="136"/>
      <c r="AX8" s="138">
        <v>14939948.117598057</v>
      </c>
      <c r="AY8" s="138">
        <v>16008685.399685273</v>
      </c>
      <c r="AZ8" s="138"/>
      <c r="BA8" s="138"/>
      <c r="BB8" s="138"/>
      <c r="BC8" s="138"/>
      <c r="BD8" s="138"/>
      <c r="BE8" s="138"/>
      <c r="BF8" s="139">
        <f t="shared" si="46"/>
        <v>14939948.117598057</v>
      </c>
      <c r="BG8" s="139">
        <f t="shared" si="46"/>
        <v>16008685.399685273</v>
      </c>
      <c r="BH8" s="139">
        <f t="shared" si="46"/>
        <v>0</v>
      </c>
      <c r="BI8" s="139">
        <f t="shared" si="46"/>
        <v>0</v>
      </c>
      <c r="BJ8" s="139">
        <f t="shared" si="4"/>
        <v>30948633.517283328</v>
      </c>
      <c r="BK8" s="140">
        <f t="shared" si="5"/>
        <v>29913919.940900002</v>
      </c>
      <c r="BL8" s="140">
        <f t="shared" si="47"/>
        <v>29913919.940900002</v>
      </c>
      <c r="BM8" s="141">
        <f t="shared" si="48"/>
        <v>1.0346</v>
      </c>
      <c r="BN8" s="142">
        <f t="shared" ca="1" si="6"/>
        <v>0</v>
      </c>
      <c r="BO8" s="143">
        <f t="shared" ca="1" si="7"/>
        <v>0</v>
      </c>
      <c r="BP8" s="118">
        <v>1</v>
      </c>
      <c r="BQ8" s="140">
        <f t="shared" si="9"/>
        <v>15000000</v>
      </c>
      <c r="BR8" s="138" t="s">
        <v>700</v>
      </c>
      <c r="BS8" s="158">
        <v>0.3</v>
      </c>
      <c r="BT8" s="138" t="s">
        <v>211</v>
      </c>
      <c r="BU8" s="157" t="s">
        <v>210</v>
      </c>
      <c r="BV8" s="138">
        <v>1760432.4949999999</v>
      </c>
      <c r="BW8" s="138">
        <v>2037608.1950000001</v>
      </c>
      <c r="BX8" s="138"/>
      <c r="BY8" s="138"/>
      <c r="BZ8" s="138">
        <v>1703577.8168999979</v>
      </c>
      <c r="CA8" s="138">
        <v>1923063.6852000002</v>
      </c>
      <c r="CB8" s="138"/>
      <c r="CC8" s="138"/>
      <c r="CD8" s="138"/>
      <c r="CE8" s="138"/>
      <c r="CF8" s="138"/>
      <c r="CG8" s="138"/>
      <c r="CH8" s="139">
        <f t="shared" si="49"/>
        <v>1703577.8168999979</v>
      </c>
      <c r="CI8" s="139">
        <f t="shared" si="49"/>
        <v>1923063.6852000002</v>
      </c>
      <c r="CJ8" s="145">
        <f t="shared" si="49"/>
        <v>0</v>
      </c>
      <c r="CK8" s="139">
        <f t="shared" si="49"/>
        <v>0</v>
      </c>
      <c r="CL8" s="139">
        <f t="shared" si="10"/>
        <v>3626641.5020999983</v>
      </c>
      <c r="CM8" s="139">
        <f t="shared" si="11"/>
        <v>3798040.69</v>
      </c>
      <c r="CN8" s="139">
        <f t="shared" si="50"/>
        <v>3798040.69</v>
      </c>
      <c r="CO8" s="141">
        <f t="shared" si="51"/>
        <v>0.95489999999999997</v>
      </c>
      <c r="CP8" s="142">
        <f t="shared" ca="1" si="52"/>
        <v>0</v>
      </c>
      <c r="CQ8" s="140">
        <f t="shared" ca="1" si="12"/>
        <v>0</v>
      </c>
      <c r="CR8" s="118">
        <v>1</v>
      </c>
      <c r="CS8" s="140">
        <f t="shared" si="13"/>
        <v>9000000</v>
      </c>
      <c r="CT8" s="138" t="s">
        <v>696</v>
      </c>
      <c r="CU8" s="146">
        <v>0.2</v>
      </c>
      <c r="CV8" s="138" t="s">
        <v>217</v>
      </c>
      <c r="CW8" s="138" t="s">
        <v>210</v>
      </c>
      <c r="CX8" s="138">
        <v>61881722.047854595</v>
      </c>
      <c r="CY8" s="138">
        <v>72180793.063260496</v>
      </c>
      <c r="CZ8" s="138"/>
      <c r="DA8" s="138"/>
      <c r="DB8" s="138">
        <v>63657388.730680585</v>
      </c>
      <c r="DC8" s="138">
        <v>65995192.891159989</v>
      </c>
      <c r="DD8" s="138"/>
      <c r="DE8" s="138"/>
      <c r="DF8" s="138"/>
      <c r="DG8" s="138"/>
      <c r="DH8" s="138"/>
      <c r="DI8" s="138"/>
      <c r="DJ8" s="139">
        <f t="shared" si="54"/>
        <v>63657388.730680585</v>
      </c>
      <c r="DK8" s="139">
        <f t="shared" si="54"/>
        <v>65995192.891159989</v>
      </c>
      <c r="DL8" s="139">
        <f t="shared" si="54"/>
        <v>0</v>
      </c>
      <c r="DM8" s="139">
        <f t="shared" si="54"/>
        <v>0</v>
      </c>
      <c r="DN8" s="139">
        <f t="shared" si="55"/>
        <v>129652581.62184057</v>
      </c>
      <c r="DO8" s="139">
        <f t="shared" si="14"/>
        <v>134062515.1111151</v>
      </c>
      <c r="DP8" s="139">
        <f t="shared" si="56"/>
        <v>134062515.1111151</v>
      </c>
      <c r="DQ8" s="141">
        <f t="shared" si="57"/>
        <v>0.96709999999999996</v>
      </c>
      <c r="DR8" s="142">
        <f t="shared" ca="1" si="15"/>
        <v>0</v>
      </c>
      <c r="DS8" s="140">
        <f t="shared" ca="1" si="16"/>
        <v>0</v>
      </c>
      <c r="DT8" s="144">
        <v>1</v>
      </c>
      <c r="DU8" s="140">
        <f t="shared" si="17"/>
        <v>6000000</v>
      </c>
      <c r="DV8" s="138"/>
      <c r="DW8" s="146">
        <v>0</v>
      </c>
      <c r="DX8" s="138"/>
      <c r="DY8" s="138"/>
      <c r="DZ8" s="138">
        <v>0</v>
      </c>
      <c r="EA8" s="138">
        <v>0</v>
      </c>
      <c r="EB8" s="138">
        <v>0</v>
      </c>
      <c r="EC8" s="138">
        <v>0</v>
      </c>
      <c r="ED8" s="138">
        <v>0</v>
      </c>
      <c r="EE8" s="138">
        <v>0</v>
      </c>
      <c r="EF8" s="138">
        <v>0</v>
      </c>
      <c r="EG8" s="138"/>
      <c r="EH8" s="138"/>
      <c r="EI8" s="138"/>
      <c r="EJ8" s="138"/>
      <c r="EK8" s="138"/>
      <c r="EL8" s="139">
        <f t="shared" si="59"/>
        <v>0</v>
      </c>
      <c r="EM8" s="139">
        <f t="shared" si="59"/>
        <v>0</v>
      </c>
      <c r="EN8" s="139">
        <f t="shared" si="59"/>
        <v>0</v>
      </c>
      <c r="EO8" s="139">
        <f t="shared" si="59"/>
        <v>0</v>
      </c>
      <c r="EP8" s="139">
        <f t="shared" si="18"/>
        <v>0</v>
      </c>
      <c r="EQ8" s="139">
        <f t="shared" si="19"/>
        <v>0</v>
      </c>
      <c r="ER8" s="139">
        <f t="shared" si="60"/>
        <v>0</v>
      </c>
      <c r="ES8" s="141">
        <f t="shared" si="61"/>
        <v>0</v>
      </c>
      <c r="ET8" s="142">
        <f t="shared" ca="1" si="62"/>
        <v>0</v>
      </c>
      <c r="EU8" s="140">
        <f t="shared" ca="1" si="20"/>
        <v>0</v>
      </c>
      <c r="EV8" s="144" t="str">
        <f t="shared" si="21"/>
        <v>Uncapped</v>
      </c>
      <c r="EW8" s="140">
        <f t="shared" ca="1" si="22"/>
        <v>0</v>
      </c>
      <c r="EX8" s="137">
        <f t="shared" ca="1" si="23"/>
        <v>0</v>
      </c>
      <c r="EY8" s="139">
        <f t="shared" ca="1" si="63"/>
        <v>0</v>
      </c>
      <c r="EZ8" s="140">
        <v>0</v>
      </c>
      <c r="FA8" s="140">
        <v>225350</v>
      </c>
      <c r="FB8" s="140"/>
      <c r="FC8" s="140">
        <v>0</v>
      </c>
      <c r="FD8" s="140">
        <f t="shared" si="24"/>
        <v>225350</v>
      </c>
      <c r="FE8" s="139">
        <f t="shared" si="25"/>
        <v>0</v>
      </c>
      <c r="FF8" s="140">
        <v>0</v>
      </c>
      <c r="FG8" s="140">
        <v>0</v>
      </c>
      <c r="FH8" s="140">
        <v>0</v>
      </c>
      <c r="FI8" s="140">
        <v>0</v>
      </c>
      <c r="FJ8" s="140">
        <f t="shared" si="26"/>
        <v>0</v>
      </c>
      <c r="FK8" s="139">
        <f t="shared" si="27"/>
        <v>0</v>
      </c>
      <c r="FL8" s="138"/>
      <c r="FM8" s="136"/>
      <c r="FN8" s="136"/>
      <c r="FO8" s="136"/>
      <c r="FP8" s="140">
        <f t="shared" si="28"/>
        <v>0</v>
      </c>
      <c r="FQ8" s="140"/>
      <c r="FR8" s="140"/>
      <c r="FS8" s="140"/>
      <c r="FT8" s="139">
        <f t="shared" si="64"/>
        <v>0</v>
      </c>
      <c r="FU8" s="365">
        <f t="shared" ref="FU8:FU71" ca="1" si="66">ROUND(MAX(FV8-FT8,0),2)</f>
        <v>225350</v>
      </c>
      <c r="FV8" s="147">
        <f t="shared" ca="1" si="65"/>
        <v>225350</v>
      </c>
      <c r="FW8" s="139">
        <f t="shared" si="29"/>
        <v>0</v>
      </c>
      <c r="FX8" s="139">
        <f t="shared" si="29"/>
        <v>0</v>
      </c>
      <c r="FY8" s="139">
        <f t="shared" si="29"/>
        <v>0</v>
      </c>
      <c r="FZ8" s="139">
        <f t="shared" si="29"/>
        <v>0</v>
      </c>
      <c r="GA8" s="139">
        <f t="shared" si="30"/>
        <v>0</v>
      </c>
      <c r="GB8" s="139">
        <f t="shared" si="31"/>
        <v>0</v>
      </c>
      <c r="GC8" s="139">
        <f t="shared" si="31"/>
        <v>225350</v>
      </c>
      <c r="GD8" s="139">
        <f t="shared" si="31"/>
        <v>0</v>
      </c>
      <c r="GE8" s="139">
        <f t="shared" si="31"/>
        <v>0</v>
      </c>
      <c r="GF8" s="139">
        <f t="shared" si="32"/>
        <v>0</v>
      </c>
      <c r="GG8" s="139">
        <f t="shared" si="32"/>
        <v>225350</v>
      </c>
      <c r="GH8" s="139">
        <f t="shared" si="32"/>
        <v>0</v>
      </c>
      <c r="GI8" s="139">
        <f t="shared" si="32"/>
        <v>0</v>
      </c>
      <c r="GJ8" s="140">
        <f t="shared" si="33"/>
        <v>225350</v>
      </c>
      <c r="GK8" s="139">
        <f t="shared" si="34"/>
        <v>225350</v>
      </c>
      <c r="GL8" s="139">
        <f t="shared" si="35"/>
        <v>0</v>
      </c>
      <c r="GM8" s="139">
        <f t="shared" si="36"/>
        <v>0</v>
      </c>
      <c r="GN8" s="139">
        <f t="shared" si="37"/>
        <v>0</v>
      </c>
      <c r="GO8" s="139">
        <f t="shared" si="38"/>
        <v>0</v>
      </c>
      <c r="GP8" s="139">
        <f t="shared" si="39"/>
        <v>0</v>
      </c>
      <c r="GQ8" s="139">
        <f t="shared" si="40"/>
        <v>0</v>
      </c>
      <c r="GR8" s="409"/>
      <c r="GS8" s="148">
        <f t="shared" si="41"/>
        <v>164227856.64122391</v>
      </c>
      <c r="GT8" s="148">
        <f t="shared" si="41"/>
        <v>167774475.74201509</v>
      </c>
      <c r="GU8" s="149">
        <f t="shared" si="42"/>
        <v>0.97886079461666875</v>
      </c>
      <c r="GV8" s="150">
        <f t="shared" ca="1" si="43"/>
        <v>0</v>
      </c>
      <c r="GW8" s="150">
        <v>0</v>
      </c>
      <c r="GX8" s="151">
        <f t="shared" ca="1" si="44"/>
        <v>0</v>
      </c>
      <c r="GY8" s="100"/>
    </row>
    <row r="9" spans="1:207" s="125" customFormat="1" ht="15" hidden="1" customHeight="1">
      <c r="A9" s="102"/>
      <c r="B9" s="103"/>
      <c r="C9" s="103"/>
      <c r="D9" s="104"/>
      <c r="E9" s="104" t="s">
        <v>224</v>
      </c>
      <c r="F9" s="104" t="s">
        <v>224</v>
      </c>
      <c r="G9" s="104" t="s">
        <v>226</v>
      </c>
      <c r="H9" s="105" t="s">
        <v>241</v>
      </c>
      <c r="I9" s="106" t="s">
        <v>242</v>
      </c>
      <c r="J9" s="104" t="s">
        <v>212</v>
      </c>
      <c r="K9" s="325" t="s">
        <v>208</v>
      </c>
      <c r="L9" s="104" t="s">
        <v>220</v>
      </c>
      <c r="M9" s="104" t="s">
        <v>714</v>
      </c>
      <c r="N9" s="107"/>
      <c r="O9" s="537">
        <v>41376</v>
      </c>
      <c r="P9" s="108">
        <v>41640</v>
      </c>
      <c r="Q9" s="322">
        <f t="shared" si="0"/>
        <v>0</v>
      </c>
      <c r="R9" s="109">
        <f>IF((P9-VLOOKUP(Q9,month!$A$1:$C$13,3,0))&lt;0,Q9,Q9+1)</f>
        <v>0</v>
      </c>
      <c r="S9" s="108"/>
      <c r="T9" s="110" t="str">
        <f t="shared" si="1"/>
        <v/>
      </c>
      <c r="U9" s="107"/>
      <c r="V9" s="107"/>
      <c r="W9" s="107"/>
      <c r="X9" s="107"/>
      <c r="Y9" s="386"/>
      <c r="Z9" s="386" t="s">
        <v>545</v>
      </c>
      <c r="AA9" s="387">
        <v>1000</v>
      </c>
      <c r="AB9" s="387">
        <v>1000</v>
      </c>
      <c r="AC9" s="387">
        <v>1000</v>
      </c>
      <c r="AD9" s="387">
        <v>1000</v>
      </c>
      <c r="AE9" s="387">
        <v>1000</v>
      </c>
      <c r="AF9" s="387">
        <v>1000</v>
      </c>
      <c r="AG9" s="387">
        <v>1000</v>
      </c>
      <c r="AH9" s="387">
        <v>1000</v>
      </c>
      <c r="AI9" s="387">
        <v>1000</v>
      </c>
      <c r="AJ9" s="387">
        <v>1000</v>
      </c>
      <c r="AK9" s="387">
        <v>1000</v>
      </c>
      <c r="AL9" s="387">
        <v>1000</v>
      </c>
      <c r="AM9" s="388">
        <f t="shared" si="2"/>
        <v>12000</v>
      </c>
      <c r="AN9" s="388">
        <f t="shared" si="3"/>
        <v>12000</v>
      </c>
      <c r="AO9" s="389">
        <f t="shared" si="45"/>
        <v>1000</v>
      </c>
      <c r="AP9" s="498" t="s">
        <v>675</v>
      </c>
      <c r="AQ9" s="159">
        <v>0.6</v>
      </c>
      <c r="AR9" s="160" t="s">
        <v>211</v>
      </c>
      <c r="AS9" s="119" t="s">
        <v>210</v>
      </c>
      <c r="AT9" s="111">
        <v>700090.29200000002</v>
      </c>
      <c r="AU9" s="111">
        <v>799529.95799999998</v>
      </c>
      <c r="AV9" s="111"/>
      <c r="AW9" s="111"/>
      <c r="AX9" s="113">
        <v>556659.13680000056</v>
      </c>
      <c r="AY9" s="113">
        <v>842241.95999999938</v>
      </c>
      <c r="AZ9" s="113"/>
      <c r="BA9" s="113"/>
      <c r="BB9" s="113"/>
      <c r="BC9" s="113"/>
      <c r="BD9" s="113"/>
      <c r="BE9" s="113"/>
      <c r="BF9" s="114">
        <f t="shared" si="46"/>
        <v>556659.13680000056</v>
      </c>
      <c r="BG9" s="114">
        <f t="shared" si="46"/>
        <v>842241.95999999938</v>
      </c>
      <c r="BH9" s="114">
        <f t="shared" si="46"/>
        <v>0</v>
      </c>
      <c r="BI9" s="114">
        <f t="shared" si="46"/>
        <v>0</v>
      </c>
      <c r="BJ9" s="114">
        <f t="shared" si="4"/>
        <v>1398901.0967999999</v>
      </c>
      <c r="BK9" s="115">
        <f t="shared" si="5"/>
        <v>1499620.25</v>
      </c>
      <c r="BL9" s="115">
        <f t="shared" si="47"/>
        <v>1499620.25</v>
      </c>
      <c r="BM9" s="116">
        <f t="shared" si="48"/>
        <v>0.93279999999999996</v>
      </c>
      <c r="BN9" s="126">
        <f t="shared" ca="1" si="6"/>
        <v>0</v>
      </c>
      <c r="BO9" s="117">
        <f t="shared" ca="1" si="7"/>
        <v>0</v>
      </c>
      <c r="BP9" s="118" t="str">
        <f t="shared" si="8"/>
        <v>Uncapped</v>
      </c>
      <c r="BQ9" s="115">
        <f t="shared" ca="1" si="9"/>
        <v>0</v>
      </c>
      <c r="BR9" s="113" t="s">
        <v>688</v>
      </c>
      <c r="BS9" s="161">
        <v>0.2</v>
      </c>
      <c r="BT9" s="113" t="s">
        <v>211</v>
      </c>
      <c r="BU9" s="160" t="s">
        <v>210</v>
      </c>
      <c r="BV9" s="113">
        <v>19653413.080999997</v>
      </c>
      <c r="BW9" s="113">
        <v>22848780.235100001</v>
      </c>
      <c r="BX9" s="113"/>
      <c r="BY9" s="113"/>
      <c r="BZ9" s="113">
        <v>19427532.107000571</v>
      </c>
      <c r="CA9" s="113">
        <v>22270538.357580002</v>
      </c>
      <c r="CB9" s="113"/>
      <c r="CC9" s="113"/>
      <c r="CD9" s="113"/>
      <c r="CE9" s="113"/>
      <c r="CF9" s="113"/>
      <c r="CG9" s="113"/>
      <c r="CH9" s="114">
        <f t="shared" si="49"/>
        <v>19427532.107000571</v>
      </c>
      <c r="CI9" s="114">
        <f t="shared" si="49"/>
        <v>22270538.357580002</v>
      </c>
      <c r="CJ9" s="120">
        <f t="shared" si="49"/>
        <v>0</v>
      </c>
      <c r="CK9" s="114">
        <f t="shared" si="49"/>
        <v>0</v>
      </c>
      <c r="CL9" s="114">
        <f t="shared" si="10"/>
        <v>41698070.464580573</v>
      </c>
      <c r="CM9" s="114">
        <f t="shared" si="11"/>
        <v>42502193.316100001</v>
      </c>
      <c r="CN9" s="114">
        <f t="shared" si="50"/>
        <v>42502193.316100001</v>
      </c>
      <c r="CO9" s="116">
        <f t="shared" si="51"/>
        <v>0.98109999999999997</v>
      </c>
      <c r="CP9" s="126">
        <f t="shared" ca="1" si="52"/>
        <v>0</v>
      </c>
      <c r="CQ9" s="115">
        <f t="shared" ca="1" si="12"/>
        <v>0</v>
      </c>
      <c r="CR9" s="118" t="str">
        <f t="shared" si="53"/>
        <v>Uncapped</v>
      </c>
      <c r="CS9" s="115">
        <f t="shared" ca="1" si="13"/>
        <v>0</v>
      </c>
      <c r="CT9" s="113" t="s">
        <v>696</v>
      </c>
      <c r="CU9" s="119">
        <v>0.2</v>
      </c>
      <c r="CV9" s="113" t="s">
        <v>217</v>
      </c>
      <c r="CW9" s="113" t="s">
        <v>210</v>
      </c>
      <c r="CX9" s="113">
        <v>61881722.047854595</v>
      </c>
      <c r="CY9" s="113">
        <v>72180793.063260496</v>
      </c>
      <c r="CZ9" s="113"/>
      <c r="DA9" s="113"/>
      <c r="DB9" s="113">
        <v>63657388.730680585</v>
      </c>
      <c r="DC9" s="113">
        <v>65995192.891159989</v>
      </c>
      <c r="DD9" s="113"/>
      <c r="DE9" s="113"/>
      <c r="DF9" s="113"/>
      <c r="DG9" s="113"/>
      <c r="DH9" s="113"/>
      <c r="DI9" s="113"/>
      <c r="DJ9" s="114">
        <f t="shared" si="54"/>
        <v>63657388.730680585</v>
      </c>
      <c r="DK9" s="114">
        <f t="shared" si="54"/>
        <v>65995192.891159989</v>
      </c>
      <c r="DL9" s="114">
        <f t="shared" si="54"/>
        <v>0</v>
      </c>
      <c r="DM9" s="114">
        <f t="shared" si="54"/>
        <v>0</v>
      </c>
      <c r="DN9" s="114">
        <f t="shared" si="55"/>
        <v>129652581.62184057</v>
      </c>
      <c r="DO9" s="114">
        <f t="shared" si="14"/>
        <v>134062515.1111151</v>
      </c>
      <c r="DP9" s="114">
        <f t="shared" si="56"/>
        <v>134062515.1111151</v>
      </c>
      <c r="DQ9" s="116">
        <f t="shared" si="57"/>
        <v>0.96709999999999996</v>
      </c>
      <c r="DR9" s="126">
        <f t="shared" ca="1" si="15"/>
        <v>0</v>
      </c>
      <c r="DS9" s="115">
        <f t="shared" ca="1" si="16"/>
        <v>0</v>
      </c>
      <c r="DT9" s="118" t="str">
        <f t="shared" si="58"/>
        <v>Uncapped</v>
      </c>
      <c r="DU9" s="115">
        <f t="shared" ca="1" si="17"/>
        <v>0</v>
      </c>
      <c r="DV9" s="113"/>
      <c r="DW9" s="119">
        <v>0</v>
      </c>
      <c r="DX9" s="113"/>
      <c r="DY9" s="113"/>
      <c r="DZ9" s="113">
        <v>0</v>
      </c>
      <c r="EA9" s="113">
        <v>0</v>
      </c>
      <c r="EB9" s="113">
        <v>0</v>
      </c>
      <c r="EC9" s="113">
        <v>0</v>
      </c>
      <c r="ED9" s="113">
        <v>0</v>
      </c>
      <c r="EE9" s="113">
        <v>0</v>
      </c>
      <c r="EF9" s="113"/>
      <c r="EG9" s="113"/>
      <c r="EH9" s="113"/>
      <c r="EI9" s="113"/>
      <c r="EJ9" s="113"/>
      <c r="EK9" s="113"/>
      <c r="EL9" s="114">
        <f t="shared" si="59"/>
        <v>0</v>
      </c>
      <c r="EM9" s="114">
        <f t="shared" si="59"/>
        <v>0</v>
      </c>
      <c r="EN9" s="114">
        <f t="shared" si="59"/>
        <v>0</v>
      </c>
      <c r="EO9" s="114">
        <f t="shared" si="59"/>
        <v>0</v>
      </c>
      <c r="EP9" s="114">
        <f t="shared" si="18"/>
        <v>0</v>
      </c>
      <c r="EQ9" s="114">
        <f t="shared" si="19"/>
        <v>0</v>
      </c>
      <c r="ER9" s="114">
        <f t="shared" si="60"/>
        <v>0</v>
      </c>
      <c r="ES9" s="116">
        <f t="shared" si="61"/>
        <v>0</v>
      </c>
      <c r="ET9" s="126">
        <f t="shared" ca="1" si="62"/>
        <v>0</v>
      </c>
      <c r="EU9" s="115">
        <f t="shared" ca="1" si="20"/>
        <v>0</v>
      </c>
      <c r="EV9" s="118" t="str">
        <f t="shared" si="21"/>
        <v>Uncapped</v>
      </c>
      <c r="EW9" s="115">
        <f t="shared" ca="1" si="22"/>
        <v>0</v>
      </c>
      <c r="EX9" s="112">
        <f t="shared" ca="1" si="23"/>
        <v>0</v>
      </c>
      <c r="EY9" s="114">
        <f t="shared" ca="1" si="63"/>
        <v>0</v>
      </c>
      <c r="EZ9" s="115">
        <v>0</v>
      </c>
      <c r="FA9" s="115"/>
      <c r="FB9" s="115"/>
      <c r="FC9" s="115">
        <v>0</v>
      </c>
      <c r="FD9" s="115">
        <f t="shared" si="24"/>
        <v>0</v>
      </c>
      <c r="FE9" s="114">
        <f t="shared" si="25"/>
        <v>0</v>
      </c>
      <c r="FF9" s="115">
        <v>0</v>
      </c>
      <c r="FG9" s="115">
        <v>0</v>
      </c>
      <c r="FH9" s="115">
        <v>0</v>
      </c>
      <c r="FI9" s="115">
        <v>0</v>
      </c>
      <c r="FJ9" s="115">
        <f t="shared" si="26"/>
        <v>0</v>
      </c>
      <c r="FK9" s="114">
        <f t="shared" si="27"/>
        <v>0</v>
      </c>
      <c r="FL9" s="113"/>
      <c r="FM9" s="111"/>
      <c r="FN9" s="111"/>
      <c r="FO9" s="111"/>
      <c r="FP9" s="115">
        <f t="shared" si="28"/>
        <v>0</v>
      </c>
      <c r="FQ9" s="115"/>
      <c r="FR9" s="115"/>
      <c r="FS9" s="115"/>
      <c r="FT9" s="114">
        <f t="shared" si="64"/>
        <v>0</v>
      </c>
      <c r="FU9" s="366">
        <f t="shared" ca="1" si="66"/>
        <v>0</v>
      </c>
      <c r="FV9" s="121">
        <f t="shared" ca="1" si="65"/>
        <v>0</v>
      </c>
      <c r="FW9" s="114">
        <f t="shared" si="29"/>
        <v>0</v>
      </c>
      <c r="FX9" s="114">
        <f t="shared" si="29"/>
        <v>0</v>
      </c>
      <c r="FY9" s="114">
        <f t="shared" si="29"/>
        <v>0</v>
      </c>
      <c r="FZ9" s="114">
        <f t="shared" si="29"/>
        <v>0</v>
      </c>
      <c r="GA9" s="114">
        <f t="shared" si="30"/>
        <v>0</v>
      </c>
      <c r="GB9" s="114">
        <f t="shared" si="31"/>
        <v>0</v>
      </c>
      <c r="GC9" s="114">
        <f t="shared" si="31"/>
        <v>0</v>
      </c>
      <c r="GD9" s="114">
        <f t="shared" si="31"/>
        <v>0</v>
      </c>
      <c r="GE9" s="114">
        <f t="shared" si="31"/>
        <v>0</v>
      </c>
      <c r="GF9" s="114">
        <f t="shared" si="32"/>
        <v>0</v>
      </c>
      <c r="GG9" s="114">
        <f t="shared" si="32"/>
        <v>0</v>
      </c>
      <c r="GH9" s="114">
        <f t="shared" si="32"/>
        <v>0</v>
      </c>
      <c r="GI9" s="114">
        <f t="shared" si="32"/>
        <v>0</v>
      </c>
      <c r="GJ9" s="115">
        <f t="shared" si="33"/>
        <v>0</v>
      </c>
      <c r="GK9" s="114">
        <f t="shared" si="34"/>
        <v>0</v>
      </c>
      <c r="GL9" s="114">
        <f t="shared" si="35"/>
        <v>0</v>
      </c>
      <c r="GM9" s="114">
        <f t="shared" si="36"/>
        <v>0</v>
      </c>
      <c r="GN9" s="114">
        <f t="shared" si="37"/>
        <v>0</v>
      </c>
      <c r="GO9" s="114">
        <f t="shared" si="38"/>
        <v>0</v>
      </c>
      <c r="GP9" s="114">
        <f t="shared" si="39"/>
        <v>0</v>
      </c>
      <c r="GQ9" s="114">
        <f t="shared" si="40"/>
        <v>0</v>
      </c>
      <c r="GR9" s="193"/>
      <c r="GS9" s="122">
        <f t="shared" si="41"/>
        <v>172749553.18322113</v>
      </c>
      <c r="GT9" s="122">
        <f t="shared" si="41"/>
        <v>178064328.6772151</v>
      </c>
      <c r="GU9" s="123">
        <f t="shared" si="42"/>
        <v>0.97015249750763788</v>
      </c>
      <c r="GV9" s="124">
        <f t="shared" ca="1" si="43"/>
        <v>0</v>
      </c>
      <c r="GW9" s="124">
        <v>0</v>
      </c>
      <c r="GX9" s="32">
        <f t="shared" ca="1" si="44"/>
        <v>0</v>
      </c>
      <c r="GY9" s="100"/>
    </row>
    <row r="10" spans="1:207" s="125" customFormat="1" ht="15" hidden="1" customHeight="1">
      <c r="A10" s="102"/>
      <c r="B10" s="103"/>
      <c r="C10" s="103"/>
      <c r="D10" s="104"/>
      <c r="E10" s="104" t="s">
        <v>224</v>
      </c>
      <c r="F10" s="104" t="s">
        <v>243</v>
      </c>
      <c r="G10" s="104" t="s">
        <v>226</v>
      </c>
      <c r="H10" s="105" t="s">
        <v>244</v>
      </c>
      <c r="I10" s="106" t="s">
        <v>245</v>
      </c>
      <c r="J10" s="104" t="s">
        <v>207</v>
      </c>
      <c r="K10" s="104" t="s">
        <v>208</v>
      </c>
      <c r="L10" s="104" t="s">
        <v>246</v>
      </c>
      <c r="M10" s="104" t="s">
        <v>247</v>
      </c>
      <c r="N10" s="107"/>
      <c r="O10" s="108">
        <v>41376</v>
      </c>
      <c r="P10" s="108">
        <v>43313</v>
      </c>
      <c r="Q10" s="322">
        <f t="shared" si="0"/>
        <v>0</v>
      </c>
      <c r="R10" s="109">
        <f>IF((P10-VLOOKUP(Q10,month!$A$1:$C$13,3,0))&lt;0,Q10,Q10+1)</f>
        <v>0</v>
      </c>
      <c r="S10" s="108"/>
      <c r="T10" s="127" t="str">
        <f t="shared" si="1"/>
        <v/>
      </c>
      <c r="U10" s="107"/>
      <c r="V10" s="107"/>
      <c r="W10" s="107"/>
      <c r="X10" s="107"/>
      <c r="Y10" s="386"/>
      <c r="Z10" s="386" t="s">
        <v>545</v>
      </c>
      <c r="AA10" s="387">
        <v>1000</v>
      </c>
      <c r="AB10" s="387">
        <v>1000</v>
      </c>
      <c r="AC10" s="387">
        <v>1000</v>
      </c>
      <c r="AD10" s="387">
        <v>1000</v>
      </c>
      <c r="AE10" s="387">
        <v>1000</v>
      </c>
      <c r="AF10" s="387">
        <v>1000</v>
      </c>
      <c r="AG10" s="387">
        <v>1000</v>
      </c>
      <c r="AH10" s="387">
        <v>1000</v>
      </c>
      <c r="AI10" s="387">
        <v>1000</v>
      </c>
      <c r="AJ10" s="387">
        <v>1000</v>
      </c>
      <c r="AK10" s="387">
        <v>1000</v>
      </c>
      <c r="AL10" s="387">
        <v>1000</v>
      </c>
      <c r="AM10" s="388">
        <f t="shared" si="2"/>
        <v>12000</v>
      </c>
      <c r="AN10" s="388">
        <f t="shared" si="3"/>
        <v>12000</v>
      </c>
      <c r="AO10" s="389">
        <f t="shared" si="45"/>
        <v>1000</v>
      </c>
      <c r="AP10" s="498" t="s">
        <v>684</v>
      </c>
      <c r="AQ10" s="159">
        <v>0.8</v>
      </c>
      <c r="AR10" s="160" t="s">
        <v>211</v>
      </c>
      <c r="AS10" s="119" t="s">
        <v>210</v>
      </c>
      <c r="AT10" s="111">
        <v>5487270.5779999997</v>
      </c>
      <c r="AU10" s="111">
        <v>6585543.1469999989</v>
      </c>
      <c r="AV10" s="111">
        <v>5336814.9539999999</v>
      </c>
      <c r="AW10" s="111">
        <v>6526505.9210000001</v>
      </c>
      <c r="AX10" s="113">
        <v>5253705.8622000199</v>
      </c>
      <c r="AY10" s="113">
        <v>6486860.7639000099</v>
      </c>
      <c r="AZ10" s="113">
        <v>5185416.014100017</v>
      </c>
      <c r="BA10" s="113"/>
      <c r="BB10" s="113"/>
      <c r="BC10" s="113"/>
      <c r="BD10" s="113"/>
      <c r="BE10" s="113"/>
      <c r="BF10" s="114">
        <f t="shared" si="46"/>
        <v>5253705.8622000199</v>
      </c>
      <c r="BG10" s="114">
        <f t="shared" si="46"/>
        <v>6486860.7639000099</v>
      </c>
      <c r="BH10" s="114">
        <f t="shared" si="46"/>
        <v>5185416.014100017</v>
      </c>
      <c r="BI10" s="114">
        <f t="shared" si="46"/>
        <v>0</v>
      </c>
      <c r="BJ10" s="114">
        <f t="shared" si="4"/>
        <v>16925982.640200049</v>
      </c>
      <c r="BK10" s="115">
        <f t="shared" si="5"/>
        <v>23936134.599999998</v>
      </c>
      <c r="BL10" s="115">
        <f t="shared" si="47"/>
        <v>23936134.599999998</v>
      </c>
      <c r="BM10" s="116">
        <f t="shared" si="48"/>
        <v>0.70709999999999995</v>
      </c>
      <c r="BN10" s="126">
        <f t="shared" ca="1" si="6"/>
        <v>0</v>
      </c>
      <c r="BO10" s="117">
        <f t="shared" ca="1" si="7"/>
        <v>0</v>
      </c>
      <c r="BP10" s="118" t="str">
        <f t="shared" si="8"/>
        <v>Uncapped</v>
      </c>
      <c r="BQ10" s="115">
        <f t="shared" ca="1" si="9"/>
        <v>0</v>
      </c>
      <c r="BR10" s="113" t="s">
        <v>688</v>
      </c>
      <c r="BS10" s="161">
        <v>0.2</v>
      </c>
      <c r="BT10" s="113" t="s">
        <v>217</v>
      </c>
      <c r="BU10" s="160" t="s">
        <v>210</v>
      </c>
      <c r="BV10" s="113">
        <v>19653413.080999997</v>
      </c>
      <c r="BW10" s="113">
        <v>22848780.235100001</v>
      </c>
      <c r="BX10" s="113">
        <v>22618799.574099999</v>
      </c>
      <c r="BY10" s="113">
        <v>27098464.121500004</v>
      </c>
      <c r="BZ10" s="113">
        <v>19427532.107000571</v>
      </c>
      <c r="CA10" s="113">
        <v>22270538.357580002</v>
      </c>
      <c r="CB10" s="113">
        <v>22879083.486580007</v>
      </c>
      <c r="CC10" s="113"/>
      <c r="CD10" s="113"/>
      <c r="CE10" s="113"/>
      <c r="CF10" s="113"/>
      <c r="CG10" s="113"/>
      <c r="CH10" s="114">
        <f t="shared" si="49"/>
        <v>19427532.107000571</v>
      </c>
      <c r="CI10" s="114">
        <f t="shared" si="49"/>
        <v>22270538.357580002</v>
      </c>
      <c r="CJ10" s="120">
        <f t="shared" si="49"/>
        <v>22879083.486580007</v>
      </c>
      <c r="CK10" s="114">
        <f t="shared" si="49"/>
        <v>0</v>
      </c>
      <c r="CL10" s="114">
        <f t="shared" si="10"/>
        <v>64577153.95116058</v>
      </c>
      <c r="CM10" s="114">
        <f t="shared" si="11"/>
        <v>92219457.011700004</v>
      </c>
      <c r="CN10" s="114">
        <f t="shared" si="50"/>
        <v>92219457.011700004</v>
      </c>
      <c r="CO10" s="116">
        <f t="shared" si="51"/>
        <v>0.70030000000000003</v>
      </c>
      <c r="CP10" s="126">
        <f t="shared" ca="1" si="52"/>
        <v>0</v>
      </c>
      <c r="CQ10" s="115">
        <f t="shared" ca="1" si="12"/>
        <v>0</v>
      </c>
      <c r="CR10" s="118" t="str">
        <f t="shared" si="53"/>
        <v>Uncapped</v>
      </c>
      <c r="CS10" s="115">
        <f t="shared" ca="1" si="13"/>
        <v>0</v>
      </c>
      <c r="CT10" s="113"/>
      <c r="CU10" s="119">
        <v>0</v>
      </c>
      <c r="CV10" s="113"/>
      <c r="CW10" s="113"/>
      <c r="CX10" s="113">
        <v>0</v>
      </c>
      <c r="CY10" s="113">
        <v>0</v>
      </c>
      <c r="CZ10" s="113">
        <v>0</v>
      </c>
      <c r="DA10" s="113">
        <v>0</v>
      </c>
      <c r="DB10" s="113">
        <v>0</v>
      </c>
      <c r="DC10" s="113">
        <v>0</v>
      </c>
      <c r="DD10" s="113">
        <v>0</v>
      </c>
      <c r="DE10" s="113"/>
      <c r="DF10" s="113"/>
      <c r="DG10" s="113"/>
      <c r="DH10" s="113"/>
      <c r="DI10" s="113"/>
      <c r="DJ10" s="114">
        <f t="shared" si="54"/>
        <v>0</v>
      </c>
      <c r="DK10" s="114">
        <f t="shared" si="54"/>
        <v>0</v>
      </c>
      <c r="DL10" s="114">
        <f t="shared" si="54"/>
        <v>0</v>
      </c>
      <c r="DM10" s="114">
        <f t="shared" si="54"/>
        <v>0</v>
      </c>
      <c r="DN10" s="114">
        <f t="shared" si="55"/>
        <v>0</v>
      </c>
      <c r="DO10" s="114">
        <f t="shared" si="14"/>
        <v>0</v>
      </c>
      <c r="DP10" s="114">
        <f t="shared" si="56"/>
        <v>0</v>
      </c>
      <c r="DQ10" s="116">
        <f t="shared" si="57"/>
        <v>0</v>
      </c>
      <c r="DR10" s="126">
        <f t="shared" ca="1" si="15"/>
        <v>0</v>
      </c>
      <c r="DS10" s="115">
        <f t="shared" ca="1" si="16"/>
        <v>0</v>
      </c>
      <c r="DT10" s="118" t="str">
        <f t="shared" si="58"/>
        <v>Uncapped</v>
      </c>
      <c r="DU10" s="115">
        <f t="shared" ca="1" si="17"/>
        <v>0</v>
      </c>
      <c r="DV10" s="113"/>
      <c r="DW10" s="119">
        <v>0</v>
      </c>
      <c r="DX10" s="113"/>
      <c r="DY10" s="113"/>
      <c r="DZ10" s="113">
        <v>0</v>
      </c>
      <c r="EA10" s="113">
        <v>0</v>
      </c>
      <c r="EB10" s="113">
        <v>0</v>
      </c>
      <c r="EC10" s="113">
        <v>0</v>
      </c>
      <c r="ED10" s="113">
        <v>0</v>
      </c>
      <c r="EE10" s="113">
        <v>0</v>
      </c>
      <c r="EF10" s="113"/>
      <c r="EG10" s="113"/>
      <c r="EH10" s="113"/>
      <c r="EI10" s="113"/>
      <c r="EJ10" s="113"/>
      <c r="EK10" s="113"/>
      <c r="EL10" s="114">
        <f t="shared" si="59"/>
        <v>0</v>
      </c>
      <c r="EM10" s="114">
        <f t="shared" si="59"/>
        <v>0</v>
      </c>
      <c r="EN10" s="114">
        <f t="shared" si="59"/>
        <v>0</v>
      </c>
      <c r="EO10" s="114">
        <f t="shared" si="59"/>
        <v>0</v>
      </c>
      <c r="EP10" s="114">
        <f t="shared" si="18"/>
        <v>0</v>
      </c>
      <c r="EQ10" s="114">
        <f t="shared" si="19"/>
        <v>0</v>
      </c>
      <c r="ER10" s="114">
        <f t="shared" si="60"/>
        <v>0</v>
      </c>
      <c r="ES10" s="116">
        <f t="shared" si="61"/>
        <v>0</v>
      </c>
      <c r="ET10" s="126">
        <f t="shared" ca="1" si="62"/>
        <v>0</v>
      </c>
      <c r="EU10" s="115">
        <f t="shared" ca="1" si="20"/>
        <v>0</v>
      </c>
      <c r="EV10" s="118" t="str">
        <f t="shared" si="21"/>
        <v>Uncapped</v>
      </c>
      <c r="EW10" s="115">
        <f t="shared" ca="1" si="22"/>
        <v>0</v>
      </c>
      <c r="EX10" s="112">
        <f t="shared" ca="1" si="23"/>
        <v>0</v>
      </c>
      <c r="EY10" s="114">
        <f t="shared" ca="1" si="63"/>
        <v>0</v>
      </c>
      <c r="EZ10" s="115">
        <v>0</v>
      </c>
      <c r="FA10" s="115"/>
      <c r="FB10" s="115"/>
      <c r="FC10" s="115">
        <v>0</v>
      </c>
      <c r="FD10" s="115">
        <f t="shared" si="24"/>
        <v>0</v>
      </c>
      <c r="FE10" s="114">
        <f t="shared" si="25"/>
        <v>0</v>
      </c>
      <c r="FF10" s="115">
        <v>0</v>
      </c>
      <c r="FG10" s="115">
        <v>0</v>
      </c>
      <c r="FH10" s="115">
        <v>0</v>
      </c>
      <c r="FI10" s="115">
        <v>0</v>
      </c>
      <c r="FJ10" s="115">
        <f t="shared" si="26"/>
        <v>0</v>
      </c>
      <c r="FK10" s="114">
        <f t="shared" si="27"/>
        <v>0</v>
      </c>
      <c r="FL10" s="113"/>
      <c r="FM10" s="111"/>
      <c r="FN10" s="111"/>
      <c r="FO10" s="111"/>
      <c r="FP10" s="115">
        <f t="shared" si="28"/>
        <v>0</v>
      </c>
      <c r="FQ10" s="115"/>
      <c r="FR10" s="115"/>
      <c r="FS10" s="115"/>
      <c r="FT10" s="114">
        <f t="shared" si="64"/>
        <v>0</v>
      </c>
      <c r="FU10" s="366">
        <f t="shared" ca="1" si="66"/>
        <v>0</v>
      </c>
      <c r="FV10" s="121">
        <f t="shared" ca="1" si="65"/>
        <v>0</v>
      </c>
      <c r="FW10" s="114">
        <f t="shared" si="29"/>
        <v>0</v>
      </c>
      <c r="FX10" s="114">
        <f t="shared" si="29"/>
        <v>0</v>
      </c>
      <c r="FY10" s="114">
        <f t="shared" si="29"/>
        <v>0</v>
      </c>
      <c r="FZ10" s="114">
        <f t="shared" si="29"/>
        <v>0</v>
      </c>
      <c r="GA10" s="114">
        <f t="shared" si="30"/>
        <v>0</v>
      </c>
      <c r="GB10" s="114">
        <f t="shared" si="31"/>
        <v>0</v>
      </c>
      <c r="GC10" s="114">
        <f t="shared" si="31"/>
        <v>0</v>
      </c>
      <c r="GD10" s="114">
        <f t="shared" si="31"/>
        <v>0</v>
      </c>
      <c r="GE10" s="114">
        <f t="shared" si="31"/>
        <v>0</v>
      </c>
      <c r="GF10" s="114">
        <f t="shared" si="32"/>
        <v>0</v>
      </c>
      <c r="GG10" s="114">
        <f t="shared" si="32"/>
        <v>0</v>
      </c>
      <c r="GH10" s="114">
        <f t="shared" si="32"/>
        <v>0</v>
      </c>
      <c r="GI10" s="114">
        <f t="shared" si="32"/>
        <v>0</v>
      </c>
      <c r="GJ10" s="115">
        <f t="shared" si="33"/>
        <v>0</v>
      </c>
      <c r="GK10" s="114">
        <f t="shared" si="34"/>
        <v>0</v>
      </c>
      <c r="GL10" s="114">
        <f t="shared" si="35"/>
        <v>0</v>
      </c>
      <c r="GM10" s="114">
        <f t="shared" si="36"/>
        <v>0</v>
      </c>
      <c r="GN10" s="114">
        <f t="shared" si="37"/>
        <v>0</v>
      </c>
      <c r="GO10" s="114">
        <f t="shared" si="38"/>
        <v>0</v>
      </c>
      <c r="GP10" s="114">
        <f t="shared" si="39"/>
        <v>0</v>
      </c>
      <c r="GQ10" s="114">
        <f t="shared" si="40"/>
        <v>0</v>
      </c>
      <c r="GR10" s="193"/>
      <c r="GS10" s="122">
        <f t="shared" si="41"/>
        <v>81503136.591360629</v>
      </c>
      <c r="GT10" s="122">
        <f t="shared" si="41"/>
        <v>116155591.6117</v>
      </c>
      <c r="GU10" s="123">
        <f t="shared" si="42"/>
        <v>0.70167208879465659</v>
      </c>
      <c r="GV10" s="124">
        <f t="shared" ca="1" si="43"/>
        <v>0</v>
      </c>
      <c r="GW10" s="124">
        <v>0</v>
      </c>
      <c r="GX10" s="32">
        <f t="shared" ca="1" si="44"/>
        <v>0</v>
      </c>
      <c r="GY10" s="100"/>
    </row>
    <row r="11" spans="1:207" s="125" customFormat="1" ht="15" hidden="1" customHeight="1">
      <c r="A11" s="102"/>
      <c r="B11" s="103"/>
      <c r="C11" s="103"/>
      <c r="D11" s="104"/>
      <c r="E11" s="104" t="s">
        <v>224</v>
      </c>
      <c r="F11" s="104" t="s">
        <v>248</v>
      </c>
      <c r="G11" s="104" t="s">
        <v>226</v>
      </c>
      <c r="H11" s="105" t="s">
        <v>249</v>
      </c>
      <c r="I11" s="106" t="s">
        <v>250</v>
      </c>
      <c r="J11" s="104" t="s">
        <v>212</v>
      </c>
      <c r="K11" s="104" t="s">
        <v>208</v>
      </c>
      <c r="L11" s="104" t="s">
        <v>213</v>
      </c>
      <c r="M11" s="104" t="s">
        <v>247</v>
      </c>
      <c r="N11" s="107"/>
      <c r="O11" s="108">
        <v>42296</v>
      </c>
      <c r="P11" s="108">
        <v>43009</v>
      </c>
      <c r="Q11" s="322">
        <f t="shared" si="0"/>
        <v>0</v>
      </c>
      <c r="R11" s="109">
        <f>IF((P11-VLOOKUP(Q11,month!$A$1:$C$13,3,0))&lt;0,Q11,Q11+1)</f>
        <v>0</v>
      </c>
      <c r="S11" s="108"/>
      <c r="T11" s="127" t="str">
        <f t="shared" si="1"/>
        <v/>
      </c>
      <c r="U11" s="107"/>
      <c r="V11" s="107"/>
      <c r="W11" s="107"/>
      <c r="X11" s="107"/>
      <c r="Y11" s="386"/>
      <c r="Z11" s="386" t="s">
        <v>545</v>
      </c>
      <c r="AA11" s="387">
        <v>1000</v>
      </c>
      <c r="AB11" s="387">
        <v>1000</v>
      </c>
      <c r="AC11" s="387">
        <v>1000</v>
      </c>
      <c r="AD11" s="387">
        <v>1000</v>
      </c>
      <c r="AE11" s="387">
        <v>1000</v>
      </c>
      <c r="AF11" s="387">
        <v>1000</v>
      </c>
      <c r="AG11" s="387">
        <v>1000</v>
      </c>
      <c r="AH11" s="387">
        <v>1000</v>
      </c>
      <c r="AI11" s="387">
        <v>1000</v>
      </c>
      <c r="AJ11" s="387">
        <v>1000</v>
      </c>
      <c r="AK11" s="387">
        <v>1000</v>
      </c>
      <c r="AL11" s="387">
        <v>1000</v>
      </c>
      <c r="AM11" s="388">
        <f t="shared" si="2"/>
        <v>12000</v>
      </c>
      <c r="AN11" s="388">
        <f t="shared" si="3"/>
        <v>12000</v>
      </c>
      <c r="AO11" s="389">
        <f t="shared" si="45"/>
        <v>1000</v>
      </c>
      <c r="AP11" s="498" t="s">
        <v>685</v>
      </c>
      <c r="AQ11" s="159">
        <v>0.8</v>
      </c>
      <c r="AR11" s="160" t="s">
        <v>392</v>
      </c>
      <c r="AS11" s="119" t="s">
        <v>210</v>
      </c>
      <c r="AT11" s="111">
        <v>1544971.7120000001</v>
      </c>
      <c r="AU11" s="111">
        <v>1743032.2879999999</v>
      </c>
      <c r="AV11" s="111">
        <v>2083503.6159999999</v>
      </c>
      <c r="AW11" s="111">
        <v>2272892.3840000001</v>
      </c>
      <c r="AX11" s="113">
        <v>1436429.1141000101</v>
      </c>
      <c r="AY11" s="113">
        <v>1704130.9398000101</v>
      </c>
      <c r="AZ11" s="113">
        <v>1716419.247300013</v>
      </c>
      <c r="BA11" s="113"/>
      <c r="BB11" s="113"/>
      <c r="BC11" s="113"/>
      <c r="BD11" s="113"/>
      <c r="BE11" s="113"/>
      <c r="BF11" s="114">
        <f t="shared" si="46"/>
        <v>1436429.1141000101</v>
      </c>
      <c r="BG11" s="114">
        <f t="shared" si="46"/>
        <v>1704130.9398000101</v>
      </c>
      <c r="BH11" s="114">
        <f t="shared" si="46"/>
        <v>1716419.247300013</v>
      </c>
      <c r="BI11" s="114">
        <f t="shared" si="46"/>
        <v>0</v>
      </c>
      <c r="BJ11" s="114">
        <f t="shared" si="4"/>
        <v>4856979.3012000332</v>
      </c>
      <c r="BK11" s="115">
        <f t="shared" si="5"/>
        <v>7644400</v>
      </c>
      <c r="BL11" s="115">
        <f t="shared" si="47"/>
        <v>7644400</v>
      </c>
      <c r="BM11" s="116">
        <f t="shared" si="48"/>
        <v>0.63539999999999996</v>
      </c>
      <c r="BN11" s="126">
        <f t="shared" ca="1" si="6"/>
        <v>0</v>
      </c>
      <c r="BO11" s="117">
        <f t="shared" ca="1" si="7"/>
        <v>0</v>
      </c>
      <c r="BP11" s="118" t="str">
        <f t="shared" si="8"/>
        <v>Uncapped</v>
      </c>
      <c r="BQ11" s="115">
        <f t="shared" ca="1" si="9"/>
        <v>0</v>
      </c>
      <c r="BR11" s="113" t="s">
        <v>695</v>
      </c>
      <c r="BS11" s="161">
        <v>0.2</v>
      </c>
      <c r="BT11" s="113" t="s">
        <v>217</v>
      </c>
      <c r="BU11" s="160" t="s">
        <v>210</v>
      </c>
      <c r="BV11" s="113">
        <v>5487270.5779999997</v>
      </c>
      <c r="BW11" s="113">
        <v>6585543.1469999989</v>
      </c>
      <c r="BX11" s="113">
        <v>5336814.9539999999</v>
      </c>
      <c r="BY11" s="113">
        <v>6526505.9210000001</v>
      </c>
      <c r="BZ11" s="113">
        <v>5253705.8622000199</v>
      </c>
      <c r="CA11" s="113">
        <v>6486860.7639000099</v>
      </c>
      <c r="CB11" s="113">
        <v>5185416.014100017</v>
      </c>
      <c r="CC11" s="113"/>
      <c r="CD11" s="113"/>
      <c r="CE11" s="113"/>
      <c r="CF11" s="113"/>
      <c r="CG11" s="113"/>
      <c r="CH11" s="114">
        <f t="shared" si="49"/>
        <v>5253705.8622000199</v>
      </c>
      <c r="CI11" s="114">
        <f t="shared" si="49"/>
        <v>6486860.7639000099</v>
      </c>
      <c r="CJ11" s="120">
        <f t="shared" si="49"/>
        <v>5185416.014100017</v>
      </c>
      <c r="CK11" s="114">
        <f t="shared" si="49"/>
        <v>0</v>
      </c>
      <c r="CL11" s="114">
        <f t="shared" si="10"/>
        <v>16925982.640200049</v>
      </c>
      <c r="CM11" s="114">
        <f t="shared" si="11"/>
        <v>23936134.599999998</v>
      </c>
      <c r="CN11" s="114">
        <f t="shared" si="50"/>
        <v>23936134.599999998</v>
      </c>
      <c r="CO11" s="116">
        <f t="shared" si="51"/>
        <v>0.70709999999999995</v>
      </c>
      <c r="CP11" s="126">
        <f t="shared" ca="1" si="52"/>
        <v>0</v>
      </c>
      <c r="CQ11" s="115">
        <f t="shared" ca="1" si="12"/>
        <v>0</v>
      </c>
      <c r="CR11" s="118" t="str">
        <f t="shared" si="53"/>
        <v>Uncapped</v>
      </c>
      <c r="CS11" s="115">
        <f t="shared" ca="1" si="13"/>
        <v>0</v>
      </c>
      <c r="CT11" s="113"/>
      <c r="CU11" s="119">
        <v>0</v>
      </c>
      <c r="CV11" s="113"/>
      <c r="CW11" s="113"/>
      <c r="CX11" s="113">
        <v>0</v>
      </c>
      <c r="CY11" s="113">
        <v>0</v>
      </c>
      <c r="CZ11" s="113">
        <v>0</v>
      </c>
      <c r="DA11" s="113">
        <v>0</v>
      </c>
      <c r="DB11" s="113">
        <v>0</v>
      </c>
      <c r="DC11" s="113">
        <v>0</v>
      </c>
      <c r="DD11" s="113">
        <v>0</v>
      </c>
      <c r="DE11" s="113"/>
      <c r="DF11" s="113"/>
      <c r="DG11" s="113"/>
      <c r="DH11" s="113"/>
      <c r="DI11" s="113"/>
      <c r="DJ11" s="114">
        <f t="shared" si="54"/>
        <v>0</v>
      </c>
      <c r="DK11" s="114">
        <f t="shared" si="54"/>
        <v>0</v>
      </c>
      <c r="DL11" s="114">
        <f t="shared" si="54"/>
        <v>0</v>
      </c>
      <c r="DM11" s="114">
        <f t="shared" si="54"/>
        <v>0</v>
      </c>
      <c r="DN11" s="114">
        <f t="shared" si="55"/>
        <v>0</v>
      </c>
      <c r="DO11" s="114">
        <f t="shared" si="14"/>
        <v>0</v>
      </c>
      <c r="DP11" s="114">
        <f t="shared" si="56"/>
        <v>0</v>
      </c>
      <c r="DQ11" s="116">
        <f t="shared" si="57"/>
        <v>0</v>
      </c>
      <c r="DR11" s="126">
        <f t="shared" ca="1" si="15"/>
        <v>0</v>
      </c>
      <c r="DS11" s="115">
        <f t="shared" ca="1" si="16"/>
        <v>0</v>
      </c>
      <c r="DT11" s="118" t="str">
        <f t="shared" si="58"/>
        <v>Uncapped</v>
      </c>
      <c r="DU11" s="115">
        <f t="shared" ca="1" si="17"/>
        <v>0</v>
      </c>
      <c r="DV11" s="113"/>
      <c r="DW11" s="119">
        <v>0</v>
      </c>
      <c r="DX11" s="113"/>
      <c r="DY11" s="113"/>
      <c r="DZ11" s="113">
        <v>0</v>
      </c>
      <c r="EA11" s="113">
        <v>0</v>
      </c>
      <c r="EB11" s="113">
        <v>0</v>
      </c>
      <c r="EC11" s="113">
        <v>0</v>
      </c>
      <c r="ED11" s="113">
        <v>0</v>
      </c>
      <c r="EE11" s="113">
        <v>0</v>
      </c>
      <c r="EF11" s="113"/>
      <c r="EG11" s="113"/>
      <c r="EH11" s="113"/>
      <c r="EI11" s="113"/>
      <c r="EJ11" s="113"/>
      <c r="EK11" s="113"/>
      <c r="EL11" s="114">
        <f t="shared" si="59"/>
        <v>0</v>
      </c>
      <c r="EM11" s="114">
        <f t="shared" si="59"/>
        <v>0</v>
      </c>
      <c r="EN11" s="114">
        <f t="shared" si="59"/>
        <v>0</v>
      </c>
      <c r="EO11" s="114">
        <f t="shared" si="59"/>
        <v>0</v>
      </c>
      <c r="EP11" s="114">
        <f t="shared" si="18"/>
        <v>0</v>
      </c>
      <c r="EQ11" s="114">
        <f t="shared" si="19"/>
        <v>0</v>
      </c>
      <c r="ER11" s="114">
        <f t="shared" si="60"/>
        <v>0</v>
      </c>
      <c r="ES11" s="116">
        <f t="shared" si="61"/>
        <v>0</v>
      </c>
      <c r="ET11" s="126">
        <f t="shared" ca="1" si="62"/>
        <v>0</v>
      </c>
      <c r="EU11" s="115">
        <f t="shared" ca="1" si="20"/>
        <v>0</v>
      </c>
      <c r="EV11" s="118" t="str">
        <f t="shared" si="21"/>
        <v>Uncapped</v>
      </c>
      <c r="EW11" s="115">
        <f t="shared" ca="1" si="22"/>
        <v>0</v>
      </c>
      <c r="EX11" s="112">
        <f t="shared" ca="1" si="23"/>
        <v>0</v>
      </c>
      <c r="EY11" s="114">
        <f t="shared" ca="1" si="63"/>
        <v>0</v>
      </c>
      <c r="EZ11" s="115">
        <v>0</v>
      </c>
      <c r="FA11" s="115"/>
      <c r="FB11" s="115"/>
      <c r="FC11" s="115">
        <v>0</v>
      </c>
      <c r="FD11" s="115">
        <f t="shared" si="24"/>
        <v>0</v>
      </c>
      <c r="FE11" s="114">
        <f t="shared" si="25"/>
        <v>0</v>
      </c>
      <c r="FF11" s="115">
        <v>0</v>
      </c>
      <c r="FG11" s="115">
        <v>0</v>
      </c>
      <c r="FH11" s="115">
        <v>0</v>
      </c>
      <c r="FI11" s="115">
        <v>0</v>
      </c>
      <c r="FJ11" s="115">
        <f t="shared" si="26"/>
        <v>0</v>
      </c>
      <c r="FK11" s="114">
        <f t="shared" si="27"/>
        <v>0</v>
      </c>
      <c r="FL11" s="113"/>
      <c r="FM11" s="111"/>
      <c r="FN11" s="111"/>
      <c r="FO11" s="111"/>
      <c r="FP11" s="115">
        <f t="shared" si="28"/>
        <v>0</v>
      </c>
      <c r="FQ11" s="115"/>
      <c r="FR11" s="115"/>
      <c r="FS11" s="115"/>
      <c r="FT11" s="114">
        <f t="shared" si="64"/>
        <v>0</v>
      </c>
      <c r="FU11" s="366">
        <f t="shared" ca="1" si="66"/>
        <v>0</v>
      </c>
      <c r="FV11" s="121">
        <f t="shared" ca="1" si="65"/>
        <v>0</v>
      </c>
      <c r="FW11" s="114">
        <f t="shared" si="29"/>
        <v>0</v>
      </c>
      <c r="FX11" s="114">
        <f t="shared" si="29"/>
        <v>0</v>
      </c>
      <c r="FY11" s="114">
        <f t="shared" si="29"/>
        <v>0</v>
      </c>
      <c r="FZ11" s="114">
        <f t="shared" si="29"/>
        <v>0</v>
      </c>
      <c r="GA11" s="114">
        <f t="shared" si="30"/>
        <v>0</v>
      </c>
      <c r="GB11" s="114">
        <f t="shared" si="31"/>
        <v>0</v>
      </c>
      <c r="GC11" s="114">
        <f t="shared" si="31"/>
        <v>0</v>
      </c>
      <c r="GD11" s="114">
        <f t="shared" si="31"/>
        <v>0</v>
      </c>
      <c r="GE11" s="114">
        <f t="shared" si="31"/>
        <v>0</v>
      </c>
      <c r="GF11" s="114">
        <f t="shared" si="32"/>
        <v>0</v>
      </c>
      <c r="GG11" s="114">
        <f t="shared" si="32"/>
        <v>0</v>
      </c>
      <c r="GH11" s="114">
        <f t="shared" si="32"/>
        <v>0</v>
      </c>
      <c r="GI11" s="114">
        <f t="shared" si="32"/>
        <v>0</v>
      </c>
      <c r="GJ11" s="115">
        <f t="shared" si="33"/>
        <v>0</v>
      </c>
      <c r="GK11" s="114">
        <f t="shared" si="34"/>
        <v>0</v>
      </c>
      <c r="GL11" s="114">
        <f t="shared" si="35"/>
        <v>0</v>
      </c>
      <c r="GM11" s="114">
        <f t="shared" si="36"/>
        <v>0</v>
      </c>
      <c r="GN11" s="114">
        <f t="shared" si="37"/>
        <v>0</v>
      </c>
      <c r="GO11" s="114">
        <f t="shared" si="38"/>
        <v>0</v>
      </c>
      <c r="GP11" s="114">
        <f t="shared" si="39"/>
        <v>0</v>
      </c>
      <c r="GQ11" s="114">
        <f t="shared" si="40"/>
        <v>0</v>
      </c>
      <c r="GR11" s="193"/>
      <c r="GS11" s="122">
        <f t="shared" si="41"/>
        <v>21782961.941400081</v>
      </c>
      <c r="GT11" s="122">
        <f t="shared" si="41"/>
        <v>31580534.599999998</v>
      </c>
      <c r="GU11" s="123">
        <f t="shared" si="42"/>
        <v>0.68975912590789656</v>
      </c>
      <c r="GV11" s="124">
        <f t="shared" ca="1" si="43"/>
        <v>0</v>
      </c>
      <c r="GW11" s="124">
        <v>0</v>
      </c>
      <c r="GX11" s="32">
        <f t="shared" ca="1" si="44"/>
        <v>0</v>
      </c>
      <c r="GY11" s="100"/>
    </row>
    <row r="12" spans="1:207" s="125" customFormat="1" ht="15" hidden="1" customHeight="1">
      <c r="A12" s="102"/>
      <c r="B12" s="103"/>
      <c r="C12" s="103"/>
      <c r="D12" s="104"/>
      <c r="E12" s="104" t="s">
        <v>224</v>
      </c>
      <c r="F12" s="104" t="s">
        <v>248</v>
      </c>
      <c r="G12" s="104" t="s">
        <v>226</v>
      </c>
      <c r="H12" s="105" t="s">
        <v>251</v>
      </c>
      <c r="I12" s="106" t="s">
        <v>252</v>
      </c>
      <c r="J12" s="104" t="s">
        <v>212</v>
      </c>
      <c r="K12" s="325" t="s">
        <v>208</v>
      </c>
      <c r="L12" s="104" t="s">
        <v>213</v>
      </c>
      <c r="M12" s="104" t="s">
        <v>247</v>
      </c>
      <c r="N12" s="107"/>
      <c r="O12" s="537">
        <v>41701</v>
      </c>
      <c r="P12" s="108">
        <v>43252</v>
      </c>
      <c r="Q12" s="322">
        <f t="shared" si="0"/>
        <v>0</v>
      </c>
      <c r="R12" s="109">
        <f>IF((P12-VLOOKUP(Q12,month!$A$1:$C$13,3,0))&lt;0,Q12,Q12+1)</f>
        <v>0</v>
      </c>
      <c r="S12" s="108"/>
      <c r="T12" s="127" t="str">
        <f t="shared" si="1"/>
        <v/>
      </c>
      <c r="U12" s="107"/>
      <c r="V12" s="107"/>
      <c r="W12" s="107"/>
      <c r="X12" s="107"/>
      <c r="Y12" s="386"/>
      <c r="Z12" s="386" t="s">
        <v>545</v>
      </c>
      <c r="AA12" s="387">
        <v>1000</v>
      </c>
      <c r="AB12" s="387">
        <v>1000</v>
      </c>
      <c r="AC12" s="387">
        <v>1000</v>
      </c>
      <c r="AD12" s="387">
        <v>1000</v>
      </c>
      <c r="AE12" s="387">
        <v>1000</v>
      </c>
      <c r="AF12" s="387">
        <v>1000</v>
      </c>
      <c r="AG12" s="387">
        <v>1000</v>
      </c>
      <c r="AH12" s="387">
        <v>1000</v>
      </c>
      <c r="AI12" s="387">
        <v>1000</v>
      </c>
      <c r="AJ12" s="387">
        <v>1000</v>
      </c>
      <c r="AK12" s="387">
        <v>1000</v>
      </c>
      <c r="AL12" s="387">
        <v>1000</v>
      </c>
      <c r="AM12" s="388">
        <f t="shared" si="2"/>
        <v>12000</v>
      </c>
      <c r="AN12" s="388">
        <f t="shared" si="3"/>
        <v>12000</v>
      </c>
      <c r="AO12" s="389">
        <f t="shared" si="45"/>
        <v>1000</v>
      </c>
      <c r="AP12" s="498" t="s">
        <v>685</v>
      </c>
      <c r="AQ12" s="159">
        <v>0.8</v>
      </c>
      <c r="AR12" s="160" t="s">
        <v>392</v>
      </c>
      <c r="AS12" s="119" t="s">
        <v>210</v>
      </c>
      <c r="AT12" s="111">
        <v>1271921.8</v>
      </c>
      <c r="AU12" s="111">
        <v>1560212.8</v>
      </c>
      <c r="AV12" s="111"/>
      <c r="AW12" s="111"/>
      <c r="AX12" s="113">
        <v>1216440.0584999998</v>
      </c>
      <c r="AY12" s="113">
        <v>1533656.6432999999</v>
      </c>
      <c r="AZ12" s="113"/>
      <c r="BA12" s="113"/>
      <c r="BB12" s="113"/>
      <c r="BC12" s="113"/>
      <c r="BD12" s="113"/>
      <c r="BE12" s="113"/>
      <c r="BF12" s="114">
        <f t="shared" si="46"/>
        <v>1216440.0584999998</v>
      </c>
      <c r="BG12" s="114">
        <f t="shared" si="46"/>
        <v>1533656.6432999999</v>
      </c>
      <c r="BH12" s="114">
        <f t="shared" si="46"/>
        <v>0</v>
      </c>
      <c r="BI12" s="114">
        <f t="shared" si="46"/>
        <v>0</v>
      </c>
      <c r="BJ12" s="114">
        <f t="shared" si="4"/>
        <v>2750096.7017999999</v>
      </c>
      <c r="BK12" s="115">
        <f t="shared" si="5"/>
        <v>2832134.6</v>
      </c>
      <c r="BL12" s="115">
        <f t="shared" si="47"/>
        <v>2832134.6</v>
      </c>
      <c r="BM12" s="116">
        <f t="shared" si="48"/>
        <v>0.97099999999999997</v>
      </c>
      <c r="BN12" s="126">
        <f t="shared" ca="1" si="6"/>
        <v>0</v>
      </c>
      <c r="BO12" s="117">
        <f t="shared" ca="1" si="7"/>
        <v>0</v>
      </c>
      <c r="BP12" s="118" t="str">
        <f t="shared" si="8"/>
        <v>Uncapped</v>
      </c>
      <c r="BQ12" s="115">
        <f t="shared" ca="1" si="9"/>
        <v>0</v>
      </c>
      <c r="BR12" s="113" t="s">
        <v>695</v>
      </c>
      <c r="BS12" s="161">
        <v>0.2</v>
      </c>
      <c r="BT12" s="113" t="s">
        <v>217</v>
      </c>
      <c r="BU12" s="160" t="s">
        <v>210</v>
      </c>
      <c r="BV12" s="113">
        <v>5487270.5779999997</v>
      </c>
      <c r="BW12" s="113">
        <v>6585543.1469999989</v>
      </c>
      <c r="BX12" s="113"/>
      <c r="BY12" s="113"/>
      <c r="BZ12" s="113">
        <v>5253705.8622000199</v>
      </c>
      <c r="CA12" s="113">
        <v>6486860.7639000099</v>
      </c>
      <c r="CB12" s="113"/>
      <c r="CC12" s="113"/>
      <c r="CD12" s="113"/>
      <c r="CE12" s="113"/>
      <c r="CF12" s="113"/>
      <c r="CG12" s="113"/>
      <c r="CH12" s="114">
        <f t="shared" si="49"/>
        <v>5253705.8622000199</v>
      </c>
      <c r="CI12" s="114">
        <f t="shared" si="49"/>
        <v>6486860.7639000099</v>
      </c>
      <c r="CJ12" s="120">
        <f t="shared" si="49"/>
        <v>0</v>
      </c>
      <c r="CK12" s="114">
        <f t="shared" si="49"/>
        <v>0</v>
      </c>
      <c r="CL12" s="114">
        <f t="shared" si="10"/>
        <v>11740566.62610003</v>
      </c>
      <c r="CM12" s="114">
        <f t="shared" si="11"/>
        <v>12072813.724999998</v>
      </c>
      <c r="CN12" s="114">
        <f t="shared" si="50"/>
        <v>12072813.724999998</v>
      </c>
      <c r="CO12" s="116">
        <f t="shared" si="51"/>
        <v>0.97250000000000003</v>
      </c>
      <c r="CP12" s="126">
        <f t="shared" ca="1" si="52"/>
        <v>0</v>
      </c>
      <c r="CQ12" s="115">
        <f t="shared" ca="1" si="12"/>
        <v>0</v>
      </c>
      <c r="CR12" s="118" t="str">
        <f t="shared" si="53"/>
        <v>Uncapped</v>
      </c>
      <c r="CS12" s="115">
        <f t="shared" ca="1" si="13"/>
        <v>0</v>
      </c>
      <c r="CT12" s="113"/>
      <c r="CU12" s="119">
        <v>0</v>
      </c>
      <c r="CV12" s="113"/>
      <c r="CW12" s="113"/>
      <c r="CX12" s="113">
        <v>0</v>
      </c>
      <c r="CY12" s="113">
        <v>0</v>
      </c>
      <c r="CZ12" s="113"/>
      <c r="DA12" s="113"/>
      <c r="DB12" s="113">
        <v>0</v>
      </c>
      <c r="DC12" s="113">
        <v>0</v>
      </c>
      <c r="DD12" s="113"/>
      <c r="DE12" s="113"/>
      <c r="DF12" s="113"/>
      <c r="DG12" s="113"/>
      <c r="DH12" s="113"/>
      <c r="DI12" s="113"/>
      <c r="DJ12" s="114">
        <f t="shared" si="54"/>
        <v>0</v>
      </c>
      <c r="DK12" s="114">
        <f t="shared" si="54"/>
        <v>0</v>
      </c>
      <c r="DL12" s="114">
        <f t="shared" si="54"/>
        <v>0</v>
      </c>
      <c r="DM12" s="114">
        <f t="shared" si="54"/>
        <v>0</v>
      </c>
      <c r="DN12" s="114">
        <f t="shared" si="55"/>
        <v>0</v>
      </c>
      <c r="DO12" s="114">
        <f t="shared" si="14"/>
        <v>0</v>
      </c>
      <c r="DP12" s="114">
        <f t="shared" si="56"/>
        <v>0</v>
      </c>
      <c r="DQ12" s="116">
        <f t="shared" si="57"/>
        <v>0</v>
      </c>
      <c r="DR12" s="126">
        <f t="shared" ca="1" si="15"/>
        <v>0</v>
      </c>
      <c r="DS12" s="115">
        <f t="shared" ca="1" si="16"/>
        <v>0</v>
      </c>
      <c r="DT12" s="118" t="str">
        <f t="shared" si="58"/>
        <v>Uncapped</v>
      </c>
      <c r="DU12" s="115">
        <f t="shared" ca="1" si="17"/>
        <v>0</v>
      </c>
      <c r="DV12" s="113"/>
      <c r="DW12" s="119">
        <v>0</v>
      </c>
      <c r="DX12" s="113"/>
      <c r="DY12" s="113"/>
      <c r="DZ12" s="113">
        <v>0</v>
      </c>
      <c r="EA12" s="113">
        <v>0</v>
      </c>
      <c r="EB12" s="113">
        <v>0</v>
      </c>
      <c r="EC12" s="113">
        <v>0</v>
      </c>
      <c r="ED12" s="113">
        <v>0</v>
      </c>
      <c r="EE12" s="113">
        <v>0</v>
      </c>
      <c r="EF12" s="113"/>
      <c r="EG12" s="113"/>
      <c r="EH12" s="113"/>
      <c r="EI12" s="113"/>
      <c r="EJ12" s="113"/>
      <c r="EK12" s="113"/>
      <c r="EL12" s="114">
        <f t="shared" si="59"/>
        <v>0</v>
      </c>
      <c r="EM12" s="114">
        <f t="shared" si="59"/>
        <v>0</v>
      </c>
      <c r="EN12" s="114">
        <f t="shared" si="59"/>
        <v>0</v>
      </c>
      <c r="EO12" s="114">
        <f t="shared" si="59"/>
        <v>0</v>
      </c>
      <c r="EP12" s="114">
        <f t="shared" si="18"/>
        <v>0</v>
      </c>
      <c r="EQ12" s="114">
        <f t="shared" si="19"/>
        <v>0</v>
      </c>
      <c r="ER12" s="114">
        <f t="shared" si="60"/>
        <v>0</v>
      </c>
      <c r="ES12" s="116">
        <f t="shared" si="61"/>
        <v>0</v>
      </c>
      <c r="ET12" s="126">
        <f t="shared" ca="1" si="62"/>
        <v>0</v>
      </c>
      <c r="EU12" s="115">
        <f t="shared" ca="1" si="20"/>
        <v>0</v>
      </c>
      <c r="EV12" s="118" t="str">
        <f t="shared" si="21"/>
        <v>Uncapped</v>
      </c>
      <c r="EW12" s="115">
        <f t="shared" ca="1" si="22"/>
        <v>0</v>
      </c>
      <c r="EX12" s="112">
        <f t="shared" ca="1" si="23"/>
        <v>0</v>
      </c>
      <c r="EY12" s="114">
        <f t="shared" ca="1" si="63"/>
        <v>0</v>
      </c>
      <c r="EZ12" s="115">
        <v>0</v>
      </c>
      <c r="FA12" s="115"/>
      <c r="FB12" s="115"/>
      <c r="FC12" s="115">
        <v>0</v>
      </c>
      <c r="FD12" s="115">
        <f t="shared" si="24"/>
        <v>0</v>
      </c>
      <c r="FE12" s="114">
        <f t="shared" si="25"/>
        <v>0</v>
      </c>
      <c r="FF12" s="115">
        <v>0</v>
      </c>
      <c r="FG12" s="115">
        <v>0</v>
      </c>
      <c r="FH12" s="115">
        <v>0</v>
      </c>
      <c r="FI12" s="115">
        <v>0</v>
      </c>
      <c r="FJ12" s="115">
        <f t="shared" si="26"/>
        <v>0</v>
      </c>
      <c r="FK12" s="114">
        <f t="shared" si="27"/>
        <v>0</v>
      </c>
      <c r="FL12" s="113"/>
      <c r="FM12" s="111"/>
      <c r="FN12" s="111"/>
      <c r="FO12" s="111"/>
      <c r="FP12" s="115">
        <f t="shared" si="28"/>
        <v>0</v>
      </c>
      <c r="FQ12" s="115"/>
      <c r="FR12" s="115"/>
      <c r="FS12" s="115"/>
      <c r="FT12" s="114">
        <f t="shared" si="64"/>
        <v>0</v>
      </c>
      <c r="FU12" s="366">
        <f t="shared" ca="1" si="66"/>
        <v>0</v>
      </c>
      <c r="FV12" s="121">
        <f t="shared" ca="1" si="65"/>
        <v>0</v>
      </c>
      <c r="FW12" s="114">
        <f t="shared" si="29"/>
        <v>0</v>
      </c>
      <c r="FX12" s="114">
        <f t="shared" si="29"/>
        <v>0</v>
      </c>
      <c r="FY12" s="114">
        <f t="shared" si="29"/>
        <v>0</v>
      </c>
      <c r="FZ12" s="114">
        <f t="shared" si="29"/>
        <v>0</v>
      </c>
      <c r="GA12" s="114">
        <f t="shared" si="30"/>
        <v>0</v>
      </c>
      <c r="GB12" s="114">
        <f t="shared" si="31"/>
        <v>0</v>
      </c>
      <c r="GC12" s="114">
        <f t="shared" si="31"/>
        <v>0</v>
      </c>
      <c r="GD12" s="114">
        <f t="shared" si="31"/>
        <v>0</v>
      </c>
      <c r="GE12" s="114">
        <f t="shared" si="31"/>
        <v>0</v>
      </c>
      <c r="GF12" s="114">
        <f t="shared" si="32"/>
        <v>0</v>
      </c>
      <c r="GG12" s="114">
        <f t="shared" si="32"/>
        <v>0</v>
      </c>
      <c r="GH12" s="114">
        <f t="shared" si="32"/>
        <v>0</v>
      </c>
      <c r="GI12" s="114">
        <f t="shared" si="32"/>
        <v>0</v>
      </c>
      <c r="GJ12" s="115">
        <f t="shared" si="33"/>
        <v>0</v>
      </c>
      <c r="GK12" s="114">
        <f t="shared" si="34"/>
        <v>0</v>
      </c>
      <c r="GL12" s="114">
        <f t="shared" si="35"/>
        <v>0</v>
      </c>
      <c r="GM12" s="114">
        <f t="shared" si="36"/>
        <v>0</v>
      </c>
      <c r="GN12" s="114">
        <f t="shared" si="37"/>
        <v>0</v>
      </c>
      <c r="GO12" s="114">
        <f t="shared" si="38"/>
        <v>0</v>
      </c>
      <c r="GP12" s="114">
        <f t="shared" si="39"/>
        <v>0</v>
      </c>
      <c r="GQ12" s="114">
        <f t="shared" si="40"/>
        <v>0</v>
      </c>
      <c r="GR12" s="193"/>
      <c r="GS12" s="122">
        <f t="shared" si="41"/>
        <v>14490663.32790003</v>
      </c>
      <c r="GT12" s="122">
        <f t="shared" si="41"/>
        <v>14904948.324999997</v>
      </c>
      <c r="GU12" s="123">
        <f t="shared" si="42"/>
        <v>0.97220486860695188</v>
      </c>
      <c r="GV12" s="124">
        <f t="shared" ca="1" si="43"/>
        <v>0</v>
      </c>
      <c r="GW12" s="124">
        <v>0</v>
      </c>
      <c r="GX12" s="32">
        <f t="shared" ca="1" si="44"/>
        <v>0</v>
      </c>
      <c r="GY12" s="100"/>
    </row>
    <row r="13" spans="1:207" s="125" customFormat="1" ht="15" hidden="1" customHeight="1">
      <c r="A13" s="102"/>
      <c r="B13" s="103"/>
      <c r="C13" s="103"/>
      <c r="D13" s="104"/>
      <c r="E13" s="104" t="s">
        <v>253</v>
      </c>
      <c r="F13" s="104" t="s">
        <v>248</v>
      </c>
      <c r="G13" s="104" t="s">
        <v>226</v>
      </c>
      <c r="H13" s="105" t="s">
        <v>254</v>
      </c>
      <c r="I13" s="106" t="s">
        <v>255</v>
      </c>
      <c r="J13" s="104" t="s">
        <v>212</v>
      </c>
      <c r="K13" s="104" t="s">
        <v>208</v>
      </c>
      <c r="L13" s="104" t="s">
        <v>213</v>
      </c>
      <c r="M13" s="104" t="s">
        <v>247</v>
      </c>
      <c r="N13" s="107"/>
      <c r="O13" s="108">
        <v>41579</v>
      </c>
      <c r="P13" s="108">
        <v>41579</v>
      </c>
      <c r="Q13" s="322">
        <f t="shared" si="0"/>
        <v>0</v>
      </c>
      <c r="R13" s="109">
        <f>IF((P13-VLOOKUP(Q13,month!$A$1:$C$13,3,0))&lt;0,Q13,Q13+1)</f>
        <v>0</v>
      </c>
      <c r="S13" s="108"/>
      <c r="T13" s="110" t="str">
        <f>IF(S13&gt;0,"Y","")</f>
        <v/>
      </c>
      <c r="U13" s="107"/>
      <c r="V13" s="107"/>
      <c r="W13" s="107"/>
      <c r="X13" s="107"/>
      <c r="Y13" s="386"/>
      <c r="Z13" s="386" t="s">
        <v>545</v>
      </c>
      <c r="AA13" s="387">
        <v>1000</v>
      </c>
      <c r="AB13" s="387">
        <v>1000</v>
      </c>
      <c r="AC13" s="387">
        <v>1000</v>
      </c>
      <c r="AD13" s="387">
        <v>1000</v>
      </c>
      <c r="AE13" s="387">
        <v>1000</v>
      </c>
      <c r="AF13" s="387">
        <v>1000</v>
      </c>
      <c r="AG13" s="387">
        <v>1000</v>
      </c>
      <c r="AH13" s="387">
        <v>1000</v>
      </c>
      <c r="AI13" s="387">
        <v>1000</v>
      </c>
      <c r="AJ13" s="387">
        <v>1000</v>
      </c>
      <c r="AK13" s="387">
        <v>1000</v>
      </c>
      <c r="AL13" s="387">
        <v>1000</v>
      </c>
      <c r="AM13" s="388">
        <f t="shared" si="2"/>
        <v>12000</v>
      </c>
      <c r="AN13" s="388">
        <f t="shared" si="3"/>
        <v>12000</v>
      </c>
      <c r="AO13" s="389">
        <f t="shared" si="45"/>
        <v>1000</v>
      </c>
      <c r="AP13" s="498" t="s">
        <v>685</v>
      </c>
      <c r="AQ13" s="159">
        <v>0.8</v>
      </c>
      <c r="AR13" s="160" t="s">
        <v>392</v>
      </c>
      <c r="AS13" s="119" t="s">
        <v>210</v>
      </c>
      <c r="AT13" s="111">
        <v>1899336.0260000001</v>
      </c>
      <c r="AU13" s="111">
        <v>2365634.0989999999</v>
      </c>
      <c r="AV13" s="111">
        <v>2107946.6179999998</v>
      </c>
      <c r="AW13" s="111">
        <v>2820883.2570000002</v>
      </c>
      <c r="AX13" s="113">
        <v>1790532.7776000099</v>
      </c>
      <c r="AY13" s="113">
        <v>2269311.5852999999</v>
      </c>
      <c r="AZ13" s="113">
        <v>2404512.5706000053</v>
      </c>
      <c r="BA13" s="113"/>
      <c r="BB13" s="113"/>
      <c r="BC13" s="113"/>
      <c r="BD13" s="113"/>
      <c r="BE13" s="113"/>
      <c r="BF13" s="114">
        <f t="shared" si="46"/>
        <v>1790532.7776000099</v>
      </c>
      <c r="BG13" s="114">
        <f t="shared" si="46"/>
        <v>2269311.5852999999</v>
      </c>
      <c r="BH13" s="114">
        <f t="shared" si="46"/>
        <v>2404512.5706000053</v>
      </c>
      <c r="BI13" s="114">
        <f t="shared" si="46"/>
        <v>0</v>
      </c>
      <c r="BJ13" s="114">
        <f t="shared" si="4"/>
        <v>6464356.9335000152</v>
      </c>
      <c r="BK13" s="115">
        <f t="shared" si="5"/>
        <v>9193800</v>
      </c>
      <c r="BL13" s="115">
        <f t="shared" si="47"/>
        <v>9193800</v>
      </c>
      <c r="BM13" s="116">
        <f t="shared" si="48"/>
        <v>0.70309999999999995</v>
      </c>
      <c r="BN13" s="126">
        <f t="shared" ca="1" si="6"/>
        <v>0</v>
      </c>
      <c r="BO13" s="117">
        <f t="shared" ca="1" si="7"/>
        <v>0</v>
      </c>
      <c r="BP13" s="118" t="str">
        <f t="shared" si="8"/>
        <v>Uncapped</v>
      </c>
      <c r="BQ13" s="115">
        <f t="shared" ca="1" si="9"/>
        <v>0</v>
      </c>
      <c r="BR13" s="113" t="s">
        <v>695</v>
      </c>
      <c r="BS13" s="161">
        <v>0.2</v>
      </c>
      <c r="BT13" s="113" t="s">
        <v>217</v>
      </c>
      <c r="BU13" s="160" t="s">
        <v>210</v>
      </c>
      <c r="BV13" s="113">
        <v>5487270.5779999997</v>
      </c>
      <c r="BW13" s="113">
        <v>6585543.1469999989</v>
      </c>
      <c r="BX13" s="113">
        <v>5336814.9539999999</v>
      </c>
      <c r="BY13" s="113">
        <v>6526505.9210000001</v>
      </c>
      <c r="BZ13" s="113">
        <v>5253705.8622000199</v>
      </c>
      <c r="CA13" s="113">
        <v>6486860.7639000099</v>
      </c>
      <c r="CB13" s="113">
        <v>5185416.014100017</v>
      </c>
      <c r="CC13" s="113"/>
      <c r="CD13" s="113"/>
      <c r="CE13" s="113"/>
      <c r="CF13" s="113"/>
      <c r="CG13" s="113"/>
      <c r="CH13" s="114">
        <f t="shared" si="49"/>
        <v>5253705.8622000199</v>
      </c>
      <c r="CI13" s="114">
        <f t="shared" si="49"/>
        <v>6486860.7639000099</v>
      </c>
      <c r="CJ13" s="120">
        <f t="shared" si="49"/>
        <v>5185416.014100017</v>
      </c>
      <c r="CK13" s="114">
        <f t="shared" si="49"/>
        <v>0</v>
      </c>
      <c r="CL13" s="114">
        <f t="shared" si="10"/>
        <v>16925982.640200049</v>
      </c>
      <c r="CM13" s="114">
        <f t="shared" si="11"/>
        <v>23936134.599999998</v>
      </c>
      <c r="CN13" s="114">
        <f t="shared" si="50"/>
        <v>23936134.599999998</v>
      </c>
      <c r="CO13" s="116">
        <f t="shared" si="51"/>
        <v>0.70709999999999995</v>
      </c>
      <c r="CP13" s="126">
        <f t="shared" ca="1" si="52"/>
        <v>0</v>
      </c>
      <c r="CQ13" s="115">
        <f t="shared" ca="1" si="12"/>
        <v>0</v>
      </c>
      <c r="CR13" s="118" t="str">
        <f t="shared" si="53"/>
        <v>Uncapped</v>
      </c>
      <c r="CS13" s="115">
        <f t="shared" ca="1" si="13"/>
        <v>0</v>
      </c>
      <c r="CT13" s="113"/>
      <c r="CU13" s="119">
        <v>0</v>
      </c>
      <c r="CV13" s="113"/>
      <c r="CW13" s="113"/>
      <c r="CX13" s="113">
        <v>0</v>
      </c>
      <c r="CY13" s="113">
        <v>0</v>
      </c>
      <c r="CZ13" s="113">
        <v>0</v>
      </c>
      <c r="DA13" s="113">
        <v>0</v>
      </c>
      <c r="DB13" s="113">
        <v>0</v>
      </c>
      <c r="DC13" s="113">
        <v>0</v>
      </c>
      <c r="DD13" s="113">
        <v>0</v>
      </c>
      <c r="DE13" s="113"/>
      <c r="DF13" s="113"/>
      <c r="DG13" s="113"/>
      <c r="DH13" s="113"/>
      <c r="DI13" s="113"/>
      <c r="DJ13" s="114">
        <f t="shared" si="54"/>
        <v>0</v>
      </c>
      <c r="DK13" s="114">
        <f t="shared" si="54"/>
        <v>0</v>
      </c>
      <c r="DL13" s="114">
        <f t="shared" si="54"/>
        <v>0</v>
      </c>
      <c r="DM13" s="114">
        <f t="shared" si="54"/>
        <v>0</v>
      </c>
      <c r="DN13" s="114">
        <f t="shared" si="55"/>
        <v>0</v>
      </c>
      <c r="DO13" s="114">
        <f t="shared" si="14"/>
        <v>0</v>
      </c>
      <c r="DP13" s="114">
        <f t="shared" si="56"/>
        <v>0</v>
      </c>
      <c r="DQ13" s="116">
        <f t="shared" si="57"/>
        <v>0</v>
      </c>
      <c r="DR13" s="126">
        <f t="shared" ca="1" si="15"/>
        <v>0</v>
      </c>
      <c r="DS13" s="115">
        <f t="shared" ca="1" si="16"/>
        <v>0</v>
      </c>
      <c r="DT13" s="118" t="str">
        <f t="shared" si="58"/>
        <v>Uncapped</v>
      </c>
      <c r="DU13" s="115">
        <f t="shared" ca="1" si="17"/>
        <v>0</v>
      </c>
      <c r="DV13" s="113"/>
      <c r="DW13" s="119">
        <v>0</v>
      </c>
      <c r="DX13" s="113"/>
      <c r="DY13" s="113"/>
      <c r="DZ13" s="113">
        <v>0</v>
      </c>
      <c r="EA13" s="113">
        <v>0</v>
      </c>
      <c r="EB13" s="113">
        <v>0</v>
      </c>
      <c r="EC13" s="113">
        <v>0</v>
      </c>
      <c r="ED13" s="113">
        <v>0</v>
      </c>
      <c r="EE13" s="113">
        <v>0</v>
      </c>
      <c r="EF13" s="113"/>
      <c r="EG13" s="113"/>
      <c r="EH13" s="113"/>
      <c r="EI13" s="113"/>
      <c r="EJ13" s="113"/>
      <c r="EK13" s="113"/>
      <c r="EL13" s="114">
        <f t="shared" si="59"/>
        <v>0</v>
      </c>
      <c r="EM13" s="114">
        <f t="shared" si="59"/>
        <v>0</v>
      </c>
      <c r="EN13" s="114">
        <f t="shared" si="59"/>
        <v>0</v>
      </c>
      <c r="EO13" s="114">
        <f t="shared" si="59"/>
        <v>0</v>
      </c>
      <c r="EP13" s="114">
        <f t="shared" si="18"/>
        <v>0</v>
      </c>
      <c r="EQ13" s="114">
        <f t="shared" si="19"/>
        <v>0</v>
      </c>
      <c r="ER13" s="114">
        <f t="shared" si="60"/>
        <v>0</v>
      </c>
      <c r="ES13" s="116">
        <f t="shared" si="61"/>
        <v>0</v>
      </c>
      <c r="ET13" s="126">
        <f t="shared" ca="1" si="62"/>
        <v>0</v>
      </c>
      <c r="EU13" s="115">
        <f t="shared" ca="1" si="20"/>
        <v>0</v>
      </c>
      <c r="EV13" s="118" t="str">
        <f t="shared" si="21"/>
        <v>Uncapped</v>
      </c>
      <c r="EW13" s="115">
        <f t="shared" ca="1" si="22"/>
        <v>0</v>
      </c>
      <c r="EX13" s="112">
        <f t="shared" ca="1" si="23"/>
        <v>0</v>
      </c>
      <c r="EY13" s="114">
        <f t="shared" ca="1" si="63"/>
        <v>0</v>
      </c>
      <c r="EZ13" s="115">
        <v>0</v>
      </c>
      <c r="FA13" s="115"/>
      <c r="FB13" s="115"/>
      <c r="FC13" s="115">
        <v>0</v>
      </c>
      <c r="FD13" s="115">
        <f t="shared" si="24"/>
        <v>0</v>
      </c>
      <c r="FE13" s="114">
        <f t="shared" si="25"/>
        <v>0</v>
      </c>
      <c r="FF13" s="115">
        <v>0</v>
      </c>
      <c r="FG13" s="115">
        <v>0</v>
      </c>
      <c r="FH13" s="115">
        <v>0</v>
      </c>
      <c r="FI13" s="115">
        <v>0</v>
      </c>
      <c r="FJ13" s="115">
        <f t="shared" si="26"/>
        <v>0</v>
      </c>
      <c r="FK13" s="114">
        <f t="shared" si="27"/>
        <v>0</v>
      </c>
      <c r="FL13" s="113"/>
      <c r="FM13" s="111"/>
      <c r="FN13" s="111"/>
      <c r="FO13" s="111"/>
      <c r="FP13" s="115">
        <f>SUM(FL13:FO13)</f>
        <v>0</v>
      </c>
      <c r="FQ13" s="115"/>
      <c r="FR13" s="115"/>
      <c r="FS13" s="115"/>
      <c r="FT13" s="114">
        <f t="shared" si="64"/>
        <v>0</v>
      </c>
      <c r="FU13" s="366">
        <f t="shared" ca="1" si="66"/>
        <v>0</v>
      </c>
      <c r="FV13" s="121">
        <f t="shared" ca="1" si="65"/>
        <v>0</v>
      </c>
      <c r="FW13" s="114">
        <f t="shared" si="29"/>
        <v>0</v>
      </c>
      <c r="FX13" s="114">
        <f t="shared" si="29"/>
        <v>0</v>
      </c>
      <c r="FY13" s="114">
        <f t="shared" si="29"/>
        <v>0</v>
      </c>
      <c r="FZ13" s="114">
        <f t="shared" si="29"/>
        <v>0</v>
      </c>
      <c r="GA13" s="114">
        <f>SUM(FW13:FZ13)</f>
        <v>0</v>
      </c>
      <c r="GB13" s="114">
        <f t="shared" si="31"/>
        <v>0</v>
      </c>
      <c r="GC13" s="114">
        <f t="shared" si="31"/>
        <v>0</v>
      </c>
      <c r="GD13" s="114">
        <f t="shared" si="31"/>
        <v>0</v>
      </c>
      <c r="GE13" s="114">
        <f t="shared" si="31"/>
        <v>0</v>
      </c>
      <c r="GF13" s="114">
        <f t="shared" si="32"/>
        <v>0</v>
      </c>
      <c r="GG13" s="114">
        <f t="shared" si="32"/>
        <v>0</v>
      </c>
      <c r="GH13" s="114">
        <f t="shared" si="32"/>
        <v>0</v>
      </c>
      <c r="GI13" s="114">
        <f t="shared" si="32"/>
        <v>0</v>
      </c>
      <c r="GJ13" s="115">
        <f t="shared" si="33"/>
        <v>0</v>
      </c>
      <c r="GK13" s="114">
        <f>SUM(GF13:GI13)</f>
        <v>0</v>
      </c>
      <c r="GL13" s="114">
        <f t="shared" si="35"/>
        <v>0</v>
      </c>
      <c r="GM13" s="114">
        <f t="shared" si="36"/>
        <v>0</v>
      </c>
      <c r="GN13" s="114">
        <f t="shared" si="37"/>
        <v>0</v>
      </c>
      <c r="GO13" s="114">
        <f t="shared" si="38"/>
        <v>0</v>
      </c>
      <c r="GP13" s="114">
        <f t="shared" si="39"/>
        <v>0</v>
      </c>
      <c r="GQ13" s="114">
        <f>SUM(GL13:GO13)</f>
        <v>0</v>
      </c>
      <c r="GR13" s="193"/>
      <c r="GS13" s="122">
        <f t="shared" si="41"/>
        <v>23390339.573700063</v>
      </c>
      <c r="GT13" s="122">
        <f t="shared" si="41"/>
        <v>33129934.599999998</v>
      </c>
      <c r="GU13" s="123">
        <f>IFERROR(GS13/GT13,"")</f>
        <v>0.70601828395097599</v>
      </c>
      <c r="GV13" s="124">
        <f t="shared" ca="1" si="43"/>
        <v>0</v>
      </c>
      <c r="GW13" s="124">
        <v>0</v>
      </c>
      <c r="GX13" s="32">
        <f t="shared" ca="1" si="44"/>
        <v>0</v>
      </c>
      <c r="GY13" s="100"/>
    </row>
    <row r="14" spans="1:207" s="125" customFormat="1" ht="15" hidden="1" customHeight="1">
      <c r="A14" s="162"/>
      <c r="B14" s="103"/>
      <c r="C14" s="103"/>
      <c r="D14" s="104"/>
      <c r="E14" s="104" t="s">
        <v>256</v>
      </c>
      <c r="F14" s="104" t="s">
        <v>248</v>
      </c>
      <c r="G14" s="104" t="s">
        <v>226</v>
      </c>
      <c r="H14" s="105" t="s">
        <v>257</v>
      </c>
      <c r="I14" s="106" t="s">
        <v>648</v>
      </c>
      <c r="J14" s="104" t="s">
        <v>212</v>
      </c>
      <c r="K14" s="104" t="s">
        <v>208</v>
      </c>
      <c r="L14" s="104" t="s">
        <v>213</v>
      </c>
      <c r="M14" s="104" t="s">
        <v>247</v>
      </c>
      <c r="N14" s="107"/>
      <c r="O14" s="108">
        <v>42842</v>
      </c>
      <c r="P14" s="108">
        <v>43344</v>
      </c>
      <c r="Q14" s="322">
        <f t="shared" si="0"/>
        <v>0</v>
      </c>
      <c r="R14" s="109">
        <f>IF((P14-VLOOKUP(Q14,month!$A$1:$C$13,3,0))&lt;0,Q14,Q14+1)</f>
        <v>0</v>
      </c>
      <c r="S14" s="108"/>
      <c r="T14" s="127" t="str">
        <f>IF(S14&gt;0,"Y","")</f>
        <v/>
      </c>
      <c r="U14" s="107"/>
      <c r="V14" s="107"/>
      <c r="W14" s="107"/>
      <c r="X14" s="107"/>
      <c r="Y14" s="386"/>
      <c r="Z14" s="386" t="s">
        <v>545</v>
      </c>
      <c r="AA14" s="387">
        <v>1000</v>
      </c>
      <c r="AB14" s="387">
        <v>1000</v>
      </c>
      <c r="AC14" s="387">
        <v>1000</v>
      </c>
      <c r="AD14" s="387">
        <v>1000</v>
      </c>
      <c r="AE14" s="387">
        <v>1000</v>
      </c>
      <c r="AF14" s="387">
        <v>1000</v>
      </c>
      <c r="AG14" s="387">
        <v>1000</v>
      </c>
      <c r="AH14" s="387">
        <v>1000</v>
      </c>
      <c r="AI14" s="387">
        <v>1000</v>
      </c>
      <c r="AJ14" s="387">
        <v>1000</v>
      </c>
      <c r="AK14" s="387">
        <v>1000</v>
      </c>
      <c r="AL14" s="387">
        <v>1000</v>
      </c>
      <c r="AM14" s="388">
        <f t="shared" si="2"/>
        <v>12000</v>
      </c>
      <c r="AN14" s="388">
        <f t="shared" si="3"/>
        <v>12000</v>
      </c>
      <c r="AO14" s="389">
        <f t="shared" si="45"/>
        <v>1000</v>
      </c>
      <c r="AP14" s="498" t="s">
        <v>705</v>
      </c>
      <c r="AQ14" s="159">
        <v>0.8</v>
      </c>
      <c r="AR14" s="160" t="s">
        <v>392</v>
      </c>
      <c r="AS14" s="119" t="s">
        <v>210</v>
      </c>
      <c r="AT14" s="111">
        <v>333311.59600000002</v>
      </c>
      <c r="AU14" s="111">
        <v>395064.15399999998</v>
      </c>
      <c r="AV14" s="111">
        <v>474183.62800000003</v>
      </c>
      <c r="AW14" s="111">
        <v>593540.62199999997</v>
      </c>
      <c r="AX14" s="113">
        <v>454544.2394999995</v>
      </c>
      <c r="AY14" s="113">
        <v>577530.27899999998</v>
      </c>
      <c r="AZ14" s="113">
        <v>606378.7457999991</v>
      </c>
      <c r="BA14" s="113"/>
      <c r="BB14" s="113"/>
      <c r="BC14" s="113"/>
      <c r="BD14" s="113"/>
      <c r="BE14" s="113"/>
      <c r="BF14" s="114">
        <f t="shared" si="46"/>
        <v>454544.2394999995</v>
      </c>
      <c r="BG14" s="114">
        <f t="shared" si="46"/>
        <v>577530.27899999998</v>
      </c>
      <c r="BH14" s="114">
        <f t="shared" si="46"/>
        <v>606378.7457999991</v>
      </c>
      <c r="BI14" s="114">
        <f t="shared" si="46"/>
        <v>0</v>
      </c>
      <c r="BJ14" s="114">
        <f t="shared" si="4"/>
        <v>1638453.2642999985</v>
      </c>
      <c r="BK14" s="115">
        <f t="shared" si="5"/>
        <v>1796100</v>
      </c>
      <c r="BL14" s="115">
        <f t="shared" si="47"/>
        <v>1796100</v>
      </c>
      <c r="BM14" s="116">
        <f t="shared" si="48"/>
        <v>0.91220000000000001</v>
      </c>
      <c r="BN14" s="126">
        <f t="shared" ca="1" si="6"/>
        <v>0</v>
      </c>
      <c r="BO14" s="117">
        <f t="shared" ca="1" si="7"/>
        <v>0</v>
      </c>
      <c r="BP14" s="118" t="str">
        <f t="shared" si="8"/>
        <v>Uncapped</v>
      </c>
      <c r="BQ14" s="115">
        <f t="shared" ca="1" si="9"/>
        <v>0</v>
      </c>
      <c r="BR14" s="113" t="s">
        <v>695</v>
      </c>
      <c r="BS14" s="161">
        <v>0.2</v>
      </c>
      <c r="BT14" s="113" t="s">
        <v>217</v>
      </c>
      <c r="BU14" s="160" t="s">
        <v>210</v>
      </c>
      <c r="BV14" s="113">
        <v>5487270.5779999997</v>
      </c>
      <c r="BW14" s="113">
        <v>6585543.1469999989</v>
      </c>
      <c r="BX14" s="113">
        <v>5336814.9539999999</v>
      </c>
      <c r="BY14" s="113">
        <v>6526505.9210000001</v>
      </c>
      <c r="BZ14" s="113">
        <v>5253705.8622000199</v>
      </c>
      <c r="CA14" s="113">
        <v>6486860.7639000099</v>
      </c>
      <c r="CB14" s="113">
        <v>5185416.014100017</v>
      </c>
      <c r="CC14" s="113"/>
      <c r="CD14" s="113"/>
      <c r="CE14" s="113"/>
      <c r="CF14" s="113"/>
      <c r="CG14" s="113"/>
      <c r="CH14" s="114">
        <f t="shared" si="49"/>
        <v>5253705.8622000199</v>
      </c>
      <c r="CI14" s="114">
        <f t="shared" si="49"/>
        <v>6486860.7639000099</v>
      </c>
      <c r="CJ14" s="120">
        <f t="shared" si="49"/>
        <v>5185416.014100017</v>
      </c>
      <c r="CK14" s="114">
        <f t="shared" si="49"/>
        <v>0</v>
      </c>
      <c r="CL14" s="114">
        <f t="shared" si="10"/>
        <v>16925982.640200049</v>
      </c>
      <c r="CM14" s="114">
        <f t="shared" si="11"/>
        <v>23936134.599999998</v>
      </c>
      <c r="CN14" s="114">
        <f t="shared" si="50"/>
        <v>23936134.599999998</v>
      </c>
      <c r="CO14" s="116">
        <f t="shared" si="51"/>
        <v>0.70709999999999995</v>
      </c>
      <c r="CP14" s="126">
        <f t="shared" ca="1" si="52"/>
        <v>0</v>
      </c>
      <c r="CQ14" s="115">
        <f t="shared" ca="1" si="12"/>
        <v>0</v>
      </c>
      <c r="CR14" s="118" t="str">
        <f t="shared" si="53"/>
        <v>Uncapped</v>
      </c>
      <c r="CS14" s="115">
        <f t="shared" ca="1" si="13"/>
        <v>0</v>
      </c>
      <c r="CT14" s="113"/>
      <c r="CU14" s="119">
        <v>0</v>
      </c>
      <c r="CV14" s="113"/>
      <c r="CW14" s="113"/>
      <c r="CX14" s="113">
        <v>0</v>
      </c>
      <c r="CY14" s="113">
        <v>0</v>
      </c>
      <c r="CZ14" s="113">
        <v>0</v>
      </c>
      <c r="DA14" s="113">
        <v>0</v>
      </c>
      <c r="DB14" s="113">
        <v>0</v>
      </c>
      <c r="DC14" s="113">
        <v>0</v>
      </c>
      <c r="DD14" s="113">
        <v>0</v>
      </c>
      <c r="DE14" s="113"/>
      <c r="DF14" s="113"/>
      <c r="DG14" s="113"/>
      <c r="DH14" s="113"/>
      <c r="DI14" s="113"/>
      <c r="DJ14" s="114">
        <f t="shared" si="54"/>
        <v>0</v>
      </c>
      <c r="DK14" s="114">
        <f t="shared" si="54"/>
        <v>0</v>
      </c>
      <c r="DL14" s="114">
        <f t="shared" si="54"/>
        <v>0</v>
      </c>
      <c r="DM14" s="114">
        <f t="shared" si="54"/>
        <v>0</v>
      </c>
      <c r="DN14" s="114">
        <f t="shared" si="55"/>
        <v>0</v>
      </c>
      <c r="DO14" s="114">
        <f t="shared" si="14"/>
        <v>0</v>
      </c>
      <c r="DP14" s="114">
        <f t="shared" si="56"/>
        <v>0</v>
      </c>
      <c r="DQ14" s="116">
        <f t="shared" si="57"/>
        <v>0</v>
      </c>
      <c r="DR14" s="126">
        <f t="shared" ca="1" si="15"/>
        <v>0</v>
      </c>
      <c r="DS14" s="115">
        <f t="shared" ca="1" si="16"/>
        <v>0</v>
      </c>
      <c r="DT14" s="118" t="str">
        <f t="shared" si="58"/>
        <v>Uncapped</v>
      </c>
      <c r="DU14" s="115">
        <f t="shared" ca="1" si="17"/>
        <v>0</v>
      </c>
      <c r="DV14" s="113"/>
      <c r="DW14" s="119">
        <v>0</v>
      </c>
      <c r="DX14" s="113"/>
      <c r="DY14" s="113"/>
      <c r="DZ14" s="113">
        <v>0</v>
      </c>
      <c r="EA14" s="113">
        <v>0</v>
      </c>
      <c r="EB14" s="113">
        <v>0</v>
      </c>
      <c r="EC14" s="113">
        <v>0</v>
      </c>
      <c r="ED14" s="113">
        <v>0</v>
      </c>
      <c r="EE14" s="113">
        <v>0</v>
      </c>
      <c r="EF14" s="113"/>
      <c r="EG14" s="113"/>
      <c r="EH14" s="113"/>
      <c r="EI14" s="113"/>
      <c r="EJ14" s="113"/>
      <c r="EK14" s="113"/>
      <c r="EL14" s="114">
        <f t="shared" si="59"/>
        <v>0</v>
      </c>
      <c r="EM14" s="114">
        <f t="shared" si="59"/>
        <v>0</v>
      </c>
      <c r="EN14" s="114">
        <f t="shared" si="59"/>
        <v>0</v>
      </c>
      <c r="EO14" s="114">
        <f t="shared" si="59"/>
        <v>0</v>
      </c>
      <c r="EP14" s="114">
        <f t="shared" si="18"/>
        <v>0</v>
      </c>
      <c r="EQ14" s="114">
        <f t="shared" si="19"/>
        <v>0</v>
      </c>
      <c r="ER14" s="114">
        <f t="shared" si="60"/>
        <v>0</v>
      </c>
      <c r="ES14" s="116">
        <f t="shared" si="61"/>
        <v>0</v>
      </c>
      <c r="ET14" s="126">
        <f t="shared" ca="1" si="62"/>
        <v>0</v>
      </c>
      <c r="EU14" s="115">
        <f t="shared" ca="1" si="20"/>
        <v>0</v>
      </c>
      <c r="EV14" s="118" t="str">
        <f t="shared" si="21"/>
        <v>Uncapped</v>
      </c>
      <c r="EW14" s="115">
        <f t="shared" ca="1" si="22"/>
        <v>0</v>
      </c>
      <c r="EX14" s="112">
        <f t="shared" ca="1" si="23"/>
        <v>0</v>
      </c>
      <c r="EY14" s="114">
        <f t="shared" ca="1" si="63"/>
        <v>0</v>
      </c>
      <c r="EZ14" s="115">
        <v>0</v>
      </c>
      <c r="FA14" s="115"/>
      <c r="FB14" s="115">
        <v>45000</v>
      </c>
      <c r="FC14" s="115">
        <v>0</v>
      </c>
      <c r="FD14" s="115">
        <f t="shared" si="24"/>
        <v>45000</v>
      </c>
      <c r="FE14" s="114">
        <f t="shared" si="25"/>
        <v>0</v>
      </c>
      <c r="FF14" s="115">
        <v>0</v>
      </c>
      <c r="FG14" s="115">
        <v>0</v>
      </c>
      <c r="FH14" s="115">
        <v>0</v>
      </c>
      <c r="FI14" s="115">
        <v>0</v>
      </c>
      <c r="FJ14" s="115">
        <f t="shared" si="26"/>
        <v>0</v>
      </c>
      <c r="FK14" s="114">
        <f t="shared" si="27"/>
        <v>0</v>
      </c>
      <c r="FL14" s="113"/>
      <c r="FM14" s="111"/>
      <c r="FN14" s="111"/>
      <c r="FO14" s="111"/>
      <c r="FP14" s="115">
        <f>SUM(FL14:FO14)</f>
        <v>0</v>
      </c>
      <c r="FQ14" s="115"/>
      <c r="FR14" s="115"/>
      <c r="FS14" s="115"/>
      <c r="FT14" s="114">
        <f t="shared" si="64"/>
        <v>0</v>
      </c>
      <c r="FU14" s="366">
        <f t="shared" ca="1" si="66"/>
        <v>45000</v>
      </c>
      <c r="FV14" s="121">
        <f t="shared" ca="1" si="65"/>
        <v>45000</v>
      </c>
      <c r="FW14" s="114">
        <f t="shared" si="29"/>
        <v>0</v>
      </c>
      <c r="FX14" s="114">
        <f t="shared" si="29"/>
        <v>0</v>
      </c>
      <c r="FY14" s="114">
        <f t="shared" si="29"/>
        <v>0</v>
      </c>
      <c r="FZ14" s="114">
        <f t="shared" si="29"/>
        <v>0</v>
      </c>
      <c r="GA14" s="114">
        <f>SUM(FW14:FZ14)</f>
        <v>0</v>
      </c>
      <c r="GB14" s="114">
        <f t="shared" si="31"/>
        <v>0</v>
      </c>
      <c r="GC14" s="114">
        <f t="shared" si="31"/>
        <v>0</v>
      </c>
      <c r="GD14" s="114">
        <f t="shared" si="31"/>
        <v>45000</v>
      </c>
      <c r="GE14" s="114">
        <f t="shared" si="31"/>
        <v>0</v>
      </c>
      <c r="GF14" s="114">
        <f t="shared" si="32"/>
        <v>0</v>
      </c>
      <c r="GG14" s="114">
        <f t="shared" si="32"/>
        <v>0</v>
      </c>
      <c r="GH14" s="114">
        <f t="shared" si="32"/>
        <v>45000</v>
      </c>
      <c r="GI14" s="114">
        <f t="shared" si="32"/>
        <v>0</v>
      </c>
      <c r="GJ14" s="115">
        <f t="shared" si="33"/>
        <v>45000</v>
      </c>
      <c r="GK14" s="114">
        <f>SUM(GF14:GI14)</f>
        <v>45000</v>
      </c>
      <c r="GL14" s="114">
        <f t="shared" si="35"/>
        <v>0</v>
      </c>
      <c r="GM14" s="114">
        <f t="shared" si="36"/>
        <v>0</v>
      </c>
      <c r="GN14" s="114">
        <f t="shared" si="37"/>
        <v>0</v>
      </c>
      <c r="GO14" s="114">
        <f t="shared" si="38"/>
        <v>0</v>
      </c>
      <c r="GP14" s="114">
        <f t="shared" si="39"/>
        <v>0</v>
      </c>
      <c r="GQ14" s="114">
        <f>SUM(GL14:GO14)</f>
        <v>0</v>
      </c>
      <c r="GR14" s="193"/>
      <c r="GS14" s="122">
        <f t="shared" si="41"/>
        <v>18564435.904500049</v>
      </c>
      <c r="GT14" s="122">
        <f t="shared" si="41"/>
        <v>25732234.599999998</v>
      </c>
      <c r="GU14" s="123">
        <f>IFERROR(GS14/GT14,"")</f>
        <v>0.72144670655614385</v>
      </c>
      <c r="GV14" s="124">
        <f t="shared" ca="1" si="43"/>
        <v>0</v>
      </c>
      <c r="GW14" s="124">
        <v>0</v>
      </c>
      <c r="GX14" s="32">
        <f t="shared" ca="1" si="44"/>
        <v>0</v>
      </c>
      <c r="GY14" s="100"/>
    </row>
    <row r="15" spans="1:207" s="125" customFormat="1" ht="15" hidden="1" customHeight="1">
      <c r="A15" s="102"/>
      <c r="B15" s="103"/>
      <c r="C15" s="103"/>
      <c r="D15" s="104"/>
      <c r="E15" s="104"/>
      <c r="F15" s="104" t="s">
        <v>224</v>
      </c>
      <c r="G15" s="104" t="s">
        <v>226</v>
      </c>
      <c r="H15" s="154" t="s">
        <v>258</v>
      </c>
      <c r="I15" s="106" t="s">
        <v>259</v>
      </c>
      <c r="J15" s="104" t="s">
        <v>212</v>
      </c>
      <c r="K15" s="104" t="s">
        <v>208</v>
      </c>
      <c r="L15" s="104" t="s">
        <v>220</v>
      </c>
      <c r="M15" s="104" t="s">
        <v>715</v>
      </c>
      <c r="N15" s="107"/>
      <c r="O15" s="108">
        <v>43435</v>
      </c>
      <c r="P15" s="108">
        <v>43435</v>
      </c>
      <c r="Q15" s="322">
        <f t="shared" si="0"/>
        <v>0</v>
      </c>
      <c r="R15" s="109">
        <f>IF((P15-VLOOKUP(Q15,month!$A$1:$C$13,3,0))&lt;0,Q15,Q15+1)</f>
        <v>0</v>
      </c>
      <c r="S15" s="108"/>
      <c r="T15" s="110" t="str">
        <f t="shared" ref="T15:T70" si="67">IF(S15&gt;0,"Y","")</f>
        <v/>
      </c>
      <c r="U15" s="320" t="s">
        <v>214</v>
      </c>
      <c r="V15" s="320">
        <v>2</v>
      </c>
      <c r="W15" s="107"/>
      <c r="X15" s="107"/>
      <c r="Y15" s="386"/>
      <c r="Z15" s="386" t="s">
        <v>545</v>
      </c>
      <c r="AA15" s="387">
        <v>1000</v>
      </c>
      <c r="AB15" s="387">
        <v>1000</v>
      </c>
      <c r="AC15" s="387">
        <v>1000</v>
      </c>
      <c r="AD15" s="387">
        <v>1000</v>
      </c>
      <c r="AE15" s="387">
        <v>1000</v>
      </c>
      <c r="AF15" s="387">
        <v>1000</v>
      </c>
      <c r="AG15" s="387">
        <v>1000</v>
      </c>
      <c r="AH15" s="387">
        <v>1000</v>
      </c>
      <c r="AI15" s="387">
        <v>1000</v>
      </c>
      <c r="AJ15" s="387">
        <v>1000</v>
      </c>
      <c r="AK15" s="387">
        <v>1000</v>
      </c>
      <c r="AL15" s="387">
        <v>1000</v>
      </c>
      <c r="AM15" s="388">
        <f t="shared" si="2"/>
        <v>12000</v>
      </c>
      <c r="AN15" s="388">
        <f t="shared" si="3"/>
        <v>12000</v>
      </c>
      <c r="AO15" s="389">
        <f>AA15</f>
        <v>1000</v>
      </c>
      <c r="AP15" s="498" t="s">
        <v>675</v>
      </c>
      <c r="AQ15" s="159">
        <v>0.6</v>
      </c>
      <c r="AR15" s="160" t="s">
        <v>211</v>
      </c>
      <c r="AS15" s="119" t="s">
        <v>210</v>
      </c>
      <c r="AT15" s="111">
        <v>546606.41299999994</v>
      </c>
      <c r="AU15" s="111">
        <v>672753.73699999996</v>
      </c>
      <c r="AV15" s="111">
        <v>637429.42799999996</v>
      </c>
      <c r="AW15" s="111">
        <v>754510.4219999999</v>
      </c>
      <c r="AX15" s="113">
        <v>518254.4828</v>
      </c>
      <c r="AY15" s="113">
        <v>357386.41899999999</v>
      </c>
      <c r="AZ15" s="113">
        <v>683929.5111</v>
      </c>
      <c r="BA15" s="113"/>
      <c r="BB15" s="113"/>
      <c r="BC15" s="113"/>
      <c r="BD15" s="113"/>
      <c r="BE15" s="113"/>
      <c r="BF15" s="114">
        <f t="shared" si="46"/>
        <v>518254.4828</v>
      </c>
      <c r="BG15" s="114">
        <f t="shared" si="46"/>
        <v>357386.41899999999</v>
      </c>
      <c r="BH15" s="114">
        <f t="shared" si="46"/>
        <v>683929.5111</v>
      </c>
      <c r="BI15" s="114">
        <f t="shared" si="46"/>
        <v>0</v>
      </c>
      <c r="BJ15" s="114">
        <f t="shared" si="4"/>
        <v>1559570.4128999999</v>
      </c>
      <c r="BK15" s="115">
        <f t="shared" si="5"/>
        <v>2611299.9999999995</v>
      </c>
      <c r="BL15" s="115">
        <f t="shared" si="47"/>
        <v>2611299.9999999995</v>
      </c>
      <c r="BM15" s="116">
        <f t="shared" si="48"/>
        <v>0.59719999999999995</v>
      </c>
      <c r="BN15" s="126">
        <f t="shared" ca="1" si="6"/>
        <v>0</v>
      </c>
      <c r="BO15" s="117">
        <f t="shared" ca="1" si="7"/>
        <v>0</v>
      </c>
      <c r="BP15" s="118" t="str">
        <f t="shared" si="8"/>
        <v>Uncapped</v>
      </c>
      <c r="BQ15" s="115">
        <f t="shared" ca="1" si="9"/>
        <v>0</v>
      </c>
      <c r="BR15" s="113" t="s">
        <v>688</v>
      </c>
      <c r="BS15" s="161">
        <v>0.2</v>
      </c>
      <c r="BT15" s="113" t="s">
        <v>211</v>
      </c>
      <c r="BU15" s="160" t="s">
        <v>210</v>
      </c>
      <c r="BV15" s="113">
        <v>19653413.080999997</v>
      </c>
      <c r="BW15" s="113">
        <v>22848780.235100001</v>
      </c>
      <c r="BX15" s="113">
        <v>22618799.574099999</v>
      </c>
      <c r="BY15" s="113">
        <v>27098464.121500004</v>
      </c>
      <c r="BZ15" s="113">
        <v>19427532.107000571</v>
      </c>
      <c r="CA15" s="113">
        <v>22270538.357580002</v>
      </c>
      <c r="CB15" s="113">
        <v>22879083.486580007</v>
      </c>
      <c r="CC15" s="113"/>
      <c r="CD15" s="113"/>
      <c r="CE15" s="113"/>
      <c r="CF15" s="113"/>
      <c r="CG15" s="113"/>
      <c r="CH15" s="114">
        <f t="shared" si="49"/>
        <v>19427532.107000571</v>
      </c>
      <c r="CI15" s="114">
        <f t="shared" si="49"/>
        <v>22270538.357580002</v>
      </c>
      <c r="CJ15" s="120">
        <f t="shared" si="49"/>
        <v>22879083.486580007</v>
      </c>
      <c r="CK15" s="114">
        <f t="shared" si="49"/>
        <v>0</v>
      </c>
      <c r="CL15" s="114">
        <f t="shared" si="10"/>
        <v>64577153.95116058</v>
      </c>
      <c r="CM15" s="114">
        <f t="shared" si="11"/>
        <v>92219457.011700004</v>
      </c>
      <c r="CN15" s="114">
        <f t="shared" si="50"/>
        <v>92219457.011700004</v>
      </c>
      <c r="CO15" s="116">
        <f t="shared" si="51"/>
        <v>0.70030000000000003</v>
      </c>
      <c r="CP15" s="126">
        <f t="shared" ca="1" si="52"/>
        <v>0</v>
      </c>
      <c r="CQ15" s="115">
        <f t="shared" ca="1" si="12"/>
        <v>0</v>
      </c>
      <c r="CR15" s="118" t="str">
        <f t="shared" si="53"/>
        <v>Uncapped</v>
      </c>
      <c r="CS15" s="115">
        <f t="shared" ca="1" si="13"/>
        <v>0</v>
      </c>
      <c r="CT15" s="113" t="s">
        <v>696</v>
      </c>
      <c r="CU15" s="119">
        <v>0.2</v>
      </c>
      <c r="CV15" s="113" t="s">
        <v>217</v>
      </c>
      <c r="CW15" s="113" t="s">
        <v>210</v>
      </c>
      <c r="CX15" s="113">
        <v>61881722.047854595</v>
      </c>
      <c r="CY15" s="113">
        <v>72180793.063260496</v>
      </c>
      <c r="CZ15" s="113">
        <v>69179032.514420599</v>
      </c>
      <c r="DA15" s="113">
        <v>76323964.015026003</v>
      </c>
      <c r="DB15" s="113">
        <v>63657388.730680585</v>
      </c>
      <c r="DC15" s="113">
        <v>65995192.891159989</v>
      </c>
      <c r="DD15" s="113">
        <v>66410604.684560001</v>
      </c>
      <c r="DE15" s="113"/>
      <c r="DF15" s="113"/>
      <c r="DG15" s="113"/>
      <c r="DH15" s="113"/>
      <c r="DI15" s="113"/>
      <c r="DJ15" s="114">
        <f t="shared" si="54"/>
        <v>63657388.730680585</v>
      </c>
      <c r="DK15" s="114">
        <f t="shared" si="54"/>
        <v>65995192.891159989</v>
      </c>
      <c r="DL15" s="114">
        <f t="shared" si="54"/>
        <v>66410604.684560001</v>
      </c>
      <c r="DM15" s="114">
        <f t="shared" si="54"/>
        <v>0</v>
      </c>
      <c r="DN15" s="114">
        <f t="shared" si="55"/>
        <v>196063186.30640057</v>
      </c>
      <c r="DO15" s="114">
        <f t="shared" si="14"/>
        <v>279565511.6405617</v>
      </c>
      <c r="DP15" s="114">
        <f t="shared" si="56"/>
        <v>279565511.6405617</v>
      </c>
      <c r="DQ15" s="116">
        <f t="shared" si="57"/>
        <v>0.70130000000000003</v>
      </c>
      <c r="DR15" s="126">
        <f t="shared" ca="1" si="15"/>
        <v>0</v>
      </c>
      <c r="DS15" s="115">
        <f t="shared" ca="1" si="16"/>
        <v>0</v>
      </c>
      <c r="DT15" s="118" t="str">
        <f t="shared" si="58"/>
        <v>Uncapped</v>
      </c>
      <c r="DU15" s="115">
        <f t="shared" ca="1" si="17"/>
        <v>0</v>
      </c>
      <c r="DV15" s="113"/>
      <c r="DW15" s="119">
        <v>0</v>
      </c>
      <c r="DX15" s="113"/>
      <c r="DY15" s="113"/>
      <c r="DZ15" s="113">
        <v>0</v>
      </c>
      <c r="EA15" s="113">
        <v>0</v>
      </c>
      <c r="EB15" s="113">
        <v>0</v>
      </c>
      <c r="EC15" s="113">
        <v>0</v>
      </c>
      <c r="ED15" s="113">
        <v>0</v>
      </c>
      <c r="EE15" s="113">
        <v>0</v>
      </c>
      <c r="EF15" s="113"/>
      <c r="EG15" s="113"/>
      <c r="EH15" s="113"/>
      <c r="EI15" s="113"/>
      <c r="EJ15" s="113"/>
      <c r="EK15" s="113"/>
      <c r="EL15" s="114">
        <f t="shared" si="59"/>
        <v>0</v>
      </c>
      <c r="EM15" s="114">
        <f t="shared" si="59"/>
        <v>0</v>
      </c>
      <c r="EN15" s="114">
        <f t="shared" si="59"/>
        <v>0</v>
      </c>
      <c r="EO15" s="114">
        <f t="shared" si="59"/>
        <v>0</v>
      </c>
      <c r="EP15" s="114">
        <f t="shared" si="18"/>
        <v>0</v>
      </c>
      <c r="EQ15" s="114">
        <f t="shared" si="19"/>
        <v>0</v>
      </c>
      <c r="ER15" s="114">
        <f t="shared" si="60"/>
        <v>0</v>
      </c>
      <c r="ES15" s="116">
        <f t="shared" si="61"/>
        <v>0</v>
      </c>
      <c r="ET15" s="126">
        <f t="shared" ca="1" si="62"/>
        <v>0</v>
      </c>
      <c r="EU15" s="115">
        <f t="shared" ca="1" si="20"/>
        <v>0</v>
      </c>
      <c r="EV15" s="118" t="str">
        <f t="shared" si="21"/>
        <v>Uncapped</v>
      </c>
      <c r="EW15" s="115">
        <f t="shared" ca="1" si="22"/>
        <v>0</v>
      </c>
      <c r="EX15" s="112">
        <f t="shared" ca="1" si="23"/>
        <v>0</v>
      </c>
      <c r="EY15" s="114">
        <f t="shared" ca="1" si="63"/>
        <v>2000</v>
      </c>
      <c r="EZ15" s="115">
        <v>0</v>
      </c>
      <c r="FA15" s="115">
        <v>457500</v>
      </c>
      <c r="FB15" s="115"/>
      <c r="FC15" s="115">
        <v>0</v>
      </c>
      <c r="FD15" s="115">
        <f t="shared" si="24"/>
        <v>457500</v>
      </c>
      <c r="FE15" s="114">
        <f t="shared" si="25"/>
        <v>0</v>
      </c>
      <c r="FF15" s="115">
        <v>0</v>
      </c>
      <c r="FG15" s="115">
        <v>0</v>
      </c>
      <c r="FH15" s="115">
        <v>0</v>
      </c>
      <c r="FI15" s="115">
        <v>0</v>
      </c>
      <c r="FJ15" s="115">
        <f t="shared" si="26"/>
        <v>0</v>
      </c>
      <c r="FK15" s="114">
        <f t="shared" si="27"/>
        <v>0</v>
      </c>
      <c r="FL15" s="113"/>
      <c r="FM15" s="111"/>
      <c r="FN15" s="111"/>
      <c r="FO15" s="111"/>
      <c r="FP15" s="115">
        <f t="shared" si="28"/>
        <v>0</v>
      </c>
      <c r="FQ15" s="115"/>
      <c r="FR15" s="115"/>
      <c r="FS15" s="115"/>
      <c r="FT15" s="114">
        <f t="shared" si="64"/>
        <v>0</v>
      </c>
      <c r="FU15" s="366">
        <f t="shared" ca="1" si="66"/>
        <v>459500</v>
      </c>
      <c r="FV15" s="121">
        <f t="shared" ca="1" si="65"/>
        <v>459500</v>
      </c>
      <c r="FW15" s="114">
        <f t="shared" si="29"/>
        <v>0</v>
      </c>
      <c r="FX15" s="114">
        <f t="shared" si="29"/>
        <v>0</v>
      </c>
      <c r="FY15" s="114">
        <f t="shared" si="29"/>
        <v>0</v>
      </c>
      <c r="FZ15" s="114">
        <f t="shared" si="29"/>
        <v>0</v>
      </c>
      <c r="GA15" s="114">
        <f>SUM(FW15:FZ15)</f>
        <v>0</v>
      </c>
      <c r="GB15" s="114">
        <f t="shared" si="31"/>
        <v>0</v>
      </c>
      <c r="GC15" s="114">
        <f t="shared" si="31"/>
        <v>457500</v>
      </c>
      <c r="GD15" s="114">
        <f t="shared" si="31"/>
        <v>0</v>
      </c>
      <c r="GE15" s="114">
        <f t="shared" si="31"/>
        <v>0</v>
      </c>
      <c r="GF15" s="114">
        <f t="shared" si="32"/>
        <v>0</v>
      </c>
      <c r="GG15" s="114">
        <f t="shared" si="32"/>
        <v>457500</v>
      </c>
      <c r="GH15" s="114">
        <f t="shared" si="32"/>
        <v>0</v>
      </c>
      <c r="GI15" s="114">
        <f t="shared" si="32"/>
        <v>0</v>
      </c>
      <c r="GJ15" s="115">
        <f t="shared" si="33"/>
        <v>457500</v>
      </c>
      <c r="GK15" s="114">
        <f>SUM(GF15:GI15)</f>
        <v>457500</v>
      </c>
      <c r="GL15" s="114">
        <f t="shared" si="35"/>
        <v>2000</v>
      </c>
      <c r="GM15" s="114">
        <f t="shared" si="36"/>
        <v>0</v>
      </c>
      <c r="GN15" s="114">
        <f t="shared" si="37"/>
        <v>0</v>
      </c>
      <c r="GO15" s="114">
        <f t="shared" si="38"/>
        <v>0</v>
      </c>
      <c r="GP15" s="114">
        <f t="shared" si="39"/>
        <v>2000</v>
      </c>
      <c r="GQ15" s="114">
        <f>SUM(GL15:GO15)</f>
        <v>2000</v>
      </c>
      <c r="GR15" s="216"/>
      <c r="GS15" s="122">
        <f t="shared" si="41"/>
        <v>262199910.67046115</v>
      </c>
      <c r="GT15" s="122">
        <f t="shared" si="41"/>
        <v>374396268.65226173</v>
      </c>
      <c r="GU15" s="123">
        <f>IFERROR(GS15/GT15,"")</f>
        <v>0.70032725383273442</v>
      </c>
      <c r="GV15" s="124">
        <f t="shared" ca="1" si="43"/>
        <v>0</v>
      </c>
      <c r="GW15" s="124">
        <v>0</v>
      </c>
      <c r="GX15" s="32">
        <f t="shared" ca="1" si="44"/>
        <v>0</v>
      </c>
      <c r="GY15" s="100"/>
    </row>
    <row r="16" spans="1:207" s="446" customFormat="1" ht="18.45" hidden="1" customHeight="1">
      <c r="A16" s="410"/>
      <c r="B16" s="411"/>
      <c r="C16" s="411"/>
      <c r="D16" s="412"/>
      <c r="E16" s="413" t="s">
        <v>260</v>
      </c>
      <c r="F16" s="413" t="s">
        <v>261</v>
      </c>
      <c r="G16" s="412" t="s">
        <v>226</v>
      </c>
      <c r="H16" s="414" t="s">
        <v>262</v>
      </c>
      <c r="I16" s="415" t="s">
        <v>263</v>
      </c>
      <c r="J16" s="412" t="s">
        <v>207</v>
      </c>
      <c r="K16" s="509" t="s">
        <v>208</v>
      </c>
      <c r="L16" s="412" t="s">
        <v>264</v>
      </c>
      <c r="M16" s="412" t="s">
        <v>712</v>
      </c>
      <c r="N16" s="416"/>
      <c r="O16" s="541">
        <v>41376</v>
      </c>
      <c r="P16" s="417">
        <v>43009</v>
      </c>
      <c r="Q16" s="418">
        <f t="shared" si="0"/>
        <v>0</v>
      </c>
      <c r="R16" s="419">
        <f>IF((P16-VLOOKUP(Q16,month!$A$1:$C$13,3,0))&lt;0,Q16,Q16+1)</f>
        <v>0</v>
      </c>
      <c r="S16" s="420"/>
      <c r="T16" s="421" t="str">
        <f t="shared" si="67"/>
        <v/>
      </c>
      <c r="U16" s="416"/>
      <c r="V16" s="416"/>
      <c r="W16" s="416"/>
      <c r="X16" s="416"/>
      <c r="Y16" s="422"/>
      <c r="Z16" s="422" t="s">
        <v>545</v>
      </c>
      <c r="AA16" s="423">
        <v>1000</v>
      </c>
      <c r="AB16" s="423">
        <v>1000</v>
      </c>
      <c r="AC16" s="423">
        <v>1000</v>
      </c>
      <c r="AD16" s="423">
        <v>1000</v>
      </c>
      <c r="AE16" s="423">
        <v>1000</v>
      </c>
      <c r="AF16" s="423">
        <v>1000</v>
      </c>
      <c r="AG16" s="423">
        <v>1000</v>
      </c>
      <c r="AH16" s="423">
        <v>1000</v>
      </c>
      <c r="AI16" s="423">
        <v>1000</v>
      </c>
      <c r="AJ16" s="423">
        <v>1000</v>
      </c>
      <c r="AK16" s="423">
        <v>1000</v>
      </c>
      <c r="AL16" s="423">
        <v>1000</v>
      </c>
      <c r="AM16" s="424">
        <f t="shared" si="2"/>
        <v>12000</v>
      </c>
      <c r="AN16" s="424">
        <f t="shared" si="3"/>
        <v>12000</v>
      </c>
      <c r="AO16" s="425">
        <f t="shared" ref="AO16:AO20" si="68">AI16</f>
        <v>1000</v>
      </c>
      <c r="AP16" s="499" t="s">
        <v>682</v>
      </c>
      <c r="AQ16" s="426">
        <v>0.5</v>
      </c>
      <c r="AR16" s="427" t="s">
        <v>211</v>
      </c>
      <c r="AS16" s="428" t="s">
        <v>210</v>
      </c>
      <c r="AT16" s="429">
        <v>2244856.5935</v>
      </c>
      <c r="AU16" s="429">
        <v>2569392.7920000004</v>
      </c>
      <c r="AV16" s="429"/>
      <c r="AW16" s="429"/>
      <c r="AX16" s="413">
        <v>2652948.4355720901</v>
      </c>
      <c r="AY16" s="413">
        <v>2609712.8228000007</v>
      </c>
      <c r="AZ16" s="413"/>
      <c r="BA16" s="413"/>
      <c r="BB16" s="413"/>
      <c r="BC16" s="413"/>
      <c r="BD16" s="413"/>
      <c r="BE16" s="413"/>
      <c r="BF16" s="430">
        <f t="shared" si="46"/>
        <v>2652948.4355720901</v>
      </c>
      <c r="BG16" s="430">
        <f t="shared" si="46"/>
        <v>2609712.8228000007</v>
      </c>
      <c r="BH16" s="430">
        <f t="shared" si="46"/>
        <v>0</v>
      </c>
      <c r="BI16" s="430">
        <f t="shared" si="46"/>
        <v>0</v>
      </c>
      <c r="BJ16" s="430">
        <f t="shared" si="4"/>
        <v>5262661.2583720908</v>
      </c>
      <c r="BK16" s="431">
        <f t="shared" si="5"/>
        <v>4814249.3855000008</v>
      </c>
      <c r="BL16" s="431">
        <f t="shared" si="47"/>
        <v>4814249.3855000008</v>
      </c>
      <c r="BM16" s="432">
        <f t="shared" si="48"/>
        <v>1.0931</v>
      </c>
      <c r="BN16" s="433">
        <f t="shared" ca="1" si="6"/>
        <v>0</v>
      </c>
      <c r="BO16" s="434">
        <f t="shared" ca="1" si="7"/>
        <v>0</v>
      </c>
      <c r="BP16" s="435" t="str">
        <f t="shared" si="8"/>
        <v>Uncapped</v>
      </c>
      <c r="BQ16" s="431">
        <f t="shared" ca="1" si="9"/>
        <v>0</v>
      </c>
      <c r="BR16" s="413" t="s">
        <v>700</v>
      </c>
      <c r="BS16" s="436">
        <v>0.3</v>
      </c>
      <c r="BT16" s="413" t="s">
        <v>211</v>
      </c>
      <c r="BU16" s="427" t="s">
        <v>210</v>
      </c>
      <c r="BV16" s="413">
        <v>485801.88159999991</v>
      </c>
      <c r="BW16" s="413">
        <v>550013.91610000003</v>
      </c>
      <c r="BX16" s="413"/>
      <c r="BY16" s="413"/>
      <c r="BZ16" s="413">
        <v>486576.97109999997</v>
      </c>
      <c r="CA16" s="413">
        <v>543599.53199999989</v>
      </c>
      <c r="CB16" s="413"/>
      <c r="CC16" s="413"/>
      <c r="CD16" s="413"/>
      <c r="CE16" s="413"/>
      <c r="CF16" s="413"/>
      <c r="CG16" s="413"/>
      <c r="CH16" s="430">
        <f t="shared" si="49"/>
        <v>486576.97109999997</v>
      </c>
      <c r="CI16" s="430">
        <f t="shared" si="49"/>
        <v>543599.53199999989</v>
      </c>
      <c r="CJ16" s="437">
        <f t="shared" si="49"/>
        <v>0</v>
      </c>
      <c r="CK16" s="430">
        <f t="shared" si="49"/>
        <v>0</v>
      </c>
      <c r="CL16" s="430">
        <f t="shared" si="10"/>
        <v>1030176.5030999999</v>
      </c>
      <c r="CM16" s="430">
        <f t="shared" si="11"/>
        <v>1035815.7977</v>
      </c>
      <c r="CN16" s="430">
        <f t="shared" si="50"/>
        <v>1035815.7977</v>
      </c>
      <c r="CO16" s="432">
        <f t="shared" si="51"/>
        <v>0.99460000000000004</v>
      </c>
      <c r="CP16" s="433">
        <f t="shared" ca="1" si="52"/>
        <v>0</v>
      </c>
      <c r="CQ16" s="431">
        <f t="shared" ca="1" si="12"/>
        <v>0</v>
      </c>
      <c r="CR16" s="435" t="str">
        <f t="shared" si="53"/>
        <v>Uncapped</v>
      </c>
      <c r="CS16" s="431">
        <f t="shared" ca="1" si="13"/>
        <v>0</v>
      </c>
      <c r="CT16" s="413" t="s">
        <v>702</v>
      </c>
      <c r="CU16" s="428">
        <v>0.2</v>
      </c>
      <c r="CV16" s="413" t="s">
        <v>217</v>
      </c>
      <c r="CW16" s="413" t="s">
        <v>210</v>
      </c>
      <c r="CX16" s="413">
        <v>19653413.080999997</v>
      </c>
      <c r="CY16" s="413">
        <v>22848780.235100001</v>
      </c>
      <c r="CZ16" s="413"/>
      <c r="DA16" s="413"/>
      <c r="DB16" s="413">
        <v>19427532.107000571</v>
      </c>
      <c r="DC16" s="413">
        <v>22270538.357580002</v>
      </c>
      <c r="DD16" s="413"/>
      <c r="DE16" s="413"/>
      <c r="DF16" s="413"/>
      <c r="DG16" s="413"/>
      <c r="DH16" s="413"/>
      <c r="DI16" s="413"/>
      <c r="DJ16" s="430">
        <f t="shared" si="54"/>
        <v>19427532.107000571</v>
      </c>
      <c r="DK16" s="430">
        <f t="shared" si="54"/>
        <v>22270538.357580002</v>
      </c>
      <c r="DL16" s="430">
        <f t="shared" si="54"/>
        <v>0</v>
      </c>
      <c r="DM16" s="430">
        <f t="shared" si="54"/>
        <v>0</v>
      </c>
      <c r="DN16" s="430">
        <f t="shared" si="55"/>
        <v>41698070.464580573</v>
      </c>
      <c r="DO16" s="430">
        <f t="shared" si="14"/>
        <v>42502193.316100001</v>
      </c>
      <c r="DP16" s="430">
        <f t="shared" si="56"/>
        <v>42502193.316100001</v>
      </c>
      <c r="DQ16" s="432">
        <f t="shared" si="57"/>
        <v>0.98109999999999997</v>
      </c>
      <c r="DR16" s="433">
        <f t="shared" ca="1" si="15"/>
        <v>0</v>
      </c>
      <c r="DS16" s="431">
        <f t="shared" ca="1" si="16"/>
        <v>0</v>
      </c>
      <c r="DT16" s="435" t="str">
        <f t="shared" si="58"/>
        <v>Uncapped</v>
      </c>
      <c r="DU16" s="431">
        <f t="shared" ca="1" si="17"/>
        <v>0</v>
      </c>
      <c r="DV16" s="413"/>
      <c r="DW16" s="428">
        <v>0</v>
      </c>
      <c r="DX16" s="413"/>
      <c r="DY16" s="413"/>
      <c r="DZ16" s="413">
        <v>0</v>
      </c>
      <c r="EA16" s="413">
        <v>0</v>
      </c>
      <c r="EB16" s="413">
        <v>0</v>
      </c>
      <c r="EC16" s="413">
        <v>0</v>
      </c>
      <c r="ED16" s="413">
        <v>0</v>
      </c>
      <c r="EE16" s="413">
        <v>0</v>
      </c>
      <c r="EF16" s="413"/>
      <c r="EG16" s="413"/>
      <c r="EH16" s="413"/>
      <c r="EI16" s="413"/>
      <c r="EJ16" s="413"/>
      <c r="EK16" s="413"/>
      <c r="EL16" s="430">
        <f t="shared" si="59"/>
        <v>0</v>
      </c>
      <c r="EM16" s="430">
        <f t="shared" si="59"/>
        <v>0</v>
      </c>
      <c r="EN16" s="430">
        <f t="shared" si="59"/>
        <v>0</v>
      </c>
      <c r="EO16" s="430">
        <f t="shared" si="59"/>
        <v>0</v>
      </c>
      <c r="EP16" s="430">
        <f t="shared" si="18"/>
        <v>0</v>
      </c>
      <c r="EQ16" s="430">
        <f t="shared" si="19"/>
        <v>0</v>
      </c>
      <c r="ER16" s="430">
        <f t="shared" si="60"/>
        <v>0</v>
      </c>
      <c r="ES16" s="432">
        <f t="shared" si="61"/>
        <v>0</v>
      </c>
      <c r="ET16" s="433">
        <f t="shared" ca="1" si="62"/>
        <v>0</v>
      </c>
      <c r="EU16" s="431">
        <f t="shared" ca="1" si="20"/>
        <v>0</v>
      </c>
      <c r="EV16" s="435" t="str">
        <f t="shared" si="21"/>
        <v>Uncapped</v>
      </c>
      <c r="EW16" s="431">
        <f t="shared" ca="1" si="22"/>
        <v>0</v>
      </c>
      <c r="EX16" s="438">
        <f t="shared" ca="1" si="23"/>
        <v>0</v>
      </c>
      <c r="EY16" s="430">
        <f t="shared" ca="1" si="63"/>
        <v>0</v>
      </c>
      <c r="EZ16" s="431">
        <v>0</v>
      </c>
      <c r="FA16" s="431">
        <v>914000</v>
      </c>
      <c r="FB16" s="431">
        <v>376700</v>
      </c>
      <c r="FC16" s="431">
        <v>0</v>
      </c>
      <c r="FD16" s="431">
        <f t="shared" si="24"/>
        <v>1290700</v>
      </c>
      <c r="FE16" s="430">
        <f t="shared" si="25"/>
        <v>0</v>
      </c>
      <c r="FF16" s="431">
        <v>0</v>
      </c>
      <c r="FG16" s="431">
        <v>0</v>
      </c>
      <c r="FH16" s="431">
        <v>0</v>
      </c>
      <c r="FI16" s="431">
        <v>0</v>
      </c>
      <c r="FJ16" s="431">
        <f t="shared" si="26"/>
        <v>0</v>
      </c>
      <c r="FK16" s="430">
        <f t="shared" si="27"/>
        <v>0</v>
      </c>
      <c r="FL16" s="413"/>
      <c r="FM16" s="429"/>
      <c r="FN16" s="429"/>
      <c r="FO16" s="429"/>
      <c r="FP16" s="431">
        <f t="shared" si="28"/>
        <v>0</v>
      </c>
      <c r="FQ16" s="431"/>
      <c r="FR16" s="431"/>
      <c r="FS16" s="431"/>
      <c r="FT16" s="430">
        <f t="shared" si="64"/>
        <v>0</v>
      </c>
      <c r="FU16" s="439">
        <f t="shared" ca="1" si="66"/>
        <v>1290700</v>
      </c>
      <c r="FV16" s="440">
        <f t="shared" ca="1" si="65"/>
        <v>1290700</v>
      </c>
      <c r="FW16" s="430">
        <f t="shared" si="29"/>
        <v>0</v>
      </c>
      <c r="FX16" s="430">
        <f t="shared" si="29"/>
        <v>0</v>
      </c>
      <c r="FY16" s="430">
        <f t="shared" si="29"/>
        <v>0</v>
      </c>
      <c r="FZ16" s="430">
        <f t="shared" si="29"/>
        <v>0</v>
      </c>
      <c r="GA16" s="430">
        <f t="shared" si="30"/>
        <v>0</v>
      </c>
      <c r="GB16" s="430">
        <f t="shared" si="31"/>
        <v>0</v>
      </c>
      <c r="GC16" s="430">
        <f t="shared" si="31"/>
        <v>914000</v>
      </c>
      <c r="GD16" s="430">
        <f t="shared" si="31"/>
        <v>376700</v>
      </c>
      <c r="GE16" s="430">
        <f t="shared" si="31"/>
        <v>0</v>
      </c>
      <c r="GF16" s="430">
        <f t="shared" si="32"/>
        <v>0</v>
      </c>
      <c r="GG16" s="430">
        <f t="shared" si="32"/>
        <v>914000</v>
      </c>
      <c r="GH16" s="430">
        <f t="shared" si="32"/>
        <v>376700</v>
      </c>
      <c r="GI16" s="430">
        <f t="shared" si="32"/>
        <v>0</v>
      </c>
      <c r="GJ16" s="431">
        <f t="shared" si="33"/>
        <v>1290700</v>
      </c>
      <c r="GK16" s="430">
        <f t="shared" si="34"/>
        <v>1290700</v>
      </c>
      <c r="GL16" s="430">
        <f t="shared" si="35"/>
        <v>0</v>
      </c>
      <c r="GM16" s="430">
        <f t="shared" si="36"/>
        <v>0</v>
      </c>
      <c r="GN16" s="430">
        <f t="shared" si="37"/>
        <v>0</v>
      </c>
      <c r="GO16" s="430">
        <f t="shared" si="38"/>
        <v>0</v>
      </c>
      <c r="GP16" s="430">
        <f t="shared" si="39"/>
        <v>0</v>
      </c>
      <c r="GQ16" s="430">
        <f t="shared" si="40"/>
        <v>0</v>
      </c>
      <c r="GR16" s="441"/>
      <c r="GS16" s="442">
        <f t="shared" si="41"/>
        <v>47990908.226052664</v>
      </c>
      <c r="GT16" s="442">
        <f t="shared" si="41"/>
        <v>48352258.499300003</v>
      </c>
      <c r="GU16" s="443">
        <f t="shared" si="42"/>
        <v>0.99252671365387057</v>
      </c>
      <c r="GV16" s="444">
        <f t="shared" ca="1" si="43"/>
        <v>0</v>
      </c>
      <c r="GW16" s="444">
        <v>0</v>
      </c>
      <c r="GX16" s="445">
        <f t="shared" ca="1" si="44"/>
        <v>0</v>
      </c>
      <c r="GY16" s="100"/>
    </row>
    <row r="17" spans="1:207" s="125" customFormat="1" ht="15" hidden="1" customHeight="1">
      <c r="A17" s="102"/>
      <c r="B17" s="103"/>
      <c r="C17" s="103"/>
      <c r="D17" s="104"/>
      <c r="E17" s="104" t="s">
        <v>253</v>
      </c>
      <c r="F17" s="104" t="s">
        <v>266</v>
      </c>
      <c r="G17" s="104" t="s">
        <v>226</v>
      </c>
      <c r="H17" s="105" t="s">
        <v>267</v>
      </c>
      <c r="I17" s="106" t="s">
        <v>268</v>
      </c>
      <c r="J17" s="104" t="s">
        <v>212</v>
      </c>
      <c r="K17" s="104" t="s">
        <v>208</v>
      </c>
      <c r="L17" s="104" t="s">
        <v>213</v>
      </c>
      <c r="M17" s="104" t="s">
        <v>713</v>
      </c>
      <c r="N17" s="107"/>
      <c r="O17" s="108">
        <v>41376</v>
      </c>
      <c r="P17" s="108">
        <v>41640</v>
      </c>
      <c r="Q17" s="322">
        <f t="shared" si="0"/>
        <v>0</v>
      </c>
      <c r="R17" s="109">
        <f>IF((P17-VLOOKUP(Q17,month!$A$1:$C$13,3,0))&lt;0,Q17,Q17+1)</f>
        <v>0</v>
      </c>
      <c r="S17" s="108"/>
      <c r="T17" s="110" t="str">
        <f t="shared" si="67"/>
        <v/>
      </c>
      <c r="U17" s="107"/>
      <c r="V17" s="107"/>
      <c r="W17" s="107"/>
      <c r="X17" s="107"/>
      <c r="Y17" s="386"/>
      <c r="Z17" s="386" t="s">
        <v>545</v>
      </c>
      <c r="AA17" s="387">
        <v>1000</v>
      </c>
      <c r="AB17" s="387">
        <v>1000</v>
      </c>
      <c r="AC17" s="387">
        <v>1000</v>
      </c>
      <c r="AD17" s="387">
        <v>1000</v>
      </c>
      <c r="AE17" s="387">
        <v>1000</v>
      </c>
      <c r="AF17" s="387">
        <v>1000</v>
      </c>
      <c r="AG17" s="387">
        <v>1000</v>
      </c>
      <c r="AH17" s="387">
        <v>1000</v>
      </c>
      <c r="AI17" s="387">
        <v>1000</v>
      </c>
      <c r="AJ17" s="387">
        <v>1000</v>
      </c>
      <c r="AK17" s="387">
        <v>1000</v>
      </c>
      <c r="AL17" s="387">
        <v>1000</v>
      </c>
      <c r="AM17" s="388">
        <f t="shared" si="2"/>
        <v>12000</v>
      </c>
      <c r="AN17" s="388">
        <f t="shared" si="3"/>
        <v>12000</v>
      </c>
      <c r="AO17" s="389">
        <f t="shared" si="68"/>
        <v>1000</v>
      </c>
      <c r="AP17" s="498" t="s">
        <v>682</v>
      </c>
      <c r="AQ17" s="159">
        <v>0.5</v>
      </c>
      <c r="AR17" s="160" t="s">
        <v>211</v>
      </c>
      <c r="AS17" s="119" t="s">
        <v>210</v>
      </c>
      <c r="AT17" s="111">
        <v>556173.52222000004</v>
      </c>
      <c r="AU17" s="111">
        <v>630904.11838000023</v>
      </c>
      <c r="AV17" s="111">
        <v>628201.46472000005</v>
      </c>
      <c r="AW17" s="111">
        <v>746433.0366799999</v>
      </c>
      <c r="AX17" s="113">
        <v>502943.92335400032</v>
      </c>
      <c r="AY17" s="113">
        <v>620800.69969999976</v>
      </c>
      <c r="AZ17" s="113">
        <v>658422.72899999935</v>
      </c>
      <c r="BA17" s="113"/>
      <c r="BB17" s="113"/>
      <c r="BC17" s="113"/>
      <c r="BD17" s="113"/>
      <c r="BE17" s="113"/>
      <c r="BF17" s="114">
        <f t="shared" si="46"/>
        <v>502943.92335400032</v>
      </c>
      <c r="BG17" s="114">
        <f t="shared" si="46"/>
        <v>620800.69969999976</v>
      </c>
      <c r="BH17" s="114">
        <f t="shared" si="46"/>
        <v>658422.72899999935</v>
      </c>
      <c r="BI17" s="114">
        <f t="shared" si="46"/>
        <v>0</v>
      </c>
      <c r="BJ17" s="114">
        <f t="shared" si="4"/>
        <v>1782167.3520539994</v>
      </c>
      <c r="BK17" s="115">
        <f t="shared" si="5"/>
        <v>2561712.142</v>
      </c>
      <c r="BL17" s="115">
        <f t="shared" si="47"/>
        <v>2561712.142</v>
      </c>
      <c r="BM17" s="116">
        <f t="shared" si="48"/>
        <v>0.69569999999999999</v>
      </c>
      <c r="BN17" s="126">
        <f t="shared" ca="1" si="6"/>
        <v>0</v>
      </c>
      <c r="BO17" s="117">
        <f t="shared" ca="1" si="7"/>
        <v>0</v>
      </c>
      <c r="BP17" s="118" t="str">
        <f t="shared" si="8"/>
        <v>Uncapped</v>
      </c>
      <c r="BQ17" s="115">
        <f t="shared" ca="1" si="9"/>
        <v>0</v>
      </c>
      <c r="BR17" s="113" t="s">
        <v>700</v>
      </c>
      <c r="BS17" s="161">
        <v>0.3</v>
      </c>
      <c r="BT17" s="113" t="s">
        <v>211</v>
      </c>
      <c r="BU17" s="160" t="s">
        <v>210</v>
      </c>
      <c r="BV17" s="113">
        <v>105987.23029819998</v>
      </c>
      <c r="BW17" s="113">
        <v>117141.7443014</v>
      </c>
      <c r="BX17" s="113">
        <v>116675.5551342</v>
      </c>
      <c r="BY17" s="113">
        <v>134364.19266619999</v>
      </c>
      <c r="BZ17" s="113">
        <v>115233.192</v>
      </c>
      <c r="CA17" s="113">
        <v>128611.80899999995</v>
      </c>
      <c r="CB17" s="113">
        <v>188914.27859999999</v>
      </c>
      <c r="CC17" s="113"/>
      <c r="CD17" s="113"/>
      <c r="CE17" s="113"/>
      <c r="CF17" s="113"/>
      <c r="CG17" s="113"/>
      <c r="CH17" s="114">
        <f t="shared" si="49"/>
        <v>115233.192</v>
      </c>
      <c r="CI17" s="114">
        <f t="shared" si="49"/>
        <v>128611.80899999995</v>
      </c>
      <c r="CJ17" s="120">
        <f t="shared" si="49"/>
        <v>188914.27859999999</v>
      </c>
      <c r="CK17" s="114">
        <f t="shared" si="49"/>
        <v>0</v>
      </c>
      <c r="CL17" s="114">
        <f t="shared" si="10"/>
        <v>432759.27959999989</v>
      </c>
      <c r="CM17" s="114">
        <f t="shared" si="11"/>
        <v>474168.72239999997</v>
      </c>
      <c r="CN17" s="114">
        <f t="shared" si="50"/>
        <v>474168.72239999997</v>
      </c>
      <c r="CO17" s="116">
        <f t="shared" si="51"/>
        <v>0.91269999999999996</v>
      </c>
      <c r="CP17" s="126">
        <f t="shared" ca="1" si="52"/>
        <v>0</v>
      </c>
      <c r="CQ17" s="115">
        <f t="shared" ca="1" si="12"/>
        <v>0</v>
      </c>
      <c r="CR17" s="118" t="str">
        <f t="shared" si="53"/>
        <v>Uncapped</v>
      </c>
      <c r="CS17" s="115">
        <f t="shared" ca="1" si="13"/>
        <v>0</v>
      </c>
      <c r="CT17" s="113" t="s">
        <v>695</v>
      </c>
      <c r="CU17" s="119">
        <v>0.2</v>
      </c>
      <c r="CV17" s="113" t="s">
        <v>211</v>
      </c>
      <c r="CW17" s="113" t="s">
        <v>210</v>
      </c>
      <c r="CX17" s="113">
        <v>2244831.5718800002</v>
      </c>
      <c r="CY17" s="113">
        <v>2569364.5547100003</v>
      </c>
      <c r="CZ17" s="113">
        <v>2533443.4844499999</v>
      </c>
      <c r="DA17" s="113">
        <v>3023459.9310699999</v>
      </c>
      <c r="DB17" s="113">
        <v>2652948.4355720901</v>
      </c>
      <c r="DC17" s="113">
        <v>2609712.8228000007</v>
      </c>
      <c r="DD17" s="113">
        <v>2747045.0877474295</v>
      </c>
      <c r="DE17" s="113"/>
      <c r="DF17" s="113"/>
      <c r="DG17" s="113"/>
      <c r="DH17" s="113"/>
      <c r="DI17" s="113"/>
      <c r="DJ17" s="114">
        <f t="shared" si="54"/>
        <v>2652948.4355720901</v>
      </c>
      <c r="DK17" s="114">
        <f t="shared" si="54"/>
        <v>2609712.8228000007</v>
      </c>
      <c r="DL17" s="114">
        <f t="shared" si="54"/>
        <v>2747045.0877474295</v>
      </c>
      <c r="DM17" s="114">
        <f t="shared" si="54"/>
        <v>0</v>
      </c>
      <c r="DN17" s="114">
        <f t="shared" si="55"/>
        <v>8009706.3461195203</v>
      </c>
      <c r="DO17" s="114">
        <f t="shared" si="14"/>
        <v>10371099.54211</v>
      </c>
      <c r="DP17" s="114">
        <f t="shared" si="56"/>
        <v>10371099.54211</v>
      </c>
      <c r="DQ17" s="116">
        <f t="shared" si="57"/>
        <v>0.77229999999999999</v>
      </c>
      <c r="DR17" s="126">
        <f t="shared" ca="1" si="15"/>
        <v>0</v>
      </c>
      <c r="DS17" s="115">
        <f t="shared" ca="1" si="16"/>
        <v>0</v>
      </c>
      <c r="DT17" s="118" t="str">
        <f t="shared" si="58"/>
        <v>Uncapped</v>
      </c>
      <c r="DU17" s="115">
        <f t="shared" ca="1" si="17"/>
        <v>0</v>
      </c>
      <c r="DV17" s="113"/>
      <c r="DW17" s="119">
        <v>0</v>
      </c>
      <c r="DX17" s="113"/>
      <c r="DY17" s="113"/>
      <c r="DZ17" s="113">
        <v>0</v>
      </c>
      <c r="EA17" s="113">
        <v>0</v>
      </c>
      <c r="EB17" s="113">
        <v>0</v>
      </c>
      <c r="EC17" s="113">
        <v>0</v>
      </c>
      <c r="ED17" s="113">
        <v>0</v>
      </c>
      <c r="EE17" s="113">
        <v>0</v>
      </c>
      <c r="EF17" s="113"/>
      <c r="EG17" s="113"/>
      <c r="EH17" s="113"/>
      <c r="EI17" s="113"/>
      <c r="EJ17" s="113"/>
      <c r="EK17" s="113"/>
      <c r="EL17" s="114">
        <f t="shared" si="59"/>
        <v>0</v>
      </c>
      <c r="EM17" s="114">
        <f t="shared" si="59"/>
        <v>0</v>
      </c>
      <c r="EN17" s="114">
        <f t="shared" si="59"/>
        <v>0</v>
      </c>
      <c r="EO17" s="114">
        <f t="shared" si="59"/>
        <v>0</v>
      </c>
      <c r="EP17" s="114">
        <f t="shared" si="18"/>
        <v>0</v>
      </c>
      <c r="EQ17" s="114">
        <f t="shared" si="19"/>
        <v>0</v>
      </c>
      <c r="ER17" s="114">
        <f t="shared" si="60"/>
        <v>0</v>
      </c>
      <c r="ES17" s="116">
        <f t="shared" si="61"/>
        <v>0</v>
      </c>
      <c r="ET17" s="126">
        <f t="shared" ca="1" si="62"/>
        <v>0</v>
      </c>
      <c r="EU17" s="115">
        <f t="shared" ca="1" si="20"/>
        <v>0</v>
      </c>
      <c r="EV17" s="118" t="str">
        <f t="shared" si="21"/>
        <v>Uncapped</v>
      </c>
      <c r="EW17" s="115">
        <f t="shared" ca="1" si="22"/>
        <v>0</v>
      </c>
      <c r="EX17" s="112">
        <f t="shared" ca="1" si="23"/>
        <v>0</v>
      </c>
      <c r="EY17" s="114">
        <f t="shared" ca="1" si="63"/>
        <v>0</v>
      </c>
      <c r="EZ17" s="115">
        <v>163080</v>
      </c>
      <c r="FA17" s="115">
        <v>700785</v>
      </c>
      <c r="FB17" s="115">
        <v>1244050</v>
      </c>
      <c r="FC17" s="115">
        <v>0</v>
      </c>
      <c r="FD17" s="115">
        <f t="shared" si="24"/>
        <v>2107915</v>
      </c>
      <c r="FE17" s="114">
        <f t="shared" si="25"/>
        <v>0</v>
      </c>
      <c r="FF17" s="115">
        <v>0</v>
      </c>
      <c r="FG17" s="115">
        <v>0</v>
      </c>
      <c r="FH17" s="115">
        <v>0</v>
      </c>
      <c r="FI17" s="115">
        <v>0</v>
      </c>
      <c r="FJ17" s="115">
        <f t="shared" si="26"/>
        <v>0</v>
      </c>
      <c r="FK17" s="114">
        <f t="shared" si="27"/>
        <v>0</v>
      </c>
      <c r="FL17" s="113"/>
      <c r="FM17" s="111"/>
      <c r="FN17" s="111"/>
      <c r="FO17" s="111"/>
      <c r="FP17" s="115">
        <f t="shared" si="28"/>
        <v>0</v>
      </c>
      <c r="FQ17" s="115"/>
      <c r="FR17" s="115"/>
      <c r="FS17" s="115"/>
      <c r="FT17" s="114">
        <f t="shared" si="64"/>
        <v>0</v>
      </c>
      <c r="FU17" s="366">
        <f t="shared" ca="1" si="66"/>
        <v>2107915</v>
      </c>
      <c r="FV17" s="121">
        <f t="shared" ca="1" si="65"/>
        <v>2107915</v>
      </c>
      <c r="FW17" s="114">
        <f t="shared" si="29"/>
        <v>0</v>
      </c>
      <c r="FX17" s="114">
        <f t="shared" si="29"/>
        <v>0</v>
      </c>
      <c r="FY17" s="114">
        <f t="shared" si="29"/>
        <v>0</v>
      </c>
      <c r="FZ17" s="114">
        <f t="shared" si="29"/>
        <v>0</v>
      </c>
      <c r="GA17" s="114">
        <f t="shared" si="30"/>
        <v>0</v>
      </c>
      <c r="GB17" s="114">
        <f t="shared" si="31"/>
        <v>163080</v>
      </c>
      <c r="GC17" s="114">
        <f t="shared" si="31"/>
        <v>700785</v>
      </c>
      <c r="GD17" s="114">
        <f t="shared" si="31"/>
        <v>1244050</v>
      </c>
      <c r="GE17" s="114">
        <f t="shared" si="31"/>
        <v>0</v>
      </c>
      <c r="GF17" s="114">
        <f t="shared" si="32"/>
        <v>163080</v>
      </c>
      <c r="GG17" s="114">
        <f t="shared" si="32"/>
        <v>700785</v>
      </c>
      <c r="GH17" s="114">
        <f t="shared" si="32"/>
        <v>1244050</v>
      </c>
      <c r="GI17" s="114">
        <f t="shared" si="32"/>
        <v>0</v>
      </c>
      <c r="GJ17" s="115">
        <f t="shared" si="33"/>
        <v>2107915</v>
      </c>
      <c r="GK17" s="114">
        <f t="shared" si="34"/>
        <v>2107915</v>
      </c>
      <c r="GL17" s="114">
        <f t="shared" si="35"/>
        <v>0</v>
      </c>
      <c r="GM17" s="114">
        <f t="shared" si="36"/>
        <v>0</v>
      </c>
      <c r="GN17" s="114">
        <f t="shared" si="37"/>
        <v>0</v>
      </c>
      <c r="GO17" s="114">
        <f t="shared" si="38"/>
        <v>0</v>
      </c>
      <c r="GP17" s="114">
        <f t="shared" si="39"/>
        <v>0</v>
      </c>
      <c r="GQ17" s="114">
        <f t="shared" si="40"/>
        <v>0</v>
      </c>
      <c r="GR17" s="193"/>
      <c r="GS17" s="122">
        <f t="shared" si="41"/>
        <v>10224632.977773519</v>
      </c>
      <c r="GT17" s="122">
        <f t="shared" si="41"/>
        <v>13406980.406509999</v>
      </c>
      <c r="GU17" s="123">
        <f t="shared" si="42"/>
        <v>0.7626350354632252</v>
      </c>
      <c r="GV17" s="124">
        <f t="shared" ca="1" si="43"/>
        <v>0</v>
      </c>
      <c r="GW17" s="124">
        <v>0</v>
      </c>
      <c r="GX17" s="32">
        <f t="shared" ca="1" si="44"/>
        <v>0</v>
      </c>
      <c r="GY17" s="100"/>
    </row>
    <row r="18" spans="1:207" s="125" customFormat="1" ht="15" hidden="1" customHeight="1">
      <c r="A18" s="102"/>
      <c r="B18" s="103"/>
      <c r="C18" s="103"/>
      <c r="D18" s="104"/>
      <c r="E18" s="104" t="s">
        <v>253</v>
      </c>
      <c r="F18" s="104" t="s">
        <v>266</v>
      </c>
      <c r="G18" s="104" t="s">
        <v>226</v>
      </c>
      <c r="H18" s="105" t="s">
        <v>270</v>
      </c>
      <c r="I18" s="106" t="s">
        <v>271</v>
      </c>
      <c r="J18" s="104" t="s">
        <v>212</v>
      </c>
      <c r="K18" s="104" t="s">
        <v>208</v>
      </c>
      <c r="L18" s="104" t="s">
        <v>213</v>
      </c>
      <c r="M18" s="104" t="s">
        <v>713</v>
      </c>
      <c r="N18" s="107"/>
      <c r="O18" s="108">
        <v>42800</v>
      </c>
      <c r="P18" s="108">
        <v>43313</v>
      </c>
      <c r="Q18" s="322">
        <f t="shared" si="0"/>
        <v>0</v>
      </c>
      <c r="R18" s="109">
        <f>IF((P18-VLOOKUP(Q18,month!$A$1:$C$13,3,0))&lt;0,Q18,Q18+1)</f>
        <v>0</v>
      </c>
      <c r="S18" s="108"/>
      <c r="T18" s="127" t="str">
        <f t="shared" si="67"/>
        <v/>
      </c>
      <c r="U18" s="107"/>
      <c r="V18" s="107"/>
      <c r="W18" s="107"/>
      <c r="X18" s="107"/>
      <c r="Y18" s="386"/>
      <c r="Z18" s="386" t="s">
        <v>545</v>
      </c>
      <c r="AA18" s="387">
        <v>1000</v>
      </c>
      <c r="AB18" s="387">
        <v>1000</v>
      </c>
      <c r="AC18" s="387">
        <v>1000</v>
      </c>
      <c r="AD18" s="387">
        <v>1000</v>
      </c>
      <c r="AE18" s="387">
        <v>1000</v>
      </c>
      <c r="AF18" s="387">
        <v>1000</v>
      </c>
      <c r="AG18" s="387">
        <v>1000</v>
      </c>
      <c r="AH18" s="387">
        <v>1000</v>
      </c>
      <c r="AI18" s="387">
        <v>1000</v>
      </c>
      <c r="AJ18" s="387">
        <v>1000</v>
      </c>
      <c r="AK18" s="387">
        <v>1000</v>
      </c>
      <c r="AL18" s="387">
        <v>1000</v>
      </c>
      <c r="AM18" s="388">
        <f t="shared" si="2"/>
        <v>12000</v>
      </c>
      <c r="AN18" s="388">
        <f t="shared" si="3"/>
        <v>12000</v>
      </c>
      <c r="AO18" s="389">
        <f t="shared" si="68"/>
        <v>1000</v>
      </c>
      <c r="AP18" s="498" t="s">
        <v>682</v>
      </c>
      <c r="AQ18" s="159">
        <v>0.5</v>
      </c>
      <c r="AR18" s="160" t="s">
        <v>211</v>
      </c>
      <c r="AS18" s="119" t="s">
        <v>210</v>
      </c>
      <c r="AT18" s="111">
        <v>444557.77400000003</v>
      </c>
      <c r="AU18" s="111">
        <v>507513.50820000004</v>
      </c>
      <c r="AV18" s="111">
        <v>495143.23479999992</v>
      </c>
      <c r="AW18" s="111">
        <v>596975.37100000004</v>
      </c>
      <c r="AX18" s="113">
        <v>812915.75880000007</v>
      </c>
      <c r="AY18" s="113">
        <v>551225.03580000077</v>
      </c>
      <c r="AZ18" s="113">
        <v>594133.73369999998</v>
      </c>
      <c r="BA18" s="113"/>
      <c r="BB18" s="113"/>
      <c r="BC18" s="113"/>
      <c r="BD18" s="113"/>
      <c r="BE18" s="113"/>
      <c r="BF18" s="114">
        <f t="shared" si="46"/>
        <v>812915.75880000007</v>
      </c>
      <c r="BG18" s="114">
        <f t="shared" si="46"/>
        <v>551225.03580000077</v>
      </c>
      <c r="BH18" s="114">
        <f t="shared" si="46"/>
        <v>594133.73369999998</v>
      </c>
      <c r="BI18" s="114">
        <f t="shared" si="46"/>
        <v>0</v>
      </c>
      <c r="BJ18" s="114">
        <f t="shared" si="4"/>
        <v>1958274.5283000008</v>
      </c>
      <c r="BK18" s="115">
        <f t="shared" si="5"/>
        <v>2044189.888</v>
      </c>
      <c r="BL18" s="115">
        <f t="shared" si="47"/>
        <v>2044189.888</v>
      </c>
      <c r="BM18" s="116">
        <f t="shared" si="48"/>
        <v>0.95799999999999996</v>
      </c>
      <c r="BN18" s="126">
        <f t="shared" ca="1" si="6"/>
        <v>0</v>
      </c>
      <c r="BO18" s="117">
        <f t="shared" ca="1" si="7"/>
        <v>0</v>
      </c>
      <c r="BP18" s="118" t="str">
        <f t="shared" si="8"/>
        <v>Uncapped</v>
      </c>
      <c r="BQ18" s="115">
        <f t="shared" ca="1" si="9"/>
        <v>0</v>
      </c>
      <c r="BR18" s="113" t="s">
        <v>700</v>
      </c>
      <c r="BS18" s="161">
        <v>0.3</v>
      </c>
      <c r="BT18" s="113" t="s">
        <v>211</v>
      </c>
      <c r="BU18" s="160" t="s">
        <v>210</v>
      </c>
      <c r="BV18" s="113">
        <v>97183.840129499993</v>
      </c>
      <c r="BW18" s="113">
        <v>110735.90142149999</v>
      </c>
      <c r="BX18" s="113">
        <v>111503.4805395</v>
      </c>
      <c r="BY18" s="113">
        <v>117293.07190949999</v>
      </c>
      <c r="BZ18" s="113">
        <v>109539.504</v>
      </c>
      <c r="CA18" s="113">
        <v>99749.348999999987</v>
      </c>
      <c r="CB18" s="113">
        <v>88125.749999999898</v>
      </c>
      <c r="CC18" s="113"/>
      <c r="CD18" s="113"/>
      <c r="CE18" s="113"/>
      <c r="CF18" s="113"/>
      <c r="CG18" s="113"/>
      <c r="CH18" s="114">
        <f t="shared" si="49"/>
        <v>109539.504</v>
      </c>
      <c r="CI18" s="114">
        <f t="shared" si="49"/>
        <v>99749.348999999987</v>
      </c>
      <c r="CJ18" s="120">
        <f t="shared" si="49"/>
        <v>88125.749999999898</v>
      </c>
      <c r="CK18" s="114">
        <f t="shared" si="49"/>
        <v>0</v>
      </c>
      <c r="CL18" s="114">
        <f t="shared" si="10"/>
        <v>297414.60299999989</v>
      </c>
      <c r="CM18" s="114">
        <f t="shared" si="11"/>
        <v>436716.29399999999</v>
      </c>
      <c r="CN18" s="114">
        <f t="shared" si="50"/>
        <v>436716.29399999999</v>
      </c>
      <c r="CO18" s="116">
        <f t="shared" si="51"/>
        <v>0.68100000000000005</v>
      </c>
      <c r="CP18" s="126">
        <f t="shared" ca="1" si="52"/>
        <v>0</v>
      </c>
      <c r="CQ18" s="115">
        <f t="shared" ca="1" si="12"/>
        <v>0</v>
      </c>
      <c r="CR18" s="118" t="str">
        <f t="shared" si="53"/>
        <v>Uncapped</v>
      </c>
      <c r="CS18" s="115">
        <f t="shared" ca="1" si="13"/>
        <v>0</v>
      </c>
      <c r="CT18" s="113" t="s">
        <v>695</v>
      </c>
      <c r="CU18" s="119">
        <v>0.2</v>
      </c>
      <c r="CV18" s="113" t="s">
        <v>211</v>
      </c>
      <c r="CW18" s="113" t="s">
        <v>210</v>
      </c>
      <c r="CX18" s="113">
        <v>2244856.5935000004</v>
      </c>
      <c r="CY18" s="113">
        <v>2569392.7920000004</v>
      </c>
      <c r="CZ18" s="113">
        <v>2533469.2420000001</v>
      </c>
      <c r="DA18" s="113">
        <v>3023491.9134999998</v>
      </c>
      <c r="DB18" s="113">
        <v>2652948.4355720901</v>
      </c>
      <c r="DC18" s="113">
        <v>2609712.8228000007</v>
      </c>
      <c r="DD18" s="113">
        <v>2747045.0877474295</v>
      </c>
      <c r="DE18" s="113"/>
      <c r="DF18" s="113"/>
      <c r="DG18" s="113"/>
      <c r="DH18" s="113"/>
      <c r="DI18" s="113"/>
      <c r="DJ18" s="114">
        <f t="shared" si="54"/>
        <v>2652948.4355720901</v>
      </c>
      <c r="DK18" s="114">
        <f t="shared" si="54"/>
        <v>2609712.8228000007</v>
      </c>
      <c r="DL18" s="114">
        <f t="shared" si="54"/>
        <v>2747045.0877474295</v>
      </c>
      <c r="DM18" s="114">
        <f t="shared" si="54"/>
        <v>0</v>
      </c>
      <c r="DN18" s="114">
        <f t="shared" si="55"/>
        <v>8009706.3461195203</v>
      </c>
      <c r="DO18" s="114">
        <f t="shared" si="14"/>
        <v>10371210.541000001</v>
      </c>
      <c r="DP18" s="114">
        <f t="shared" si="56"/>
        <v>10371210.541000001</v>
      </c>
      <c r="DQ18" s="116">
        <f t="shared" si="57"/>
        <v>0.77229999999999999</v>
      </c>
      <c r="DR18" s="126">
        <f t="shared" ca="1" si="15"/>
        <v>0</v>
      </c>
      <c r="DS18" s="115">
        <f t="shared" ca="1" si="16"/>
        <v>0</v>
      </c>
      <c r="DT18" s="118" t="str">
        <f t="shared" si="58"/>
        <v>Uncapped</v>
      </c>
      <c r="DU18" s="115">
        <f t="shared" ca="1" si="17"/>
        <v>0</v>
      </c>
      <c r="DV18" s="113"/>
      <c r="DW18" s="119">
        <v>0</v>
      </c>
      <c r="DX18" s="113"/>
      <c r="DY18" s="113"/>
      <c r="DZ18" s="113">
        <v>0</v>
      </c>
      <c r="EA18" s="113">
        <v>0</v>
      </c>
      <c r="EB18" s="113">
        <v>0</v>
      </c>
      <c r="EC18" s="113">
        <v>0</v>
      </c>
      <c r="ED18" s="113">
        <v>0</v>
      </c>
      <c r="EE18" s="113">
        <v>0</v>
      </c>
      <c r="EF18" s="113"/>
      <c r="EG18" s="113"/>
      <c r="EH18" s="113"/>
      <c r="EI18" s="113"/>
      <c r="EJ18" s="113"/>
      <c r="EK18" s="113"/>
      <c r="EL18" s="114">
        <f t="shared" si="59"/>
        <v>0</v>
      </c>
      <c r="EM18" s="114">
        <f t="shared" si="59"/>
        <v>0</v>
      </c>
      <c r="EN18" s="114">
        <f t="shared" si="59"/>
        <v>0</v>
      </c>
      <c r="EO18" s="114">
        <f t="shared" si="59"/>
        <v>0</v>
      </c>
      <c r="EP18" s="114">
        <f t="shared" si="18"/>
        <v>0</v>
      </c>
      <c r="EQ18" s="114">
        <f t="shared" si="19"/>
        <v>0</v>
      </c>
      <c r="ER18" s="114">
        <f t="shared" si="60"/>
        <v>0</v>
      </c>
      <c r="ES18" s="116">
        <f t="shared" si="61"/>
        <v>0</v>
      </c>
      <c r="ET18" s="126">
        <f t="shared" ca="1" si="62"/>
        <v>0</v>
      </c>
      <c r="EU18" s="115">
        <f t="shared" ca="1" si="20"/>
        <v>0</v>
      </c>
      <c r="EV18" s="118" t="str">
        <f t="shared" si="21"/>
        <v>Uncapped</v>
      </c>
      <c r="EW18" s="115">
        <f t="shared" ca="1" si="22"/>
        <v>0</v>
      </c>
      <c r="EX18" s="112">
        <f t="shared" ca="1" si="23"/>
        <v>0</v>
      </c>
      <c r="EY18" s="114">
        <f t="shared" ca="1" si="63"/>
        <v>0</v>
      </c>
      <c r="EZ18" s="115">
        <v>465000</v>
      </c>
      <c r="FA18" s="115"/>
      <c r="FB18" s="115">
        <v>241000</v>
      </c>
      <c r="FC18" s="115">
        <v>0</v>
      </c>
      <c r="FD18" s="115">
        <f t="shared" si="24"/>
        <v>706000</v>
      </c>
      <c r="FE18" s="114">
        <f t="shared" si="25"/>
        <v>0</v>
      </c>
      <c r="FF18" s="115">
        <v>0</v>
      </c>
      <c r="FG18" s="115">
        <v>0</v>
      </c>
      <c r="FH18" s="115">
        <v>0</v>
      </c>
      <c r="FI18" s="115">
        <v>0</v>
      </c>
      <c r="FJ18" s="115">
        <f t="shared" si="26"/>
        <v>0</v>
      </c>
      <c r="FK18" s="114">
        <f t="shared" si="27"/>
        <v>0</v>
      </c>
      <c r="FL18" s="113"/>
      <c r="FM18" s="111"/>
      <c r="FN18" s="111"/>
      <c r="FO18" s="111"/>
      <c r="FP18" s="115">
        <f t="shared" si="28"/>
        <v>0</v>
      </c>
      <c r="FQ18" s="115"/>
      <c r="FR18" s="115"/>
      <c r="FS18" s="115"/>
      <c r="FT18" s="114">
        <f t="shared" si="64"/>
        <v>0</v>
      </c>
      <c r="FU18" s="366">
        <f t="shared" ca="1" si="66"/>
        <v>706000</v>
      </c>
      <c r="FV18" s="121">
        <f t="shared" ca="1" si="65"/>
        <v>706000</v>
      </c>
      <c r="FW18" s="114">
        <f t="shared" si="29"/>
        <v>0</v>
      </c>
      <c r="FX18" s="114">
        <f t="shared" si="29"/>
        <v>0</v>
      </c>
      <c r="FY18" s="114">
        <f t="shared" si="29"/>
        <v>0</v>
      </c>
      <c r="FZ18" s="114">
        <f t="shared" si="29"/>
        <v>0</v>
      </c>
      <c r="GA18" s="114">
        <f t="shared" si="30"/>
        <v>0</v>
      </c>
      <c r="GB18" s="114">
        <f t="shared" si="31"/>
        <v>465000</v>
      </c>
      <c r="GC18" s="114">
        <f t="shared" si="31"/>
        <v>0</v>
      </c>
      <c r="GD18" s="114">
        <f t="shared" si="31"/>
        <v>241000</v>
      </c>
      <c r="GE18" s="114">
        <f t="shared" si="31"/>
        <v>0</v>
      </c>
      <c r="GF18" s="114">
        <f t="shared" si="32"/>
        <v>465000</v>
      </c>
      <c r="GG18" s="114">
        <f t="shared" si="32"/>
        <v>0</v>
      </c>
      <c r="GH18" s="114">
        <f t="shared" si="32"/>
        <v>241000</v>
      </c>
      <c r="GI18" s="114">
        <f t="shared" si="32"/>
        <v>0</v>
      </c>
      <c r="GJ18" s="115">
        <f t="shared" si="33"/>
        <v>706000</v>
      </c>
      <c r="GK18" s="114">
        <f t="shared" si="34"/>
        <v>706000</v>
      </c>
      <c r="GL18" s="114">
        <f t="shared" si="35"/>
        <v>0</v>
      </c>
      <c r="GM18" s="114">
        <f t="shared" si="36"/>
        <v>0</v>
      </c>
      <c r="GN18" s="114">
        <f t="shared" si="37"/>
        <v>0</v>
      </c>
      <c r="GO18" s="114">
        <f t="shared" si="38"/>
        <v>0</v>
      </c>
      <c r="GP18" s="114">
        <f t="shared" si="39"/>
        <v>0</v>
      </c>
      <c r="GQ18" s="114">
        <f t="shared" si="40"/>
        <v>0</v>
      </c>
      <c r="GR18" s="193"/>
      <c r="GS18" s="122">
        <f t="shared" si="41"/>
        <v>10265395.477419522</v>
      </c>
      <c r="GT18" s="122">
        <f t="shared" si="41"/>
        <v>12852116.723000001</v>
      </c>
      <c r="GU18" s="123">
        <f t="shared" si="42"/>
        <v>0.79873188974767773</v>
      </c>
      <c r="GV18" s="124">
        <f t="shared" ca="1" si="43"/>
        <v>0</v>
      </c>
      <c r="GW18" s="124">
        <v>0</v>
      </c>
      <c r="GX18" s="32">
        <f t="shared" ca="1" si="44"/>
        <v>0</v>
      </c>
      <c r="GY18" s="100"/>
    </row>
    <row r="19" spans="1:207" s="125" customFormat="1" ht="15" hidden="1" customHeight="1">
      <c r="A19" s="102"/>
      <c r="B19" s="103"/>
      <c r="C19" s="103"/>
      <c r="D19" s="104"/>
      <c r="E19" s="104" t="s">
        <v>253</v>
      </c>
      <c r="F19" s="104" t="s">
        <v>266</v>
      </c>
      <c r="G19" s="104" t="s">
        <v>226</v>
      </c>
      <c r="H19" s="105" t="s">
        <v>272</v>
      </c>
      <c r="I19" s="106" t="s">
        <v>273</v>
      </c>
      <c r="J19" s="104" t="s">
        <v>212</v>
      </c>
      <c r="K19" s="104" t="s">
        <v>208</v>
      </c>
      <c r="L19" s="104" t="s">
        <v>213</v>
      </c>
      <c r="M19" s="104" t="s">
        <v>713</v>
      </c>
      <c r="N19" s="107"/>
      <c r="O19" s="108">
        <v>42779</v>
      </c>
      <c r="P19" s="108">
        <v>43313</v>
      </c>
      <c r="Q19" s="322">
        <f t="shared" si="0"/>
        <v>0</v>
      </c>
      <c r="R19" s="109">
        <f>IF((P19-VLOOKUP(Q19,month!$A$1:$C$13,3,0))&lt;0,Q19,Q19+1)</f>
        <v>0</v>
      </c>
      <c r="S19" s="108"/>
      <c r="T19" s="127" t="str">
        <f t="shared" si="67"/>
        <v/>
      </c>
      <c r="U19" s="107"/>
      <c r="V19" s="107"/>
      <c r="W19" s="107"/>
      <c r="X19" s="107"/>
      <c r="Y19" s="386"/>
      <c r="Z19" s="386" t="s">
        <v>545</v>
      </c>
      <c r="AA19" s="387">
        <v>1000</v>
      </c>
      <c r="AB19" s="387">
        <v>1000</v>
      </c>
      <c r="AC19" s="387">
        <v>1000</v>
      </c>
      <c r="AD19" s="387">
        <v>1000</v>
      </c>
      <c r="AE19" s="387">
        <v>1000</v>
      </c>
      <c r="AF19" s="387">
        <v>1000</v>
      </c>
      <c r="AG19" s="387">
        <v>1000</v>
      </c>
      <c r="AH19" s="387">
        <v>1000</v>
      </c>
      <c r="AI19" s="387">
        <v>1000</v>
      </c>
      <c r="AJ19" s="387">
        <v>1000</v>
      </c>
      <c r="AK19" s="387">
        <v>1000</v>
      </c>
      <c r="AL19" s="387">
        <v>1000</v>
      </c>
      <c r="AM19" s="388">
        <f t="shared" si="2"/>
        <v>12000</v>
      </c>
      <c r="AN19" s="388">
        <f t="shared" si="3"/>
        <v>12000</v>
      </c>
      <c r="AO19" s="389">
        <f t="shared" si="68"/>
        <v>1000</v>
      </c>
      <c r="AP19" s="498" t="s">
        <v>682</v>
      </c>
      <c r="AQ19" s="159">
        <v>0.5</v>
      </c>
      <c r="AR19" s="160" t="s">
        <v>211</v>
      </c>
      <c r="AS19" s="119" t="s">
        <v>210</v>
      </c>
      <c r="AT19" s="111">
        <v>519483.37060000008</v>
      </c>
      <c r="AU19" s="111">
        <v>593880.19999999995</v>
      </c>
      <c r="AV19" s="111">
        <v>582234.87719999999</v>
      </c>
      <c r="AW19" s="111">
        <v>695519.28419999999</v>
      </c>
      <c r="AX19" s="113">
        <v>473342.77440008934</v>
      </c>
      <c r="AY19" s="113">
        <v>599380.31249999977</v>
      </c>
      <c r="AZ19" s="113">
        <v>533273.01753599988</v>
      </c>
      <c r="BA19" s="113"/>
      <c r="BB19" s="113"/>
      <c r="BC19" s="113"/>
      <c r="BD19" s="113"/>
      <c r="BE19" s="113"/>
      <c r="BF19" s="114">
        <f t="shared" si="46"/>
        <v>473342.77440008934</v>
      </c>
      <c r="BG19" s="114">
        <f t="shared" si="46"/>
        <v>599380.31249999977</v>
      </c>
      <c r="BH19" s="114">
        <f t="shared" si="46"/>
        <v>533273.01753599988</v>
      </c>
      <c r="BI19" s="114">
        <f t="shared" si="46"/>
        <v>0</v>
      </c>
      <c r="BJ19" s="114">
        <f t="shared" si="4"/>
        <v>1605996.1044360891</v>
      </c>
      <c r="BK19" s="115">
        <f t="shared" si="5"/>
        <v>2391117.7319999998</v>
      </c>
      <c r="BL19" s="115">
        <f t="shared" si="47"/>
        <v>2391117.7319999998</v>
      </c>
      <c r="BM19" s="116">
        <f t="shared" si="48"/>
        <v>0.67169999999999996</v>
      </c>
      <c r="BN19" s="126">
        <f t="shared" ca="1" si="6"/>
        <v>0</v>
      </c>
      <c r="BO19" s="117">
        <f t="shared" ca="1" si="7"/>
        <v>0</v>
      </c>
      <c r="BP19" s="118" t="str">
        <f t="shared" si="8"/>
        <v>Uncapped</v>
      </c>
      <c r="BQ19" s="115">
        <f t="shared" ca="1" si="9"/>
        <v>0</v>
      </c>
      <c r="BR19" s="113" t="s">
        <v>700</v>
      </c>
      <c r="BS19" s="161">
        <v>0.3</v>
      </c>
      <c r="BT19" s="113" t="s">
        <v>211</v>
      </c>
      <c r="BU19" s="160" t="s">
        <v>210</v>
      </c>
      <c r="BV19" s="113">
        <v>69322.145062049996</v>
      </c>
      <c r="BW19" s="113">
        <v>78253.770812850009</v>
      </c>
      <c r="BX19" s="113">
        <v>78536.981521050009</v>
      </c>
      <c r="BY19" s="113">
        <v>84973.533204049992</v>
      </c>
      <c r="BZ19" s="113">
        <v>61343.901899999997</v>
      </c>
      <c r="CA19" s="113">
        <v>67081.131900000008</v>
      </c>
      <c r="CB19" s="113">
        <v>51132.515400000004</v>
      </c>
      <c r="CC19" s="113"/>
      <c r="CD19" s="113"/>
      <c r="CE19" s="113"/>
      <c r="CF19" s="113"/>
      <c r="CG19" s="113"/>
      <c r="CH19" s="114">
        <f t="shared" si="49"/>
        <v>61343.901899999997</v>
      </c>
      <c r="CI19" s="114">
        <f t="shared" si="49"/>
        <v>67081.131900000008</v>
      </c>
      <c r="CJ19" s="120">
        <f t="shared" si="49"/>
        <v>51132.515400000004</v>
      </c>
      <c r="CK19" s="114">
        <f t="shared" si="49"/>
        <v>0</v>
      </c>
      <c r="CL19" s="114">
        <f t="shared" si="10"/>
        <v>179557.54920000001</v>
      </c>
      <c r="CM19" s="114">
        <f t="shared" si="11"/>
        <v>311086.43060000002</v>
      </c>
      <c r="CN19" s="114">
        <f t="shared" si="50"/>
        <v>311086.43060000002</v>
      </c>
      <c r="CO19" s="116">
        <f t="shared" si="51"/>
        <v>0.57720000000000005</v>
      </c>
      <c r="CP19" s="126">
        <f t="shared" ca="1" si="52"/>
        <v>0</v>
      </c>
      <c r="CQ19" s="115">
        <f t="shared" ca="1" si="12"/>
        <v>0</v>
      </c>
      <c r="CR19" s="118" t="str">
        <f t="shared" si="53"/>
        <v>Uncapped</v>
      </c>
      <c r="CS19" s="115">
        <f t="shared" ca="1" si="13"/>
        <v>0</v>
      </c>
      <c r="CT19" s="113" t="s">
        <v>695</v>
      </c>
      <c r="CU19" s="119">
        <v>0.2</v>
      </c>
      <c r="CV19" s="113" t="s">
        <v>211</v>
      </c>
      <c r="CW19" s="113" t="s">
        <v>210</v>
      </c>
      <c r="CX19" s="113">
        <v>2244831.5718800002</v>
      </c>
      <c r="CY19" s="113">
        <v>2569364.5547100003</v>
      </c>
      <c r="CZ19" s="113">
        <v>2533443.4844499999</v>
      </c>
      <c r="DA19" s="113">
        <v>3023459.9310699999</v>
      </c>
      <c r="DB19" s="113">
        <v>2652948.4355720901</v>
      </c>
      <c r="DC19" s="113">
        <v>2609712.8228000007</v>
      </c>
      <c r="DD19" s="113">
        <v>2747045.0877474295</v>
      </c>
      <c r="DE19" s="113"/>
      <c r="DF19" s="113"/>
      <c r="DG19" s="113"/>
      <c r="DH19" s="113"/>
      <c r="DI19" s="113"/>
      <c r="DJ19" s="114">
        <f t="shared" si="54"/>
        <v>2652948.4355720901</v>
      </c>
      <c r="DK19" s="114">
        <f t="shared" si="54"/>
        <v>2609712.8228000007</v>
      </c>
      <c r="DL19" s="114">
        <f t="shared" si="54"/>
        <v>2747045.0877474295</v>
      </c>
      <c r="DM19" s="114">
        <f t="shared" si="54"/>
        <v>0</v>
      </c>
      <c r="DN19" s="114">
        <f t="shared" si="55"/>
        <v>8009706.3461195203</v>
      </c>
      <c r="DO19" s="114">
        <f t="shared" si="14"/>
        <v>10371099.54211</v>
      </c>
      <c r="DP19" s="114">
        <f t="shared" si="56"/>
        <v>10371099.54211</v>
      </c>
      <c r="DQ19" s="116">
        <f t="shared" si="57"/>
        <v>0.77229999999999999</v>
      </c>
      <c r="DR19" s="126">
        <f t="shared" ca="1" si="15"/>
        <v>0</v>
      </c>
      <c r="DS19" s="115">
        <f t="shared" ca="1" si="16"/>
        <v>0</v>
      </c>
      <c r="DT19" s="118" t="str">
        <f t="shared" si="58"/>
        <v>Uncapped</v>
      </c>
      <c r="DU19" s="115">
        <f t="shared" ca="1" si="17"/>
        <v>0</v>
      </c>
      <c r="DV19" s="113"/>
      <c r="DW19" s="119">
        <v>0</v>
      </c>
      <c r="DX19" s="113"/>
      <c r="DY19" s="113"/>
      <c r="DZ19" s="113">
        <v>0</v>
      </c>
      <c r="EA19" s="113">
        <v>0</v>
      </c>
      <c r="EB19" s="113">
        <v>0</v>
      </c>
      <c r="EC19" s="113">
        <v>0</v>
      </c>
      <c r="ED19" s="113">
        <v>0</v>
      </c>
      <c r="EE19" s="113">
        <v>0</v>
      </c>
      <c r="EF19" s="113"/>
      <c r="EG19" s="113"/>
      <c r="EH19" s="113"/>
      <c r="EI19" s="113"/>
      <c r="EJ19" s="113"/>
      <c r="EK19" s="113"/>
      <c r="EL19" s="114">
        <f t="shared" si="59"/>
        <v>0</v>
      </c>
      <c r="EM19" s="114">
        <f t="shared" si="59"/>
        <v>0</v>
      </c>
      <c r="EN19" s="114">
        <f t="shared" si="59"/>
        <v>0</v>
      </c>
      <c r="EO19" s="114">
        <f t="shared" si="59"/>
        <v>0</v>
      </c>
      <c r="EP19" s="114">
        <f t="shared" si="18"/>
        <v>0</v>
      </c>
      <c r="EQ19" s="114">
        <f t="shared" si="19"/>
        <v>0</v>
      </c>
      <c r="ER19" s="114">
        <f t="shared" si="60"/>
        <v>0</v>
      </c>
      <c r="ES19" s="116">
        <f t="shared" si="61"/>
        <v>0</v>
      </c>
      <c r="ET19" s="126">
        <f t="shared" ca="1" si="62"/>
        <v>0</v>
      </c>
      <c r="EU19" s="115">
        <f t="shared" ca="1" si="20"/>
        <v>0</v>
      </c>
      <c r="EV19" s="118" t="str">
        <f t="shared" si="21"/>
        <v>Uncapped</v>
      </c>
      <c r="EW19" s="115">
        <f t="shared" ca="1" si="22"/>
        <v>0</v>
      </c>
      <c r="EX19" s="112">
        <f t="shared" ca="1" si="23"/>
        <v>0</v>
      </c>
      <c r="EY19" s="114">
        <f t="shared" ca="1" si="63"/>
        <v>0</v>
      </c>
      <c r="EZ19" s="115">
        <v>120334</v>
      </c>
      <c r="FA19" s="115">
        <v>117000</v>
      </c>
      <c r="FB19" s="115"/>
      <c r="FC19" s="115">
        <v>0</v>
      </c>
      <c r="FD19" s="115">
        <f t="shared" si="24"/>
        <v>237334</v>
      </c>
      <c r="FE19" s="114">
        <f t="shared" si="25"/>
        <v>0</v>
      </c>
      <c r="FF19" s="115">
        <v>0</v>
      </c>
      <c r="FG19" s="115">
        <v>0</v>
      </c>
      <c r="FH19" s="115">
        <v>0</v>
      </c>
      <c r="FI19" s="115">
        <v>0</v>
      </c>
      <c r="FJ19" s="115">
        <f t="shared" si="26"/>
        <v>0</v>
      </c>
      <c r="FK19" s="114">
        <f t="shared" si="27"/>
        <v>0</v>
      </c>
      <c r="FL19" s="113"/>
      <c r="FM19" s="111"/>
      <c r="FN19" s="111"/>
      <c r="FO19" s="111"/>
      <c r="FP19" s="115">
        <f t="shared" si="28"/>
        <v>0</v>
      </c>
      <c r="FQ19" s="115"/>
      <c r="FR19" s="115"/>
      <c r="FS19" s="115"/>
      <c r="FT19" s="114">
        <f t="shared" si="64"/>
        <v>0</v>
      </c>
      <c r="FU19" s="366">
        <f t="shared" ca="1" si="66"/>
        <v>237334</v>
      </c>
      <c r="FV19" s="121">
        <f t="shared" ca="1" si="65"/>
        <v>237334</v>
      </c>
      <c r="FW19" s="114">
        <f t="shared" si="29"/>
        <v>0</v>
      </c>
      <c r="FX19" s="114">
        <f t="shared" si="29"/>
        <v>0</v>
      </c>
      <c r="FY19" s="114">
        <f t="shared" si="29"/>
        <v>0</v>
      </c>
      <c r="FZ19" s="114">
        <f t="shared" si="29"/>
        <v>0</v>
      </c>
      <c r="GA19" s="114">
        <f t="shared" si="30"/>
        <v>0</v>
      </c>
      <c r="GB19" s="114">
        <f t="shared" si="31"/>
        <v>120334</v>
      </c>
      <c r="GC19" s="114">
        <f t="shared" si="31"/>
        <v>117000</v>
      </c>
      <c r="GD19" s="114">
        <f t="shared" si="31"/>
        <v>0</v>
      </c>
      <c r="GE19" s="114">
        <f t="shared" si="31"/>
        <v>0</v>
      </c>
      <c r="GF19" s="114">
        <f t="shared" si="32"/>
        <v>120334</v>
      </c>
      <c r="GG19" s="114">
        <f t="shared" si="32"/>
        <v>117000</v>
      </c>
      <c r="GH19" s="114">
        <f t="shared" si="32"/>
        <v>0</v>
      </c>
      <c r="GI19" s="114">
        <f t="shared" si="32"/>
        <v>0</v>
      </c>
      <c r="GJ19" s="115">
        <f t="shared" si="33"/>
        <v>237334</v>
      </c>
      <c r="GK19" s="114">
        <f t="shared" si="34"/>
        <v>237334</v>
      </c>
      <c r="GL19" s="114">
        <f t="shared" si="35"/>
        <v>0</v>
      </c>
      <c r="GM19" s="114">
        <f t="shared" si="36"/>
        <v>0</v>
      </c>
      <c r="GN19" s="114">
        <f t="shared" si="37"/>
        <v>0</v>
      </c>
      <c r="GO19" s="114">
        <f t="shared" si="38"/>
        <v>0</v>
      </c>
      <c r="GP19" s="114">
        <f t="shared" si="39"/>
        <v>0</v>
      </c>
      <c r="GQ19" s="114">
        <f t="shared" si="40"/>
        <v>0</v>
      </c>
      <c r="GR19" s="193"/>
      <c r="GS19" s="122">
        <f t="shared" si="41"/>
        <v>9795259.9997556098</v>
      </c>
      <c r="GT19" s="122">
        <f t="shared" si="41"/>
        <v>13073303.704709999</v>
      </c>
      <c r="GU19" s="123">
        <f t="shared" si="42"/>
        <v>0.74925667000504326</v>
      </c>
      <c r="GV19" s="124">
        <f t="shared" ca="1" si="43"/>
        <v>0</v>
      </c>
      <c r="GW19" s="124">
        <v>0</v>
      </c>
      <c r="GX19" s="32">
        <f t="shared" ca="1" si="44"/>
        <v>0</v>
      </c>
      <c r="GY19" s="100"/>
    </row>
    <row r="20" spans="1:207" s="125" customFormat="1" ht="15" hidden="1" customHeight="1">
      <c r="A20" s="102"/>
      <c r="B20" s="103"/>
      <c r="C20" s="103"/>
      <c r="D20" s="104"/>
      <c r="E20" s="104" t="s">
        <v>253</v>
      </c>
      <c r="F20" s="104" t="s">
        <v>266</v>
      </c>
      <c r="G20" s="104" t="s">
        <v>226</v>
      </c>
      <c r="H20" s="105" t="s">
        <v>274</v>
      </c>
      <c r="I20" s="164" t="s">
        <v>275</v>
      </c>
      <c r="J20" s="104" t="s">
        <v>212</v>
      </c>
      <c r="K20" s="104" t="s">
        <v>208</v>
      </c>
      <c r="L20" s="104" t="s">
        <v>213</v>
      </c>
      <c r="M20" s="104" t="s">
        <v>713</v>
      </c>
      <c r="N20" s="107"/>
      <c r="O20" s="108">
        <v>43157</v>
      </c>
      <c r="P20" s="108">
        <v>43157</v>
      </c>
      <c r="Q20" s="322">
        <f t="shared" si="0"/>
        <v>0</v>
      </c>
      <c r="R20" s="109">
        <f>IF((P20-VLOOKUP(Q20,month!$A$1:$C$13,3,0))&lt;0,Q20,Q20+1)</f>
        <v>0</v>
      </c>
      <c r="S20" s="108"/>
      <c r="T20" s="127" t="str">
        <f t="shared" si="67"/>
        <v/>
      </c>
      <c r="U20" s="107"/>
      <c r="V20" s="107"/>
      <c r="W20" s="107"/>
      <c r="X20" s="107"/>
      <c r="Y20" s="386"/>
      <c r="Z20" s="386" t="s">
        <v>545</v>
      </c>
      <c r="AA20" s="387">
        <v>1000</v>
      </c>
      <c r="AB20" s="387">
        <v>1000</v>
      </c>
      <c r="AC20" s="387">
        <v>1000</v>
      </c>
      <c r="AD20" s="387">
        <v>1000</v>
      </c>
      <c r="AE20" s="387">
        <v>1000</v>
      </c>
      <c r="AF20" s="387">
        <v>1000</v>
      </c>
      <c r="AG20" s="387">
        <v>1000</v>
      </c>
      <c r="AH20" s="387">
        <v>1000</v>
      </c>
      <c r="AI20" s="387">
        <v>1000</v>
      </c>
      <c r="AJ20" s="387">
        <v>1000</v>
      </c>
      <c r="AK20" s="387">
        <v>1000</v>
      </c>
      <c r="AL20" s="387">
        <v>1000</v>
      </c>
      <c r="AM20" s="388">
        <f t="shared" si="2"/>
        <v>12000</v>
      </c>
      <c r="AN20" s="388">
        <f t="shared" si="3"/>
        <v>12000</v>
      </c>
      <c r="AO20" s="389">
        <f t="shared" si="68"/>
        <v>1000</v>
      </c>
      <c r="AP20" s="498" t="s">
        <v>682</v>
      </c>
      <c r="AQ20" s="159">
        <v>0.5</v>
      </c>
      <c r="AR20" s="160" t="s">
        <v>211</v>
      </c>
      <c r="AS20" s="119" t="s">
        <v>210</v>
      </c>
      <c r="AT20" s="111">
        <v>370585.08322000003</v>
      </c>
      <c r="AU20" s="111">
        <v>420231.40658000001</v>
      </c>
      <c r="AV20" s="111">
        <v>421239.20932000002</v>
      </c>
      <c r="AW20" s="111">
        <v>502245.08487999998</v>
      </c>
      <c r="AX20" s="113">
        <v>330260.45401799999</v>
      </c>
      <c r="AY20" s="113">
        <v>358833.10230000026</v>
      </c>
      <c r="AZ20" s="113">
        <v>459742.50633599993</v>
      </c>
      <c r="BA20" s="113"/>
      <c r="BB20" s="113"/>
      <c r="BC20" s="113"/>
      <c r="BD20" s="113"/>
      <c r="BE20" s="113"/>
      <c r="BF20" s="114">
        <f t="shared" si="46"/>
        <v>330260.45401799999</v>
      </c>
      <c r="BG20" s="114">
        <f t="shared" si="46"/>
        <v>358833.10230000026</v>
      </c>
      <c r="BH20" s="114">
        <f t="shared" si="46"/>
        <v>459742.50633599993</v>
      </c>
      <c r="BI20" s="114">
        <f t="shared" si="46"/>
        <v>0</v>
      </c>
      <c r="BJ20" s="114">
        <f t="shared" si="4"/>
        <v>1148836.0626540002</v>
      </c>
      <c r="BK20" s="115">
        <f t="shared" si="5"/>
        <v>1714300.784</v>
      </c>
      <c r="BL20" s="115">
        <f t="shared" si="47"/>
        <v>1714300.784</v>
      </c>
      <c r="BM20" s="116">
        <f t="shared" si="48"/>
        <v>0.67010000000000003</v>
      </c>
      <c r="BN20" s="126">
        <f t="shared" ca="1" si="6"/>
        <v>0</v>
      </c>
      <c r="BO20" s="117">
        <f t="shared" ca="1" si="7"/>
        <v>0</v>
      </c>
      <c r="BP20" s="118" t="str">
        <f t="shared" si="8"/>
        <v>Uncapped</v>
      </c>
      <c r="BQ20" s="115">
        <f t="shared" ca="1" si="9"/>
        <v>0</v>
      </c>
      <c r="BR20" s="113" t="s">
        <v>700</v>
      </c>
      <c r="BS20" s="161">
        <v>0.3</v>
      </c>
      <c r="BT20" s="113" t="s">
        <v>211</v>
      </c>
      <c r="BU20" s="160" t="s">
        <v>210</v>
      </c>
      <c r="BV20" s="113">
        <v>103086.33131204998</v>
      </c>
      <c r="BW20" s="113">
        <v>114670.44426285</v>
      </c>
      <c r="BX20" s="113">
        <v>114481.22277105</v>
      </c>
      <c r="BY20" s="113">
        <v>129379.83225404998</v>
      </c>
      <c r="BZ20" s="113">
        <v>71115.226200000005</v>
      </c>
      <c r="CA20" s="113">
        <v>131847.94709999999</v>
      </c>
      <c r="CB20" s="113">
        <v>74542.905899999998</v>
      </c>
      <c r="CC20" s="113"/>
      <c r="CD20" s="113"/>
      <c r="CE20" s="113"/>
      <c r="CF20" s="113"/>
      <c r="CG20" s="113"/>
      <c r="CH20" s="114">
        <f t="shared" si="49"/>
        <v>71115.226200000005</v>
      </c>
      <c r="CI20" s="114">
        <f t="shared" si="49"/>
        <v>131847.94709999999</v>
      </c>
      <c r="CJ20" s="120">
        <f t="shared" si="49"/>
        <v>74542.905899999998</v>
      </c>
      <c r="CK20" s="114">
        <f t="shared" si="49"/>
        <v>0</v>
      </c>
      <c r="CL20" s="114">
        <f t="shared" si="10"/>
        <v>277506.07919999998</v>
      </c>
      <c r="CM20" s="114">
        <f t="shared" si="11"/>
        <v>461617.83059999999</v>
      </c>
      <c r="CN20" s="114">
        <f t="shared" si="50"/>
        <v>461617.83059999999</v>
      </c>
      <c r="CO20" s="116">
        <f t="shared" si="51"/>
        <v>0.60119999999999996</v>
      </c>
      <c r="CP20" s="126">
        <f t="shared" ca="1" si="52"/>
        <v>0</v>
      </c>
      <c r="CQ20" s="115">
        <f t="shared" ca="1" si="12"/>
        <v>0</v>
      </c>
      <c r="CR20" s="118" t="str">
        <f t="shared" si="53"/>
        <v>Uncapped</v>
      </c>
      <c r="CS20" s="115">
        <f t="shared" ca="1" si="13"/>
        <v>0</v>
      </c>
      <c r="CT20" s="113" t="s">
        <v>695</v>
      </c>
      <c r="CU20" s="119">
        <v>0.2</v>
      </c>
      <c r="CV20" s="113" t="s">
        <v>211</v>
      </c>
      <c r="CW20" s="113" t="s">
        <v>210</v>
      </c>
      <c r="CX20" s="113">
        <v>2244831.5718800002</v>
      </c>
      <c r="CY20" s="113">
        <v>2569364.5547100003</v>
      </c>
      <c r="CZ20" s="113">
        <v>2533443.4844499999</v>
      </c>
      <c r="DA20" s="113">
        <v>3023459.9310699999</v>
      </c>
      <c r="DB20" s="113">
        <v>2652948.4355720901</v>
      </c>
      <c r="DC20" s="113">
        <v>2609712.8228000007</v>
      </c>
      <c r="DD20" s="113">
        <v>2747045.0877474295</v>
      </c>
      <c r="DE20" s="113"/>
      <c r="DF20" s="113"/>
      <c r="DG20" s="113"/>
      <c r="DH20" s="113"/>
      <c r="DI20" s="113"/>
      <c r="DJ20" s="114">
        <f t="shared" si="54"/>
        <v>2652948.4355720901</v>
      </c>
      <c r="DK20" s="114">
        <f t="shared" si="54"/>
        <v>2609712.8228000007</v>
      </c>
      <c r="DL20" s="114">
        <f t="shared" si="54"/>
        <v>2747045.0877474295</v>
      </c>
      <c r="DM20" s="114">
        <f t="shared" si="54"/>
        <v>0</v>
      </c>
      <c r="DN20" s="114">
        <f t="shared" si="55"/>
        <v>8009706.3461195203</v>
      </c>
      <c r="DO20" s="114">
        <f t="shared" si="14"/>
        <v>10371099.54211</v>
      </c>
      <c r="DP20" s="114">
        <f t="shared" si="56"/>
        <v>10371099.54211</v>
      </c>
      <c r="DQ20" s="116">
        <f t="shared" si="57"/>
        <v>0.77229999999999999</v>
      </c>
      <c r="DR20" s="126">
        <f t="shared" ca="1" si="15"/>
        <v>0</v>
      </c>
      <c r="DS20" s="115">
        <f t="shared" ca="1" si="16"/>
        <v>0</v>
      </c>
      <c r="DT20" s="118" t="str">
        <f t="shared" si="58"/>
        <v>Uncapped</v>
      </c>
      <c r="DU20" s="115">
        <f t="shared" ca="1" si="17"/>
        <v>0</v>
      </c>
      <c r="DV20" s="113"/>
      <c r="DW20" s="119">
        <v>0</v>
      </c>
      <c r="DX20" s="113"/>
      <c r="DY20" s="113"/>
      <c r="DZ20" s="113">
        <v>0</v>
      </c>
      <c r="EA20" s="113">
        <v>0</v>
      </c>
      <c r="EB20" s="113">
        <v>0</v>
      </c>
      <c r="EC20" s="113">
        <v>0</v>
      </c>
      <c r="ED20" s="113">
        <v>0</v>
      </c>
      <c r="EE20" s="113">
        <v>0</v>
      </c>
      <c r="EF20" s="113"/>
      <c r="EG20" s="113"/>
      <c r="EH20" s="113"/>
      <c r="EI20" s="113"/>
      <c r="EJ20" s="113"/>
      <c r="EK20" s="113"/>
      <c r="EL20" s="114">
        <f t="shared" si="59"/>
        <v>0</v>
      </c>
      <c r="EM20" s="114">
        <f t="shared" si="59"/>
        <v>0</v>
      </c>
      <c r="EN20" s="114">
        <f t="shared" si="59"/>
        <v>0</v>
      </c>
      <c r="EO20" s="114">
        <f t="shared" si="59"/>
        <v>0</v>
      </c>
      <c r="EP20" s="114">
        <f t="shared" si="18"/>
        <v>0</v>
      </c>
      <c r="EQ20" s="114">
        <f t="shared" si="19"/>
        <v>0</v>
      </c>
      <c r="ER20" s="114">
        <f t="shared" si="60"/>
        <v>0</v>
      </c>
      <c r="ES20" s="116">
        <f t="shared" si="61"/>
        <v>0</v>
      </c>
      <c r="ET20" s="126">
        <f t="shared" ca="1" si="62"/>
        <v>0</v>
      </c>
      <c r="EU20" s="115">
        <f t="shared" ca="1" si="20"/>
        <v>0</v>
      </c>
      <c r="EV20" s="118" t="str">
        <f t="shared" si="21"/>
        <v>Uncapped</v>
      </c>
      <c r="EW20" s="115">
        <f t="shared" ca="1" si="22"/>
        <v>0</v>
      </c>
      <c r="EX20" s="112">
        <f t="shared" ca="1" si="23"/>
        <v>0</v>
      </c>
      <c r="EY20" s="114">
        <f t="shared" ca="1" si="63"/>
        <v>0</v>
      </c>
      <c r="EZ20" s="115">
        <v>0</v>
      </c>
      <c r="FA20" s="115"/>
      <c r="FB20" s="115"/>
      <c r="FC20" s="115">
        <v>0</v>
      </c>
      <c r="FD20" s="115">
        <f t="shared" si="24"/>
        <v>0</v>
      </c>
      <c r="FE20" s="114">
        <f t="shared" si="25"/>
        <v>0</v>
      </c>
      <c r="FF20" s="115">
        <v>0</v>
      </c>
      <c r="FG20" s="115">
        <v>0</v>
      </c>
      <c r="FH20" s="115">
        <v>0</v>
      </c>
      <c r="FI20" s="115">
        <v>0</v>
      </c>
      <c r="FJ20" s="115">
        <f t="shared" si="26"/>
        <v>0</v>
      </c>
      <c r="FK20" s="114">
        <f t="shared" si="27"/>
        <v>0</v>
      </c>
      <c r="FL20" s="113"/>
      <c r="FM20" s="111"/>
      <c r="FN20" s="111"/>
      <c r="FO20" s="111"/>
      <c r="FP20" s="115">
        <f t="shared" si="28"/>
        <v>0</v>
      </c>
      <c r="FQ20" s="115"/>
      <c r="FR20" s="115"/>
      <c r="FS20" s="115"/>
      <c r="FT20" s="114">
        <f t="shared" si="64"/>
        <v>0</v>
      </c>
      <c r="FU20" s="366">
        <f t="shared" ca="1" si="66"/>
        <v>0</v>
      </c>
      <c r="FV20" s="121">
        <f t="shared" ca="1" si="65"/>
        <v>0</v>
      </c>
      <c r="FW20" s="114">
        <f t="shared" si="29"/>
        <v>0</v>
      </c>
      <c r="FX20" s="114">
        <f t="shared" si="29"/>
        <v>0</v>
      </c>
      <c r="FY20" s="114">
        <f t="shared" si="29"/>
        <v>0</v>
      </c>
      <c r="FZ20" s="114">
        <f t="shared" si="29"/>
        <v>0</v>
      </c>
      <c r="GA20" s="114">
        <f t="shared" si="30"/>
        <v>0</v>
      </c>
      <c r="GB20" s="114">
        <f t="shared" si="31"/>
        <v>0</v>
      </c>
      <c r="GC20" s="114">
        <f t="shared" si="31"/>
        <v>0</v>
      </c>
      <c r="GD20" s="114">
        <f t="shared" si="31"/>
        <v>0</v>
      </c>
      <c r="GE20" s="114">
        <f t="shared" si="31"/>
        <v>0</v>
      </c>
      <c r="GF20" s="114">
        <f t="shared" si="32"/>
        <v>0</v>
      </c>
      <c r="GG20" s="114">
        <f t="shared" si="32"/>
        <v>0</v>
      </c>
      <c r="GH20" s="114">
        <f t="shared" si="32"/>
        <v>0</v>
      </c>
      <c r="GI20" s="114">
        <f t="shared" si="32"/>
        <v>0</v>
      </c>
      <c r="GJ20" s="115">
        <f t="shared" si="33"/>
        <v>0</v>
      </c>
      <c r="GK20" s="114">
        <f t="shared" si="34"/>
        <v>0</v>
      </c>
      <c r="GL20" s="114">
        <f t="shared" si="35"/>
        <v>0</v>
      </c>
      <c r="GM20" s="114">
        <f t="shared" si="36"/>
        <v>0</v>
      </c>
      <c r="GN20" s="114">
        <f t="shared" si="37"/>
        <v>0</v>
      </c>
      <c r="GO20" s="114">
        <f t="shared" si="38"/>
        <v>0</v>
      </c>
      <c r="GP20" s="114">
        <f t="shared" si="39"/>
        <v>0</v>
      </c>
      <c r="GQ20" s="114">
        <f t="shared" si="40"/>
        <v>0</v>
      </c>
      <c r="GR20" s="193"/>
      <c r="GS20" s="122">
        <f t="shared" si="41"/>
        <v>9436048.4879735205</v>
      </c>
      <c r="GT20" s="122">
        <f t="shared" si="41"/>
        <v>12547018.156709999</v>
      </c>
      <c r="GU20" s="123">
        <f t="shared" si="42"/>
        <v>0.75205505962603802</v>
      </c>
      <c r="GV20" s="124">
        <f t="shared" ca="1" si="43"/>
        <v>0</v>
      </c>
      <c r="GW20" s="124">
        <v>0</v>
      </c>
      <c r="GX20" s="32">
        <f t="shared" ca="1" si="44"/>
        <v>0</v>
      </c>
      <c r="GY20" s="100"/>
    </row>
    <row r="21" spans="1:207" s="125" customFormat="1" ht="15" hidden="1" customHeight="1">
      <c r="A21" s="102"/>
      <c r="B21" s="103"/>
      <c r="C21" s="103"/>
      <c r="D21" s="104"/>
      <c r="E21" s="104" t="s">
        <v>253</v>
      </c>
      <c r="F21" s="104" t="s">
        <v>266</v>
      </c>
      <c r="G21" s="104" t="s">
        <v>226</v>
      </c>
      <c r="H21" s="105" t="s">
        <v>276</v>
      </c>
      <c r="I21" s="164" t="s">
        <v>277</v>
      </c>
      <c r="J21" s="104" t="s">
        <v>212</v>
      </c>
      <c r="K21" s="104" t="s">
        <v>208</v>
      </c>
      <c r="L21" s="104" t="s">
        <v>213</v>
      </c>
      <c r="M21" s="104" t="s">
        <v>713</v>
      </c>
      <c r="N21" s="107"/>
      <c r="O21" s="108">
        <v>43409</v>
      </c>
      <c r="P21" s="108">
        <v>43409</v>
      </c>
      <c r="Q21" s="322">
        <f t="shared" si="0"/>
        <v>0</v>
      </c>
      <c r="R21" s="109">
        <f>IF((P21-VLOOKUP(Q21,month!$A$1:$C$13,3,0))&lt;0,Q21,Q21+1)</f>
        <v>0</v>
      </c>
      <c r="S21" s="108"/>
      <c r="T21" s="110" t="str">
        <f t="shared" si="67"/>
        <v/>
      </c>
      <c r="U21" s="320" t="s">
        <v>214</v>
      </c>
      <c r="V21" s="320">
        <v>1</v>
      </c>
      <c r="W21" s="107"/>
      <c r="X21" s="107"/>
      <c r="Y21" s="386"/>
      <c r="Z21" s="386" t="s">
        <v>545</v>
      </c>
      <c r="AA21" s="387">
        <v>1000</v>
      </c>
      <c r="AB21" s="387">
        <v>1000</v>
      </c>
      <c r="AC21" s="387">
        <v>1000</v>
      </c>
      <c r="AD21" s="387">
        <v>1000</v>
      </c>
      <c r="AE21" s="387">
        <v>1000</v>
      </c>
      <c r="AF21" s="387">
        <v>1000</v>
      </c>
      <c r="AG21" s="387">
        <v>1000</v>
      </c>
      <c r="AH21" s="387">
        <v>1000</v>
      </c>
      <c r="AI21" s="387">
        <v>1000</v>
      </c>
      <c r="AJ21" s="387">
        <v>1000</v>
      </c>
      <c r="AK21" s="387">
        <v>1000</v>
      </c>
      <c r="AL21" s="387">
        <v>1000</v>
      </c>
      <c r="AM21" s="388">
        <f t="shared" si="2"/>
        <v>12000</v>
      </c>
      <c r="AN21" s="388">
        <f t="shared" si="3"/>
        <v>12000</v>
      </c>
      <c r="AO21" s="389">
        <f>AA21</f>
        <v>1000</v>
      </c>
      <c r="AP21" s="498" t="s">
        <v>682</v>
      </c>
      <c r="AQ21" s="159">
        <v>0.5</v>
      </c>
      <c r="AR21" s="160" t="s">
        <v>211</v>
      </c>
      <c r="AS21" s="119" t="s">
        <v>210</v>
      </c>
      <c r="AT21" s="111">
        <v>354056.84346</v>
      </c>
      <c r="AU21" s="111">
        <v>416863.55884000001</v>
      </c>
      <c r="AV21" s="111">
        <v>406650.45595999999</v>
      </c>
      <c r="AW21" s="111">
        <v>482319.13673999999</v>
      </c>
      <c r="AX21" s="113">
        <v>533485.52500000049</v>
      </c>
      <c r="AY21" s="113">
        <v>479473.67249999993</v>
      </c>
      <c r="AZ21" s="113">
        <v>501473.10117543023</v>
      </c>
      <c r="BA21" s="113"/>
      <c r="BB21" s="113"/>
      <c r="BC21" s="113"/>
      <c r="BD21" s="113"/>
      <c r="BE21" s="113"/>
      <c r="BF21" s="114">
        <f t="shared" si="46"/>
        <v>533485.52500000049</v>
      </c>
      <c r="BG21" s="114">
        <f t="shared" si="46"/>
        <v>479473.67249999993</v>
      </c>
      <c r="BH21" s="114">
        <f t="shared" si="46"/>
        <v>501473.10117543023</v>
      </c>
      <c r="BI21" s="114">
        <f t="shared" si="46"/>
        <v>0</v>
      </c>
      <c r="BJ21" s="114">
        <f t="shared" si="4"/>
        <v>1514432.2986754307</v>
      </c>
      <c r="BK21" s="115">
        <f t="shared" si="5"/>
        <v>1659889.9949999999</v>
      </c>
      <c r="BL21" s="115">
        <f t="shared" si="47"/>
        <v>1659889.9949999999</v>
      </c>
      <c r="BM21" s="116">
        <f t="shared" si="48"/>
        <v>0.91239999999999999</v>
      </c>
      <c r="BN21" s="126">
        <f t="shared" ca="1" si="6"/>
        <v>0</v>
      </c>
      <c r="BO21" s="117">
        <f t="shared" ca="1" si="7"/>
        <v>0</v>
      </c>
      <c r="BP21" s="118" t="str">
        <f t="shared" si="8"/>
        <v>Uncapped</v>
      </c>
      <c r="BQ21" s="115">
        <f t="shared" ca="1" si="9"/>
        <v>0</v>
      </c>
      <c r="BR21" s="113" t="s">
        <v>700</v>
      </c>
      <c r="BS21" s="161">
        <v>0.3</v>
      </c>
      <c r="BT21" s="113" t="s">
        <v>211</v>
      </c>
      <c r="BU21" s="160" t="s">
        <v>210</v>
      </c>
      <c r="BV21" s="113">
        <v>110222.33479819998</v>
      </c>
      <c r="BW21" s="113">
        <v>129212.0553014</v>
      </c>
      <c r="BX21" s="113">
        <v>131383.8696342</v>
      </c>
      <c r="BY21" s="113">
        <v>126593.46266619998</v>
      </c>
      <c r="BZ21" s="113">
        <v>129345.147</v>
      </c>
      <c r="CA21" s="113">
        <v>116309.29499999998</v>
      </c>
      <c r="CB21" s="113">
        <v>188284.41899999999</v>
      </c>
      <c r="CC21" s="113"/>
      <c r="CD21" s="113"/>
      <c r="CE21" s="113"/>
      <c r="CF21" s="113"/>
      <c r="CG21" s="113"/>
      <c r="CH21" s="114">
        <f t="shared" si="49"/>
        <v>129345.147</v>
      </c>
      <c r="CI21" s="114">
        <f t="shared" si="49"/>
        <v>116309.29499999998</v>
      </c>
      <c r="CJ21" s="120">
        <f t="shared" si="49"/>
        <v>188284.41899999999</v>
      </c>
      <c r="CK21" s="114">
        <f t="shared" si="49"/>
        <v>0</v>
      </c>
      <c r="CL21" s="114">
        <f t="shared" si="10"/>
        <v>433938.86099999998</v>
      </c>
      <c r="CM21" s="114">
        <f t="shared" si="11"/>
        <v>497411.72239999997</v>
      </c>
      <c r="CN21" s="114">
        <f t="shared" si="50"/>
        <v>497411.72239999997</v>
      </c>
      <c r="CO21" s="116">
        <f t="shared" si="51"/>
        <v>0.87239999999999995</v>
      </c>
      <c r="CP21" s="126">
        <f t="shared" ca="1" si="52"/>
        <v>0</v>
      </c>
      <c r="CQ21" s="115">
        <f t="shared" ca="1" si="12"/>
        <v>0</v>
      </c>
      <c r="CR21" s="118" t="str">
        <f t="shared" si="53"/>
        <v>Uncapped</v>
      </c>
      <c r="CS21" s="115">
        <f t="shared" ca="1" si="13"/>
        <v>0</v>
      </c>
      <c r="CT21" s="113" t="s">
        <v>695</v>
      </c>
      <c r="CU21" s="119">
        <v>0.2</v>
      </c>
      <c r="CV21" s="113" t="s">
        <v>211</v>
      </c>
      <c r="CW21" s="113" t="s">
        <v>210</v>
      </c>
      <c r="CX21" s="113">
        <v>2244831.5718800002</v>
      </c>
      <c r="CY21" s="113">
        <v>2569364.5547100003</v>
      </c>
      <c r="CZ21" s="113">
        <v>2533443.4844499999</v>
      </c>
      <c r="DA21" s="113">
        <v>3023459.9310699999</v>
      </c>
      <c r="DB21" s="113">
        <v>2652948.4355720901</v>
      </c>
      <c r="DC21" s="113">
        <v>2609712.8228000007</v>
      </c>
      <c r="DD21" s="113">
        <v>2747045.0877474295</v>
      </c>
      <c r="DE21" s="113"/>
      <c r="DF21" s="113"/>
      <c r="DG21" s="113"/>
      <c r="DH21" s="113"/>
      <c r="DI21" s="113"/>
      <c r="DJ21" s="114">
        <f t="shared" si="54"/>
        <v>2652948.4355720901</v>
      </c>
      <c r="DK21" s="114">
        <f t="shared" si="54"/>
        <v>2609712.8228000007</v>
      </c>
      <c r="DL21" s="114">
        <f t="shared" si="54"/>
        <v>2747045.0877474295</v>
      </c>
      <c r="DM21" s="114">
        <f t="shared" si="54"/>
        <v>0</v>
      </c>
      <c r="DN21" s="114">
        <f t="shared" si="55"/>
        <v>8009706.3461195203</v>
      </c>
      <c r="DO21" s="114">
        <f t="shared" si="14"/>
        <v>10371099.54211</v>
      </c>
      <c r="DP21" s="114">
        <f t="shared" si="56"/>
        <v>10371099.54211</v>
      </c>
      <c r="DQ21" s="116">
        <f t="shared" si="57"/>
        <v>0.77229999999999999</v>
      </c>
      <c r="DR21" s="126">
        <f t="shared" ca="1" si="15"/>
        <v>0</v>
      </c>
      <c r="DS21" s="115">
        <f t="shared" ca="1" si="16"/>
        <v>0</v>
      </c>
      <c r="DT21" s="118" t="str">
        <f t="shared" si="58"/>
        <v>Uncapped</v>
      </c>
      <c r="DU21" s="115">
        <f t="shared" ca="1" si="17"/>
        <v>0</v>
      </c>
      <c r="DV21" s="113"/>
      <c r="DW21" s="119">
        <v>0</v>
      </c>
      <c r="DX21" s="113"/>
      <c r="DY21" s="113"/>
      <c r="DZ21" s="113">
        <v>0</v>
      </c>
      <c r="EA21" s="113">
        <v>0</v>
      </c>
      <c r="EB21" s="113">
        <v>0</v>
      </c>
      <c r="EC21" s="113">
        <v>0</v>
      </c>
      <c r="ED21" s="113">
        <v>0</v>
      </c>
      <c r="EE21" s="113">
        <v>0</v>
      </c>
      <c r="EF21" s="113"/>
      <c r="EG21" s="113"/>
      <c r="EH21" s="113"/>
      <c r="EI21" s="113"/>
      <c r="EJ21" s="113"/>
      <c r="EK21" s="113"/>
      <c r="EL21" s="114">
        <f t="shared" si="59"/>
        <v>0</v>
      </c>
      <c r="EM21" s="114">
        <f t="shared" si="59"/>
        <v>0</v>
      </c>
      <c r="EN21" s="114">
        <f t="shared" si="59"/>
        <v>0</v>
      </c>
      <c r="EO21" s="114">
        <f t="shared" si="59"/>
        <v>0</v>
      </c>
      <c r="EP21" s="114">
        <f t="shared" si="18"/>
        <v>0</v>
      </c>
      <c r="EQ21" s="114">
        <f t="shared" si="19"/>
        <v>0</v>
      </c>
      <c r="ER21" s="114">
        <f t="shared" si="60"/>
        <v>0</v>
      </c>
      <c r="ES21" s="116">
        <f t="shared" si="61"/>
        <v>0</v>
      </c>
      <c r="ET21" s="126">
        <f t="shared" ca="1" si="62"/>
        <v>0</v>
      </c>
      <c r="EU21" s="115">
        <f t="shared" ca="1" si="20"/>
        <v>0</v>
      </c>
      <c r="EV21" s="118" t="str">
        <f t="shared" si="21"/>
        <v>Uncapped</v>
      </c>
      <c r="EW21" s="115">
        <f t="shared" ca="1" si="22"/>
        <v>0</v>
      </c>
      <c r="EX21" s="112">
        <f t="shared" ca="1" si="23"/>
        <v>0</v>
      </c>
      <c r="EY21" s="114">
        <f t="shared" ca="1" si="63"/>
        <v>1000</v>
      </c>
      <c r="EZ21" s="115">
        <v>0</v>
      </c>
      <c r="FA21" s="115">
        <v>180700</v>
      </c>
      <c r="FB21" s="115"/>
      <c r="FC21" s="115">
        <v>0</v>
      </c>
      <c r="FD21" s="115">
        <f t="shared" si="24"/>
        <v>180700</v>
      </c>
      <c r="FE21" s="114">
        <f t="shared" si="25"/>
        <v>0</v>
      </c>
      <c r="FF21" s="115">
        <v>0</v>
      </c>
      <c r="FG21" s="115">
        <v>0</v>
      </c>
      <c r="FH21" s="115">
        <v>0</v>
      </c>
      <c r="FI21" s="115">
        <v>0</v>
      </c>
      <c r="FJ21" s="115">
        <f t="shared" si="26"/>
        <v>0</v>
      </c>
      <c r="FK21" s="114">
        <f t="shared" si="27"/>
        <v>0</v>
      </c>
      <c r="FL21" s="113"/>
      <c r="FM21" s="111"/>
      <c r="FN21" s="111"/>
      <c r="FO21" s="111"/>
      <c r="FP21" s="115">
        <f t="shared" si="28"/>
        <v>0</v>
      </c>
      <c r="FQ21" s="115"/>
      <c r="FR21" s="115"/>
      <c r="FS21" s="115"/>
      <c r="FT21" s="114">
        <f t="shared" si="64"/>
        <v>0</v>
      </c>
      <c r="FU21" s="366">
        <f t="shared" ca="1" si="66"/>
        <v>181700</v>
      </c>
      <c r="FV21" s="121">
        <f t="shared" ca="1" si="65"/>
        <v>181700</v>
      </c>
      <c r="FW21" s="114">
        <f t="shared" si="29"/>
        <v>0</v>
      </c>
      <c r="FX21" s="114">
        <f t="shared" si="29"/>
        <v>0</v>
      </c>
      <c r="FY21" s="114">
        <f t="shared" si="29"/>
        <v>0</v>
      </c>
      <c r="FZ21" s="114">
        <f t="shared" si="29"/>
        <v>0</v>
      </c>
      <c r="GA21" s="114">
        <f>SUM(FW21:FZ21)</f>
        <v>0</v>
      </c>
      <c r="GB21" s="114">
        <f t="shared" si="31"/>
        <v>0</v>
      </c>
      <c r="GC21" s="114">
        <f t="shared" si="31"/>
        <v>180700</v>
      </c>
      <c r="GD21" s="114">
        <f t="shared" si="31"/>
        <v>0</v>
      </c>
      <c r="GE21" s="114">
        <f t="shared" si="31"/>
        <v>0</v>
      </c>
      <c r="GF21" s="114">
        <f>GB21+FW21</f>
        <v>0</v>
      </c>
      <c r="GG21" s="114">
        <f>GC21+FX21</f>
        <v>180700</v>
      </c>
      <c r="GH21" s="114">
        <f>GD21+FY21</f>
        <v>0</v>
      </c>
      <c r="GI21" s="114">
        <f>GE21+FZ21</f>
        <v>0</v>
      </c>
      <c r="GJ21" s="115">
        <f t="shared" si="33"/>
        <v>180700</v>
      </c>
      <c r="GK21" s="114">
        <f>SUM(GF21:GI21)</f>
        <v>180700</v>
      </c>
      <c r="GL21" s="114">
        <f t="shared" si="35"/>
        <v>1000</v>
      </c>
      <c r="GM21" s="114">
        <f t="shared" si="36"/>
        <v>0</v>
      </c>
      <c r="GN21" s="114">
        <f t="shared" si="37"/>
        <v>0</v>
      </c>
      <c r="GO21" s="114">
        <f t="shared" si="38"/>
        <v>0</v>
      </c>
      <c r="GP21" s="114">
        <f t="shared" si="39"/>
        <v>1000</v>
      </c>
      <c r="GQ21" s="114">
        <f>SUM(GL21:GO21)</f>
        <v>1000</v>
      </c>
      <c r="GR21" s="193"/>
      <c r="GS21" s="122">
        <f t="shared" si="41"/>
        <v>9958077.5057949517</v>
      </c>
      <c r="GT21" s="122">
        <f t="shared" si="41"/>
        <v>12528401.259509999</v>
      </c>
      <c r="GU21" s="123">
        <f>IFERROR(GS21/GT21,"")</f>
        <v>0.79484024334198444</v>
      </c>
      <c r="GV21" s="124">
        <f t="shared" ca="1" si="43"/>
        <v>0</v>
      </c>
      <c r="GW21" s="124">
        <v>0</v>
      </c>
      <c r="GX21" s="32">
        <f t="shared" ca="1" si="44"/>
        <v>0</v>
      </c>
      <c r="GY21" s="100"/>
    </row>
    <row r="22" spans="1:207" s="152" customFormat="1" ht="15" hidden="1" customHeight="1">
      <c r="A22" s="129"/>
      <c r="B22" s="130"/>
      <c r="C22" s="130"/>
      <c r="D22" s="131"/>
      <c r="E22" s="131" t="s">
        <v>260</v>
      </c>
      <c r="F22" s="138" t="s">
        <v>261</v>
      </c>
      <c r="G22" s="131" t="s">
        <v>226</v>
      </c>
      <c r="H22" s="132" t="s">
        <v>278</v>
      </c>
      <c r="I22" s="133" t="s">
        <v>279</v>
      </c>
      <c r="J22" s="131" t="s">
        <v>207</v>
      </c>
      <c r="K22" s="131" t="s">
        <v>208</v>
      </c>
      <c r="L22" s="131" t="s">
        <v>264</v>
      </c>
      <c r="M22" s="131" t="s">
        <v>265</v>
      </c>
      <c r="N22" s="134"/>
      <c r="O22" s="155">
        <v>41376</v>
      </c>
      <c r="P22" s="155">
        <v>43009</v>
      </c>
      <c r="Q22" s="321">
        <f t="shared" si="0"/>
        <v>0</v>
      </c>
      <c r="R22" s="109">
        <f>IF((P22-VLOOKUP(Q22,month!$A$1:$C$13,3,0))&lt;0,Q22,Q22+1)</f>
        <v>0</v>
      </c>
      <c r="S22" s="108"/>
      <c r="T22" s="135" t="str">
        <f t="shared" si="67"/>
        <v/>
      </c>
      <c r="U22" s="134"/>
      <c r="V22" s="134"/>
      <c r="W22" s="134"/>
      <c r="X22" s="134"/>
      <c r="Y22" s="383"/>
      <c r="Z22" s="383" t="s">
        <v>545</v>
      </c>
      <c r="AA22" s="371">
        <v>1000</v>
      </c>
      <c r="AB22" s="371">
        <v>1000</v>
      </c>
      <c r="AC22" s="371">
        <v>1000</v>
      </c>
      <c r="AD22" s="371">
        <v>1000</v>
      </c>
      <c r="AE22" s="371">
        <v>1000</v>
      </c>
      <c r="AF22" s="371">
        <v>1000</v>
      </c>
      <c r="AG22" s="371">
        <v>1000</v>
      </c>
      <c r="AH22" s="371">
        <v>1000</v>
      </c>
      <c r="AI22" s="371">
        <v>1000</v>
      </c>
      <c r="AJ22" s="371">
        <v>1000</v>
      </c>
      <c r="AK22" s="371">
        <v>1000</v>
      </c>
      <c r="AL22" s="371">
        <v>1000</v>
      </c>
      <c r="AM22" s="384">
        <f t="shared" si="2"/>
        <v>12000</v>
      </c>
      <c r="AN22" s="384">
        <f t="shared" si="3"/>
        <v>12000</v>
      </c>
      <c r="AO22" s="385">
        <f t="shared" ref="AO22:AO30" si="69">AI22</f>
        <v>1000</v>
      </c>
      <c r="AP22" s="497" t="s">
        <v>682</v>
      </c>
      <c r="AQ22" s="156">
        <v>0.5</v>
      </c>
      <c r="AR22" s="157" t="s">
        <v>211</v>
      </c>
      <c r="AS22" s="146" t="s">
        <v>210</v>
      </c>
      <c r="AT22" s="136">
        <v>2382537.1912000002</v>
      </c>
      <c r="AU22" s="136">
        <v>2735536.2633999996</v>
      </c>
      <c r="AV22" s="136">
        <v>2679273.3525999999</v>
      </c>
      <c r="AW22" s="136">
        <v>3226022.7538000001</v>
      </c>
      <c r="AX22" s="138">
        <v>2499648.717472</v>
      </c>
      <c r="AY22" s="138">
        <v>2774407.4780569817</v>
      </c>
      <c r="AZ22" s="138">
        <v>2820386.492699998</v>
      </c>
      <c r="BA22" s="138"/>
      <c r="BB22" s="138"/>
      <c r="BC22" s="138"/>
      <c r="BD22" s="138"/>
      <c r="BE22" s="138"/>
      <c r="BF22" s="139">
        <f t="shared" si="46"/>
        <v>2499648.717472</v>
      </c>
      <c r="BG22" s="139">
        <f t="shared" si="46"/>
        <v>2774407.4780569817</v>
      </c>
      <c r="BH22" s="139">
        <f t="shared" si="46"/>
        <v>2820386.492699998</v>
      </c>
      <c r="BI22" s="139">
        <f t="shared" si="46"/>
        <v>0</v>
      </c>
      <c r="BJ22" s="139">
        <f t="shared" si="4"/>
        <v>8094442.6882289797</v>
      </c>
      <c r="BK22" s="140">
        <f t="shared" si="5"/>
        <v>11023369.561000001</v>
      </c>
      <c r="BL22" s="140">
        <f t="shared" si="47"/>
        <v>11023369.561000001</v>
      </c>
      <c r="BM22" s="141">
        <f t="shared" si="48"/>
        <v>0.73429999999999995</v>
      </c>
      <c r="BN22" s="142">
        <f t="shared" ca="1" si="6"/>
        <v>0</v>
      </c>
      <c r="BO22" s="143">
        <f t="shared" ca="1" si="7"/>
        <v>0</v>
      </c>
      <c r="BP22" s="144" t="str">
        <f t="shared" si="8"/>
        <v>Uncapped</v>
      </c>
      <c r="BQ22" s="140">
        <f t="shared" ca="1" si="9"/>
        <v>0</v>
      </c>
      <c r="BR22" s="138" t="s">
        <v>700</v>
      </c>
      <c r="BS22" s="158">
        <v>0.3</v>
      </c>
      <c r="BT22" s="138" t="s">
        <v>211</v>
      </c>
      <c r="BU22" s="157" t="s">
        <v>210</v>
      </c>
      <c r="BV22" s="138">
        <v>484727.54814999987</v>
      </c>
      <c r="BW22" s="138">
        <v>544695.40315000003</v>
      </c>
      <c r="BX22" s="138">
        <v>545782.12514999998</v>
      </c>
      <c r="BY22" s="138">
        <v>598587.92354999995</v>
      </c>
      <c r="BZ22" s="138">
        <v>522178.49339999998</v>
      </c>
      <c r="CA22" s="138">
        <v>483739.4402999999</v>
      </c>
      <c r="CB22" s="138">
        <v>515024.22959999996</v>
      </c>
      <c r="CC22" s="138"/>
      <c r="CD22" s="138"/>
      <c r="CE22" s="138"/>
      <c r="CF22" s="138"/>
      <c r="CG22" s="138"/>
      <c r="CH22" s="139">
        <f t="shared" si="49"/>
        <v>522178.49339999998</v>
      </c>
      <c r="CI22" s="139">
        <f t="shared" si="49"/>
        <v>483739.4402999999</v>
      </c>
      <c r="CJ22" s="145">
        <f t="shared" si="49"/>
        <v>515024.22959999996</v>
      </c>
      <c r="CK22" s="139">
        <f t="shared" si="49"/>
        <v>0</v>
      </c>
      <c r="CL22" s="139">
        <f t="shared" si="10"/>
        <v>1520942.1632999999</v>
      </c>
      <c r="CM22" s="139">
        <f t="shared" si="11"/>
        <v>2173793</v>
      </c>
      <c r="CN22" s="139">
        <f t="shared" si="50"/>
        <v>2173793</v>
      </c>
      <c r="CO22" s="141">
        <f t="shared" si="51"/>
        <v>0.69969999999999999</v>
      </c>
      <c r="CP22" s="142">
        <f t="shared" ca="1" si="52"/>
        <v>0</v>
      </c>
      <c r="CQ22" s="140">
        <f t="shared" ca="1" si="12"/>
        <v>0</v>
      </c>
      <c r="CR22" s="144" t="str">
        <f t="shared" si="53"/>
        <v>Uncapped</v>
      </c>
      <c r="CS22" s="140">
        <f t="shared" ca="1" si="13"/>
        <v>0</v>
      </c>
      <c r="CT22" s="138" t="s">
        <v>702</v>
      </c>
      <c r="CU22" s="146">
        <v>0.2</v>
      </c>
      <c r="CV22" s="138" t="s">
        <v>217</v>
      </c>
      <c r="CW22" s="138" t="s">
        <v>210</v>
      </c>
      <c r="CX22" s="138">
        <v>19653413.080999997</v>
      </c>
      <c r="CY22" s="138">
        <v>22848780.235100001</v>
      </c>
      <c r="CZ22" s="138">
        <v>22618799.574099999</v>
      </c>
      <c r="DA22" s="138">
        <v>27098464.121500004</v>
      </c>
      <c r="DB22" s="138">
        <v>19427532.107000571</v>
      </c>
      <c r="DC22" s="138">
        <v>22270538.357580002</v>
      </c>
      <c r="DD22" s="138">
        <v>22879083.486580007</v>
      </c>
      <c r="DE22" s="138"/>
      <c r="DF22" s="138"/>
      <c r="DG22" s="138"/>
      <c r="DH22" s="138"/>
      <c r="DI22" s="138"/>
      <c r="DJ22" s="139">
        <f t="shared" si="54"/>
        <v>19427532.107000571</v>
      </c>
      <c r="DK22" s="139">
        <f t="shared" si="54"/>
        <v>22270538.357580002</v>
      </c>
      <c r="DL22" s="139">
        <f t="shared" si="54"/>
        <v>22879083.486580007</v>
      </c>
      <c r="DM22" s="139">
        <f t="shared" si="54"/>
        <v>0</v>
      </c>
      <c r="DN22" s="139">
        <f t="shared" si="55"/>
        <v>64577153.95116058</v>
      </c>
      <c r="DO22" s="139">
        <f t="shared" si="14"/>
        <v>92219457.011700004</v>
      </c>
      <c r="DP22" s="139">
        <f t="shared" si="56"/>
        <v>92219457.011700004</v>
      </c>
      <c r="DQ22" s="141">
        <f t="shared" si="57"/>
        <v>0.70030000000000003</v>
      </c>
      <c r="DR22" s="142">
        <f t="shared" ca="1" si="15"/>
        <v>0</v>
      </c>
      <c r="DS22" s="140">
        <f t="shared" ca="1" si="16"/>
        <v>0</v>
      </c>
      <c r="DT22" s="144" t="str">
        <f t="shared" si="58"/>
        <v>Uncapped</v>
      </c>
      <c r="DU22" s="140">
        <f t="shared" ca="1" si="17"/>
        <v>0</v>
      </c>
      <c r="DV22" s="138"/>
      <c r="DW22" s="146">
        <v>0</v>
      </c>
      <c r="DX22" s="138"/>
      <c r="DY22" s="138"/>
      <c r="DZ22" s="138">
        <v>0</v>
      </c>
      <c r="EA22" s="138">
        <v>0</v>
      </c>
      <c r="EB22" s="138">
        <v>0</v>
      </c>
      <c r="EC22" s="138">
        <v>0</v>
      </c>
      <c r="ED22" s="138">
        <v>0</v>
      </c>
      <c r="EE22" s="138">
        <v>0</v>
      </c>
      <c r="EF22" s="138"/>
      <c r="EG22" s="138"/>
      <c r="EH22" s="138"/>
      <c r="EI22" s="138"/>
      <c r="EJ22" s="138"/>
      <c r="EK22" s="138"/>
      <c r="EL22" s="139">
        <f t="shared" si="59"/>
        <v>0</v>
      </c>
      <c r="EM22" s="139">
        <f t="shared" si="59"/>
        <v>0</v>
      </c>
      <c r="EN22" s="139">
        <f t="shared" si="59"/>
        <v>0</v>
      </c>
      <c r="EO22" s="139">
        <f t="shared" si="59"/>
        <v>0</v>
      </c>
      <c r="EP22" s="139">
        <f t="shared" si="18"/>
        <v>0</v>
      </c>
      <c r="EQ22" s="139">
        <f t="shared" si="19"/>
        <v>0</v>
      </c>
      <c r="ER22" s="139">
        <f t="shared" si="60"/>
        <v>0</v>
      </c>
      <c r="ES22" s="141">
        <f t="shared" si="61"/>
        <v>0</v>
      </c>
      <c r="ET22" s="142">
        <f t="shared" ca="1" si="62"/>
        <v>0</v>
      </c>
      <c r="EU22" s="140">
        <f t="shared" ca="1" si="20"/>
        <v>0</v>
      </c>
      <c r="EV22" s="144" t="str">
        <f t="shared" si="21"/>
        <v>Uncapped</v>
      </c>
      <c r="EW22" s="140">
        <f t="shared" ca="1" si="22"/>
        <v>0</v>
      </c>
      <c r="EX22" s="137">
        <f t="shared" ca="1" si="23"/>
        <v>0</v>
      </c>
      <c r="EY22" s="139">
        <f t="shared" ca="1" si="63"/>
        <v>0</v>
      </c>
      <c r="EZ22" s="140">
        <v>0</v>
      </c>
      <c r="FA22" s="140"/>
      <c r="FB22" s="140">
        <v>950454</v>
      </c>
      <c r="FC22" s="140">
        <v>0</v>
      </c>
      <c r="FD22" s="140">
        <f t="shared" si="24"/>
        <v>950454</v>
      </c>
      <c r="FE22" s="139">
        <f t="shared" si="25"/>
        <v>0</v>
      </c>
      <c r="FF22" s="140">
        <v>0</v>
      </c>
      <c r="FG22" s="140">
        <v>0</v>
      </c>
      <c r="FH22" s="140">
        <v>0</v>
      </c>
      <c r="FI22" s="140">
        <v>0</v>
      </c>
      <c r="FJ22" s="140">
        <f t="shared" si="26"/>
        <v>0</v>
      </c>
      <c r="FK22" s="139">
        <f t="shared" si="27"/>
        <v>0</v>
      </c>
      <c r="FL22" s="138"/>
      <c r="FM22" s="136"/>
      <c r="FN22" s="136"/>
      <c r="FO22" s="136"/>
      <c r="FP22" s="140">
        <f t="shared" si="28"/>
        <v>0</v>
      </c>
      <c r="FQ22" s="140"/>
      <c r="FR22" s="140"/>
      <c r="FS22" s="140"/>
      <c r="FT22" s="139">
        <f t="shared" si="64"/>
        <v>0</v>
      </c>
      <c r="FU22" s="365">
        <f t="shared" ca="1" si="66"/>
        <v>950454</v>
      </c>
      <c r="FV22" s="147">
        <f t="shared" ca="1" si="65"/>
        <v>950454</v>
      </c>
      <c r="FW22" s="139">
        <f t="shared" ref="FW22:FZ74" si="70">FF22</f>
        <v>0</v>
      </c>
      <c r="FX22" s="139">
        <f t="shared" si="70"/>
        <v>0</v>
      </c>
      <c r="FY22" s="139">
        <f t="shared" si="70"/>
        <v>0</v>
      </c>
      <c r="FZ22" s="139">
        <f t="shared" si="70"/>
        <v>0</v>
      </c>
      <c r="GA22" s="139">
        <f t="shared" si="30"/>
        <v>0</v>
      </c>
      <c r="GB22" s="139">
        <f t="shared" ref="GB22:GE74" si="71">EZ22</f>
        <v>0</v>
      </c>
      <c r="GC22" s="139">
        <f t="shared" si="71"/>
        <v>0</v>
      </c>
      <c r="GD22" s="139">
        <f t="shared" si="71"/>
        <v>950454</v>
      </c>
      <c r="GE22" s="139">
        <f t="shared" si="71"/>
        <v>0</v>
      </c>
      <c r="GF22" s="139">
        <f t="shared" ref="GF22:GI81" si="72">GB22+FW22</f>
        <v>0</v>
      </c>
      <c r="GG22" s="139">
        <f t="shared" si="72"/>
        <v>0</v>
      </c>
      <c r="GH22" s="139">
        <f t="shared" si="72"/>
        <v>950454</v>
      </c>
      <c r="GI22" s="139">
        <f t="shared" si="72"/>
        <v>0</v>
      </c>
      <c r="GJ22" s="140">
        <f t="shared" si="33"/>
        <v>950454</v>
      </c>
      <c r="GK22" s="139">
        <f t="shared" si="34"/>
        <v>950454</v>
      </c>
      <c r="GL22" s="139">
        <f t="shared" si="35"/>
        <v>0</v>
      </c>
      <c r="GM22" s="139">
        <f t="shared" si="36"/>
        <v>0</v>
      </c>
      <c r="GN22" s="139">
        <f t="shared" si="37"/>
        <v>0</v>
      </c>
      <c r="GO22" s="139">
        <f t="shared" si="38"/>
        <v>0</v>
      </c>
      <c r="GP22" s="139">
        <f t="shared" si="39"/>
        <v>0</v>
      </c>
      <c r="GQ22" s="139">
        <f t="shared" si="40"/>
        <v>0</v>
      </c>
      <c r="GR22" s="409"/>
      <c r="GS22" s="148">
        <f t="shared" si="41"/>
        <v>74192538.802689552</v>
      </c>
      <c r="GT22" s="148">
        <f t="shared" si="41"/>
        <v>105416619.57270001</v>
      </c>
      <c r="GU22" s="149">
        <f t="shared" si="42"/>
        <v>0.70380305404806753</v>
      </c>
      <c r="GV22" s="150">
        <f t="shared" ca="1" si="43"/>
        <v>0</v>
      </c>
      <c r="GW22" s="150">
        <v>0</v>
      </c>
      <c r="GX22" s="151">
        <f t="shared" ca="1" si="44"/>
        <v>0</v>
      </c>
      <c r="GY22" s="100"/>
    </row>
    <row r="23" spans="1:207" s="125" customFormat="1" ht="15" hidden="1" customHeight="1">
      <c r="A23" s="102"/>
      <c r="B23" s="103"/>
      <c r="C23" s="103"/>
      <c r="D23" s="104"/>
      <c r="E23" s="104" t="s">
        <v>253</v>
      </c>
      <c r="F23" s="104" t="s">
        <v>266</v>
      </c>
      <c r="G23" s="104" t="s">
        <v>226</v>
      </c>
      <c r="H23" s="105" t="s">
        <v>281</v>
      </c>
      <c r="I23" s="106" t="s">
        <v>282</v>
      </c>
      <c r="J23" s="104" t="s">
        <v>212</v>
      </c>
      <c r="K23" s="104" t="s">
        <v>208</v>
      </c>
      <c r="L23" s="104" t="s">
        <v>213</v>
      </c>
      <c r="M23" s="104" t="s">
        <v>269</v>
      </c>
      <c r="N23" s="107"/>
      <c r="O23" s="108">
        <v>41376</v>
      </c>
      <c r="P23" s="108">
        <v>43009</v>
      </c>
      <c r="Q23" s="322">
        <f t="shared" si="0"/>
        <v>0</v>
      </c>
      <c r="R23" s="109">
        <f>IF((P23-VLOOKUP(Q23,month!$A$1:$C$13,3,0))&lt;0,Q23,Q23+1)</f>
        <v>0</v>
      </c>
      <c r="S23" s="108"/>
      <c r="T23" s="127" t="str">
        <f t="shared" si="67"/>
        <v/>
      </c>
      <c r="U23" s="107"/>
      <c r="V23" s="107"/>
      <c r="W23" s="107"/>
      <c r="X23" s="107"/>
      <c r="Y23" s="386"/>
      <c r="Z23" s="386" t="s">
        <v>545</v>
      </c>
      <c r="AA23" s="387">
        <v>1000</v>
      </c>
      <c r="AB23" s="387">
        <v>1000</v>
      </c>
      <c r="AC23" s="387">
        <v>1000</v>
      </c>
      <c r="AD23" s="387">
        <v>1000</v>
      </c>
      <c r="AE23" s="387">
        <v>1000</v>
      </c>
      <c r="AF23" s="387">
        <v>1000</v>
      </c>
      <c r="AG23" s="387">
        <v>1000</v>
      </c>
      <c r="AH23" s="387">
        <v>1000</v>
      </c>
      <c r="AI23" s="387">
        <v>1000</v>
      </c>
      <c r="AJ23" s="387">
        <v>1000</v>
      </c>
      <c r="AK23" s="387">
        <v>1000</v>
      </c>
      <c r="AL23" s="387">
        <v>1000</v>
      </c>
      <c r="AM23" s="388">
        <f t="shared" si="2"/>
        <v>12000</v>
      </c>
      <c r="AN23" s="388">
        <f t="shared" si="3"/>
        <v>12000</v>
      </c>
      <c r="AO23" s="389">
        <f t="shared" si="69"/>
        <v>1000</v>
      </c>
      <c r="AP23" s="498" t="s">
        <v>682</v>
      </c>
      <c r="AQ23" s="159">
        <v>0.5</v>
      </c>
      <c r="AR23" s="160" t="s">
        <v>211</v>
      </c>
      <c r="AS23" s="119" t="s">
        <v>210</v>
      </c>
      <c r="AT23" s="111">
        <v>599029.07200000004</v>
      </c>
      <c r="AU23" s="111">
        <v>674924.03399999999</v>
      </c>
      <c r="AV23" s="111">
        <v>661574.74300000002</v>
      </c>
      <c r="AW23" s="111">
        <v>814158.93</v>
      </c>
      <c r="AX23" s="113">
        <v>526825.132354</v>
      </c>
      <c r="AY23" s="113">
        <v>660416.69881800015</v>
      </c>
      <c r="AZ23" s="113">
        <v>625149.67230000009</v>
      </c>
      <c r="BA23" s="113"/>
      <c r="BB23" s="113"/>
      <c r="BC23" s="113"/>
      <c r="BD23" s="113"/>
      <c r="BE23" s="113"/>
      <c r="BF23" s="114">
        <f t="shared" si="46"/>
        <v>526825.132354</v>
      </c>
      <c r="BG23" s="114">
        <f t="shared" si="46"/>
        <v>660416.69881800015</v>
      </c>
      <c r="BH23" s="114">
        <f t="shared" si="46"/>
        <v>625149.67230000009</v>
      </c>
      <c r="BI23" s="114">
        <f t="shared" si="46"/>
        <v>0</v>
      </c>
      <c r="BJ23" s="114">
        <f t="shared" si="4"/>
        <v>1812391.5034720004</v>
      </c>
      <c r="BK23" s="115">
        <f t="shared" si="5"/>
        <v>2749686.7790000001</v>
      </c>
      <c r="BL23" s="115">
        <f t="shared" si="47"/>
        <v>2749686.7790000001</v>
      </c>
      <c r="BM23" s="116">
        <f t="shared" si="48"/>
        <v>0.65910000000000002</v>
      </c>
      <c r="BN23" s="126">
        <f t="shared" ca="1" si="6"/>
        <v>0</v>
      </c>
      <c r="BO23" s="117">
        <f t="shared" ca="1" si="7"/>
        <v>0</v>
      </c>
      <c r="BP23" s="118" t="str">
        <f t="shared" si="8"/>
        <v>Uncapped</v>
      </c>
      <c r="BQ23" s="115">
        <f t="shared" ca="1" si="9"/>
        <v>0</v>
      </c>
      <c r="BR23" s="113" t="s">
        <v>700</v>
      </c>
      <c r="BS23" s="161">
        <v>0.3</v>
      </c>
      <c r="BT23" s="113" t="s">
        <v>211</v>
      </c>
      <c r="BU23" s="160" t="s">
        <v>210</v>
      </c>
      <c r="BV23" s="113">
        <v>86491.879950000002</v>
      </c>
      <c r="BW23" s="113">
        <v>99150.388949999993</v>
      </c>
      <c r="BX23" s="113">
        <v>100048.30095</v>
      </c>
      <c r="BY23" s="113">
        <v>103326.43015</v>
      </c>
      <c r="BZ23" s="113">
        <v>92500.451100000006</v>
      </c>
      <c r="CA23" s="113">
        <v>74380.470299999986</v>
      </c>
      <c r="CB23" s="113">
        <v>64585.930500000002</v>
      </c>
      <c r="CC23" s="113"/>
      <c r="CD23" s="113"/>
      <c r="CE23" s="113"/>
      <c r="CF23" s="113"/>
      <c r="CG23" s="113"/>
      <c r="CH23" s="114">
        <f t="shared" si="49"/>
        <v>92500.451100000006</v>
      </c>
      <c r="CI23" s="114">
        <f t="shared" si="49"/>
        <v>74380.470299999986</v>
      </c>
      <c r="CJ23" s="120">
        <f t="shared" si="49"/>
        <v>64585.930500000002</v>
      </c>
      <c r="CK23" s="114">
        <f t="shared" si="49"/>
        <v>0</v>
      </c>
      <c r="CL23" s="114">
        <f t="shared" si="10"/>
        <v>231466.85190000001</v>
      </c>
      <c r="CM23" s="114">
        <f t="shared" si="11"/>
        <v>389017</v>
      </c>
      <c r="CN23" s="114">
        <f t="shared" si="50"/>
        <v>389017</v>
      </c>
      <c r="CO23" s="116">
        <f t="shared" si="51"/>
        <v>0.59499999999999997</v>
      </c>
      <c r="CP23" s="126">
        <f t="shared" ca="1" si="52"/>
        <v>0</v>
      </c>
      <c r="CQ23" s="115">
        <f t="shared" ca="1" si="12"/>
        <v>0</v>
      </c>
      <c r="CR23" s="118" t="str">
        <f t="shared" si="53"/>
        <v>Uncapped</v>
      </c>
      <c r="CS23" s="115">
        <f t="shared" ca="1" si="13"/>
        <v>0</v>
      </c>
      <c r="CT23" s="113" t="s">
        <v>695</v>
      </c>
      <c r="CU23" s="119">
        <v>0.2</v>
      </c>
      <c r="CV23" s="113" t="s">
        <v>211</v>
      </c>
      <c r="CW23" s="113" t="s">
        <v>210</v>
      </c>
      <c r="CX23" s="113">
        <v>2382537.1912000002</v>
      </c>
      <c r="CY23" s="113">
        <v>2735536.2633999996</v>
      </c>
      <c r="CZ23" s="113">
        <v>2679273.3525999999</v>
      </c>
      <c r="DA23" s="113">
        <v>3226022.7538000001</v>
      </c>
      <c r="DB23" s="113">
        <v>2499648.717472</v>
      </c>
      <c r="DC23" s="113">
        <v>2774407.4780569817</v>
      </c>
      <c r="DD23" s="113">
        <v>2820386.492699998</v>
      </c>
      <c r="DE23" s="113"/>
      <c r="DF23" s="113"/>
      <c r="DG23" s="113"/>
      <c r="DH23" s="113"/>
      <c r="DI23" s="113"/>
      <c r="DJ23" s="114">
        <f t="shared" si="54"/>
        <v>2499648.717472</v>
      </c>
      <c r="DK23" s="114">
        <f t="shared" si="54"/>
        <v>2774407.4780569817</v>
      </c>
      <c r="DL23" s="114">
        <f t="shared" si="54"/>
        <v>2820386.492699998</v>
      </c>
      <c r="DM23" s="114">
        <f t="shared" si="54"/>
        <v>0</v>
      </c>
      <c r="DN23" s="114">
        <f t="shared" si="55"/>
        <v>8094442.6882289797</v>
      </c>
      <c r="DO23" s="114">
        <f t="shared" si="14"/>
        <v>11023369.561000001</v>
      </c>
      <c r="DP23" s="114">
        <f t="shared" si="56"/>
        <v>11023369.561000001</v>
      </c>
      <c r="DQ23" s="116">
        <f t="shared" si="57"/>
        <v>0.73429999999999995</v>
      </c>
      <c r="DR23" s="126">
        <f t="shared" ca="1" si="15"/>
        <v>0</v>
      </c>
      <c r="DS23" s="115">
        <f t="shared" ca="1" si="16"/>
        <v>0</v>
      </c>
      <c r="DT23" s="118" t="str">
        <f t="shared" si="58"/>
        <v>Uncapped</v>
      </c>
      <c r="DU23" s="115">
        <f t="shared" ca="1" si="17"/>
        <v>0</v>
      </c>
      <c r="DV23" s="113"/>
      <c r="DW23" s="119">
        <v>0</v>
      </c>
      <c r="DX23" s="113"/>
      <c r="DY23" s="113"/>
      <c r="DZ23" s="113">
        <v>0</v>
      </c>
      <c r="EA23" s="113">
        <v>0</v>
      </c>
      <c r="EB23" s="113">
        <v>0</v>
      </c>
      <c r="EC23" s="113">
        <v>0</v>
      </c>
      <c r="ED23" s="113">
        <v>0</v>
      </c>
      <c r="EE23" s="113">
        <v>0</v>
      </c>
      <c r="EF23" s="113"/>
      <c r="EG23" s="113"/>
      <c r="EH23" s="113"/>
      <c r="EI23" s="113"/>
      <c r="EJ23" s="113"/>
      <c r="EK23" s="113"/>
      <c r="EL23" s="114">
        <f t="shared" si="59"/>
        <v>0</v>
      </c>
      <c r="EM23" s="114">
        <f t="shared" si="59"/>
        <v>0</v>
      </c>
      <c r="EN23" s="114">
        <f t="shared" si="59"/>
        <v>0</v>
      </c>
      <c r="EO23" s="114">
        <f t="shared" si="59"/>
        <v>0</v>
      </c>
      <c r="EP23" s="114">
        <f t="shared" si="18"/>
        <v>0</v>
      </c>
      <c r="EQ23" s="114">
        <f t="shared" si="19"/>
        <v>0</v>
      </c>
      <c r="ER23" s="114">
        <f t="shared" si="60"/>
        <v>0</v>
      </c>
      <c r="ES23" s="116">
        <f t="shared" si="61"/>
        <v>0</v>
      </c>
      <c r="ET23" s="126">
        <f t="shared" ca="1" si="62"/>
        <v>0</v>
      </c>
      <c r="EU23" s="115">
        <f t="shared" ca="1" si="20"/>
        <v>0</v>
      </c>
      <c r="EV23" s="118" t="str">
        <f t="shared" si="21"/>
        <v>Uncapped</v>
      </c>
      <c r="EW23" s="115">
        <f t="shared" ca="1" si="22"/>
        <v>0</v>
      </c>
      <c r="EX23" s="112">
        <f t="shared" ca="1" si="23"/>
        <v>0</v>
      </c>
      <c r="EY23" s="114">
        <f t="shared" ca="1" si="63"/>
        <v>0</v>
      </c>
      <c r="EZ23" s="115">
        <v>1201735</v>
      </c>
      <c r="FA23" s="115">
        <v>819200.6555555556</v>
      </c>
      <c r="FB23" s="115">
        <v>1566452</v>
      </c>
      <c r="FC23" s="115">
        <v>0</v>
      </c>
      <c r="FD23" s="115">
        <f t="shared" si="24"/>
        <v>3587387.6555555556</v>
      </c>
      <c r="FE23" s="114">
        <f t="shared" si="25"/>
        <v>0</v>
      </c>
      <c r="FF23" s="115">
        <v>0</v>
      </c>
      <c r="FG23" s="115">
        <v>0</v>
      </c>
      <c r="FH23" s="115">
        <v>0</v>
      </c>
      <c r="FI23" s="115">
        <v>0</v>
      </c>
      <c r="FJ23" s="115">
        <f t="shared" si="26"/>
        <v>0</v>
      </c>
      <c r="FK23" s="114">
        <f t="shared" si="27"/>
        <v>0</v>
      </c>
      <c r="FL23" s="113"/>
      <c r="FM23" s="111"/>
      <c r="FN23" s="111"/>
      <c r="FO23" s="111"/>
      <c r="FP23" s="115">
        <f t="shared" si="28"/>
        <v>0</v>
      </c>
      <c r="FQ23" s="115"/>
      <c r="FR23" s="115"/>
      <c r="FS23" s="115"/>
      <c r="FT23" s="114">
        <f t="shared" si="64"/>
        <v>0</v>
      </c>
      <c r="FU23" s="366">
        <f t="shared" ca="1" si="66"/>
        <v>3587387.66</v>
      </c>
      <c r="FV23" s="121">
        <f t="shared" ca="1" si="65"/>
        <v>3587387.6555555556</v>
      </c>
      <c r="FW23" s="114">
        <f t="shared" si="70"/>
        <v>0</v>
      </c>
      <c r="FX23" s="114">
        <f t="shared" si="70"/>
        <v>0</v>
      </c>
      <c r="FY23" s="114">
        <f t="shared" si="70"/>
        <v>0</v>
      </c>
      <c r="FZ23" s="114">
        <f t="shared" si="70"/>
        <v>0</v>
      </c>
      <c r="GA23" s="114">
        <f t="shared" si="30"/>
        <v>0</v>
      </c>
      <c r="GB23" s="114">
        <f t="shared" si="71"/>
        <v>1201735</v>
      </c>
      <c r="GC23" s="114">
        <f t="shared" si="71"/>
        <v>819200.6555555556</v>
      </c>
      <c r="GD23" s="114">
        <f t="shared" si="71"/>
        <v>1566452</v>
      </c>
      <c r="GE23" s="114">
        <f t="shared" si="71"/>
        <v>0</v>
      </c>
      <c r="GF23" s="114">
        <f t="shared" si="72"/>
        <v>1201735</v>
      </c>
      <c r="GG23" s="114">
        <f t="shared" si="72"/>
        <v>819200.6555555556</v>
      </c>
      <c r="GH23" s="114">
        <f t="shared" si="72"/>
        <v>1566452</v>
      </c>
      <c r="GI23" s="114">
        <f t="shared" si="72"/>
        <v>0</v>
      </c>
      <c r="GJ23" s="115">
        <f t="shared" si="33"/>
        <v>3587387.6555555556</v>
      </c>
      <c r="GK23" s="114">
        <f t="shared" si="34"/>
        <v>3587387.6555555556</v>
      </c>
      <c r="GL23" s="114">
        <f t="shared" si="35"/>
        <v>0</v>
      </c>
      <c r="GM23" s="114">
        <f t="shared" si="36"/>
        <v>0</v>
      </c>
      <c r="GN23" s="114">
        <f t="shared" si="37"/>
        <v>0</v>
      </c>
      <c r="GO23" s="114">
        <f t="shared" si="38"/>
        <v>0</v>
      </c>
      <c r="GP23" s="114">
        <f t="shared" si="39"/>
        <v>0</v>
      </c>
      <c r="GQ23" s="114">
        <f t="shared" si="40"/>
        <v>0</v>
      </c>
      <c r="GR23" s="193"/>
      <c r="GS23" s="122">
        <f t="shared" si="41"/>
        <v>10138301.04360098</v>
      </c>
      <c r="GT23" s="122">
        <f t="shared" si="41"/>
        <v>14162073.34</v>
      </c>
      <c r="GU23" s="123">
        <f t="shared" si="42"/>
        <v>0.71587689176597502</v>
      </c>
      <c r="GV23" s="124">
        <f t="shared" ca="1" si="43"/>
        <v>0</v>
      </c>
      <c r="GW23" s="124">
        <v>0</v>
      </c>
      <c r="GX23" s="32">
        <f t="shared" ca="1" si="44"/>
        <v>0</v>
      </c>
      <c r="GY23" s="100"/>
    </row>
    <row r="24" spans="1:207" s="165" customFormat="1" ht="15" hidden="1" customHeight="1">
      <c r="A24" s="102"/>
      <c r="B24" s="103"/>
      <c r="C24" s="103"/>
      <c r="D24" s="104"/>
      <c r="E24" s="104" t="s">
        <v>253</v>
      </c>
      <c r="F24" s="104" t="s">
        <v>266</v>
      </c>
      <c r="G24" s="104" t="s">
        <v>226</v>
      </c>
      <c r="H24" s="105" t="s">
        <v>284</v>
      </c>
      <c r="I24" s="106" t="s">
        <v>285</v>
      </c>
      <c r="J24" s="104" t="s">
        <v>212</v>
      </c>
      <c r="K24" s="104" t="s">
        <v>208</v>
      </c>
      <c r="L24" s="104" t="s">
        <v>213</v>
      </c>
      <c r="M24" s="104" t="s">
        <v>269</v>
      </c>
      <c r="N24" s="107"/>
      <c r="O24" s="108">
        <v>42555</v>
      </c>
      <c r="P24" s="108">
        <v>42555</v>
      </c>
      <c r="Q24" s="322">
        <f t="shared" si="0"/>
        <v>0</v>
      </c>
      <c r="R24" s="109">
        <f>IF((P24-VLOOKUP(Q24,month!$A$1:$C$13,3,0))&lt;0,Q24,Q24+1)</f>
        <v>0</v>
      </c>
      <c r="S24" s="108"/>
      <c r="T24" s="110" t="str">
        <f t="shared" si="67"/>
        <v/>
      </c>
      <c r="U24" s="107"/>
      <c r="V24" s="107"/>
      <c r="W24" s="107"/>
      <c r="X24" s="107"/>
      <c r="Y24" s="386"/>
      <c r="Z24" s="386" t="s">
        <v>545</v>
      </c>
      <c r="AA24" s="387">
        <v>1000</v>
      </c>
      <c r="AB24" s="387">
        <v>1000</v>
      </c>
      <c r="AC24" s="387">
        <v>1000</v>
      </c>
      <c r="AD24" s="387">
        <v>1000</v>
      </c>
      <c r="AE24" s="387">
        <v>1000</v>
      </c>
      <c r="AF24" s="387">
        <v>1000</v>
      </c>
      <c r="AG24" s="387">
        <v>1000</v>
      </c>
      <c r="AH24" s="387">
        <v>1000</v>
      </c>
      <c r="AI24" s="387">
        <v>1000</v>
      </c>
      <c r="AJ24" s="387">
        <v>1000</v>
      </c>
      <c r="AK24" s="387">
        <v>1000</v>
      </c>
      <c r="AL24" s="387">
        <v>1000</v>
      </c>
      <c r="AM24" s="388">
        <f t="shared" si="2"/>
        <v>12000</v>
      </c>
      <c r="AN24" s="388">
        <f t="shared" si="3"/>
        <v>12000</v>
      </c>
      <c r="AO24" s="389">
        <f t="shared" si="69"/>
        <v>1000</v>
      </c>
      <c r="AP24" s="498" t="s">
        <v>682</v>
      </c>
      <c r="AQ24" s="159">
        <v>0.5</v>
      </c>
      <c r="AR24" s="160" t="s">
        <v>211</v>
      </c>
      <c r="AS24" s="119" t="s">
        <v>210</v>
      </c>
      <c r="AT24" s="111">
        <v>510704.67350000003</v>
      </c>
      <c r="AU24" s="111">
        <v>588943.92939999991</v>
      </c>
      <c r="AV24" s="111">
        <v>577769.1155999999</v>
      </c>
      <c r="AW24" s="111">
        <v>690871.29550000001</v>
      </c>
      <c r="AX24" s="113">
        <v>668149.86419999995</v>
      </c>
      <c r="AY24" s="113">
        <v>520580.43540000054</v>
      </c>
      <c r="AZ24" s="113">
        <v>709246.9079999997</v>
      </c>
      <c r="BA24" s="113"/>
      <c r="BB24" s="113"/>
      <c r="BC24" s="113"/>
      <c r="BD24" s="113"/>
      <c r="BE24" s="113"/>
      <c r="BF24" s="114">
        <f t="shared" si="46"/>
        <v>668149.86419999995</v>
      </c>
      <c r="BG24" s="114">
        <f t="shared" si="46"/>
        <v>520580.43540000054</v>
      </c>
      <c r="BH24" s="114">
        <f t="shared" si="46"/>
        <v>709246.9079999997</v>
      </c>
      <c r="BI24" s="114">
        <f t="shared" si="46"/>
        <v>0</v>
      </c>
      <c r="BJ24" s="114">
        <f t="shared" si="4"/>
        <v>1897977.2076000003</v>
      </c>
      <c r="BK24" s="115">
        <f t="shared" si="5"/>
        <v>2368289.0139999995</v>
      </c>
      <c r="BL24" s="115">
        <f t="shared" si="47"/>
        <v>2368289.0139999995</v>
      </c>
      <c r="BM24" s="116">
        <f t="shared" si="48"/>
        <v>0.8014</v>
      </c>
      <c r="BN24" s="126">
        <f t="shared" ca="1" si="6"/>
        <v>0</v>
      </c>
      <c r="BO24" s="117">
        <f t="shared" ca="1" si="7"/>
        <v>0</v>
      </c>
      <c r="BP24" s="118" t="str">
        <f t="shared" si="8"/>
        <v>Uncapped</v>
      </c>
      <c r="BQ24" s="115">
        <f t="shared" ca="1" si="9"/>
        <v>0</v>
      </c>
      <c r="BR24" s="113" t="s">
        <v>700</v>
      </c>
      <c r="BS24" s="161">
        <v>0.3</v>
      </c>
      <c r="BT24" s="113" t="s">
        <v>211</v>
      </c>
      <c r="BU24" s="160" t="s">
        <v>210</v>
      </c>
      <c r="BV24" s="113">
        <v>219600.67159999997</v>
      </c>
      <c r="BW24" s="113">
        <v>241095.71359999999</v>
      </c>
      <c r="BX24" s="113">
        <v>239548.59960000002</v>
      </c>
      <c r="BY24" s="113">
        <v>281271.01519999997</v>
      </c>
      <c r="BZ24" s="113">
        <v>229000.17600000001</v>
      </c>
      <c r="CA24" s="113">
        <v>273922.93619999994</v>
      </c>
      <c r="CB24" s="113">
        <v>278333.7291</v>
      </c>
      <c r="CC24" s="113"/>
      <c r="CD24" s="113"/>
      <c r="CE24" s="113"/>
      <c r="CF24" s="113"/>
      <c r="CG24" s="113"/>
      <c r="CH24" s="114">
        <f t="shared" si="49"/>
        <v>229000.17600000001</v>
      </c>
      <c r="CI24" s="114">
        <f t="shared" si="49"/>
        <v>273922.93619999994</v>
      </c>
      <c r="CJ24" s="120">
        <f t="shared" si="49"/>
        <v>278333.7291</v>
      </c>
      <c r="CK24" s="114">
        <f t="shared" si="49"/>
        <v>0</v>
      </c>
      <c r="CL24" s="114">
        <f t="shared" si="10"/>
        <v>781256.84129999997</v>
      </c>
      <c r="CM24" s="114">
        <f t="shared" si="11"/>
        <v>981516</v>
      </c>
      <c r="CN24" s="114">
        <f t="shared" si="50"/>
        <v>981516</v>
      </c>
      <c r="CO24" s="116">
        <f t="shared" si="51"/>
        <v>0.79600000000000004</v>
      </c>
      <c r="CP24" s="126">
        <f t="shared" ca="1" si="52"/>
        <v>0</v>
      </c>
      <c r="CQ24" s="115">
        <f t="shared" ca="1" si="12"/>
        <v>0</v>
      </c>
      <c r="CR24" s="118" t="str">
        <f t="shared" si="53"/>
        <v>Uncapped</v>
      </c>
      <c r="CS24" s="115">
        <f t="shared" ca="1" si="13"/>
        <v>0</v>
      </c>
      <c r="CT24" s="113" t="s">
        <v>695</v>
      </c>
      <c r="CU24" s="119">
        <v>0.2</v>
      </c>
      <c r="CV24" s="113" t="s">
        <v>211</v>
      </c>
      <c r="CW24" s="113" t="s">
        <v>210</v>
      </c>
      <c r="CX24" s="113">
        <v>2382537.1912000002</v>
      </c>
      <c r="CY24" s="113">
        <v>2735536.2633999996</v>
      </c>
      <c r="CZ24" s="113">
        <v>2679273.3525999999</v>
      </c>
      <c r="DA24" s="113">
        <v>3226022.7538000001</v>
      </c>
      <c r="DB24" s="113">
        <v>2499648.717472</v>
      </c>
      <c r="DC24" s="113">
        <v>2774407.4780569817</v>
      </c>
      <c r="DD24" s="113">
        <v>2820386.492699998</v>
      </c>
      <c r="DE24" s="113"/>
      <c r="DF24" s="113"/>
      <c r="DG24" s="113"/>
      <c r="DH24" s="113"/>
      <c r="DI24" s="113"/>
      <c r="DJ24" s="114">
        <f t="shared" si="54"/>
        <v>2499648.717472</v>
      </c>
      <c r="DK24" s="114">
        <f t="shared" si="54"/>
        <v>2774407.4780569817</v>
      </c>
      <c r="DL24" s="114">
        <f t="shared" si="54"/>
        <v>2820386.492699998</v>
      </c>
      <c r="DM24" s="114">
        <f t="shared" si="54"/>
        <v>0</v>
      </c>
      <c r="DN24" s="114">
        <f t="shared" si="55"/>
        <v>8094442.6882289797</v>
      </c>
      <c r="DO24" s="114">
        <f t="shared" si="14"/>
        <v>11023369.561000001</v>
      </c>
      <c r="DP24" s="114">
        <f t="shared" si="56"/>
        <v>11023369.561000001</v>
      </c>
      <c r="DQ24" s="116">
        <f t="shared" si="57"/>
        <v>0.73429999999999995</v>
      </c>
      <c r="DR24" s="126">
        <f t="shared" ca="1" si="15"/>
        <v>0</v>
      </c>
      <c r="DS24" s="115">
        <f t="shared" ca="1" si="16"/>
        <v>0</v>
      </c>
      <c r="DT24" s="118" t="str">
        <f t="shared" si="58"/>
        <v>Uncapped</v>
      </c>
      <c r="DU24" s="115">
        <f t="shared" ca="1" si="17"/>
        <v>0</v>
      </c>
      <c r="DV24" s="113"/>
      <c r="DW24" s="119">
        <v>0</v>
      </c>
      <c r="DX24" s="113"/>
      <c r="DY24" s="113"/>
      <c r="DZ24" s="113">
        <v>0</v>
      </c>
      <c r="EA24" s="113">
        <v>0</v>
      </c>
      <c r="EB24" s="113">
        <v>0</v>
      </c>
      <c r="EC24" s="113">
        <v>0</v>
      </c>
      <c r="ED24" s="113">
        <v>0</v>
      </c>
      <c r="EE24" s="113">
        <v>0</v>
      </c>
      <c r="EF24" s="113"/>
      <c r="EG24" s="113"/>
      <c r="EH24" s="113"/>
      <c r="EI24" s="113"/>
      <c r="EJ24" s="113"/>
      <c r="EK24" s="113"/>
      <c r="EL24" s="114">
        <f t="shared" si="59"/>
        <v>0</v>
      </c>
      <c r="EM24" s="114">
        <f t="shared" si="59"/>
        <v>0</v>
      </c>
      <c r="EN24" s="114">
        <f t="shared" si="59"/>
        <v>0</v>
      </c>
      <c r="EO24" s="114">
        <f t="shared" si="59"/>
        <v>0</v>
      </c>
      <c r="EP24" s="114">
        <f t="shared" si="18"/>
        <v>0</v>
      </c>
      <c r="EQ24" s="114">
        <f t="shared" si="19"/>
        <v>0</v>
      </c>
      <c r="ER24" s="114">
        <f t="shared" si="60"/>
        <v>0</v>
      </c>
      <c r="ES24" s="116">
        <f t="shared" si="61"/>
        <v>0</v>
      </c>
      <c r="ET24" s="126">
        <f t="shared" ca="1" si="62"/>
        <v>0</v>
      </c>
      <c r="EU24" s="115">
        <f t="shared" ca="1" si="20"/>
        <v>0</v>
      </c>
      <c r="EV24" s="118" t="str">
        <f t="shared" si="21"/>
        <v>Uncapped</v>
      </c>
      <c r="EW24" s="115">
        <f t="shared" ca="1" si="22"/>
        <v>0</v>
      </c>
      <c r="EX24" s="112">
        <f t="shared" ca="1" si="23"/>
        <v>0</v>
      </c>
      <c r="EY24" s="114">
        <f t="shared" ca="1" si="63"/>
        <v>0</v>
      </c>
      <c r="EZ24" s="115">
        <v>2774950</v>
      </c>
      <c r="FA24" s="115">
        <f>648678.5+128482</f>
        <v>777160.5</v>
      </c>
      <c r="FB24" s="115">
        <v>781595</v>
      </c>
      <c r="FC24" s="115">
        <v>0</v>
      </c>
      <c r="FD24" s="115">
        <f t="shared" si="24"/>
        <v>4333705.5</v>
      </c>
      <c r="FE24" s="114">
        <f t="shared" si="25"/>
        <v>0</v>
      </c>
      <c r="FF24" s="115">
        <v>0</v>
      </c>
      <c r="FG24" s="115">
        <v>0</v>
      </c>
      <c r="FH24" s="115">
        <v>0</v>
      </c>
      <c r="FI24" s="115">
        <v>0</v>
      </c>
      <c r="FJ24" s="115">
        <f t="shared" si="26"/>
        <v>0</v>
      </c>
      <c r="FK24" s="114">
        <f t="shared" si="27"/>
        <v>0</v>
      </c>
      <c r="FL24" s="113"/>
      <c r="FM24" s="111"/>
      <c r="FN24" s="111"/>
      <c r="FO24" s="111"/>
      <c r="FP24" s="115">
        <f t="shared" si="28"/>
        <v>0</v>
      </c>
      <c r="FQ24" s="115"/>
      <c r="FR24" s="488"/>
      <c r="FS24" s="115"/>
      <c r="FT24" s="114">
        <f t="shared" si="64"/>
        <v>0</v>
      </c>
      <c r="FU24" s="366">
        <f t="shared" ca="1" si="66"/>
        <v>4333705.5</v>
      </c>
      <c r="FV24" s="121">
        <f t="shared" ca="1" si="65"/>
        <v>4333705.5</v>
      </c>
      <c r="FW24" s="114">
        <f t="shared" si="70"/>
        <v>0</v>
      </c>
      <c r="FX24" s="114">
        <f t="shared" si="70"/>
        <v>0</v>
      </c>
      <c r="FY24" s="114">
        <f t="shared" si="70"/>
        <v>0</v>
      </c>
      <c r="FZ24" s="114">
        <f t="shared" si="70"/>
        <v>0</v>
      </c>
      <c r="GA24" s="114">
        <f t="shared" si="30"/>
        <v>0</v>
      </c>
      <c r="GB24" s="114">
        <f t="shared" si="71"/>
        <v>2774950</v>
      </c>
      <c r="GC24" s="114">
        <f t="shared" si="71"/>
        <v>777160.5</v>
      </c>
      <c r="GD24" s="114">
        <f t="shared" si="71"/>
        <v>781595</v>
      </c>
      <c r="GE24" s="114">
        <f t="shared" si="71"/>
        <v>0</v>
      </c>
      <c r="GF24" s="114">
        <f t="shared" si="72"/>
        <v>2774950</v>
      </c>
      <c r="GG24" s="114">
        <f t="shared" si="72"/>
        <v>777160.5</v>
      </c>
      <c r="GH24" s="114">
        <f t="shared" si="72"/>
        <v>781595</v>
      </c>
      <c r="GI24" s="114">
        <f t="shared" si="72"/>
        <v>0</v>
      </c>
      <c r="GJ24" s="115">
        <f t="shared" si="33"/>
        <v>4333705.5</v>
      </c>
      <c r="GK24" s="114">
        <f t="shared" si="34"/>
        <v>4333705.5</v>
      </c>
      <c r="GL24" s="114">
        <f t="shared" si="35"/>
        <v>0</v>
      </c>
      <c r="GM24" s="114">
        <f t="shared" si="36"/>
        <v>0</v>
      </c>
      <c r="GN24" s="114">
        <f t="shared" si="37"/>
        <v>0</v>
      </c>
      <c r="GO24" s="114">
        <f t="shared" si="38"/>
        <v>0</v>
      </c>
      <c r="GP24" s="114">
        <f t="shared" si="39"/>
        <v>0</v>
      </c>
      <c r="GQ24" s="114">
        <f t="shared" si="40"/>
        <v>0</v>
      </c>
      <c r="GR24" s="193"/>
      <c r="GS24" s="122">
        <f t="shared" si="41"/>
        <v>10773676.73712898</v>
      </c>
      <c r="GT24" s="122">
        <f t="shared" si="41"/>
        <v>14373174.574999999</v>
      </c>
      <c r="GU24" s="123">
        <f t="shared" si="42"/>
        <v>0.74956834907357139</v>
      </c>
      <c r="GV24" s="124">
        <f t="shared" ca="1" si="43"/>
        <v>0</v>
      </c>
      <c r="GW24" s="124">
        <v>0</v>
      </c>
      <c r="GX24" s="32">
        <f t="shared" ca="1" si="44"/>
        <v>0</v>
      </c>
      <c r="GY24" s="100"/>
    </row>
    <row r="25" spans="1:207" s="125" customFormat="1" ht="15" hidden="1" customHeight="1">
      <c r="A25" s="102"/>
      <c r="B25" s="103"/>
      <c r="C25" s="103"/>
      <c r="D25" s="104"/>
      <c r="E25" s="104" t="s">
        <v>253</v>
      </c>
      <c r="F25" s="104" t="s">
        <v>266</v>
      </c>
      <c r="G25" s="104" t="s">
        <v>226</v>
      </c>
      <c r="H25" s="105" t="s">
        <v>286</v>
      </c>
      <c r="I25" s="106" t="s">
        <v>287</v>
      </c>
      <c r="J25" s="104" t="s">
        <v>212</v>
      </c>
      <c r="K25" s="104" t="s">
        <v>208</v>
      </c>
      <c r="L25" s="104" t="s">
        <v>213</v>
      </c>
      <c r="M25" s="104" t="s">
        <v>269</v>
      </c>
      <c r="N25" s="107"/>
      <c r="O25" s="108">
        <v>42744</v>
      </c>
      <c r="P25" s="108">
        <v>42744</v>
      </c>
      <c r="Q25" s="322">
        <f t="shared" si="0"/>
        <v>0</v>
      </c>
      <c r="R25" s="109">
        <f>IF((P25-VLOOKUP(Q25,month!$A$1:$C$13,3,0))&lt;0,Q25,Q25+1)</f>
        <v>0</v>
      </c>
      <c r="S25" s="108"/>
      <c r="T25" s="127" t="str">
        <f t="shared" si="67"/>
        <v/>
      </c>
      <c r="U25" s="107"/>
      <c r="V25" s="107"/>
      <c r="W25" s="107"/>
      <c r="X25" s="107"/>
      <c r="Y25" s="386"/>
      <c r="Z25" s="386" t="s">
        <v>545</v>
      </c>
      <c r="AA25" s="387">
        <v>1000</v>
      </c>
      <c r="AB25" s="387">
        <v>1000</v>
      </c>
      <c r="AC25" s="387">
        <v>1000</v>
      </c>
      <c r="AD25" s="387">
        <v>1000</v>
      </c>
      <c r="AE25" s="387">
        <v>1000</v>
      </c>
      <c r="AF25" s="387">
        <v>1000</v>
      </c>
      <c r="AG25" s="387">
        <v>1000</v>
      </c>
      <c r="AH25" s="387">
        <v>1000</v>
      </c>
      <c r="AI25" s="387">
        <v>1000</v>
      </c>
      <c r="AJ25" s="387">
        <v>1000</v>
      </c>
      <c r="AK25" s="387">
        <v>1000</v>
      </c>
      <c r="AL25" s="387">
        <v>1000</v>
      </c>
      <c r="AM25" s="388">
        <f t="shared" si="2"/>
        <v>12000</v>
      </c>
      <c r="AN25" s="388">
        <f t="shared" si="3"/>
        <v>12000</v>
      </c>
      <c r="AO25" s="389">
        <f t="shared" si="69"/>
        <v>1000</v>
      </c>
      <c r="AP25" s="498" t="s">
        <v>682</v>
      </c>
      <c r="AQ25" s="159">
        <v>0.5</v>
      </c>
      <c r="AR25" s="160" t="s">
        <v>211</v>
      </c>
      <c r="AS25" s="119" t="s">
        <v>210</v>
      </c>
      <c r="AT25" s="111">
        <v>451000.84899999999</v>
      </c>
      <c r="AU25" s="111">
        <v>531158.85820000002</v>
      </c>
      <c r="AV25" s="111">
        <v>536069.15179999999</v>
      </c>
      <c r="AW25" s="111">
        <v>631464.94200000004</v>
      </c>
      <c r="AX25" s="113">
        <v>452670.18210000003</v>
      </c>
      <c r="AY25" s="113">
        <v>652791.39573600038</v>
      </c>
      <c r="AZ25" s="113">
        <v>454792.29389999923</v>
      </c>
      <c r="BA25" s="113"/>
      <c r="BB25" s="113"/>
      <c r="BC25" s="113"/>
      <c r="BD25" s="113"/>
      <c r="BE25" s="113"/>
      <c r="BF25" s="114">
        <f t="shared" si="46"/>
        <v>452670.18210000003</v>
      </c>
      <c r="BG25" s="114">
        <f t="shared" si="46"/>
        <v>652791.39573600038</v>
      </c>
      <c r="BH25" s="114">
        <f t="shared" si="46"/>
        <v>454792.29389999923</v>
      </c>
      <c r="BI25" s="114">
        <f t="shared" si="46"/>
        <v>0</v>
      </c>
      <c r="BJ25" s="114">
        <f t="shared" si="4"/>
        <v>1560253.8717359996</v>
      </c>
      <c r="BK25" s="115">
        <f t="shared" si="5"/>
        <v>2149693.801</v>
      </c>
      <c r="BL25" s="115">
        <f t="shared" si="47"/>
        <v>2149693.801</v>
      </c>
      <c r="BM25" s="116">
        <f t="shared" si="48"/>
        <v>0.7258</v>
      </c>
      <c r="BN25" s="126">
        <f t="shared" ca="1" si="6"/>
        <v>0</v>
      </c>
      <c r="BO25" s="117">
        <f t="shared" ca="1" si="7"/>
        <v>0</v>
      </c>
      <c r="BP25" s="118" t="str">
        <f t="shared" si="8"/>
        <v>Uncapped</v>
      </c>
      <c r="BQ25" s="115">
        <f t="shared" ca="1" si="9"/>
        <v>0</v>
      </c>
      <c r="BR25" s="113" t="s">
        <v>700</v>
      </c>
      <c r="BS25" s="161">
        <v>0.3</v>
      </c>
      <c r="BT25" s="113" t="s">
        <v>211</v>
      </c>
      <c r="BU25" s="160" t="s">
        <v>210</v>
      </c>
      <c r="BV25" s="113">
        <v>87886.031199999998</v>
      </c>
      <c r="BW25" s="113">
        <v>100197.2527</v>
      </c>
      <c r="BX25" s="113">
        <v>100911.42720000001</v>
      </c>
      <c r="BY25" s="113">
        <v>105972.28889999999</v>
      </c>
      <c r="BZ25" s="113">
        <v>65658.507299999997</v>
      </c>
      <c r="CA25" s="113">
        <v>81133.030799999979</v>
      </c>
      <c r="CB25" s="113">
        <v>94106.565000000002</v>
      </c>
      <c r="CC25" s="113"/>
      <c r="CD25" s="113"/>
      <c r="CE25" s="113"/>
      <c r="CF25" s="113"/>
      <c r="CG25" s="113"/>
      <c r="CH25" s="114">
        <f t="shared" si="49"/>
        <v>65658.507299999997</v>
      </c>
      <c r="CI25" s="114">
        <f t="shared" si="49"/>
        <v>81133.030799999979</v>
      </c>
      <c r="CJ25" s="120">
        <f t="shared" si="49"/>
        <v>94106.565000000002</v>
      </c>
      <c r="CK25" s="114">
        <f t="shared" si="49"/>
        <v>0</v>
      </c>
      <c r="CL25" s="114">
        <f t="shared" si="10"/>
        <v>240898.10309999998</v>
      </c>
      <c r="CM25" s="114">
        <f t="shared" si="11"/>
        <v>394966.99999999994</v>
      </c>
      <c r="CN25" s="114">
        <f t="shared" si="50"/>
        <v>394966.99999999994</v>
      </c>
      <c r="CO25" s="116">
        <f t="shared" si="51"/>
        <v>0.6099</v>
      </c>
      <c r="CP25" s="126">
        <f t="shared" ca="1" si="52"/>
        <v>0</v>
      </c>
      <c r="CQ25" s="115">
        <f t="shared" ca="1" si="12"/>
        <v>0</v>
      </c>
      <c r="CR25" s="118" t="str">
        <f t="shared" si="53"/>
        <v>Uncapped</v>
      </c>
      <c r="CS25" s="115">
        <f t="shared" ca="1" si="13"/>
        <v>0</v>
      </c>
      <c r="CT25" s="113" t="s">
        <v>695</v>
      </c>
      <c r="CU25" s="119">
        <v>0.2</v>
      </c>
      <c r="CV25" s="113" t="s">
        <v>211</v>
      </c>
      <c r="CW25" s="113" t="s">
        <v>210</v>
      </c>
      <c r="CX25" s="113">
        <v>2382537.1912000002</v>
      </c>
      <c r="CY25" s="113">
        <v>2735536.2633999996</v>
      </c>
      <c r="CZ25" s="113">
        <v>2679273.3525999999</v>
      </c>
      <c r="DA25" s="113">
        <v>3226022.7538000001</v>
      </c>
      <c r="DB25" s="113">
        <v>2499648.717472</v>
      </c>
      <c r="DC25" s="113">
        <v>2774407.4780569817</v>
      </c>
      <c r="DD25" s="113">
        <v>2820386.492699998</v>
      </c>
      <c r="DE25" s="113"/>
      <c r="DF25" s="113"/>
      <c r="DG25" s="113"/>
      <c r="DH25" s="113"/>
      <c r="DI25" s="113"/>
      <c r="DJ25" s="114">
        <f t="shared" si="54"/>
        <v>2499648.717472</v>
      </c>
      <c r="DK25" s="114">
        <f t="shared" si="54"/>
        <v>2774407.4780569817</v>
      </c>
      <c r="DL25" s="114">
        <f t="shared" si="54"/>
        <v>2820386.492699998</v>
      </c>
      <c r="DM25" s="114">
        <f t="shared" si="54"/>
        <v>0</v>
      </c>
      <c r="DN25" s="114">
        <f t="shared" si="55"/>
        <v>8094442.6882289797</v>
      </c>
      <c r="DO25" s="114">
        <f t="shared" si="14"/>
        <v>11023369.561000001</v>
      </c>
      <c r="DP25" s="114">
        <f t="shared" si="56"/>
        <v>11023369.561000001</v>
      </c>
      <c r="DQ25" s="116">
        <f t="shared" si="57"/>
        <v>0.73429999999999995</v>
      </c>
      <c r="DR25" s="126">
        <f t="shared" ca="1" si="15"/>
        <v>0</v>
      </c>
      <c r="DS25" s="115">
        <f t="shared" ca="1" si="16"/>
        <v>0</v>
      </c>
      <c r="DT25" s="118" t="str">
        <f t="shared" si="58"/>
        <v>Uncapped</v>
      </c>
      <c r="DU25" s="115">
        <f t="shared" ca="1" si="17"/>
        <v>0</v>
      </c>
      <c r="DV25" s="113"/>
      <c r="DW25" s="119">
        <v>0</v>
      </c>
      <c r="DX25" s="113"/>
      <c r="DY25" s="113"/>
      <c r="DZ25" s="113">
        <v>0</v>
      </c>
      <c r="EA25" s="113">
        <v>0</v>
      </c>
      <c r="EB25" s="113">
        <v>0</v>
      </c>
      <c r="EC25" s="113">
        <v>0</v>
      </c>
      <c r="ED25" s="113">
        <v>0</v>
      </c>
      <c r="EE25" s="113">
        <v>0</v>
      </c>
      <c r="EF25" s="113"/>
      <c r="EG25" s="113"/>
      <c r="EH25" s="113"/>
      <c r="EI25" s="113"/>
      <c r="EJ25" s="113"/>
      <c r="EK25" s="113"/>
      <c r="EL25" s="114">
        <f t="shared" si="59"/>
        <v>0</v>
      </c>
      <c r="EM25" s="114">
        <f t="shared" si="59"/>
        <v>0</v>
      </c>
      <c r="EN25" s="114">
        <f t="shared" si="59"/>
        <v>0</v>
      </c>
      <c r="EO25" s="114">
        <f t="shared" si="59"/>
        <v>0</v>
      </c>
      <c r="EP25" s="114">
        <f t="shared" si="18"/>
        <v>0</v>
      </c>
      <c r="EQ25" s="114">
        <f t="shared" si="19"/>
        <v>0</v>
      </c>
      <c r="ER25" s="114">
        <f t="shared" si="60"/>
        <v>0</v>
      </c>
      <c r="ES25" s="116">
        <f t="shared" si="61"/>
        <v>0</v>
      </c>
      <c r="ET25" s="126">
        <f t="shared" ca="1" si="62"/>
        <v>0</v>
      </c>
      <c r="EU25" s="115">
        <f t="shared" ca="1" si="20"/>
        <v>0</v>
      </c>
      <c r="EV25" s="118" t="str">
        <f t="shared" si="21"/>
        <v>Uncapped</v>
      </c>
      <c r="EW25" s="115">
        <f t="shared" ca="1" si="22"/>
        <v>0</v>
      </c>
      <c r="EX25" s="112">
        <f t="shared" ca="1" si="23"/>
        <v>0</v>
      </c>
      <c r="EY25" s="114">
        <f t="shared" ca="1" si="63"/>
        <v>0</v>
      </c>
      <c r="EZ25" s="115">
        <v>669300</v>
      </c>
      <c r="FA25" s="115">
        <v>344000</v>
      </c>
      <c r="FB25" s="115">
        <v>753262</v>
      </c>
      <c r="FC25" s="115">
        <v>0</v>
      </c>
      <c r="FD25" s="115">
        <f t="shared" si="24"/>
        <v>1766562</v>
      </c>
      <c r="FE25" s="114">
        <f t="shared" si="25"/>
        <v>0</v>
      </c>
      <c r="FF25" s="115">
        <v>0</v>
      </c>
      <c r="FG25" s="115">
        <v>0</v>
      </c>
      <c r="FH25" s="115">
        <v>0</v>
      </c>
      <c r="FI25" s="115">
        <v>0</v>
      </c>
      <c r="FJ25" s="115">
        <f t="shared" si="26"/>
        <v>0</v>
      </c>
      <c r="FK25" s="114">
        <f t="shared" si="27"/>
        <v>0</v>
      </c>
      <c r="FL25" s="113"/>
      <c r="FM25" s="111"/>
      <c r="FN25" s="111"/>
      <c r="FO25" s="111"/>
      <c r="FP25" s="115">
        <f t="shared" si="28"/>
        <v>0</v>
      </c>
      <c r="FQ25" s="115"/>
      <c r="FR25" s="115"/>
      <c r="FS25" s="115"/>
      <c r="FT25" s="114">
        <f t="shared" si="64"/>
        <v>0</v>
      </c>
      <c r="FU25" s="366">
        <f t="shared" ca="1" si="66"/>
        <v>1766562</v>
      </c>
      <c r="FV25" s="121">
        <f t="shared" ca="1" si="65"/>
        <v>1766562</v>
      </c>
      <c r="FW25" s="114">
        <f t="shared" si="70"/>
        <v>0</v>
      </c>
      <c r="FX25" s="114">
        <f t="shared" si="70"/>
        <v>0</v>
      </c>
      <c r="FY25" s="114">
        <f t="shared" si="70"/>
        <v>0</v>
      </c>
      <c r="FZ25" s="114">
        <f t="shared" si="70"/>
        <v>0</v>
      </c>
      <c r="GA25" s="114">
        <f t="shared" si="30"/>
        <v>0</v>
      </c>
      <c r="GB25" s="114">
        <f t="shared" si="71"/>
        <v>669300</v>
      </c>
      <c r="GC25" s="114">
        <f t="shared" si="71"/>
        <v>344000</v>
      </c>
      <c r="GD25" s="114">
        <f t="shared" si="71"/>
        <v>753262</v>
      </c>
      <c r="GE25" s="114">
        <f t="shared" si="71"/>
        <v>0</v>
      </c>
      <c r="GF25" s="114">
        <f t="shared" si="72"/>
        <v>669300</v>
      </c>
      <c r="GG25" s="114">
        <f t="shared" si="72"/>
        <v>344000</v>
      </c>
      <c r="GH25" s="114">
        <f t="shared" si="72"/>
        <v>753262</v>
      </c>
      <c r="GI25" s="114">
        <f t="shared" si="72"/>
        <v>0</v>
      </c>
      <c r="GJ25" s="115">
        <f t="shared" si="33"/>
        <v>1766562</v>
      </c>
      <c r="GK25" s="114">
        <f t="shared" si="34"/>
        <v>1766562</v>
      </c>
      <c r="GL25" s="114">
        <f t="shared" si="35"/>
        <v>0</v>
      </c>
      <c r="GM25" s="114">
        <f t="shared" si="36"/>
        <v>0</v>
      </c>
      <c r="GN25" s="114">
        <f t="shared" si="37"/>
        <v>0</v>
      </c>
      <c r="GO25" s="114">
        <f t="shared" si="38"/>
        <v>0</v>
      </c>
      <c r="GP25" s="114">
        <f t="shared" si="39"/>
        <v>0</v>
      </c>
      <c r="GQ25" s="114">
        <f t="shared" si="40"/>
        <v>0</v>
      </c>
      <c r="GR25" s="193"/>
      <c r="GS25" s="122">
        <f t="shared" si="41"/>
        <v>9895594.663064979</v>
      </c>
      <c r="GT25" s="122">
        <f t="shared" si="41"/>
        <v>13568030.362</v>
      </c>
      <c r="GU25" s="123">
        <f t="shared" si="42"/>
        <v>0.72933170099468403</v>
      </c>
      <c r="GV25" s="124">
        <f t="shared" ca="1" si="43"/>
        <v>0</v>
      </c>
      <c r="GW25" s="124">
        <v>0</v>
      </c>
      <c r="GX25" s="32">
        <f t="shared" ca="1" si="44"/>
        <v>0</v>
      </c>
      <c r="GY25" s="100"/>
    </row>
    <row r="26" spans="1:207" s="125" customFormat="1" ht="15" hidden="1" customHeight="1">
      <c r="A26" s="102"/>
      <c r="B26" s="103"/>
      <c r="C26" s="103"/>
      <c r="D26" s="104"/>
      <c r="E26" s="104" t="s">
        <v>253</v>
      </c>
      <c r="F26" s="104" t="s">
        <v>266</v>
      </c>
      <c r="G26" s="104" t="s">
        <v>226</v>
      </c>
      <c r="H26" s="105" t="s">
        <v>288</v>
      </c>
      <c r="I26" s="106" t="s">
        <v>289</v>
      </c>
      <c r="J26" s="104" t="s">
        <v>212</v>
      </c>
      <c r="K26" s="104" t="s">
        <v>208</v>
      </c>
      <c r="L26" s="104" t="s">
        <v>213</v>
      </c>
      <c r="M26" s="104" t="s">
        <v>269</v>
      </c>
      <c r="N26" s="107"/>
      <c r="O26" s="108">
        <v>43059</v>
      </c>
      <c r="P26" s="108">
        <v>43059</v>
      </c>
      <c r="Q26" s="322">
        <f t="shared" si="0"/>
        <v>0</v>
      </c>
      <c r="R26" s="109">
        <f>IF((P26-VLOOKUP(Q26,month!$A$1:$C$13,3,0))&lt;0,Q26,Q26+1)</f>
        <v>0</v>
      </c>
      <c r="S26" s="108"/>
      <c r="T26" s="127" t="str">
        <f t="shared" si="67"/>
        <v/>
      </c>
      <c r="U26" s="107"/>
      <c r="V26" s="107"/>
      <c r="W26" s="107"/>
      <c r="X26" s="107"/>
      <c r="Y26" s="386"/>
      <c r="Z26" s="386" t="s">
        <v>545</v>
      </c>
      <c r="AA26" s="387">
        <v>1000</v>
      </c>
      <c r="AB26" s="387">
        <v>1000</v>
      </c>
      <c r="AC26" s="387">
        <v>1000</v>
      </c>
      <c r="AD26" s="387">
        <v>1000</v>
      </c>
      <c r="AE26" s="387">
        <v>1000</v>
      </c>
      <c r="AF26" s="387">
        <v>1000</v>
      </c>
      <c r="AG26" s="387">
        <v>1000</v>
      </c>
      <c r="AH26" s="387">
        <v>1000</v>
      </c>
      <c r="AI26" s="387">
        <v>1000</v>
      </c>
      <c r="AJ26" s="387">
        <v>1000</v>
      </c>
      <c r="AK26" s="387">
        <v>1000</v>
      </c>
      <c r="AL26" s="387">
        <v>1000</v>
      </c>
      <c r="AM26" s="388">
        <f t="shared" si="2"/>
        <v>12000</v>
      </c>
      <c r="AN26" s="388">
        <f t="shared" si="3"/>
        <v>12000</v>
      </c>
      <c r="AO26" s="389">
        <f t="shared" si="69"/>
        <v>1000</v>
      </c>
      <c r="AP26" s="498" t="s">
        <v>682</v>
      </c>
      <c r="AQ26" s="159">
        <v>0.5</v>
      </c>
      <c r="AR26" s="160" t="s">
        <v>211</v>
      </c>
      <c r="AS26" s="119" t="s">
        <v>210</v>
      </c>
      <c r="AT26" s="111">
        <v>434588.13250000001</v>
      </c>
      <c r="AU26" s="111">
        <v>500088.80879999988</v>
      </c>
      <c r="AV26" s="111">
        <v>482591.16220000002</v>
      </c>
      <c r="AW26" s="111">
        <v>582722.17150000005</v>
      </c>
      <c r="AX26" s="113">
        <v>562039.26391800004</v>
      </c>
      <c r="AY26" s="113">
        <v>693626.33960298088</v>
      </c>
      <c r="AZ26" s="113">
        <v>605469.76109999942</v>
      </c>
      <c r="BA26" s="113"/>
      <c r="BB26" s="113"/>
      <c r="BC26" s="113"/>
      <c r="BD26" s="113"/>
      <c r="BE26" s="113"/>
      <c r="BF26" s="114">
        <f t="shared" si="46"/>
        <v>562039.26391800004</v>
      </c>
      <c r="BG26" s="114">
        <f t="shared" si="46"/>
        <v>693626.33960298088</v>
      </c>
      <c r="BH26" s="114">
        <f t="shared" si="46"/>
        <v>605469.76109999942</v>
      </c>
      <c r="BI26" s="114">
        <f t="shared" si="46"/>
        <v>0</v>
      </c>
      <c r="BJ26" s="114">
        <f t="shared" si="4"/>
        <v>1861135.3646209803</v>
      </c>
      <c r="BK26" s="115">
        <f t="shared" si="5"/>
        <v>1999990.2749999999</v>
      </c>
      <c r="BL26" s="115">
        <f t="shared" si="47"/>
        <v>1999990.2749999999</v>
      </c>
      <c r="BM26" s="116">
        <f t="shared" si="48"/>
        <v>0.93059999999999998</v>
      </c>
      <c r="BN26" s="126">
        <f t="shared" ca="1" si="6"/>
        <v>0</v>
      </c>
      <c r="BO26" s="117">
        <f t="shared" ca="1" si="7"/>
        <v>0</v>
      </c>
      <c r="BP26" s="118" t="str">
        <f t="shared" si="8"/>
        <v>Uncapped</v>
      </c>
      <c r="BQ26" s="115">
        <f t="shared" ca="1" si="9"/>
        <v>0</v>
      </c>
      <c r="BR26" s="113" t="s">
        <v>700</v>
      </c>
      <c r="BS26" s="161">
        <v>0.3</v>
      </c>
      <c r="BT26" s="113" t="s">
        <v>211</v>
      </c>
      <c r="BU26" s="160" t="s">
        <v>210</v>
      </c>
      <c r="BV26" s="113">
        <v>64736.135449999987</v>
      </c>
      <c r="BW26" s="113">
        <v>73340.940950000004</v>
      </c>
      <c r="BX26" s="113">
        <v>73700.346449999997</v>
      </c>
      <c r="BY26" s="113">
        <v>78882.577149999997</v>
      </c>
      <c r="BZ26" s="113">
        <v>107872.371</v>
      </c>
      <c r="CA26" s="113">
        <v>36478.323000000004</v>
      </c>
      <c r="CB26" s="113">
        <v>41834.654999999999</v>
      </c>
      <c r="CC26" s="113"/>
      <c r="CD26" s="113"/>
      <c r="CE26" s="113"/>
      <c r="CF26" s="113"/>
      <c r="CG26" s="113"/>
      <c r="CH26" s="114">
        <f t="shared" si="49"/>
        <v>107872.371</v>
      </c>
      <c r="CI26" s="114">
        <f t="shared" si="49"/>
        <v>36478.323000000004</v>
      </c>
      <c r="CJ26" s="120">
        <f t="shared" si="49"/>
        <v>41834.654999999999</v>
      </c>
      <c r="CK26" s="114">
        <f t="shared" si="49"/>
        <v>0</v>
      </c>
      <c r="CL26" s="114">
        <f t="shared" si="10"/>
        <v>186185.34900000002</v>
      </c>
      <c r="CM26" s="114">
        <f t="shared" si="11"/>
        <v>290660</v>
      </c>
      <c r="CN26" s="114">
        <f t="shared" si="50"/>
        <v>290660</v>
      </c>
      <c r="CO26" s="116">
        <f t="shared" si="51"/>
        <v>0.64059999999999995</v>
      </c>
      <c r="CP26" s="126">
        <f t="shared" ca="1" si="52"/>
        <v>0</v>
      </c>
      <c r="CQ26" s="115">
        <f t="shared" ca="1" si="12"/>
        <v>0</v>
      </c>
      <c r="CR26" s="118" t="str">
        <f t="shared" si="53"/>
        <v>Uncapped</v>
      </c>
      <c r="CS26" s="115">
        <f t="shared" ca="1" si="13"/>
        <v>0</v>
      </c>
      <c r="CT26" s="113" t="s">
        <v>695</v>
      </c>
      <c r="CU26" s="119">
        <v>0.2</v>
      </c>
      <c r="CV26" s="113" t="s">
        <v>211</v>
      </c>
      <c r="CW26" s="113" t="s">
        <v>210</v>
      </c>
      <c r="CX26" s="113">
        <v>2382537.1912000002</v>
      </c>
      <c r="CY26" s="113">
        <v>2735536.2633999996</v>
      </c>
      <c r="CZ26" s="113">
        <v>2679273.3525999999</v>
      </c>
      <c r="DA26" s="113">
        <v>3226022.7538000001</v>
      </c>
      <c r="DB26" s="113">
        <v>2499648.717472</v>
      </c>
      <c r="DC26" s="113">
        <v>2774407.4780569817</v>
      </c>
      <c r="DD26" s="113">
        <v>2820386.492699998</v>
      </c>
      <c r="DE26" s="113"/>
      <c r="DF26" s="113"/>
      <c r="DG26" s="113"/>
      <c r="DH26" s="113"/>
      <c r="DI26" s="113"/>
      <c r="DJ26" s="114">
        <f t="shared" si="54"/>
        <v>2499648.717472</v>
      </c>
      <c r="DK26" s="114">
        <f t="shared" si="54"/>
        <v>2774407.4780569817</v>
      </c>
      <c r="DL26" s="114">
        <f t="shared" si="54"/>
        <v>2820386.492699998</v>
      </c>
      <c r="DM26" s="114">
        <f t="shared" si="54"/>
        <v>0</v>
      </c>
      <c r="DN26" s="114">
        <f t="shared" si="55"/>
        <v>8094442.6882289797</v>
      </c>
      <c r="DO26" s="114">
        <f t="shared" si="14"/>
        <v>11023369.561000001</v>
      </c>
      <c r="DP26" s="114">
        <f t="shared" si="56"/>
        <v>11023369.561000001</v>
      </c>
      <c r="DQ26" s="116">
        <f t="shared" si="57"/>
        <v>0.73429999999999995</v>
      </c>
      <c r="DR26" s="126">
        <f t="shared" ca="1" si="15"/>
        <v>0</v>
      </c>
      <c r="DS26" s="115">
        <f t="shared" ca="1" si="16"/>
        <v>0</v>
      </c>
      <c r="DT26" s="118" t="str">
        <f t="shared" si="58"/>
        <v>Uncapped</v>
      </c>
      <c r="DU26" s="115">
        <f t="shared" ca="1" si="17"/>
        <v>0</v>
      </c>
      <c r="DV26" s="113"/>
      <c r="DW26" s="119">
        <v>0</v>
      </c>
      <c r="DX26" s="113"/>
      <c r="DY26" s="113"/>
      <c r="DZ26" s="113">
        <v>0</v>
      </c>
      <c r="EA26" s="113">
        <v>0</v>
      </c>
      <c r="EB26" s="113">
        <v>0</v>
      </c>
      <c r="EC26" s="113">
        <v>0</v>
      </c>
      <c r="ED26" s="113">
        <v>0</v>
      </c>
      <c r="EE26" s="113">
        <v>0</v>
      </c>
      <c r="EF26" s="113"/>
      <c r="EG26" s="113"/>
      <c r="EH26" s="113"/>
      <c r="EI26" s="113"/>
      <c r="EJ26" s="113"/>
      <c r="EK26" s="113"/>
      <c r="EL26" s="114">
        <f t="shared" si="59"/>
        <v>0</v>
      </c>
      <c r="EM26" s="114">
        <f t="shared" si="59"/>
        <v>0</v>
      </c>
      <c r="EN26" s="114">
        <f t="shared" si="59"/>
        <v>0</v>
      </c>
      <c r="EO26" s="114">
        <f t="shared" si="59"/>
        <v>0</v>
      </c>
      <c r="EP26" s="114">
        <f t="shared" si="18"/>
        <v>0</v>
      </c>
      <c r="EQ26" s="114">
        <f t="shared" si="19"/>
        <v>0</v>
      </c>
      <c r="ER26" s="114">
        <f t="shared" si="60"/>
        <v>0</v>
      </c>
      <c r="ES26" s="116">
        <f t="shared" si="61"/>
        <v>0</v>
      </c>
      <c r="ET26" s="126">
        <f t="shared" ca="1" si="62"/>
        <v>0</v>
      </c>
      <c r="EU26" s="115">
        <f t="shared" ca="1" si="20"/>
        <v>0</v>
      </c>
      <c r="EV26" s="118" t="str">
        <f t="shared" si="21"/>
        <v>Uncapped</v>
      </c>
      <c r="EW26" s="115">
        <f t="shared" ca="1" si="22"/>
        <v>0</v>
      </c>
      <c r="EX26" s="112">
        <f t="shared" ca="1" si="23"/>
        <v>0</v>
      </c>
      <c r="EY26" s="114">
        <f t="shared" ca="1" si="63"/>
        <v>0</v>
      </c>
      <c r="EZ26" s="115">
        <v>557800</v>
      </c>
      <c r="FA26" s="115">
        <v>629657.49999999988</v>
      </c>
      <c r="FB26" s="115">
        <v>822110</v>
      </c>
      <c r="FC26" s="115">
        <v>0</v>
      </c>
      <c r="FD26" s="115">
        <f t="shared" si="24"/>
        <v>2009567.5</v>
      </c>
      <c r="FE26" s="114">
        <f t="shared" si="25"/>
        <v>0</v>
      </c>
      <c r="FF26" s="115">
        <v>0</v>
      </c>
      <c r="FG26" s="115">
        <v>0</v>
      </c>
      <c r="FH26" s="115">
        <v>0</v>
      </c>
      <c r="FI26" s="115">
        <v>0</v>
      </c>
      <c r="FJ26" s="115">
        <f t="shared" si="26"/>
        <v>0</v>
      </c>
      <c r="FK26" s="114">
        <f t="shared" si="27"/>
        <v>0</v>
      </c>
      <c r="FL26" s="113"/>
      <c r="FM26" s="111"/>
      <c r="FN26" s="111"/>
      <c r="FO26" s="111"/>
      <c r="FP26" s="115">
        <f t="shared" si="28"/>
        <v>0</v>
      </c>
      <c r="FQ26" s="115"/>
      <c r="FR26" s="115"/>
      <c r="FS26" s="115"/>
      <c r="FT26" s="114">
        <f t="shared" si="64"/>
        <v>0</v>
      </c>
      <c r="FU26" s="366">
        <f t="shared" ca="1" si="66"/>
        <v>2009567.5</v>
      </c>
      <c r="FV26" s="121">
        <f t="shared" ca="1" si="65"/>
        <v>2009567.5</v>
      </c>
      <c r="FW26" s="114">
        <f t="shared" si="70"/>
        <v>0</v>
      </c>
      <c r="FX26" s="114">
        <f t="shared" si="70"/>
        <v>0</v>
      </c>
      <c r="FY26" s="114">
        <f t="shared" si="70"/>
        <v>0</v>
      </c>
      <c r="FZ26" s="114">
        <f t="shared" si="70"/>
        <v>0</v>
      </c>
      <c r="GA26" s="114">
        <f t="shared" si="30"/>
        <v>0</v>
      </c>
      <c r="GB26" s="114">
        <f t="shared" si="71"/>
        <v>557800</v>
      </c>
      <c r="GC26" s="114">
        <f t="shared" si="71"/>
        <v>629657.49999999988</v>
      </c>
      <c r="GD26" s="114">
        <f t="shared" si="71"/>
        <v>822110</v>
      </c>
      <c r="GE26" s="114">
        <f t="shared" si="71"/>
        <v>0</v>
      </c>
      <c r="GF26" s="114">
        <f t="shared" si="72"/>
        <v>557800</v>
      </c>
      <c r="GG26" s="114">
        <f t="shared" si="72"/>
        <v>629657.49999999988</v>
      </c>
      <c r="GH26" s="114">
        <f t="shared" si="72"/>
        <v>822110</v>
      </c>
      <c r="GI26" s="114">
        <f t="shared" si="72"/>
        <v>0</v>
      </c>
      <c r="GJ26" s="115">
        <f t="shared" si="33"/>
        <v>2009567.5</v>
      </c>
      <c r="GK26" s="114">
        <f t="shared" si="34"/>
        <v>2009567.5</v>
      </c>
      <c r="GL26" s="114">
        <f t="shared" si="35"/>
        <v>0</v>
      </c>
      <c r="GM26" s="114">
        <f t="shared" si="36"/>
        <v>0</v>
      </c>
      <c r="GN26" s="114">
        <f t="shared" si="37"/>
        <v>0</v>
      </c>
      <c r="GO26" s="114">
        <f t="shared" si="38"/>
        <v>0</v>
      </c>
      <c r="GP26" s="114">
        <f t="shared" si="39"/>
        <v>0</v>
      </c>
      <c r="GQ26" s="114">
        <f t="shared" si="40"/>
        <v>0</v>
      </c>
      <c r="GR26" s="193"/>
      <c r="GS26" s="122">
        <f t="shared" si="41"/>
        <v>10141763.401849959</v>
      </c>
      <c r="GT26" s="122">
        <f t="shared" si="41"/>
        <v>13314019.836000001</v>
      </c>
      <c r="GU26" s="123">
        <f t="shared" si="42"/>
        <v>0.76173563858057924</v>
      </c>
      <c r="GV26" s="124">
        <f t="shared" ca="1" si="43"/>
        <v>0</v>
      </c>
      <c r="GW26" s="124">
        <v>0</v>
      </c>
      <c r="GX26" s="32">
        <f t="shared" ca="1" si="44"/>
        <v>0</v>
      </c>
      <c r="GY26" s="100"/>
    </row>
    <row r="27" spans="1:207" s="152" customFormat="1" ht="15" hidden="1" customHeight="1">
      <c r="A27" s="129"/>
      <c r="B27" s="130"/>
      <c r="C27" s="130"/>
      <c r="D27" s="131"/>
      <c r="E27" s="131" t="s">
        <v>260</v>
      </c>
      <c r="F27" s="138" t="s">
        <v>261</v>
      </c>
      <c r="G27" s="131" t="s">
        <v>226</v>
      </c>
      <c r="H27" s="132" t="s">
        <v>290</v>
      </c>
      <c r="I27" s="133" t="s">
        <v>291</v>
      </c>
      <c r="J27" s="131" t="s">
        <v>207</v>
      </c>
      <c r="K27" s="131" t="s">
        <v>208</v>
      </c>
      <c r="L27" s="131" t="s">
        <v>264</v>
      </c>
      <c r="M27" s="131" t="s">
        <v>280</v>
      </c>
      <c r="N27" s="134"/>
      <c r="O27" s="155">
        <v>41376</v>
      </c>
      <c r="P27" s="155">
        <v>43009</v>
      </c>
      <c r="Q27" s="321">
        <f t="shared" si="0"/>
        <v>0</v>
      </c>
      <c r="R27" s="109">
        <f>IF((P27-VLOOKUP(Q27,month!$A$1:$C$13,3,0))&lt;0,Q27,Q27+1)</f>
        <v>0</v>
      </c>
      <c r="S27" s="108"/>
      <c r="T27" s="135" t="str">
        <f t="shared" si="67"/>
        <v/>
      </c>
      <c r="U27" s="134"/>
      <c r="V27" s="134"/>
      <c r="W27" s="134"/>
      <c r="X27" s="134"/>
      <c r="Y27" s="383"/>
      <c r="Z27" s="383" t="s">
        <v>545</v>
      </c>
      <c r="AA27" s="371">
        <v>1000</v>
      </c>
      <c r="AB27" s="371">
        <v>1000</v>
      </c>
      <c r="AC27" s="371">
        <v>1000</v>
      </c>
      <c r="AD27" s="371">
        <v>1000</v>
      </c>
      <c r="AE27" s="371">
        <v>1000</v>
      </c>
      <c r="AF27" s="371">
        <v>1000</v>
      </c>
      <c r="AG27" s="371">
        <v>1000</v>
      </c>
      <c r="AH27" s="371">
        <v>1000</v>
      </c>
      <c r="AI27" s="371">
        <v>1000</v>
      </c>
      <c r="AJ27" s="371">
        <v>1000</v>
      </c>
      <c r="AK27" s="371">
        <v>1000</v>
      </c>
      <c r="AL27" s="371">
        <v>1000</v>
      </c>
      <c r="AM27" s="384">
        <f t="shared" si="2"/>
        <v>12000</v>
      </c>
      <c r="AN27" s="384">
        <f t="shared" si="3"/>
        <v>12000</v>
      </c>
      <c r="AO27" s="385">
        <f t="shared" si="69"/>
        <v>1000</v>
      </c>
      <c r="AP27" s="497" t="s">
        <v>682</v>
      </c>
      <c r="AQ27" s="156">
        <v>0.5</v>
      </c>
      <c r="AR27" s="157" t="s">
        <v>211</v>
      </c>
      <c r="AS27" s="146" t="s">
        <v>210</v>
      </c>
      <c r="AT27" s="136">
        <v>2407851.1739999996</v>
      </c>
      <c r="AU27" s="136">
        <v>2810506.1047999999</v>
      </c>
      <c r="AV27" s="136">
        <v>2690624.2152000004</v>
      </c>
      <c r="AW27" s="136">
        <v>3300863.3019999992</v>
      </c>
      <c r="AX27" s="138">
        <v>2554242.6375000007</v>
      </c>
      <c r="AY27" s="138">
        <v>2655941.6627999977</v>
      </c>
      <c r="AZ27" s="138">
        <v>2757733.470720002</v>
      </c>
      <c r="BA27" s="138"/>
      <c r="BB27" s="138"/>
      <c r="BC27" s="138"/>
      <c r="BD27" s="138"/>
      <c r="BE27" s="138"/>
      <c r="BF27" s="139">
        <f t="shared" si="46"/>
        <v>2554242.6375000007</v>
      </c>
      <c r="BG27" s="139">
        <f t="shared" si="46"/>
        <v>2655941.6627999977</v>
      </c>
      <c r="BH27" s="139">
        <f t="shared" si="46"/>
        <v>2757733.470720002</v>
      </c>
      <c r="BI27" s="139">
        <f t="shared" si="46"/>
        <v>0</v>
      </c>
      <c r="BJ27" s="139">
        <f t="shared" si="4"/>
        <v>7967917.7710200008</v>
      </c>
      <c r="BK27" s="140">
        <f t="shared" si="5"/>
        <v>11209844.796</v>
      </c>
      <c r="BL27" s="140">
        <f t="shared" si="47"/>
        <v>11209844.796</v>
      </c>
      <c r="BM27" s="141">
        <f t="shared" si="48"/>
        <v>0.71079999999999999</v>
      </c>
      <c r="BN27" s="142">
        <f t="shared" ca="1" si="6"/>
        <v>0</v>
      </c>
      <c r="BO27" s="143">
        <f t="shared" ca="1" si="7"/>
        <v>0</v>
      </c>
      <c r="BP27" s="144" t="str">
        <f t="shared" si="8"/>
        <v>Uncapped</v>
      </c>
      <c r="BQ27" s="140">
        <f t="shared" ca="1" si="9"/>
        <v>0</v>
      </c>
      <c r="BR27" s="138" t="s">
        <v>700</v>
      </c>
      <c r="BS27" s="158">
        <v>0.3</v>
      </c>
      <c r="BT27" s="138" t="s">
        <v>211</v>
      </c>
      <c r="BU27" s="157" t="s">
        <v>210</v>
      </c>
      <c r="BV27" s="138">
        <v>542480.80524999998</v>
      </c>
      <c r="BW27" s="138">
        <v>645053.66574999993</v>
      </c>
      <c r="BX27" s="138">
        <v>659018.30024999997</v>
      </c>
      <c r="BY27" s="138">
        <v>606853.22874999989</v>
      </c>
      <c r="BZ27" s="138">
        <v>477708.804</v>
      </c>
      <c r="CA27" s="138">
        <v>544690.38509999996</v>
      </c>
      <c r="CB27" s="138">
        <v>731732.81669999997</v>
      </c>
      <c r="CC27" s="138"/>
      <c r="CD27" s="138"/>
      <c r="CE27" s="138"/>
      <c r="CF27" s="138"/>
      <c r="CG27" s="138"/>
      <c r="CH27" s="139">
        <f t="shared" si="49"/>
        <v>477708.804</v>
      </c>
      <c r="CI27" s="139">
        <f t="shared" si="49"/>
        <v>544690.38509999996</v>
      </c>
      <c r="CJ27" s="145">
        <f t="shared" si="49"/>
        <v>731732.81669999997</v>
      </c>
      <c r="CK27" s="139">
        <f t="shared" si="49"/>
        <v>0</v>
      </c>
      <c r="CL27" s="139">
        <f t="shared" si="10"/>
        <v>1754132.0057999999</v>
      </c>
      <c r="CM27" s="139">
        <f t="shared" si="11"/>
        <v>2453405.9999999995</v>
      </c>
      <c r="CN27" s="139">
        <f t="shared" si="50"/>
        <v>2453405.9999999995</v>
      </c>
      <c r="CO27" s="141">
        <f t="shared" si="51"/>
        <v>0.71499999999999997</v>
      </c>
      <c r="CP27" s="142">
        <f t="shared" ca="1" si="52"/>
        <v>0</v>
      </c>
      <c r="CQ27" s="140">
        <f t="shared" ca="1" si="12"/>
        <v>0</v>
      </c>
      <c r="CR27" s="144" t="str">
        <f t="shared" si="53"/>
        <v>Uncapped</v>
      </c>
      <c r="CS27" s="140">
        <f t="shared" ca="1" si="13"/>
        <v>0</v>
      </c>
      <c r="CT27" s="138" t="s">
        <v>702</v>
      </c>
      <c r="CU27" s="146">
        <v>0.2</v>
      </c>
      <c r="CV27" s="138" t="s">
        <v>217</v>
      </c>
      <c r="CW27" s="138" t="s">
        <v>210</v>
      </c>
      <c r="CX27" s="138">
        <v>19653413.080999997</v>
      </c>
      <c r="CY27" s="138">
        <v>22848780.235100001</v>
      </c>
      <c r="CZ27" s="138">
        <v>22618799.574099999</v>
      </c>
      <c r="DA27" s="138">
        <v>27098464.121500004</v>
      </c>
      <c r="DB27" s="138">
        <v>19427532.107000571</v>
      </c>
      <c r="DC27" s="138">
        <v>22270538.357580002</v>
      </c>
      <c r="DD27" s="138">
        <v>22879083.486580007</v>
      </c>
      <c r="DE27" s="138"/>
      <c r="DF27" s="138"/>
      <c r="DG27" s="138"/>
      <c r="DH27" s="138"/>
      <c r="DI27" s="138"/>
      <c r="DJ27" s="139">
        <f t="shared" si="54"/>
        <v>19427532.107000571</v>
      </c>
      <c r="DK27" s="139">
        <f t="shared" si="54"/>
        <v>22270538.357580002</v>
      </c>
      <c r="DL27" s="139">
        <f t="shared" si="54"/>
        <v>22879083.486580007</v>
      </c>
      <c r="DM27" s="139">
        <f t="shared" si="54"/>
        <v>0</v>
      </c>
      <c r="DN27" s="139">
        <f t="shared" si="55"/>
        <v>64577153.95116058</v>
      </c>
      <c r="DO27" s="139">
        <f t="shared" si="14"/>
        <v>92219457.011700004</v>
      </c>
      <c r="DP27" s="139">
        <f t="shared" si="56"/>
        <v>92219457.011700004</v>
      </c>
      <c r="DQ27" s="141">
        <f t="shared" si="57"/>
        <v>0.70030000000000003</v>
      </c>
      <c r="DR27" s="142">
        <f t="shared" ca="1" si="15"/>
        <v>0</v>
      </c>
      <c r="DS27" s="140">
        <f t="shared" ca="1" si="16"/>
        <v>0</v>
      </c>
      <c r="DT27" s="144" t="str">
        <f t="shared" si="58"/>
        <v>Uncapped</v>
      </c>
      <c r="DU27" s="140">
        <f t="shared" ca="1" si="17"/>
        <v>0</v>
      </c>
      <c r="DV27" s="138"/>
      <c r="DW27" s="146">
        <v>0</v>
      </c>
      <c r="DX27" s="138"/>
      <c r="DY27" s="138"/>
      <c r="DZ27" s="138">
        <v>0</v>
      </c>
      <c r="EA27" s="138">
        <v>0</v>
      </c>
      <c r="EB27" s="138">
        <v>0</v>
      </c>
      <c r="EC27" s="138">
        <v>0</v>
      </c>
      <c r="ED27" s="138">
        <v>0</v>
      </c>
      <c r="EE27" s="138">
        <v>0</v>
      </c>
      <c r="EF27" s="138"/>
      <c r="EG27" s="138"/>
      <c r="EH27" s="138"/>
      <c r="EI27" s="138"/>
      <c r="EJ27" s="138"/>
      <c r="EK27" s="138"/>
      <c r="EL27" s="139">
        <f t="shared" si="59"/>
        <v>0</v>
      </c>
      <c r="EM27" s="139">
        <f t="shared" si="59"/>
        <v>0</v>
      </c>
      <c r="EN27" s="139">
        <f t="shared" si="59"/>
        <v>0</v>
      </c>
      <c r="EO27" s="139">
        <f t="shared" si="59"/>
        <v>0</v>
      </c>
      <c r="EP27" s="139">
        <f t="shared" si="18"/>
        <v>0</v>
      </c>
      <c r="EQ27" s="139">
        <f t="shared" si="19"/>
        <v>0</v>
      </c>
      <c r="ER27" s="139">
        <f t="shared" si="60"/>
        <v>0</v>
      </c>
      <c r="ES27" s="141">
        <f t="shared" si="61"/>
        <v>0</v>
      </c>
      <c r="ET27" s="142">
        <f t="shared" ca="1" si="62"/>
        <v>0</v>
      </c>
      <c r="EU27" s="140">
        <f t="shared" ca="1" si="20"/>
        <v>0</v>
      </c>
      <c r="EV27" s="144" t="str">
        <f t="shared" si="21"/>
        <v>Uncapped</v>
      </c>
      <c r="EW27" s="140">
        <f t="shared" ca="1" si="22"/>
        <v>0</v>
      </c>
      <c r="EX27" s="137">
        <f t="shared" ca="1" si="23"/>
        <v>0</v>
      </c>
      <c r="EY27" s="139">
        <f t="shared" ca="1" si="63"/>
        <v>0</v>
      </c>
      <c r="EZ27" s="140">
        <v>0</v>
      </c>
      <c r="FA27" s="140"/>
      <c r="FB27" s="140"/>
      <c r="FC27" s="140">
        <v>0</v>
      </c>
      <c r="FD27" s="140">
        <f t="shared" si="24"/>
        <v>0</v>
      </c>
      <c r="FE27" s="139">
        <f t="shared" si="25"/>
        <v>0</v>
      </c>
      <c r="FF27" s="140">
        <v>0</v>
      </c>
      <c r="FG27" s="140">
        <v>0</v>
      </c>
      <c r="FH27" s="140">
        <v>0</v>
      </c>
      <c r="FI27" s="140">
        <v>0</v>
      </c>
      <c r="FJ27" s="140">
        <f t="shared" si="26"/>
        <v>0</v>
      </c>
      <c r="FK27" s="139">
        <f t="shared" si="27"/>
        <v>0</v>
      </c>
      <c r="FL27" s="138"/>
      <c r="FM27" s="136"/>
      <c r="FN27" s="136"/>
      <c r="FO27" s="136"/>
      <c r="FP27" s="140">
        <f t="shared" si="28"/>
        <v>0</v>
      </c>
      <c r="FQ27" s="140"/>
      <c r="FR27" s="140"/>
      <c r="FS27" s="140"/>
      <c r="FT27" s="139">
        <f t="shared" si="64"/>
        <v>0</v>
      </c>
      <c r="FU27" s="365">
        <f t="shared" ca="1" si="66"/>
        <v>0</v>
      </c>
      <c r="FV27" s="147">
        <f t="shared" ca="1" si="65"/>
        <v>0</v>
      </c>
      <c r="FW27" s="139">
        <f t="shared" si="70"/>
        <v>0</v>
      </c>
      <c r="FX27" s="139">
        <f t="shared" si="70"/>
        <v>0</v>
      </c>
      <c r="FY27" s="139">
        <f t="shared" si="70"/>
        <v>0</v>
      </c>
      <c r="FZ27" s="139">
        <f t="shared" si="70"/>
        <v>0</v>
      </c>
      <c r="GA27" s="139">
        <f t="shared" si="30"/>
        <v>0</v>
      </c>
      <c r="GB27" s="139">
        <f t="shared" si="71"/>
        <v>0</v>
      </c>
      <c r="GC27" s="139">
        <f t="shared" si="71"/>
        <v>0</v>
      </c>
      <c r="GD27" s="139">
        <f t="shared" si="71"/>
        <v>0</v>
      </c>
      <c r="GE27" s="139">
        <f t="shared" si="71"/>
        <v>0</v>
      </c>
      <c r="GF27" s="139">
        <f t="shared" si="72"/>
        <v>0</v>
      </c>
      <c r="GG27" s="139">
        <f t="shared" si="72"/>
        <v>0</v>
      </c>
      <c r="GH27" s="139">
        <f t="shared" si="72"/>
        <v>0</v>
      </c>
      <c r="GI27" s="139">
        <f t="shared" si="72"/>
        <v>0</v>
      </c>
      <c r="GJ27" s="140">
        <f t="shared" si="33"/>
        <v>0</v>
      </c>
      <c r="GK27" s="139">
        <f t="shared" si="34"/>
        <v>0</v>
      </c>
      <c r="GL27" s="139">
        <f t="shared" si="35"/>
        <v>0</v>
      </c>
      <c r="GM27" s="139">
        <f t="shared" si="36"/>
        <v>0</v>
      </c>
      <c r="GN27" s="139">
        <f t="shared" si="37"/>
        <v>0</v>
      </c>
      <c r="GO27" s="139">
        <f t="shared" si="38"/>
        <v>0</v>
      </c>
      <c r="GP27" s="139">
        <f t="shared" si="39"/>
        <v>0</v>
      </c>
      <c r="GQ27" s="139">
        <f t="shared" si="40"/>
        <v>0</v>
      </c>
      <c r="GR27" s="409"/>
      <c r="GS27" s="148">
        <f t="shared" si="41"/>
        <v>74299203.727980584</v>
      </c>
      <c r="GT27" s="148">
        <f t="shared" si="41"/>
        <v>105882707.80770001</v>
      </c>
      <c r="GU27" s="149">
        <f t="shared" si="42"/>
        <v>0.70171235007438482</v>
      </c>
      <c r="GV27" s="150">
        <f t="shared" ca="1" si="43"/>
        <v>0</v>
      </c>
      <c r="GW27" s="150">
        <v>0</v>
      </c>
      <c r="GX27" s="151">
        <f t="shared" ca="1" si="44"/>
        <v>0</v>
      </c>
      <c r="GY27" s="100"/>
    </row>
    <row r="28" spans="1:207" s="165" customFormat="1" ht="15" hidden="1" customHeight="1">
      <c r="A28" s="102"/>
      <c r="B28" s="103"/>
      <c r="C28" s="103"/>
      <c r="D28" s="104"/>
      <c r="E28" s="104" t="s">
        <v>253</v>
      </c>
      <c r="F28" s="104" t="s">
        <v>266</v>
      </c>
      <c r="G28" s="104" t="s">
        <v>226</v>
      </c>
      <c r="H28" s="105" t="s">
        <v>292</v>
      </c>
      <c r="I28" s="106" t="s">
        <v>293</v>
      </c>
      <c r="J28" s="104" t="s">
        <v>212</v>
      </c>
      <c r="K28" s="104" t="s">
        <v>208</v>
      </c>
      <c r="L28" s="104" t="s">
        <v>213</v>
      </c>
      <c r="M28" s="104" t="s">
        <v>283</v>
      </c>
      <c r="N28" s="107"/>
      <c r="O28" s="108">
        <v>41376</v>
      </c>
      <c r="P28" s="108">
        <v>43009</v>
      </c>
      <c r="Q28" s="322">
        <f t="shared" si="0"/>
        <v>0</v>
      </c>
      <c r="R28" s="109">
        <f>IF((P28-VLOOKUP(Q28,month!$A$1:$C$13,3,0))&lt;0,Q28,Q28+1)</f>
        <v>0</v>
      </c>
      <c r="S28" s="108"/>
      <c r="T28" s="127" t="str">
        <f t="shared" si="67"/>
        <v/>
      </c>
      <c r="U28" s="107"/>
      <c r="V28" s="107"/>
      <c r="W28" s="107"/>
      <c r="X28" s="107"/>
      <c r="Y28" s="386"/>
      <c r="Z28" s="386" t="s">
        <v>545</v>
      </c>
      <c r="AA28" s="387">
        <v>1000</v>
      </c>
      <c r="AB28" s="387">
        <v>1000</v>
      </c>
      <c r="AC28" s="387">
        <v>1000</v>
      </c>
      <c r="AD28" s="387">
        <v>1000</v>
      </c>
      <c r="AE28" s="387">
        <v>1000</v>
      </c>
      <c r="AF28" s="387">
        <v>1000</v>
      </c>
      <c r="AG28" s="387">
        <v>1000</v>
      </c>
      <c r="AH28" s="387">
        <v>1000</v>
      </c>
      <c r="AI28" s="387">
        <v>1000</v>
      </c>
      <c r="AJ28" s="387">
        <v>1000</v>
      </c>
      <c r="AK28" s="387">
        <v>1000</v>
      </c>
      <c r="AL28" s="387">
        <v>1000</v>
      </c>
      <c r="AM28" s="388">
        <f t="shared" si="2"/>
        <v>12000</v>
      </c>
      <c r="AN28" s="388">
        <f t="shared" si="3"/>
        <v>12000</v>
      </c>
      <c r="AO28" s="389">
        <f t="shared" si="69"/>
        <v>1000</v>
      </c>
      <c r="AP28" s="498" t="s">
        <v>682</v>
      </c>
      <c r="AQ28" s="159">
        <v>0.5</v>
      </c>
      <c r="AR28" s="160" t="s">
        <v>211</v>
      </c>
      <c r="AS28" s="119" t="s">
        <v>210</v>
      </c>
      <c r="AT28" s="111">
        <v>617897.71150000009</v>
      </c>
      <c r="AU28" s="111">
        <v>731695.44040000008</v>
      </c>
      <c r="AV28" s="111">
        <v>688934.22060000012</v>
      </c>
      <c r="AW28" s="111">
        <v>836657.12249999982</v>
      </c>
      <c r="AX28" s="113">
        <v>753310.77209999948</v>
      </c>
      <c r="AY28" s="113">
        <v>684815.7788999998</v>
      </c>
      <c r="AZ28" s="113">
        <v>731338.73892000131</v>
      </c>
      <c r="BA28" s="113"/>
      <c r="BB28" s="113"/>
      <c r="BC28" s="113"/>
      <c r="BD28" s="113"/>
      <c r="BE28" s="113"/>
      <c r="BF28" s="114">
        <f t="shared" si="46"/>
        <v>753310.77209999948</v>
      </c>
      <c r="BG28" s="114">
        <f t="shared" si="46"/>
        <v>684815.7788999998</v>
      </c>
      <c r="BH28" s="114">
        <f t="shared" si="46"/>
        <v>731338.73892000131</v>
      </c>
      <c r="BI28" s="114">
        <f t="shared" si="46"/>
        <v>0</v>
      </c>
      <c r="BJ28" s="114">
        <f t="shared" si="4"/>
        <v>2169465.2899200004</v>
      </c>
      <c r="BK28" s="115">
        <f t="shared" si="5"/>
        <v>2875184.4950000001</v>
      </c>
      <c r="BL28" s="115">
        <f t="shared" si="47"/>
        <v>2875184.4950000001</v>
      </c>
      <c r="BM28" s="116">
        <f t="shared" si="48"/>
        <v>0.75449999999999995</v>
      </c>
      <c r="BN28" s="126">
        <f t="shared" ca="1" si="6"/>
        <v>0</v>
      </c>
      <c r="BO28" s="117">
        <f t="shared" ca="1" si="7"/>
        <v>0</v>
      </c>
      <c r="BP28" s="118" t="str">
        <f t="shared" si="8"/>
        <v>Uncapped</v>
      </c>
      <c r="BQ28" s="115">
        <f t="shared" ca="1" si="9"/>
        <v>0</v>
      </c>
      <c r="BR28" s="113" t="s">
        <v>700</v>
      </c>
      <c r="BS28" s="161">
        <v>0.3</v>
      </c>
      <c r="BT28" s="113" t="s">
        <v>211</v>
      </c>
      <c r="BU28" s="160" t="s">
        <v>210</v>
      </c>
      <c r="BV28" s="113">
        <v>111879.54</v>
      </c>
      <c r="BW28" s="113">
        <v>134783.64000000001</v>
      </c>
      <c r="BX28" s="113">
        <v>138292.74</v>
      </c>
      <c r="BY28" s="113">
        <v>122044.07999999999</v>
      </c>
      <c r="BZ28" s="113">
        <v>97657.065000000002</v>
      </c>
      <c r="CA28" s="113">
        <v>97232.813999999955</v>
      </c>
      <c r="CB28" s="113">
        <v>131566.23180000001</v>
      </c>
      <c r="CC28" s="113"/>
      <c r="CD28" s="113"/>
      <c r="CE28" s="113"/>
      <c r="CF28" s="113"/>
      <c r="CG28" s="113"/>
      <c r="CH28" s="114">
        <f t="shared" si="49"/>
        <v>97657.065000000002</v>
      </c>
      <c r="CI28" s="114">
        <f t="shared" si="49"/>
        <v>97232.813999999955</v>
      </c>
      <c r="CJ28" s="120">
        <f t="shared" si="49"/>
        <v>131566.23180000001</v>
      </c>
      <c r="CK28" s="114">
        <f t="shared" si="49"/>
        <v>0</v>
      </c>
      <c r="CL28" s="114">
        <f t="shared" si="10"/>
        <v>326456.11079999997</v>
      </c>
      <c r="CM28" s="114">
        <f t="shared" si="11"/>
        <v>507000</v>
      </c>
      <c r="CN28" s="114">
        <f t="shared" si="50"/>
        <v>507000</v>
      </c>
      <c r="CO28" s="116">
        <f t="shared" si="51"/>
        <v>0.64390000000000003</v>
      </c>
      <c r="CP28" s="126">
        <f t="shared" ca="1" si="52"/>
        <v>0</v>
      </c>
      <c r="CQ28" s="115">
        <f t="shared" ca="1" si="12"/>
        <v>0</v>
      </c>
      <c r="CR28" s="118" t="str">
        <f t="shared" si="53"/>
        <v>Uncapped</v>
      </c>
      <c r="CS28" s="115">
        <f t="shared" ca="1" si="13"/>
        <v>0</v>
      </c>
      <c r="CT28" s="113" t="s">
        <v>695</v>
      </c>
      <c r="CU28" s="119">
        <v>0.2</v>
      </c>
      <c r="CV28" s="113" t="s">
        <v>211</v>
      </c>
      <c r="CW28" s="113" t="s">
        <v>210</v>
      </c>
      <c r="CX28" s="113">
        <v>2407851.1739999996</v>
      </c>
      <c r="CY28" s="113">
        <v>2810506.1047999999</v>
      </c>
      <c r="CZ28" s="113">
        <v>2690624.2152000004</v>
      </c>
      <c r="DA28" s="113">
        <v>3300863.3019999992</v>
      </c>
      <c r="DB28" s="113">
        <v>2554242.6375000007</v>
      </c>
      <c r="DC28" s="113">
        <v>2655941.6627999977</v>
      </c>
      <c r="DD28" s="113">
        <v>2757733.470720002</v>
      </c>
      <c r="DE28" s="113"/>
      <c r="DF28" s="113"/>
      <c r="DG28" s="113"/>
      <c r="DH28" s="113"/>
      <c r="DI28" s="113"/>
      <c r="DJ28" s="114">
        <f t="shared" si="54"/>
        <v>2554242.6375000007</v>
      </c>
      <c r="DK28" s="114">
        <f t="shared" si="54"/>
        <v>2655941.6627999977</v>
      </c>
      <c r="DL28" s="114">
        <f t="shared" si="54"/>
        <v>2757733.470720002</v>
      </c>
      <c r="DM28" s="114">
        <f t="shared" si="54"/>
        <v>0</v>
      </c>
      <c r="DN28" s="114">
        <f t="shared" si="55"/>
        <v>7967917.7710200008</v>
      </c>
      <c r="DO28" s="114">
        <f t="shared" si="14"/>
        <v>11209844.796</v>
      </c>
      <c r="DP28" s="114">
        <f t="shared" si="56"/>
        <v>11209844.796</v>
      </c>
      <c r="DQ28" s="116">
        <f t="shared" si="57"/>
        <v>0.71079999999999999</v>
      </c>
      <c r="DR28" s="126">
        <f t="shared" ca="1" si="15"/>
        <v>0</v>
      </c>
      <c r="DS28" s="115">
        <f t="shared" ca="1" si="16"/>
        <v>0</v>
      </c>
      <c r="DT28" s="118" t="str">
        <f t="shared" si="58"/>
        <v>Uncapped</v>
      </c>
      <c r="DU28" s="115">
        <f t="shared" ca="1" si="17"/>
        <v>0</v>
      </c>
      <c r="DV28" s="113"/>
      <c r="DW28" s="119">
        <v>0</v>
      </c>
      <c r="DX28" s="113"/>
      <c r="DY28" s="113"/>
      <c r="DZ28" s="113">
        <v>0</v>
      </c>
      <c r="EA28" s="113">
        <v>0</v>
      </c>
      <c r="EB28" s="113">
        <v>0</v>
      </c>
      <c r="EC28" s="113">
        <v>0</v>
      </c>
      <c r="ED28" s="113">
        <v>0</v>
      </c>
      <c r="EE28" s="113">
        <v>0</v>
      </c>
      <c r="EF28" s="113"/>
      <c r="EG28" s="113"/>
      <c r="EH28" s="113"/>
      <c r="EI28" s="113"/>
      <c r="EJ28" s="113"/>
      <c r="EK28" s="113"/>
      <c r="EL28" s="114">
        <f t="shared" si="59"/>
        <v>0</v>
      </c>
      <c r="EM28" s="114">
        <f t="shared" si="59"/>
        <v>0</v>
      </c>
      <c r="EN28" s="114">
        <f t="shared" si="59"/>
        <v>0</v>
      </c>
      <c r="EO28" s="114">
        <f t="shared" si="59"/>
        <v>0</v>
      </c>
      <c r="EP28" s="114">
        <f t="shared" si="18"/>
        <v>0</v>
      </c>
      <c r="EQ28" s="114">
        <f t="shared" si="19"/>
        <v>0</v>
      </c>
      <c r="ER28" s="114">
        <f t="shared" si="60"/>
        <v>0</v>
      </c>
      <c r="ES28" s="116">
        <f t="shared" si="61"/>
        <v>0</v>
      </c>
      <c r="ET28" s="126">
        <f t="shared" ca="1" si="62"/>
        <v>0</v>
      </c>
      <c r="EU28" s="115">
        <f t="shared" ca="1" si="20"/>
        <v>0</v>
      </c>
      <c r="EV28" s="118" t="str">
        <f t="shared" si="21"/>
        <v>Uncapped</v>
      </c>
      <c r="EW28" s="115">
        <f t="shared" ca="1" si="22"/>
        <v>0</v>
      </c>
      <c r="EX28" s="112">
        <f t="shared" ca="1" si="23"/>
        <v>0</v>
      </c>
      <c r="EY28" s="114">
        <f t="shared" ca="1" si="63"/>
        <v>0</v>
      </c>
      <c r="EZ28" s="115">
        <v>207586</v>
      </c>
      <c r="FA28" s="115">
        <v>286491</v>
      </c>
      <c r="FB28" s="115">
        <v>206750</v>
      </c>
      <c r="FC28" s="115">
        <v>0</v>
      </c>
      <c r="FD28" s="115">
        <f t="shared" si="24"/>
        <v>700827</v>
      </c>
      <c r="FE28" s="114">
        <f t="shared" si="25"/>
        <v>0</v>
      </c>
      <c r="FF28" s="115">
        <v>0</v>
      </c>
      <c r="FG28" s="115">
        <v>0</v>
      </c>
      <c r="FH28" s="115">
        <v>0</v>
      </c>
      <c r="FI28" s="115">
        <v>0</v>
      </c>
      <c r="FJ28" s="115">
        <f t="shared" si="26"/>
        <v>0</v>
      </c>
      <c r="FK28" s="114">
        <f t="shared" si="27"/>
        <v>0</v>
      </c>
      <c r="FL28" s="113"/>
      <c r="FM28" s="111"/>
      <c r="FN28" s="111"/>
      <c r="FO28" s="111"/>
      <c r="FP28" s="115">
        <f t="shared" si="28"/>
        <v>0</v>
      </c>
      <c r="FQ28" s="115"/>
      <c r="FR28" s="115"/>
      <c r="FS28" s="115"/>
      <c r="FT28" s="114">
        <f t="shared" si="64"/>
        <v>0</v>
      </c>
      <c r="FU28" s="366">
        <f t="shared" ca="1" si="66"/>
        <v>700827</v>
      </c>
      <c r="FV28" s="121">
        <f t="shared" ca="1" si="65"/>
        <v>700827</v>
      </c>
      <c r="FW28" s="114">
        <f t="shared" si="70"/>
        <v>0</v>
      </c>
      <c r="FX28" s="114">
        <f t="shared" si="70"/>
        <v>0</v>
      </c>
      <c r="FY28" s="114">
        <f t="shared" si="70"/>
        <v>0</v>
      </c>
      <c r="FZ28" s="114">
        <f t="shared" si="70"/>
        <v>0</v>
      </c>
      <c r="GA28" s="114">
        <f t="shared" si="30"/>
        <v>0</v>
      </c>
      <c r="GB28" s="114">
        <f t="shared" si="71"/>
        <v>207586</v>
      </c>
      <c r="GC28" s="114">
        <f t="shared" si="71"/>
        <v>286491</v>
      </c>
      <c r="GD28" s="114">
        <f t="shared" si="71"/>
        <v>206750</v>
      </c>
      <c r="GE28" s="114">
        <f t="shared" si="71"/>
        <v>0</v>
      </c>
      <c r="GF28" s="114">
        <f t="shared" si="72"/>
        <v>207586</v>
      </c>
      <c r="GG28" s="114">
        <f t="shared" si="72"/>
        <v>286491</v>
      </c>
      <c r="GH28" s="114">
        <f t="shared" si="72"/>
        <v>206750</v>
      </c>
      <c r="GI28" s="114">
        <f t="shared" si="72"/>
        <v>0</v>
      </c>
      <c r="GJ28" s="115">
        <f t="shared" si="33"/>
        <v>700827</v>
      </c>
      <c r="GK28" s="114">
        <f t="shared" si="34"/>
        <v>700827</v>
      </c>
      <c r="GL28" s="114">
        <f t="shared" si="35"/>
        <v>0</v>
      </c>
      <c r="GM28" s="114">
        <f t="shared" si="36"/>
        <v>0</v>
      </c>
      <c r="GN28" s="114">
        <f t="shared" si="37"/>
        <v>0</v>
      </c>
      <c r="GO28" s="114">
        <f t="shared" si="38"/>
        <v>0</v>
      </c>
      <c r="GP28" s="114">
        <f t="shared" si="39"/>
        <v>0</v>
      </c>
      <c r="GQ28" s="114">
        <f t="shared" si="40"/>
        <v>0</v>
      </c>
      <c r="GR28" s="193"/>
      <c r="GS28" s="122">
        <f t="shared" si="41"/>
        <v>10463839.171740001</v>
      </c>
      <c r="GT28" s="122">
        <f t="shared" si="41"/>
        <v>14592029.291000001</v>
      </c>
      <c r="GU28" s="123">
        <f t="shared" si="42"/>
        <v>0.71709280204048353</v>
      </c>
      <c r="GV28" s="124">
        <f t="shared" ca="1" si="43"/>
        <v>0</v>
      </c>
      <c r="GW28" s="124">
        <v>0</v>
      </c>
      <c r="GX28" s="32">
        <f t="shared" ca="1" si="44"/>
        <v>0</v>
      </c>
      <c r="GY28" s="100"/>
    </row>
    <row r="29" spans="1:207" s="125" customFormat="1" ht="15" hidden="1" customHeight="1">
      <c r="A29" s="102"/>
      <c r="B29" s="103"/>
      <c r="C29" s="103"/>
      <c r="D29" s="104"/>
      <c r="E29" s="104" t="s">
        <v>253</v>
      </c>
      <c r="F29" s="104" t="s">
        <v>266</v>
      </c>
      <c r="G29" s="104" t="s">
        <v>226</v>
      </c>
      <c r="H29" s="105" t="s">
        <v>294</v>
      </c>
      <c r="I29" s="106" t="s">
        <v>295</v>
      </c>
      <c r="J29" s="104" t="s">
        <v>212</v>
      </c>
      <c r="K29" s="104" t="s">
        <v>208</v>
      </c>
      <c r="L29" s="104" t="s">
        <v>213</v>
      </c>
      <c r="M29" s="104" t="s">
        <v>283</v>
      </c>
      <c r="N29" s="107"/>
      <c r="O29" s="108">
        <v>43024</v>
      </c>
      <c r="P29" s="108">
        <v>43024</v>
      </c>
      <c r="Q29" s="322">
        <f t="shared" si="0"/>
        <v>0</v>
      </c>
      <c r="R29" s="109">
        <f>IF((P29-VLOOKUP(Q29,month!$A$1:$C$13,3,0))&lt;0,Q29,Q29+1)</f>
        <v>0</v>
      </c>
      <c r="S29" s="108"/>
      <c r="T29" s="127" t="str">
        <f t="shared" si="67"/>
        <v/>
      </c>
      <c r="U29" s="107"/>
      <c r="V29" s="107"/>
      <c r="W29" s="107"/>
      <c r="X29" s="107"/>
      <c r="Y29" s="386"/>
      <c r="Z29" s="386" t="s">
        <v>545</v>
      </c>
      <c r="AA29" s="387">
        <v>1000</v>
      </c>
      <c r="AB29" s="387">
        <v>1000</v>
      </c>
      <c r="AC29" s="387">
        <v>1000</v>
      </c>
      <c r="AD29" s="387">
        <v>1000</v>
      </c>
      <c r="AE29" s="387">
        <v>1000</v>
      </c>
      <c r="AF29" s="387">
        <v>1000</v>
      </c>
      <c r="AG29" s="387">
        <v>1000</v>
      </c>
      <c r="AH29" s="387">
        <v>1000</v>
      </c>
      <c r="AI29" s="387">
        <v>1000</v>
      </c>
      <c r="AJ29" s="387">
        <v>1000</v>
      </c>
      <c r="AK29" s="387">
        <v>1000</v>
      </c>
      <c r="AL29" s="387">
        <v>1000</v>
      </c>
      <c r="AM29" s="388">
        <f t="shared" si="2"/>
        <v>12000</v>
      </c>
      <c r="AN29" s="388">
        <f t="shared" si="3"/>
        <v>12000</v>
      </c>
      <c r="AO29" s="389">
        <f t="shared" si="69"/>
        <v>1000</v>
      </c>
      <c r="AP29" s="498" t="s">
        <v>682</v>
      </c>
      <c r="AQ29" s="159">
        <v>0.5</v>
      </c>
      <c r="AR29" s="160" t="s">
        <v>211</v>
      </c>
      <c r="AS29" s="119" t="s">
        <v>210</v>
      </c>
      <c r="AT29" s="111">
        <v>521470.75299999997</v>
      </c>
      <c r="AU29" s="111">
        <v>605780.36779999989</v>
      </c>
      <c r="AV29" s="111">
        <v>582222.21019999997</v>
      </c>
      <c r="AW29" s="111">
        <v>727015.978</v>
      </c>
      <c r="AX29" s="113">
        <v>556314.85080000106</v>
      </c>
      <c r="AY29" s="113">
        <v>652227.5969999989</v>
      </c>
      <c r="AZ29" s="113">
        <v>582187.85460000113</v>
      </c>
      <c r="BA29" s="113"/>
      <c r="BB29" s="113"/>
      <c r="BC29" s="113"/>
      <c r="BD29" s="113"/>
      <c r="BE29" s="113"/>
      <c r="BF29" s="114">
        <f t="shared" si="46"/>
        <v>556314.85080000106</v>
      </c>
      <c r="BG29" s="114">
        <f t="shared" si="46"/>
        <v>652227.5969999989</v>
      </c>
      <c r="BH29" s="114">
        <f t="shared" si="46"/>
        <v>582187.85460000113</v>
      </c>
      <c r="BI29" s="114">
        <f t="shared" si="46"/>
        <v>0</v>
      </c>
      <c r="BJ29" s="114">
        <f t="shared" si="4"/>
        <v>1790730.3024000011</v>
      </c>
      <c r="BK29" s="115">
        <f t="shared" si="5"/>
        <v>2436489.3089999999</v>
      </c>
      <c r="BL29" s="115">
        <f t="shared" si="47"/>
        <v>2436489.3089999999</v>
      </c>
      <c r="BM29" s="116">
        <f t="shared" si="48"/>
        <v>0.73499999999999999</v>
      </c>
      <c r="BN29" s="126">
        <f t="shared" ca="1" si="6"/>
        <v>0</v>
      </c>
      <c r="BO29" s="117">
        <f t="shared" ca="1" si="7"/>
        <v>0</v>
      </c>
      <c r="BP29" s="118" t="str">
        <f t="shared" si="8"/>
        <v>Uncapped</v>
      </c>
      <c r="BQ29" s="115">
        <f t="shared" ca="1" si="9"/>
        <v>0</v>
      </c>
      <c r="BR29" s="113" t="s">
        <v>700</v>
      </c>
      <c r="BS29" s="161">
        <v>0.3</v>
      </c>
      <c r="BT29" s="113" t="s">
        <v>211</v>
      </c>
      <c r="BU29" s="160" t="s">
        <v>210</v>
      </c>
      <c r="BV29" s="113">
        <v>222789.82500000001</v>
      </c>
      <c r="BW29" s="113">
        <v>268558.42499999999</v>
      </c>
      <c r="BX29" s="113">
        <v>275603.32500000001</v>
      </c>
      <c r="BY29" s="113">
        <v>242748.42499999999</v>
      </c>
      <c r="BZ29" s="113">
        <v>232445.35800000001</v>
      </c>
      <c r="CA29" s="113">
        <v>281203.72199999995</v>
      </c>
      <c r="CB29" s="113">
        <v>398221.56</v>
      </c>
      <c r="CC29" s="113"/>
      <c r="CD29" s="113"/>
      <c r="CE29" s="113"/>
      <c r="CF29" s="113"/>
      <c r="CG29" s="113"/>
      <c r="CH29" s="114">
        <f t="shared" si="49"/>
        <v>232445.35800000001</v>
      </c>
      <c r="CI29" s="114">
        <f t="shared" si="49"/>
        <v>281203.72199999995</v>
      </c>
      <c r="CJ29" s="120">
        <f t="shared" si="49"/>
        <v>398221.56</v>
      </c>
      <c r="CK29" s="114">
        <f t="shared" si="49"/>
        <v>0</v>
      </c>
      <c r="CL29" s="114">
        <f t="shared" si="10"/>
        <v>911870.6399999999</v>
      </c>
      <c r="CM29" s="114">
        <f t="shared" si="11"/>
        <v>1009700</v>
      </c>
      <c r="CN29" s="114">
        <f t="shared" si="50"/>
        <v>1009700</v>
      </c>
      <c r="CO29" s="116">
        <f t="shared" si="51"/>
        <v>0.90310000000000001</v>
      </c>
      <c r="CP29" s="126">
        <f t="shared" ca="1" si="52"/>
        <v>0</v>
      </c>
      <c r="CQ29" s="115">
        <f t="shared" ca="1" si="12"/>
        <v>0</v>
      </c>
      <c r="CR29" s="118" t="str">
        <f t="shared" si="53"/>
        <v>Uncapped</v>
      </c>
      <c r="CS29" s="115">
        <f t="shared" ca="1" si="13"/>
        <v>0</v>
      </c>
      <c r="CT29" s="113" t="s">
        <v>695</v>
      </c>
      <c r="CU29" s="119">
        <v>0.2</v>
      </c>
      <c r="CV29" s="113" t="s">
        <v>211</v>
      </c>
      <c r="CW29" s="113" t="s">
        <v>210</v>
      </c>
      <c r="CX29" s="113">
        <v>2407851.1739999996</v>
      </c>
      <c r="CY29" s="113">
        <v>2810506.1047999999</v>
      </c>
      <c r="CZ29" s="113">
        <v>2690624.2152000004</v>
      </c>
      <c r="DA29" s="113">
        <v>3300863.3019999992</v>
      </c>
      <c r="DB29" s="113">
        <v>2554242.6375000007</v>
      </c>
      <c r="DC29" s="113">
        <v>2655941.6627999977</v>
      </c>
      <c r="DD29" s="113">
        <v>2757733.470720002</v>
      </c>
      <c r="DE29" s="113"/>
      <c r="DF29" s="113"/>
      <c r="DG29" s="113"/>
      <c r="DH29" s="113"/>
      <c r="DI29" s="113"/>
      <c r="DJ29" s="114">
        <f t="shared" si="54"/>
        <v>2554242.6375000007</v>
      </c>
      <c r="DK29" s="114">
        <f t="shared" si="54"/>
        <v>2655941.6627999977</v>
      </c>
      <c r="DL29" s="114">
        <f t="shared" si="54"/>
        <v>2757733.470720002</v>
      </c>
      <c r="DM29" s="114">
        <f t="shared" si="54"/>
        <v>0</v>
      </c>
      <c r="DN29" s="114">
        <f t="shared" si="55"/>
        <v>7967917.7710200008</v>
      </c>
      <c r="DO29" s="114">
        <f t="shared" si="14"/>
        <v>11209844.796</v>
      </c>
      <c r="DP29" s="114">
        <f t="shared" si="56"/>
        <v>11209844.796</v>
      </c>
      <c r="DQ29" s="116">
        <f t="shared" si="57"/>
        <v>0.71079999999999999</v>
      </c>
      <c r="DR29" s="126">
        <f t="shared" ca="1" si="15"/>
        <v>0</v>
      </c>
      <c r="DS29" s="115">
        <f t="shared" ca="1" si="16"/>
        <v>0</v>
      </c>
      <c r="DT29" s="118" t="str">
        <f t="shared" si="58"/>
        <v>Uncapped</v>
      </c>
      <c r="DU29" s="115">
        <f t="shared" ca="1" si="17"/>
        <v>0</v>
      </c>
      <c r="DV29" s="113"/>
      <c r="DW29" s="119">
        <v>0</v>
      </c>
      <c r="DX29" s="113"/>
      <c r="DY29" s="113"/>
      <c r="DZ29" s="113">
        <v>0</v>
      </c>
      <c r="EA29" s="113">
        <v>0</v>
      </c>
      <c r="EB29" s="113">
        <v>0</v>
      </c>
      <c r="EC29" s="113">
        <v>0</v>
      </c>
      <c r="ED29" s="113">
        <v>0</v>
      </c>
      <c r="EE29" s="113">
        <v>0</v>
      </c>
      <c r="EF29" s="113"/>
      <c r="EG29" s="113"/>
      <c r="EH29" s="113"/>
      <c r="EI29" s="113"/>
      <c r="EJ29" s="113"/>
      <c r="EK29" s="113"/>
      <c r="EL29" s="114">
        <f t="shared" si="59"/>
        <v>0</v>
      </c>
      <c r="EM29" s="114">
        <f t="shared" si="59"/>
        <v>0</v>
      </c>
      <c r="EN29" s="114">
        <f t="shared" si="59"/>
        <v>0</v>
      </c>
      <c r="EO29" s="114">
        <f t="shared" si="59"/>
        <v>0</v>
      </c>
      <c r="EP29" s="114">
        <f t="shared" si="18"/>
        <v>0</v>
      </c>
      <c r="EQ29" s="114">
        <f t="shared" si="19"/>
        <v>0</v>
      </c>
      <c r="ER29" s="114">
        <f t="shared" si="60"/>
        <v>0</v>
      </c>
      <c r="ES29" s="116">
        <f t="shared" si="61"/>
        <v>0</v>
      </c>
      <c r="ET29" s="126">
        <f t="shared" ca="1" si="62"/>
        <v>0</v>
      </c>
      <c r="EU29" s="115">
        <f t="shared" ca="1" si="20"/>
        <v>0</v>
      </c>
      <c r="EV29" s="118" t="str">
        <f t="shared" si="21"/>
        <v>Uncapped</v>
      </c>
      <c r="EW29" s="115">
        <f t="shared" ca="1" si="22"/>
        <v>0</v>
      </c>
      <c r="EX29" s="112">
        <f t="shared" ca="1" si="23"/>
        <v>0</v>
      </c>
      <c r="EY29" s="114">
        <f t="shared" ca="1" si="63"/>
        <v>0</v>
      </c>
      <c r="EZ29" s="115">
        <v>235000</v>
      </c>
      <c r="FA29" s="115">
        <v>260000</v>
      </c>
      <c r="FB29" s="115">
        <v>576649</v>
      </c>
      <c r="FC29" s="115">
        <v>0</v>
      </c>
      <c r="FD29" s="115">
        <f t="shared" si="24"/>
        <v>1071649</v>
      </c>
      <c r="FE29" s="114">
        <f t="shared" si="25"/>
        <v>0</v>
      </c>
      <c r="FF29" s="115">
        <v>0</v>
      </c>
      <c r="FG29" s="115">
        <v>0</v>
      </c>
      <c r="FH29" s="115">
        <v>0</v>
      </c>
      <c r="FI29" s="115">
        <v>0</v>
      </c>
      <c r="FJ29" s="115">
        <f t="shared" si="26"/>
        <v>0</v>
      </c>
      <c r="FK29" s="114">
        <f t="shared" si="27"/>
        <v>0</v>
      </c>
      <c r="FL29" s="113"/>
      <c r="FM29" s="111"/>
      <c r="FN29" s="111"/>
      <c r="FO29" s="111"/>
      <c r="FP29" s="115">
        <f t="shared" si="28"/>
        <v>0</v>
      </c>
      <c r="FQ29" s="115"/>
      <c r="FR29" s="115"/>
      <c r="FS29" s="115"/>
      <c r="FT29" s="114">
        <f t="shared" si="64"/>
        <v>0</v>
      </c>
      <c r="FU29" s="366">
        <f t="shared" ca="1" si="66"/>
        <v>1071649</v>
      </c>
      <c r="FV29" s="121">
        <f t="shared" ca="1" si="65"/>
        <v>1071649</v>
      </c>
      <c r="FW29" s="114">
        <f t="shared" si="70"/>
        <v>0</v>
      </c>
      <c r="FX29" s="114">
        <f t="shared" si="70"/>
        <v>0</v>
      </c>
      <c r="FY29" s="114">
        <f t="shared" si="70"/>
        <v>0</v>
      </c>
      <c r="FZ29" s="114">
        <f t="shared" si="70"/>
        <v>0</v>
      </c>
      <c r="GA29" s="114">
        <f t="shared" si="30"/>
        <v>0</v>
      </c>
      <c r="GB29" s="114">
        <f t="shared" si="71"/>
        <v>235000</v>
      </c>
      <c r="GC29" s="114">
        <f t="shared" si="71"/>
        <v>260000</v>
      </c>
      <c r="GD29" s="114">
        <f t="shared" si="71"/>
        <v>576649</v>
      </c>
      <c r="GE29" s="114">
        <f t="shared" si="71"/>
        <v>0</v>
      </c>
      <c r="GF29" s="114">
        <f t="shared" si="72"/>
        <v>235000</v>
      </c>
      <c r="GG29" s="114">
        <f t="shared" si="72"/>
        <v>260000</v>
      </c>
      <c r="GH29" s="114">
        <f t="shared" si="72"/>
        <v>576649</v>
      </c>
      <c r="GI29" s="114">
        <f t="shared" si="72"/>
        <v>0</v>
      </c>
      <c r="GJ29" s="115">
        <f t="shared" si="33"/>
        <v>1071649</v>
      </c>
      <c r="GK29" s="114">
        <f t="shared" si="34"/>
        <v>1071649</v>
      </c>
      <c r="GL29" s="114">
        <f t="shared" si="35"/>
        <v>0</v>
      </c>
      <c r="GM29" s="114">
        <f t="shared" si="36"/>
        <v>0</v>
      </c>
      <c r="GN29" s="114">
        <f t="shared" si="37"/>
        <v>0</v>
      </c>
      <c r="GO29" s="114">
        <f t="shared" si="38"/>
        <v>0</v>
      </c>
      <c r="GP29" s="114">
        <f t="shared" si="39"/>
        <v>0</v>
      </c>
      <c r="GQ29" s="114">
        <f t="shared" si="40"/>
        <v>0</v>
      </c>
      <c r="GR29" s="193"/>
      <c r="GS29" s="122">
        <f t="shared" si="41"/>
        <v>10670518.713420002</v>
      </c>
      <c r="GT29" s="122">
        <f t="shared" si="41"/>
        <v>14656034.105</v>
      </c>
      <c r="GU29" s="123">
        <f t="shared" si="42"/>
        <v>0.72806317431942147</v>
      </c>
      <c r="GV29" s="124">
        <f t="shared" ca="1" si="43"/>
        <v>0</v>
      </c>
      <c r="GW29" s="124">
        <v>0</v>
      </c>
      <c r="GX29" s="32">
        <f t="shared" ca="1" si="44"/>
        <v>0</v>
      </c>
      <c r="GY29" s="100"/>
    </row>
    <row r="30" spans="1:207" s="125" customFormat="1" ht="15" hidden="1" customHeight="1">
      <c r="A30" s="102"/>
      <c r="B30" s="103"/>
      <c r="C30" s="103"/>
      <c r="D30" s="104"/>
      <c r="E30" s="104" t="s">
        <v>253</v>
      </c>
      <c r="F30" s="104" t="s">
        <v>266</v>
      </c>
      <c r="G30" s="104" t="s">
        <v>226</v>
      </c>
      <c r="H30" s="105" t="s">
        <v>296</v>
      </c>
      <c r="I30" s="106" t="s">
        <v>297</v>
      </c>
      <c r="J30" s="104" t="s">
        <v>212</v>
      </c>
      <c r="K30" s="104" t="s">
        <v>208</v>
      </c>
      <c r="L30" s="104" t="s">
        <v>213</v>
      </c>
      <c r="M30" s="104" t="s">
        <v>283</v>
      </c>
      <c r="N30" s="107"/>
      <c r="O30" s="108">
        <v>43282</v>
      </c>
      <c r="P30" s="108">
        <v>43282</v>
      </c>
      <c r="Q30" s="322">
        <f t="shared" si="0"/>
        <v>0</v>
      </c>
      <c r="R30" s="109">
        <f>IF((P30-VLOOKUP(Q30,month!$A$1:$C$13,3,0))&lt;0,Q30,Q30+1)</f>
        <v>0</v>
      </c>
      <c r="S30" s="108"/>
      <c r="T30" s="127" t="str">
        <f t="shared" si="67"/>
        <v/>
      </c>
      <c r="U30" s="107"/>
      <c r="V30" s="107"/>
      <c r="W30" s="107"/>
      <c r="X30" s="107"/>
      <c r="Y30" s="386"/>
      <c r="Z30" s="386" t="s">
        <v>545</v>
      </c>
      <c r="AA30" s="387">
        <v>1000</v>
      </c>
      <c r="AB30" s="387">
        <v>1000</v>
      </c>
      <c r="AC30" s="387">
        <v>1000</v>
      </c>
      <c r="AD30" s="387">
        <v>1000</v>
      </c>
      <c r="AE30" s="387">
        <v>1000</v>
      </c>
      <c r="AF30" s="387">
        <v>1000</v>
      </c>
      <c r="AG30" s="387">
        <v>1000</v>
      </c>
      <c r="AH30" s="387">
        <v>1000</v>
      </c>
      <c r="AI30" s="387">
        <v>1000</v>
      </c>
      <c r="AJ30" s="387">
        <v>1000</v>
      </c>
      <c r="AK30" s="387">
        <v>1000</v>
      </c>
      <c r="AL30" s="387">
        <v>1000</v>
      </c>
      <c r="AM30" s="388">
        <f t="shared" si="2"/>
        <v>12000</v>
      </c>
      <c r="AN30" s="388">
        <f t="shared" si="3"/>
        <v>12000</v>
      </c>
      <c r="AO30" s="389">
        <f t="shared" si="69"/>
        <v>1000</v>
      </c>
      <c r="AP30" s="498" t="s">
        <v>682</v>
      </c>
      <c r="AQ30" s="159">
        <v>0.5</v>
      </c>
      <c r="AR30" s="160" t="s">
        <v>211</v>
      </c>
      <c r="AS30" s="119" t="s">
        <v>210</v>
      </c>
      <c r="AT30" s="111">
        <v>362089.15249999997</v>
      </c>
      <c r="AU30" s="111">
        <v>413339.08760000009</v>
      </c>
      <c r="AV30" s="111">
        <v>400365.91440000001</v>
      </c>
      <c r="AW30" s="111">
        <v>492198.11950000009</v>
      </c>
      <c r="AX30" s="113">
        <v>352862.31239999994</v>
      </c>
      <c r="AY30" s="113">
        <v>468289.77480000001</v>
      </c>
      <c r="AZ30" s="113">
        <v>431644.29479999968</v>
      </c>
      <c r="BA30" s="113"/>
      <c r="BB30" s="113"/>
      <c r="BC30" s="113"/>
      <c r="BD30" s="113"/>
      <c r="BE30" s="113"/>
      <c r="BF30" s="114">
        <f t="shared" si="46"/>
        <v>352862.31239999994</v>
      </c>
      <c r="BG30" s="114">
        <f t="shared" si="46"/>
        <v>468289.77480000001</v>
      </c>
      <c r="BH30" s="114">
        <f t="shared" si="46"/>
        <v>431644.29479999968</v>
      </c>
      <c r="BI30" s="114">
        <f t="shared" si="46"/>
        <v>0</v>
      </c>
      <c r="BJ30" s="114">
        <f t="shared" si="4"/>
        <v>1252796.3819999998</v>
      </c>
      <c r="BK30" s="115">
        <f t="shared" si="5"/>
        <v>1667992.2740000002</v>
      </c>
      <c r="BL30" s="115">
        <f t="shared" si="47"/>
        <v>1667992.2740000002</v>
      </c>
      <c r="BM30" s="116">
        <f t="shared" si="48"/>
        <v>0.75109999999999999</v>
      </c>
      <c r="BN30" s="126">
        <f t="shared" ca="1" si="6"/>
        <v>0</v>
      </c>
      <c r="BO30" s="117">
        <f t="shared" ca="1" si="7"/>
        <v>0</v>
      </c>
      <c r="BP30" s="118" t="str">
        <f t="shared" si="8"/>
        <v>Uncapped</v>
      </c>
      <c r="BQ30" s="115">
        <f t="shared" ca="1" si="9"/>
        <v>0</v>
      </c>
      <c r="BR30" s="113" t="s">
        <v>700</v>
      </c>
      <c r="BS30" s="161">
        <v>0.3</v>
      </c>
      <c r="BT30" s="113" t="s">
        <v>211</v>
      </c>
      <c r="BU30" s="160" t="s">
        <v>210</v>
      </c>
      <c r="BV30" s="113">
        <v>93767.493499999982</v>
      </c>
      <c r="BW30" s="113">
        <v>106448.87599999999</v>
      </c>
      <c r="BX30" s="113">
        <v>107047.72349999999</v>
      </c>
      <c r="BY30" s="113">
        <v>113870.90699999999</v>
      </c>
      <c r="BZ30" s="113">
        <v>41492.123999999996</v>
      </c>
      <c r="CA30" s="113">
        <v>55282.319100000001</v>
      </c>
      <c r="CB30" s="113">
        <v>38987.019899999999</v>
      </c>
      <c r="CC30" s="113"/>
      <c r="CD30" s="113"/>
      <c r="CE30" s="113"/>
      <c r="CF30" s="113"/>
      <c r="CG30" s="113"/>
      <c r="CH30" s="114">
        <f t="shared" si="49"/>
        <v>41492.123999999996</v>
      </c>
      <c r="CI30" s="114">
        <f t="shared" si="49"/>
        <v>55282.319100000001</v>
      </c>
      <c r="CJ30" s="120">
        <f t="shared" si="49"/>
        <v>38987.019899999999</v>
      </c>
      <c r="CK30" s="114">
        <f t="shared" si="49"/>
        <v>0</v>
      </c>
      <c r="CL30" s="114">
        <f t="shared" si="10"/>
        <v>135761.46299999999</v>
      </c>
      <c r="CM30" s="114">
        <f t="shared" si="11"/>
        <v>421135</v>
      </c>
      <c r="CN30" s="114">
        <f t="shared" si="50"/>
        <v>421135</v>
      </c>
      <c r="CO30" s="116">
        <f t="shared" si="51"/>
        <v>0.32240000000000002</v>
      </c>
      <c r="CP30" s="126">
        <f t="shared" ca="1" si="52"/>
        <v>0</v>
      </c>
      <c r="CQ30" s="115">
        <f t="shared" ca="1" si="12"/>
        <v>0</v>
      </c>
      <c r="CR30" s="118" t="str">
        <f t="shared" si="53"/>
        <v>Uncapped</v>
      </c>
      <c r="CS30" s="115">
        <f t="shared" ca="1" si="13"/>
        <v>0</v>
      </c>
      <c r="CT30" s="113" t="s">
        <v>695</v>
      </c>
      <c r="CU30" s="119">
        <v>0.2</v>
      </c>
      <c r="CV30" s="113" t="s">
        <v>211</v>
      </c>
      <c r="CW30" s="113" t="s">
        <v>210</v>
      </c>
      <c r="CX30" s="113">
        <v>2407851.1739999996</v>
      </c>
      <c r="CY30" s="113">
        <v>2810506.1047999999</v>
      </c>
      <c r="CZ30" s="113">
        <v>2690624.2152000004</v>
      </c>
      <c r="DA30" s="113">
        <v>3300863.3019999992</v>
      </c>
      <c r="DB30" s="113">
        <v>2554242.6375000007</v>
      </c>
      <c r="DC30" s="113">
        <v>2655941.6627999977</v>
      </c>
      <c r="DD30" s="113">
        <v>2757733.470720002</v>
      </c>
      <c r="DE30" s="113"/>
      <c r="DF30" s="113"/>
      <c r="DG30" s="113"/>
      <c r="DH30" s="113"/>
      <c r="DI30" s="113"/>
      <c r="DJ30" s="114">
        <f t="shared" si="54"/>
        <v>2554242.6375000007</v>
      </c>
      <c r="DK30" s="114">
        <f t="shared" si="54"/>
        <v>2655941.6627999977</v>
      </c>
      <c r="DL30" s="114">
        <f t="shared" si="54"/>
        <v>2757733.470720002</v>
      </c>
      <c r="DM30" s="114">
        <f t="shared" si="54"/>
        <v>0</v>
      </c>
      <c r="DN30" s="114">
        <f t="shared" si="55"/>
        <v>7967917.7710200008</v>
      </c>
      <c r="DO30" s="114">
        <f t="shared" si="14"/>
        <v>11209844.796</v>
      </c>
      <c r="DP30" s="114">
        <f t="shared" si="56"/>
        <v>11209844.796</v>
      </c>
      <c r="DQ30" s="116">
        <f t="shared" si="57"/>
        <v>0.71079999999999999</v>
      </c>
      <c r="DR30" s="126">
        <f t="shared" ca="1" si="15"/>
        <v>0</v>
      </c>
      <c r="DS30" s="115">
        <f t="shared" ca="1" si="16"/>
        <v>0</v>
      </c>
      <c r="DT30" s="118" t="str">
        <f t="shared" si="58"/>
        <v>Uncapped</v>
      </c>
      <c r="DU30" s="115">
        <f t="shared" ca="1" si="17"/>
        <v>0</v>
      </c>
      <c r="DV30" s="113"/>
      <c r="DW30" s="119">
        <v>0</v>
      </c>
      <c r="DX30" s="113"/>
      <c r="DY30" s="113"/>
      <c r="DZ30" s="113">
        <v>0</v>
      </c>
      <c r="EA30" s="113">
        <v>0</v>
      </c>
      <c r="EB30" s="113">
        <v>0</v>
      </c>
      <c r="EC30" s="113">
        <v>0</v>
      </c>
      <c r="ED30" s="113">
        <v>0</v>
      </c>
      <c r="EE30" s="113">
        <v>0</v>
      </c>
      <c r="EF30" s="113"/>
      <c r="EG30" s="113"/>
      <c r="EH30" s="113"/>
      <c r="EI30" s="113"/>
      <c r="EJ30" s="113"/>
      <c r="EK30" s="113"/>
      <c r="EL30" s="114">
        <f t="shared" si="59"/>
        <v>0</v>
      </c>
      <c r="EM30" s="114">
        <f t="shared" si="59"/>
        <v>0</v>
      </c>
      <c r="EN30" s="114">
        <f t="shared" si="59"/>
        <v>0</v>
      </c>
      <c r="EO30" s="114">
        <f t="shared" si="59"/>
        <v>0</v>
      </c>
      <c r="EP30" s="114">
        <f t="shared" si="18"/>
        <v>0</v>
      </c>
      <c r="EQ30" s="114">
        <f t="shared" si="19"/>
        <v>0</v>
      </c>
      <c r="ER30" s="114">
        <f t="shared" si="60"/>
        <v>0</v>
      </c>
      <c r="ES30" s="116">
        <f t="shared" si="61"/>
        <v>0</v>
      </c>
      <c r="ET30" s="126">
        <f t="shared" ca="1" si="62"/>
        <v>0</v>
      </c>
      <c r="EU30" s="115">
        <f t="shared" ca="1" si="20"/>
        <v>0</v>
      </c>
      <c r="EV30" s="118" t="str">
        <f t="shared" si="21"/>
        <v>Uncapped</v>
      </c>
      <c r="EW30" s="115">
        <f t="shared" ca="1" si="22"/>
        <v>0</v>
      </c>
      <c r="EX30" s="112">
        <f t="shared" ca="1" si="23"/>
        <v>0</v>
      </c>
      <c r="EY30" s="114">
        <f t="shared" ca="1" si="63"/>
        <v>0</v>
      </c>
      <c r="EZ30" s="115">
        <v>50397</v>
      </c>
      <c r="FA30" s="115">
        <v>1575487.9</v>
      </c>
      <c r="FB30" s="115">
        <v>110000</v>
      </c>
      <c r="FC30" s="115">
        <v>0</v>
      </c>
      <c r="FD30" s="115">
        <f t="shared" si="24"/>
        <v>1735884.9</v>
      </c>
      <c r="FE30" s="114">
        <f t="shared" si="25"/>
        <v>0</v>
      </c>
      <c r="FF30" s="115">
        <v>0</v>
      </c>
      <c r="FG30" s="115">
        <v>0</v>
      </c>
      <c r="FH30" s="115">
        <v>0</v>
      </c>
      <c r="FI30" s="115">
        <v>0</v>
      </c>
      <c r="FJ30" s="115">
        <f t="shared" si="26"/>
        <v>0</v>
      </c>
      <c r="FK30" s="114">
        <f t="shared" si="27"/>
        <v>0</v>
      </c>
      <c r="FL30" s="113"/>
      <c r="FM30" s="111"/>
      <c r="FN30" s="111"/>
      <c r="FO30" s="111"/>
      <c r="FP30" s="115">
        <f t="shared" si="28"/>
        <v>0</v>
      </c>
      <c r="FQ30" s="115"/>
      <c r="FR30" s="115"/>
      <c r="FS30" s="115"/>
      <c r="FT30" s="114">
        <f t="shared" si="64"/>
        <v>0</v>
      </c>
      <c r="FU30" s="366">
        <f t="shared" ca="1" si="66"/>
        <v>1735884.9</v>
      </c>
      <c r="FV30" s="121">
        <f t="shared" ca="1" si="65"/>
        <v>1735884.9</v>
      </c>
      <c r="FW30" s="114">
        <f t="shared" si="70"/>
        <v>0</v>
      </c>
      <c r="FX30" s="114">
        <f t="shared" si="70"/>
        <v>0</v>
      </c>
      <c r="FY30" s="114">
        <f t="shared" si="70"/>
        <v>0</v>
      </c>
      <c r="FZ30" s="114">
        <f t="shared" si="70"/>
        <v>0</v>
      </c>
      <c r="GA30" s="114">
        <f>SUM(FW30:FZ30)</f>
        <v>0</v>
      </c>
      <c r="GB30" s="114">
        <f t="shared" si="71"/>
        <v>50397</v>
      </c>
      <c r="GC30" s="114">
        <f t="shared" si="71"/>
        <v>1575487.9</v>
      </c>
      <c r="GD30" s="114">
        <f t="shared" si="71"/>
        <v>110000</v>
      </c>
      <c r="GE30" s="114">
        <f t="shared" si="71"/>
        <v>0</v>
      </c>
      <c r="GF30" s="114">
        <f t="shared" si="72"/>
        <v>50397</v>
      </c>
      <c r="GG30" s="114">
        <f t="shared" si="72"/>
        <v>1575487.9</v>
      </c>
      <c r="GH30" s="114">
        <f t="shared" si="72"/>
        <v>110000</v>
      </c>
      <c r="GI30" s="114">
        <f t="shared" si="72"/>
        <v>0</v>
      </c>
      <c r="GJ30" s="115">
        <f t="shared" si="33"/>
        <v>1735884.9</v>
      </c>
      <c r="GK30" s="114">
        <f>SUM(GF30:GI30)</f>
        <v>1735884.9</v>
      </c>
      <c r="GL30" s="114">
        <f t="shared" si="35"/>
        <v>0</v>
      </c>
      <c r="GM30" s="114">
        <f t="shared" si="36"/>
        <v>0</v>
      </c>
      <c r="GN30" s="114">
        <f t="shared" si="37"/>
        <v>0</v>
      </c>
      <c r="GO30" s="114">
        <f t="shared" si="38"/>
        <v>0</v>
      </c>
      <c r="GP30" s="114">
        <f t="shared" si="39"/>
        <v>0</v>
      </c>
      <c r="GQ30" s="114">
        <f>SUM(GL30:GO30)</f>
        <v>0</v>
      </c>
      <c r="GR30" s="193"/>
      <c r="GS30" s="122">
        <f t="shared" si="41"/>
        <v>9356475.6160200015</v>
      </c>
      <c r="GT30" s="122">
        <f t="shared" si="41"/>
        <v>13298972.07</v>
      </c>
      <c r="GU30" s="123">
        <f>IFERROR(GS30/GT30,"")</f>
        <v>0.70354878307673607</v>
      </c>
      <c r="GV30" s="124">
        <f t="shared" ca="1" si="43"/>
        <v>0</v>
      </c>
      <c r="GW30" s="124">
        <v>0</v>
      </c>
      <c r="GX30" s="32">
        <f t="shared" ca="1" si="44"/>
        <v>0</v>
      </c>
      <c r="GY30" s="100"/>
    </row>
    <row r="31" spans="1:207" s="125" customFormat="1" ht="15" hidden="1" customHeight="1">
      <c r="A31" s="102"/>
      <c r="B31" s="103"/>
      <c r="C31" s="103"/>
      <c r="D31" s="104"/>
      <c r="E31" s="104" t="s">
        <v>253</v>
      </c>
      <c r="F31" s="104" t="s">
        <v>266</v>
      </c>
      <c r="G31" s="104" t="s">
        <v>226</v>
      </c>
      <c r="H31" s="105" t="s">
        <v>298</v>
      </c>
      <c r="I31" s="106" t="s">
        <v>299</v>
      </c>
      <c r="J31" s="104" t="s">
        <v>212</v>
      </c>
      <c r="K31" s="104" t="s">
        <v>208</v>
      </c>
      <c r="L31" s="104" t="s">
        <v>213</v>
      </c>
      <c r="M31" s="104" t="s">
        <v>283</v>
      </c>
      <c r="N31" s="107"/>
      <c r="O31" s="108">
        <v>43430</v>
      </c>
      <c r="P31" s="108">
        <v>43430</v>
      </c>
      <c r="Q31" s="322">
        <f t="shared" si="0"/>
        <v>0</v>
      </c>
      <c r="R31" s="109">
        <f>IF((P31-VLOOKUP(Q31,month!$A$1:$C$13,3,0))&lt;0,Q31,Q31+1)</f>
        <v>0</v>
      </c>
      <c r="S31" s="108"/>
      <c r="T31" s="110" t="str">
        <f t="shared" si="67"/>
        <v/>
      </c>
      <c r="U31" s="320" t="s">
        <v>214</v>
      </c>
      <c r="V31" s="320">
        <v>2</v>
      </c>
      <c r="W31" s="107"/>
      <c r="X31" s="107"/>
      <c r="Y31" s="386"/>
      <c r="Z31" s="386" t="s">
        <v>545</v>
      </c>
      <c r="AA31" s="387">
        <v>1000</v>
      </c>
      <c r="AB31" s="387">
        <v>1000</v>
      </c>
      <c r="AC31" s="387">
        <v>1000</v>
      </c>
      <c r="AD31" s="387">
        <v>1000</v>
      </c>
      <c r="AE31" s="387">
        <v>1000</v>
      </c>
      <c r="AF31" s="387">
        <v>1000</v>
      </c>
      <c r="AG31" s="387">
        <v>1000</v>
      </c>
      <c r="AH31" s="387">
        <v>1000</v>
      </c>
      <c r="AI31" s="387">
        <v>1000</v>
      </c>
      <c r="AJ31" s="387">
        <v>1000</v>
      </c>
      <c r="AK31" s="387">
        <v>1000</v>
      </c>
      <c r="AL31" s="387">
        <v>1000</v>
      </c>
      <c r="AM31" s="388">
        <f t="shared" si="2"/>
        <v>12000</v>
      </c>
      <c r="AN31" s="388">
        <f t="shared" si="3"/>
        <v>12000</v>
      </c>
      <c r="AO31" s="389">
        <f>AI31</f>
        <v>1000</v>
      </c>
      <c r="AP31" s="498" t="s">
        <v>682</v>
      </c>
      <c r="AQ31" s="159">
        <v>0.5</v>
      </c>
      <c r="AR31" s="160" t="s">
        <v>211</v>
      </c>
      <c r="AS31" s="119" t="s">
        <v>210</v>
      </c>
      <c r="AT31" s="111">
        <v>457480.76500000001</v>
      </c>
      <c r="AU31" s="111">
        <v>541312.12939999998</v>
      </c>
      <c r="AV31" s="111">
        <v>520197.51260000002</v>
      </c>
      <c r="AW31" s="111">
        <v>628298.97600000002</v>
      </c>
      <c r="AX31" s="113">
        <v>501685.90200000006</v>
      </c>
      <c r="AY31" s="113">
        <v>623035.83419999888</v>
      </c>
      <c r="AZ31" s="113">
        <v>777814.81739999959</v>
      </c>
      <c r="BA31" s="113"/>
      <c r="BB31" s="113"/>
      <c r="BC31" s="113"/>
      <c r="BD31" s="113"/>
      <c r="BE31" s="113"/>
      <c r="BF31" s="114">
        <f t="shared" si="46"/>
        <v>501685.90200000006</v>
      </c>
      <c r="BG31" s="114">
        <f t="shared" si="46"/>
        <v>623035.83419999888</v>
      </c>
      <c r="BH31" s="114">
        <f t="shared" si="46"/>
        <v>777814.81739999959</v>
      </c>
      <c r="BI31" s="114">
        <f t="shared" si="46"/>
        <v>0</v>
      </c>
      <c r="BJ31" s="114">
        <f t="shared" si="4"/>
        <v>1902536.5535999986</v>
      </c>
      <c r="BK31" s="115">
        <f t="shared" si="5"/>
        <v>2147289.3830000004</v>
      </c>
      <c r="BL31" s="115">
        <f t="shared" si="47"/>
        <v>2147289.3830000004</v>
      </c>
      <c r="BM31" s="116">
        <f t="shared" si="48"/>
        <v>0.88600000000000001</v>
      </c>
      <c r="BN31" s="126">
        <f t="shared" ca="1" si="6"/>
        <v>0</v>
      </c>
      <c r="BO31" s="117">
        <f t="shared" ca="1" si="7"/>
        <v>0</v>
      </c>
      <c r="BP31" s="118" t="str">
        <f t="shared" si="8"/>
        <v>Uncapped</v>
      </c>
      <c r="BQ31" s="115">
        <f t="shared" ca="1" si="9"/>
        <v>0</v>
      </c>
      <c r="BR31" s="113" t="s">
        <v>700</v>
      </c>
      <c r="BS31" s="161">
        <v>0.3</v>
      </c>
      <c r="BT31" s="113" t="s">
        <v>211</v>
      </c>
      <c r="BU31" s="160" t="s">
        <v>210</v>
      </c>
      <c r="BV31" s="113">
        <v>92796.516749999995</v>
      </c>
      <c r="BW31" s="113">
        <v>110501.69475</v>
      </c>
      <c r="BX31" s="113">
        <v>112947.68175</v>
      </c>
      <c r="BY31" s="113">
        <v>103525.10674999999</v>
      </c>
      <c r="BZ31" s="113">
        <v>98338.184999999998</v>
      </c>
      <c r="CA31" s="113">
        <v>104748.83999999998</v>
      </c>
      <c r="CB31" s="113">
        <v>141658.965</v>
      </c>
      <c r="CC31" s="113"/>
      <c r="CD31" s="113"/>
      <c r="CE31" s="113"/>
      <c r="CF31" s="113"/>
      <c r="CG31" s="113"/>
      <c r="CH31" s="114">
        <f t="shared" si="49"/>
        <v>98338.184999999998</v>
      </c>
      <c r="CI31" s="114">
        <f t="shared" si="49"/>
        <v>104748.83999999998</v>
      </c>
      <c r="CJ31" s="120">
        <f t="shared" si="49"/>
        <v>141658.965</v>
      </c>
      <c r="CK31" s="114">
        <f t="shared" si="49"/>
        <v>0</v>
      </c>
      <c r="CL31" s="114">
        <f t="shared" si="10"/>
        <v>344745.99</v>
      </c>
      <c r="CM31" s="114">
        <f t="shared" si="11"/>
        <v>419770.99999999994</v>
      </c>
      <c r="CN31" s="114">
        <f t="shared" si="50"/>
        <v>419770.99999999994</v>
      </c>
      <c r="CO31" s="116">
        <f t="shared" si="51"/>
        <v>0.82130000000000003</v>
      </c>
      <c r="CP31" s="126">
        <f t="shared" ca="1" si="52"/>
        <v>0</v>
      </c>
      <c r="CQ31" s="115">
        <f t="shared" ca="1" si="12"/>
        <v>0</v>
      </c>
      <c r="CR31" s="118" t="str">
        <f t="shared" si="53"/>
        <v>Uncapped</v>
      </c>
      <c r="CS31" s="115">
        <f t="shared" ca="1" si="13"/>
        <v>0</v>
      </c>
      <c r="CT31" s="113" t="s">
        <v>695</v>
      </c>
      <c r="CU31" s="119">
        <v>0.2</v>
      </c>
      <c r="CV31" s="113" t="s">
        <v>211</v>
      </c>
      <c r="CW31" s="113" t="s">
        <v>210</v>
      </c>
      <c r="CX31" s="113">
        <v>2407851.1739999996</v>
      </c>
      <c r="CY31" s="113">
        <v>2810506.1047999999</v>
      </c>
      <c r="CZ31" s="113">
        <v>2690624.2152000004</v>
      </c>
      <c r="DA31" s="113">
        <v>3300863.3019999992</v>
      </c>
      <c r="DB31" s="113">
        <v>2554242.6375000007</v>
      </c>
      <c r="DC31" s="113">
        <v>2655941.6627999977</v>
      </c>
      <c r="DD31" s="113">
        <v>2757733.470720002</v>
      </c>
      <c r="DE31" s="113"/>
      <c r="DF31" s="113"/>
      <c r="DG31" s="113"/>
      <c r="DH31" s="113"/>
      <c r="DI31" s="113"/>
      <c r="DJ31" s="114">
        <f t="shared" si="54"/>
        <v>2554242.6375000007</v>
      </c>
      <c r="DK31" s="114">
        <f t="shared" si="54"/>
        <v>2655941.6627999977</v>
      </c>
      <c r="DL31" s="114">
        <f t="shared" si="54"/>
        <v>2757733.470720002</v>
      </c>
      <c r="DM31" s="114">
        <f t="shared" si="54"/>
        <v>0</v>
      </c>
      <c r="DN31" s="114">
        <f t="shared" si="55"/>
        <v>7967917.7710200008</v>
      </c>
      <c r="DO31" s="114">
        <f t="shared" si="14"/>
        <v>11209844.796</v>
      </c>
      <c r="DP31" s="114">
        <f t="shared" si="56"/>
        <v>11209844.796</v>
      </c>
      <c r="DQ31" s="116">
        <f t="shared" si="57"/>
        <v>0.71079999999999999</v>
      </c>
      <c r="DR31" s="126">
        <f t="shared" ca="1" si="15"/>
        <v>0</v>
      </c>
      <c r="DS31" s="115">
        <f t="shared" ca="1" si="16"/>
        <v>0</v>
      </c>
      <c r="DT31" s="118" t="str">
        <f t="shared" si="58"/>
        <v>Uncapped</v>
      </c>
      <c r="DU31" s="115">
        <f t="shared" ca="1" si="17"/>
        <v>0</v>
      </c>
      <c r="DV31" s="113"/>
      <c r="DW31" s="119">
        <v>0</v>
      </c>
      <c r="DX31" s="113"/>
      <c r="DY31" s="113"/>
      <c r="DZ31" s="113">
        <v>0</v>
      </c>
      <c r="EA31" s="113">
        <v>0</v>
      </c>
      <c r="EB31" s="113">
        <v>0</v>
      </c>
      <c r="EC31" s="113">
        <v>0</v>
      </c>
      <c r="ED31" s="113">
        <v>0</v>
      </c>
      <c r="EE31" s="113">
        <v>0</v>
      </c>
      <c r="EF31" s="113"/>
      <c r="EG31" s="113"/>
      <c r="EH31" s="113"/>
      <c r="EI31" s="113"/>
      <c r="EJ31" s="113"/>
      <c r="EK31" s="113"/>
      <c r="EL31" s="114">
        <f t="shared" si="59"/>
        <v>0</v>
      </c>
      <c r="EM31" s="114">
        <f t="shared" si="59"/>
        <v>0</v>
      </c>
      <c r="EN31" s="114">
        <f t="shared" si="59"/>
        <v>0</v>
      </c>
      <c r="EO31" s="114">
        <f t="shared" si="59"/>
        <v>0</v>
      </c>
      <c r="EP31" s="114">
        <f t="shared" si="18"/>
        <v>0</v>
      </c>
      <c r="EQ31" s="114">
        <f t="shared" si="19"/>
        <v>0</v>
      </c>
      <c r="ER31" s="114">
        <f t="shared" si="60"/>
        <v>0</v>
      </c>
      <c r="ES31" s="116">
        <f t="shared" si="61"/>
        <v>0</v>
      </c>
      <c r="ET31" s="126">
        <f t="shared" ca="1" si="62"/>
        <v>0</v>
      </c>
      <c r="EU31" s="115">
        <f t="shared" ca="1" si="20"/>
        <v>0</v>
      </c>
      <c r="EV31" s="118" t="str">
        <f t="shared" si="21"/>
        <v>Uncapped</v>
      </c>
      <c r="EW31" s="115">
        <f t="shared" ca="1" si="22"/>
        <v>0</v>
      </c>
      <c r="EX31" s="112">
        <f t="shared" ca="1" si="23"/>
        <v>0</v>
      </c>
      <c r="EY31" s="114">
        <f t="shared" ca="1" si="63"/>
        <v>2000</v>
      </c>
      <c r="EZ31" s="115">
        <v>0</v>
      </c>
      <c r="FA31" s="115"/>
      <c r="FB31" s="115"/>
      <c r="FC31" s="115">
        <v>0</v>
      </c>
      <c r="FD31" s="115">
        <f t="shared" si="24"/>
        <v>0</v>
      </c>
      <c r="FE31" s="114">
        <f t="shared" si="25"/>
        <v>0</v>
      </c>
      <c r="FF31" s="115">
        <v>0</v>
      </c>
      <c r="FG31" s="115">
        <v>0</v>
      </c>
      <c r="FH31" s="115">
        <v>0</v>
      </c>
      <c r="FI31" s="115">
        <v>0</v>
      </c>
      <c r="FJ31" s="115">
        <f t="shared" si="26"/>
        <v>0</v>
      </c>
      <c r="FK31" s="114">
        <f t="shared" si="27"/>
        <v>0</v>
      </c>
      <c r="FL31" s="113"/>
      <c r="FM31" s="111"/>
      <c r="FN31" s="111"/>
      <c r="FO31" s="111"/>
      <c r="FP31" s="115">
        <f t="shared" si="28"/>
        <v>0</v>
      </c>
      <c r="FQ31" s="115"/>
      <c r="FR31" s="115"/>
      <c r="FS31" s="115"/>
      <c r="FT31" s="114">
        <f t="shared" si="64"/>
        <v>0</v>
      </c>
      <c r="FU31" s="366">
        <f t="shared" ca="1" si="66"/>
        <v>2000</v>
      </c>
      <c r="FV31" s="121">
        <f t="shared" ca="1" si="65"/>
        <v>2000</v>
      </c>
      <c r="FW31" s="114">
        <f t="shared" si="70"/>
        <v>0</v>
      </c>
      <c r="FX31" s="114">
        <f t="shared" si="70"/>
        <v>0</v>
      </c>
      <c r="FY31" s="114">
        <f t="shared" si="70"/>
        <v>0</v>
      </c>
      <c r="FZ31" s="114">
        <f t="shared" si="70"/>
        <v>0</v>
      </c>
      <c r="GA31" s="114">
        <f>SUM(FW31:FZ31)</f>
        <v>0</v>
      </c>
      <c r="GB31" s="114">
        <f t="shared" si="71"/>
        <v>0</v>
      </c>
      <c r="GC31" s="114">
        <f t="shared" si="71"/>
        <v>0</v>
      </c>
      <c r="GD31" s="114">
        <f t="shared" si="71"/>
        <v>0</v>
      </c>
      <c r="GE31" s="114">
        <f t="shared" si="71"/>
        <v>0</v>
      </c>
      <c r="GF31" s="114">
        <f t="shared" si="72"/>
        <v>0</v>
      </c>
      <c r="GG31" s="114">
        <f t="shared" si="72"/>
        <v>0</v>
      </c>
      <c r="GH31" s="114">
        <f t="shared" si="72"/>
        <v>0</v>
      </c>
      <c r="GI31" s="114">
        <f t="shared" si="72"/>
        <v>0</v>
      </c>
      <c r="GJ31" s="115">
        <f t="shared" si="33"/>
        <v>0</v>
      </c>
      <c r="GK31" s="114">
        <f>SUM(GF31:GI31)</f>
        <v>0</v>
      </c>
      <c r="GL31" s="114">
        <f t="shared" si="35"/>
        <v>2000</v>
      </c>
      <c r="GM31" s="114">
        <f t="shared" si="36"/>
        <v>0</v>
      </c>
      <c r="GN31" s="114">
        <f t="shared" si="37"/>
        <v>0</v>
      </c>
      <c r="GO31" s="114">
        <f t="shared" si="38"/>
        <v>0</v>
      </c>
      <c r="GP31" s="114">
        <f t="shared" si="39"/>
        <v>2000</v>
      </c>
      <c r="GQ31" s="114">
        <f>SUM(GL31:GO31)</f>
        <v>2000</v>
      </c>
      <c r="GR31" s="193"/>
      <c r="GS31" s="122">
        <f t="shared" si="41"/>
        <v>10215200.314619999</v>
      </c>
      <c r="GT31" s="122">
        <f t="shared" si="41"/>
        <v>13776905.179000001</v>
      </c>
      <c r="GU31" s="123">
        <f>IFERROR(GS31/GT31,"")</f>
        <v>0.74147278956313989</v>
      </c>
      <c r="GV31" s="124">
        <f t="shared" ca="1" si="43"/>
        <v>0</v>
      </c>
      <c r="GW31" s="124">
        <v>0</v>
      </c>
      <c r="GX31" s="32">
        <f t="shared" ca="1" si="44"/>
        <v>0</v>
      </c>
      <c r="GY31" s="100"/>
    </row>
    <row r="32" spans="1:207" s="152" customFormat="1" ht="15" hidden="1" customHeight="1">
      <c r="A32" s="129"/>
      <c r="B32" s="130"/>
      <c r="C32" s="130"/>
      <c r="D32" s="131"/>
      <c r="E32" s="131" t="s">
        <v>234</v>
      </c>
      <c r="F32" s="131" t="s">
        <v>235</v>
      </c>
      <c r="G32" s="131" t="s">
        <v>226</v>
      </c>
      <c r="H32" s="132" t="s">
        <v>300</v>
      </c>
      <c r="I32" s="133" t="s">
        <v>649</v>
      </c>
      <c r="J32" s="131" t="s">
        <v>238</v>
      </c>
      <c r="K32" s="508" t="s">
        <v>208</v>
      </c>
      <c r="L32" s="131" t="s">
        <v>301</v>
      </c>
      <c r="M32" s="131" t="s">
        <v>301</v>
      </c>
      <c r="N32" s="134"/>
      <c r="O32" s="540">
        <v>41376</v>
      </c>
      <c r="P32" s="155">
        <v>41640</v>
      </c>
      <c r="Q32" s="321">
        <f t="shared" si="0"/>
        <v>0</v>
      </c>
      <c r="R32" s="109">
        <f>IF((P32-VLOOKUP(Q32,month!$A$1:$C$13,3,0))&lt;0,Q32,Q32+1)</f>
        <v>0</v>
      </c>
      <c r="S32" s="108"/>
      <c r="T32" s="153" t="str">
        <f t="shared" si="67"/>
        <v/>
      </c>
      <c r="U32" s="134"/>
      <c r="V32" s="134"/>
      <c r="W32" s="134"/>
      <c r="X32" s="134"/>
      <c r="Y32" s="383"/>
      <c r="Z32" s="383" t="s">
        <v>545</v>
      </c>
      <c r="AA32" s="371">
        <v>1000</v>
      </c>
      <c r="AB32" s="371">
        <v>1000</v>
      </c>
      <c r="AC32" s="371">
        <v>1000</v>
      </c>
      <c r="AD32" s="371">
        <v>1000</v>
      </c>
      <c r="AE32" s="371">
        <v>1000</v>
      </c>
      <c r="AF32" s="371">
        <v>1000</v>
      </c>
      <c r="AG32" s="371">
        <v>1000</v>
      </c>
      <c r="AH32" s="371">
        <v>1000</v>
      </c>
      <c r="AI32" s="371">
        <v>1000</v>
      </c>
      <c r="AJ32" s="371">
        <v>1000</v>
      </c>
      <c r="AK32" s="371">
        <v>1000</v>
      </c>
      <c r="AL32" s="371">
        <v>1000</v>
      </c>
      <c r="AM32" s="384">
        <f t="shared" si="2"/>
        <v>12000</v>
      </c>
      <c r="AN32" s="384">
        <f t="shared" si="3"/>
        <v>12000</v>
      </c>
      <c r="AO32" s="385">
        <f t="shared" ref="AO32:AO35" si="73">AI32</f>
        <v>1000</v>
      </c>
      <c r="AP32" s="497" t="s">
        <v>682</v>
      </c>
      <c r="AQ32" s="156">
        <v>0.5</v>
      </c>
      <c r="AR32" s="157" t="s">
        <v>211</v>
      </c>
      <c r="AS32" s="146" t="s">
        <v>210</v>
      </c>
      <c r="AT32" s="136">
        <v>5683861.2217000006</v>
      </c>
      <c r="AU32" s="136">
        <v>6556745.5122000007</v>
      </c>
      <c r="AV32" s="136"/>
      <c r="AW32" s="136"/>
      <c r="AX32" s="138">
        <v>4912597.1829361506</v>
      </c>
      <c r="AY32" s="138">
        <v>6251630.6763357902</v>
      </c>
      <c r="AZ32" s="138"/>
      <c r="BA32" s="138"/>
      <c r="BB32" s="138"/>
      <c r="BC32" s="138"/>
      <c r="BD32" s="138"/>
      <c r="BE32" s="138"/>
      <c r="BF32" s="139">
        <f t="shared" si="46"/>
        <v>4912597.1829361506</v>
      </c>
      <c r="BG32" s="139">
        <f t="shared" si="46"/>
        <v>6251630.6763357902</v>
      </c>
      <c r="BH32" s="139">
        <f t="shared" si="46"/>
        <v>0</v>
      </c>
      <c r="BI32" s="139">
        <f t="shared" si="46"/>
        <v>0</v>
      </c>
      <c r="BJ32" s="139">
        <f t="shared" si="4"/>
        <v>11164227.85927194</v>
      </c>
      <c r="BK32" s="140">
        <f t="shared" si="5"/>
        <v>12240606.733900001</v>
      </c>
      <c r="BL32" s="140">
        <f t="shared" si="47"/>
        <v>12240606.733900001</v>
      </c>
      <c r="BM32" s="141">
        <f t="shared" si="48"/>
        <v>0.91210000000000002</v>
      </c>
      <c r="BN32" s="142">
        <f t="shared" ca="1" si="6"/>
        <v>0</v>
      </c>
      <c r="BO32" s="143">
        <f t="shared" ca="1" si="7"/>
        <v>0</v>
      </c>
      <c r="BP32" s="144" t="str">
        <f t="shared" si="8"/>
        <v>Uncapped</v>
      </c>
      <c r="BQ32" s="140">
        <f t="shared" ca="1" si="9"/>
        <v>0</v>
      </c>
      <c r="BR32" s="138" t="s">
        <v>700</v>
      </c>
      <c r="BS32" s="158">
        <v>0.3</v>
      </c>
      <c r="BT32" s="138" t="s">
        <v>211</v>
      </c>
      <c r="BU32" s="157" t="s">
        <v>210</v>
      </c>
      <c r="BV32" s="138">
        <v>530471.73</v>
      </c>
      <c r="BW32" s="138">
        <v>613065.78</v>
      </c>
      <c r="BX32" s="138"/>
      <c r="BY32" s="138"/>
      <c r="BZ32" s="138">
        <v>411033.27259999909</v>
      </c>
      <c r="CA32" s="138">
        <v>422912.27360000001</v>
      </c>
      <c r="CB32" s="138"/>
      <c r="CC32" s="138"/>
      <c r="CD32" s="138"/>
      <c r="CE32" s="138"/>
      <c r="CF32" s="138"/>
      <c r="CG32" s="138"/>
      <c r="CH32" s="139">
        <f t="shared" si="49"/>
        <v>411033.27259999909</v>
      </c>
      <c r="CI32" s="139">
        <f t="shared" si="49"/>
        <v>422912.27360000001</v>
      </c>
      <c r="CJ32" s="145">
        <f t="shared" si="49"/>
        <v>0</v>
      </c>
      <c r="CK32" s="139">
        <f t="shared" si="49"/>
        <v>0</v>
      </c>
      <c r="CL32" s="139">
        <f t="shared" si="10"/>
        <v>833945.54619999905</v>
      </c>
      <c r="CM32" s="139">
        <f t="shared" si="11"/>
        <v>1143537.51</v>
      </c>
      <c r="CN32" s="139">
        <f t="shared" si="50"/>
        <v>1143537.51</v>
      </c>
      <c r="CO32" s="141">
        <f t="shared" si="51"/>
        <v>0.72929999999999995</v>
      </c>
      <c r="CP32" s="142">
        <f t="shared" ca="1" si="52"/>
        <v>0</v>
      </c>
      <c r="CQ32" s="140">
        <f t="shared" ca="1" si="12"/>
        <v>0</v>
      </c>
      <c r="CR32" s="144" t="str">
        <f t="shared" si="53"/>
        <v>Uncapped</v>
      </c>
      <c r="CS32" s="140">
        <f t="shared" ca="1" si="13"/>
        <v>0</v>
      </c>
      <c r="CT32" s="138" t="s">
        <v>696</v>
      </c>
      <c r="CU32" s="146">
        <v>0.2</v>
      </c>
      <c r="CV32" s="138" t="s">
        <v>217</v>
      </c>
      <c r="CW32" s="138" t="s">
        <v>210</v>
      </c>
      <c r="CX32" s="138">
        <v>61881722.047854595</v>
      </c>
      <c r="CY32" s="138">
        <v>72180793.063260496</v>
      </c>
      <c r="CZ32" s="138"/>
      <c r="DA32" s="138"/>
      <c r="DB32" s="138">
        <v>63657388.730680585</v>
      </c>
      <c r="DC32" s="138">
        <v>65995192.891159989</v>
      </c>
      <c r="DD32" s="138"/>
      <c r="DE32" s="138"/>
      <c r="DF32" s="138"/>
      <c r="DG32" s="138"/>
      <c r="DH32" s="138"/>
      <c r="DI32" s="138"/>
      <c r="DJ32" s="139">
        <f t="shared" si="54"/>
        <v>63657388.730680585</v>
      </c>
      <c r="DK32" s="139">
        <f t="shared" si="54"/>
        <v>65995192.891159989</v>
      </c>
      <c r="DL32" s="139">
        <f t="shared" si="54"/>
        <v>0</v>
      </c>
      <c r="DM32" s="139">
        <f t="shared" si="54"/>
        <v>0</v>
      </c>
      <c r="DN32" s="139">
        <f t="shared" si="55"/>
        <v>129652581.62184057</v>
      </c>
      <c r="DO32" s="139">
        <f t="shared" si="14"/>
        <v>134062515.1111151</v>
      </c>
      <c r="DP32" s="139">
        <f t="shared" si="56"/>
        <v>134062515.1111151</v>
      </c>
      <c r="DQ32" s="141">
        <f t="shared" si="57"/>
        <v>0.96709999999999996</v>
      </c>
      <c r="DR32" s="142">
        <f t="shared" ca="1" si="15"/>
        <v>0</v>
      </c>
      <c r="DS32" s="140">
        <f t="shared" ca="1" si="16"/>
        <v>0</v>
      </c>
      <c r="DT32" s="144" t="str">
        <f t="shared" si="58"/>
        <v>Uncapped</v>
      </c>
      <c r="DU32" s="140">
        <f t="shared" ca="1" si="17"/>
        <v>0</v>
      </c>
      <c r="DV32" s="138"/>
      <c r="DW32" s="146">
        <v>0</v>
      </c>
      <c r="DX32" s="138"/>
      <c r="DY32" s="138"/>
      <c r="DZ32" s="138">
        <v>0</v>
      </c>
      <c r="EA32" s="138">
        <v>0</v>
      </c>
      <c r="EB32" s="138">
        <v>0</v>
      </c>
      <c r="EC32" s="138">
        <v>0</v>
      </c>
      <c r="ED32" s="138">
        <v>0</v>
      </c>
      <c r="EE32" s="138">
        <v>0</v>
      </c>
      <c r="EF32" s="138"/>
      <c r="EG32" s="138"/>
      <c r="EH32" s="138"/>
      <c r="EI32" s="138"/>
      <c r="EJ32" s="138"/>
      <c r="EK32" s="138"/>
      <c r="EL32" s="139">
        <f t="shared" si="59"/>
        <v>0</v>
      </c>
      <c r="EM32" s="139">
        <f t="shared" si="59"/>
        <v>0</v>
      </c>
      <c r="EN32" s="139">
        <f t="shared" si="59"/>
        <v>0</v>
      </c>
      <c r="EO32" s="139">
        <f t="shared" si="59"/>
        <v>0</v>
      </c>
      <c r="EP32" s="139">
        <f t="shared" si="18"/>
        <v>0</v>
      </c>
      <c r="EQ32" s="139">
        <f t="shared" si="19"/>
        <v>0</v>
      </c>
      <c r="ER32" s="139">
        <f t="shared" si="60"/>
        <v>0</v>
      </c>
      <c r="ES32" s="141">
        <f t="shared" si="61"/>
        <v>0</v>
      </c>
      <c r="ET32" s="142">
        <f t="shared" ca="1" si="62"/>
        <v>0</v>
      </c>
      <c r="EU32" s="140">
        <f t="shared" ca="1" si="20"/>
        <v>0</v>
      </c>
      <c r="EV32" s="144" t="str">
        <f t="shared" si="21"/>
        <v>Uncapped</v>
      </c>
      <c r="EW32" s="140">
        <f t="shared" ca="1" si="22"/>
        <v>0</v>
      </c>
      <c r="EX32" s="137">
        <f t="shared" ca="1" si="23"/>
        <v>0</v>
      </c>
      <c r="EY32" s="139">
        <f t="shared" ca="1" si="63"/>
        <v>0</v>
      </c>
      <c r="EZ32" s="140">
        <v>0</v>
      </c>
      <c r="FA32" s="140"/>
      <c r="FB32" s="140"/>
      <c r="FC32" s="140">
        <v>0</v>
      </c>
      <c r="FD32" s="140">
        <f t="shared" si="24"/>
        <v>0</v>
      </c>
      <c r="FE32" s="139">
        <f t="shared" si="25"/>
        <v>0</v>
      </c>
      <c r="FF32" s="140">
        <v>0</v>
      </c>
      <c r="FG32" s="140">
        <v>0</v>
      </c>
      <c r="FH32" s="140">
        <v>0</v>
      </c>
      <c r="FI32" s="140">
        <v>0</v>
      </c>
      <c r="FJ32" s="140">
        <f t="shared" si="26"/>
        <v>0</v>
      </c>
      <c r="FK32" s="139">
        <f t="shared" si="27"/>
        <v>0</v>
      </c>
      <c r="FL32" s="138"/>
      <c r="FM32" s="136"/>
      <c r="FN32" s="136"/>
      <c r="FO32" s="136"/>
      <c r="FP32" s="140">
        <f t="shared" si="28"/>
        <v>0</v>
      </c>
      <c r="FQ32" s="140"/>
      <c r="FR32" s="140"/>
      <c r="FS32" s="140"/>
      <c r="FT32" s="139">
        <f t="shared" si="64"/>
        <v>0</v>
      </c>
      <c r="FU32" s="365">
        <f t="shared" ca="1" si="66"/>
        <v>0</v>
      </c>
      <c r="FV32" s="147">
        <f t="shared" ca="1" si="65"/>
        <v>0</v>
      </c>
      <c r="FW32" s="139">
        <f t="shared" si="70"/>
        <v>0</v>
      </c>
      <c r="FX32" s="139">
        <f t="shared" si="70"/>
        <v>0</v>
      </c>
      <c r="FY32" s="139">
        <f t="shared" si="70"/>
        <v>0</v>
      </c>
      <c r="FZ32" s="139">
        <f t="shared" si="70"/>
        <v>0</v>
      </c>
      <c r="GA32" s="139">
        <f t="shared" si="30"/>
        <v>0</v>
      </c>
      <c r="GB32" s="139">
        <f t="shared" si="71"/>
        <v>0</v>
      </c>
      <c r="GC32" s="139">
        <f t="shared" si="71"/>
        <v>0</v>
      </c>
      <c r="GD32" s="139">
        <f t="shared" si="71"/>
        <v>0</v>
      </c>
      <c r="GE32" s="139">
        <f t="shared" si="71"/>
        <v>0</v>
      </c>
      <c r="GF32" s="139">
        <f t="shared" si="72"/>
        <v>0</v>
      </c>
      <c r="GG32" s="139">
        <f t="shared" si="72"/>
        <v>0</v>
      </c>
      <c r="GH32" s="139">
        <f t="shared" si="72"/>
        <v>0</v>
      </c>
      <c r="GI32" s="139">
        <f t="shared" si="72"/>
        <v>0</v>
      </c>
      <c r="GJ32" s="140">
        <f t="shared" si="33"/>
        <v>0</v>
      </c>
      <c r="GK32" s="139">
        <f t="shared" si="34"/>
        <v>0</v>
      </c>
      <c r="GL32" s="139">
        <f t="shared" si="35"/>
        <v>0</v>
      </c>
      <c r="GM32" s="139">
        <f t="shared" si="36"/>
        <v>0</v>
      </c>
      <c r="GN32" s="139">
        <f t="shared" si="37"/>
        <v>0</v>
      </c>
      <c r="GO32" s="139">
        <f t="shared" si="38"/>
        <v>0</v>
      </c>
      <c r="GP32" s="139">
        <f t="shared" si="39"/>
        <v>0</v>
      </c>
      <c r="GQ32" s="139">
        <f t="shared" si="40"/>
        <v>0</v>
      </c>
      <c r="GR32" s="409"/>
      <c r="GS32" s="148">
        <f t="shared" si="41"/>
        <v>141650755.02731252</v>
      </c>
      <c r="GT32" s="148">
        <f t="shared" si="41"/>
        <v>147446659.3550151</v>
      </c>
      <c r="GU32" s="149">
        <f t="shared" si="42"/>
        <v>0.96069151818660414</v>
      </c>
      <c r="GV32" s="150">
        <f t="shared" ca="1" si="43"/>
        <v>0</v>
      </c>
      <c r="GW32" s="150">
        <v>0</v>
      </c>
      <c r="GX32" s="151">
        <f t="shared" ca="1" si="44"/>
        <v>0</v>
      </c>
      <c r="GY32" s="100"/>
    </row>
    <row r="33" spans="1:207" s="125" customFormat="1" ht="15" hidden="1" customHeight="1">
      <c r="A33" s="102"/>
      <c r="B33" s="103"/>
      <c r="C33" s="103"/>
      <c r="D33" s="104"/>
      <c r="E33" s="104" t="s">
        <v>253</v>
      </c>
      <c r="F33" s="104" t="s">
        <v>243</v>
      </c>
      <c r="G33" s="104" t="s">
        <v>226</v>
      </c>
      <c r="H33" s="105" t="s">
        <v>302</v>
      </c>
      <c r="I33" s="106" t="s">
        <v>303</v>
      </c>
      <c r="J33" s="104" t="s">
        <v>207</v>
      </c>
      <c r="K33" s="104" t="s">
        <v>208</v>
      </c>
      <c r="L33" s="104" t="s">
        <v>246</v>
      </c>
      <c r="M33" s="104" t="s">
        <v>247</v>
      </c>
      <c r="N33" s="107"/>
      <c r="O33" s="108">
        <v>41376</v>
      </c>
      <c r="P33" s="108">
        <v>43009</v>
      </c>
      <c r="Q33" s="322">
        <f t="shared" si="0"/>
        <v>0</v>
      </c>
      <c r="R33" s="109">
        <f>IF((P33-VLOOKUP(Q33,month!$A$1:$C$13,3,0))&lt;0,Q33,Q33+1)</f>
        <v>0</v>
      </c>
      <c r="S33" s="108"/>
      <c r="T33" s="127" t="str">
        <f t="shared" si="67"/>
        <v/>
      </c>
      <c r="U33" s="107"/>
      <c r="V33" s="107"/>
      <c r="W33" s="107"/>
      <c r="X33" s="107"/>
      <c r="Y33" s="386"/>
      <c r="Z33" s="386" t="s">
        <v>545</v>
      </c>
      <c r="AA33" s="387">
        <v>1000</v>
      </c>
      <c r="AB33" s="387">
        <v>1000</v>
      </c>
      <c r="AC33" s="387">
        <v>1000</v>
      </c>
      <c r="AD33" s="387">
        <v>1000</v>
      </c>
      <c r="AE33" s="387">
        <v>1000</v>
      </c>
      <c r="AF33" s="387">
        <v>1000</v>
      </c>
      <c r="AG33" s="387">
        <v>1000</v>
      </c>
      <c r="AH33" s="387">
        <v>1000</v>
      </c>
      <c r="AI33" s="387">
        <v>1000</v>
      </c>
      <c r="AJ33" s="387">
        <v>1000</v>
      </c>
      <c r="AK33" s="387">
        <v>1000</v>
      </c>
      <c r="AL33" s="387">
        <v>1000</v>
      </c>
      <c r="AM33" s="388">
        <f t="shared" si="2"/>
        <v>12000</v>
      </c>
      <c r="AN33" s="388">
        <f t="shared" si="3"/>
        <v>12000</v>
      </c>
      <c r="AO33" s="389">
        <f t="shared" si="73"/>
        <v>1000</v>
      </c>
      <c r="AP33" s="498" t="s">
        <v>684</v>
      </c>
      <c r="AQ33" s="159">
        <v>0.8</v>
      </c>
      <c r="AR33" s="160" t="s">
        <v>211</v>
      </c>
      <c r="AS33" s="119" t="s">
        <v>210</v>
      </c>
      <c r="AT33" s="111">
        <v>2705777.0660000001</v>
      </c>
      <c r="AU33" s="111">
        <v>3327898.0589999999</v>
      </c>
      <c r="AV33" s="111">
        <v>3253311.3380000005</v>
      </c>
      <c r="AW33" s="111">
        <v>4253613.5369999995</v>
      </c>
      <c r="AX33" s="113">
        <v>2620944.7416000096</v>
      </c>
      <c r="AY33" s="113">
        <v>3280933.7388000023</v>
      </c>
      <c r="AZ33" s="113">
        <v>3468996.7668000124</v>
      </c>
      <c r="BA33" s="113"/>
      <c r="BB33" s="113"/>
      <c r="BC33" s="113"/>
      <c r="BD33" s="113"/>
      <c r="BE33" s="113"/>
      <c r="BF33" s="114">
        <f t="shared" si="46"/>
        <v>2620944.7416000096</v>
      </c>
      <c r="BG33" s="114">
        <f t="shared" si="46"/>
        <v>3280933.7388000023</v>
      </c>
      <c r="BH33" s="114">
        <f t="shared" si="46"/>
        <v>3468996.7668000124</v>
      </c>
      <c r="BI33" s="114">
        <f t="shared" si="46"/>
        <v>0</v>
      </c>
      <c r="BJ33" s="114">
        <f t="shared" si="4"/>
        <v>9370875.2472000234</v>
      </c>
      <c r="BK33" s="115">
        <f t="shared" si="5"/>
        <v>13540600</v>
      </c>
      <c r="BL33" s="115">
        <f t="shared" si="47"/>
        <v>13540600</v>
      </c>
      <c r="BM33" s="116">
        <f t="shared" si="48"/>
        <v>0.69210000000000005</v>
      </c>
      <c r="BN33" s="126">
        <f t="shared" ca="1" si="6"/>
        <v>0</v>
      </c>
      <c r="BO33" s="117">
        <f t="shared" ca="1" si="7"/>
        <v>0</v>
      </c>
      <c r="BP33" s="118" t="str">
        <f t="shared" si="8"/>
        <v>Uncapped</v>
      </c>
      <c r="BQ33" s="115">
        <f t="shared" ca="1" si="9"/>
        <v>0</v>
      </c>
      <c r="BR33" s="113" t="s">
        <v>688</v>
      </c>
      <c r="BS33" s="161">
        <v>0.2</v>
      </c>
      <c r="BT33" s="113" t="s">
        <v>217</v>
      </c>
      <c r="BU33" s="160" t="s">
        <v>210</v>
      </c>
      <c r="BV33" s="113">
        <v>19653413.080999997</v>
      </c>
      <c r="BW33" s="113">
        <v>22848780.235100001</v>
      </c>
      <c r="BX33" s="113">
        <v>22618799.574099999</v>
      </c>
      <c r="BY33" s="113">
        <v>27098464.121500004</v>
      </c>
      <c r="BZ33" s="113">
        <v>19427532.107000571</v>
      </c>
      <c r="CA33" s="113">
        <v>22270538.357580002</v>
      </c>
      <c r="CB33" s="113">
        <v>22879083.486580007</v>
      </c>
      <c r="CC33" s="113"/>
      <c r="CD33" s="113"/>
      <c r="CE33" s="113"/>
      <c r="CF33" s="113"/>
      <c r="CG33" s="113"/>
      <c r="CH33" s="114">
        <f t="shared" si="49"/>
        <v>19427532.107000571</v>
      </c>
      <c r="CI33" s="114">
        <f t="shared" si="49"/>
        <v>22270538.357580002</v>
      </c>
      <c r="CJ33" s="120">
        <f t="shared" si="49"/>
        <v>22879083.486580007</v>
      </c>
      <c r="CK33" s="114">
        <f t="shared" si="49"/>
        <v>0</v>
      </c>
      <c r="CL33" s="114">
        <f t="shared" si="10"/>
        <v>64577153.95116058</v>
      </c>
      <c r="CM33" s="114">
        <f t="shared" si="11"/>
        <v>92219457.011700004</v>
      </c>
      <c r="CN33" s="114">
        <f t="shared" si="50"/>
        <v>92219457.011700004</v>
      </c>
      <c r="CO33" s="116">
        <f t="shared" si="51"/>
        <v>0.70030000000000003</v>
      </c>
      <c r="CP33" s="126">
        <f t="shared" ca="1" si="52"/>
        <v>0</v>
      </c>
      <c r="CQ33" s="115">
        <f t="shared" ca="1" si="12"/>
        <v>0</v>
      </c>
      <c r="CR33" s="118" t="str">
        <f t="shared" si="53"/>
        <v>Uncapped</v>
      </c>
      <c r="CS33" s="115">
        <f t="shared" ca="1" si="13"/>
        <v>0</v>
      </c>
      <c r="CT33" s="113"/>
      <c r="CU33" s="119">
        <v>0</v>
      </c>
      <c r="CV33" s="113"/>
      <c r="CW33" s="113"/>
      <c r="CX33" s="113">
        <v>0</v>
      </c>
      <c r="CY33" s="113">
        <v>0</v>
      </c>
      <c r="CZ33" s="113">
        <v>0</v>
      </c>
      <c r="DA33" s="113">
        <v>0</v>
      </c>
      <c r="DB33" s="113">
        <v>0</v>
      </c>
      <c r="DC33" s="113">
        <v>0</v>
      </c>
      <c r="DD33" s="113">
        <v>0</v>
      </c>
      <c r="DE33" s="113"/>
      <c r="DF33" s="113"/>
      <c r="DG33" s="113"/>
      <c r="DH33" s="113"/>
      <c r="DI33" s="113"/>
      <c r="DJ33" s="114">
        <f t="shared" si="54"/>
        <v>0</v>
      </c>
      <c r="DK33" s="114">
        <f t="shared" si="54"/>
        <v>0</v>
      </c>
      <c r="DL33" s="114">
        <f t="shared" si="54"/>
        <v>0</v>
      </c>
      <c r="DM33" s="114">
        <f t="shared" si="54"/>
        <v>0</v>
      </c>
      <c r="DN33" s="114">
        <f t="shared" si="55"/>
        <v>0</v>
      </c>
      <c r="DO33" s="114">
        <f t="shared" si="14"/>
        <v>0</v>
      </c>
      <c r="DP33" s="114">
        <f t="shared" si="56"/>
        <v>0</v>
      </c>
      <c r="DQ33" s="116">
        <f t="shared" si="57"/>
        <v>0</v>
      </c>
      <c r="DR33" s="126">
        <f t="shared" ca="1" si="15"/>
        <v>0</v>
      </c>
      <c r="DS33" s="115">
        <f t="shared" ca="1" si="16"/>
        <v>0</v>
      </c>
      <c r="DT33" s="118" t="str">
        <f t="shared" si="58"/>
        <v>Uncapped</v>
      </c>
      <c r="DU33" s="115">
        <f t="shared" ca="1" si="17"/>
        <v>0</v>
      </c>
      <c r="DV33" s="113"/>
      <c r="DW33" s="119">
        <v>0</v>
      </c>
      <c r="DX33" s="113"/>
      <c r="DY33" s="113"/>
      <c r="DZ33" s="113">
        <v>0</v>
      </c>
      <c r="EA33" s="113">
        <v>0</v>
      </c>
      <c r="EB33" s="113">
        <v>0</v>
      </c>
      <c r="EC33" s="113">
        <v>0</v>
      </c>
      <c r="ED33" s="113">
        <v>0</v>
      </c>
      <c r="EE33" s="113">
        <v>0</v>
      </c>
      <c r="EF33" s="113"/>
      <c r="EG33" s="113"/>
      <c r="EH33" s="113"/>
      <c r="EI33" s="113"/>
      <c r="EJ33" s="113"/>
      <c r="EK33" s="113"/>
      <c r="EL33" s="114">
        <f t="shared" si="59"/>
        <v>0</v>
      </c>
      <c r="EM33" s="114">
        <f t="shared" si="59"/>
        <v>0</v>
      </c>
      <c r="EN33" s="114">
        <f t="shared" si="59"/>
        <v>0</v>
      </c>
      <c r="EO33" s="114">
        <f t="shared" si="59"/>
        <v>0</v>
      </c>
      <c r="EP33" s="114">
        <f t="shared" si="18"/>
        <v>0</v>
      </c>
      <c r="EQ33" s="114">
        <f t="shared" si="19"/>
        <v>0</v>
      </c>
      <c r="ER33" s="114">
        <f t="shared" si="60"/>
        <v>0</v>
      </c>
      <c r="ES33" s="116">
        <f t="shared" si="61"/>
        <v>0</v>
      </c>
      <c r="ET33" s="126">
        <f t="shared" ca="1" si="62"/>
        <v>0</v>
      </c>
      <c r="EU33" s="115">
        <f t="shared" ca="1" si="20"/>
        <v>0</v>
      </c>
      <c r="EV33" s="118" t="str">
        <f t="shared" si="21"/>
        <v>Uncapped</v>
      </c>
      <c r="EW33" s="115">
        <f t="shared" ca="1" si="22"/>
        <v>0</v>
      </c>
      <c r="EX33" s="112">
        <f t="shared" ca="1" si="23"/>
        <v>0</v>
      </c>
      <c r="EY33" s="114">
        <f t="shared" ca="1" si="63"/>
        <v>0</v>
      </c>
      <c r="EZ33" s="115">
        <v>0</v>
      </c>
      <c r="FA33" s="115"/>
      <c r="FB33" s="115"/>
      <c r="FC33" s="115">
        <v>0</v>
      </c>
      <c r="FD33" s="115">
        <f t="shared" si="24"/>
        <v>0</v>
      </c>
      <c r="FE33" s="114">
        <f t="shared" si="25"/>
        <v>0</v>
      </c>
      <c r="FF33" s="115">
        <v>0</v>
      </c>
      <c r="FG33" s="115">
        <v>0</v>
      </c>
      <c r="FH33" s="115">
        <v>0</v>
      </c>
      <c r="FI33" s="115">
        <v>0</v>
      </c>
      <c r="FJ33" s="115">
        <f t="shared" si="26"/>
        <v>0</v>
      </c>
      <c r="FK33" s="114">
        <f t="shared" si="27"/>
        <v>0</v>
      </c>
      <c r="FL33" s="113"/>
      <c r="FM33" s="111"/>
      <c r="FN33" s="111"/>
      <c r="FO33" s="111"/>
      <c r="FP33" s="115">
        <f t="shared" si="28"/>
        <v>0</v>
      </c>
      <c r="FQ33" s="115"/>
      <c r="FR33" s="115"/>
      <c r="FS33" s="115"/>
      <c r="FT33" s="114">
        <f t="shared" si="64"/>
        <v>0</v>
      </c>
      <c r="FU33" s="366">
        <f t="shared" ca="1" si="66"/>
        <v>0</v>
      </c>
      <c r="FV33" s="121">
        <f t="shared" ca="1" si="65"/>
        <v>0</v>
      </c>
      <c r="FW33" s="114">
        <f t="shared" si="70"/>
        <v>0</v>
      </c>
      <c r="FX33" s="114">
        <f t="shared" si="70"/>
        <v>0</v>
      </c>
      <c r="FY33" s="114">
        <f t="shared" si="70"/>
        <v>0</v>
      </c>
      <c r="FZ33" s="114">
        <f t="shared" si="70"/>
        <v>0</v>
      </c>
      <c r="GA33" s="114">
        <f t="shared" si="30"/>
        <v>0</v>
      </c>
      <c r="GB33" s="114">
        <f t="shared" si="71"/>
        <v>0</v>
      </c>
      <c r="GC33" s="114">
        <f t="shared" si="71"/>
        <v>0</v>
      </c>
      <c r="GD33" s="114">
        <f t="shared" si="71"/>
        <v>0</v>
      </c>
      <c r="GE33" s="114">
        <f t="shared" si="71"/>
        <v>0</v>
      </c>
      <c r="GF33" s="114">
        <f t="shared" si="72"/>
        <v>0</v>
      </c>
      <c r="GG33" s="114">
        <f t="shared" si="72"/>
        <v>0</v>
      </c>
      <c r="GH33" s="114">
        <f t="shared" si="72"/>
        <v>0</v>
      </c>
      <c r="GI33" s="114">
        <f t="shared" si="72"/>
        <v>0</v>
      </c>
      <c r="GJ33" s="115">
        <f t="shared" si="33"/>
        <v>0</v>
      </c>
      <c r="GK33" s="114">
        <f t="shared" si="34"/>
        <v>0</v>
      </c>
      <c r="GL33" s="114">
        <f t="shared" si="35"/>
        <v>0</v>
      </c>
      <c r="GM33" s="114">
        <f t="shared" si="36"/>
        <v>0</v>
      </c>
      <c r="GN33" s="114">
        <f t="shared" si="37"/>
        <v>0</v>
      </c>
      <c r="GO33" s="114">
        <f t="shared" si="38"/>
        <v>0</v>
      </c>
      <c r="GP33" s="114">
        <f t="shared" si="39"/>
        <v>0</v>
      </c>
      <c r="GQ33" s="114">
        <f t="shared" si="40"/>
        <v>0</v>
      </c>
      <c r="GR33" s="193"/>
      <c r="GS33" s="122">
        <f t="shared" si="41"/>
        <v>73948029.198360607</v>
      </c>
      <c r="GT33" s="122">
        <f t="shared" si="41"/>
        <v>105760057.0117</v>
      </c>
      <c r="GU33" s="123">
        <f t="shared" si="42"/>
        <v>0.69920564802815777</v>
      </c>
      <c r="GV33" s="124">
        <f t="shared" ca="1" si="43"/>
        <v>0</v>
      </c>
      <c r="GW33" s="124">
        <v>0</v>
      </c>
      <c r="GX33" s="32">
        <f t="shared" ca="1" si="44"/>
        <v>0</v>
      </c>
      <c r="GY33" s="100"/>
    </row>
    <row r="34" spans="1:207" s="125" customFormat="1" ht="15" hidden="1" customHeight="1">
      <c r="A34" s="102"/>
      <c r="B34" s="103"/>
      <c r="C34" s="103"/>
      <c r="D34" s="104"/>
      <c r="E34" s="104" t="s">
        <v>253</v>
      </c>
      <c r="F34" s="104" t="s">
        <v>248</v>
      </c>
      <c r="G34" s="104" t="s">
        <v>226</v>
      </c>
      <c r="H34" s="105" t="s">
        <v>304</v>
      </c>
      <c r="I34" s="106" t="s">
        <v>305</v>
      </c>
      <c r="J34" s="104" t="s">
        <v>212</v>
      </c>
      <c r="K34" s="104" t="s">
        <v>208</v>
      </c>
      <c r="L34" s="104" t="s">
        <v>213</v>
      </c>
      <c r="M34" s="104" t="s">
        <v>247</v>
      </c>
      <c r="N34" s="107"/>
      <c r="O34" s="108">
        <v>41426</v>
      </c>
      <c r="P34" s="108">
        <v>41640</v>
      </c>
      <c r="Q34" s="322">
        <f t="shared" si="0"/>
        <v>0</v>
      </c>
      <c r="R34" s="109">
        <f>IF((P34-VLOOKUP(Q34,month!$A$1:$C$13,3,0))&lt;0,Q34,Q34+1)</f>
        <v>0</v>
      </c>
      <c r="S34" s="108"/>
      <c r="T34" s="110" t="str">
        <f t="shared" si="67"/>
        <v/>
      </c>
      <c r="U34" s="107"/>
      <c r="V34" s="107"/>
      <c r="W34" s="107"/>
      <c r="X34" s="107"/>
      <c r="Y34" s="386"/>
      <c r="Z34" s="386" t="s">
        <v>545</v>
      </c>
      <c r="AA34" s="387">
        <v>1000</v>
      </c>
      <c r="AB34" s="387">
        <v>1000</v>
      </c>
      <c r="AC34" s="387">
        <v>1000</v>
      </c>
      <c r="AD34" s="387">
        <v>1000</v>
      </c>
      <c r="AE34" s="387">
        <v>1000</v>
      </c>
      <c r="AF34" s="387">
        <v>1000</v>
      </c>
      <c r="AG34" s="387">
        <v>1000</v>
      </c>
      <c r="AH34" s="387">
        <v>1000</v>
      </c>
      <c r="AI34" s="387">
        <v>1000</v>
      </c>
      <c r="AJ34" s="387">
        <v>1000</v>
      </c>
      <c r="AK34" s="387">
        <v>1000</v>
      </c>
      <c r="AL34" s="387">
        <v>1000</v>
      </c>
      <c r="AM34" s="388">
        <f t="shared" si="2"/>
        <v>12000</v>
      </c>
      <c r="AN34" s="388">
        <f t="shared" si="3"/>
        <v>12000</v>
      </c>
      <c r="AO34" s="390">
        <f t="shared" si="73"/>
        <v>1000</v>
      </c>
      <c r="AP34" s="498" t="s">
        <v>685</v>
      </c>
      <c r="AQ34" s="159">
        <v>0.8</v>
      </c>
      <c r="AR34" s="160" t="s">
        <v>392</v>
      </c>
      <c r="AS34" s="119" t="s">
        <v>210</v>
      </c>
      <c r="AT34" s="111">
        <v>1738400</v>
      </c>
      <c r="AU34" s="111">
        <v>2188100</v>
      </c>
      <c r="AV34" s="111">
        <v>1949300</v>
      </c>
      <c r="AW34" s="111">
        <v>2624400</v>
      </c>
      <c r="AX34" s="113">
        <v>1582586.5941000099</v>
      </c>
      <c r="AY34" s="113">
        <v>2012973.1443</v>
      </c>
      <c r="AZ34" s="113">
        <v>2200654.2429000116</v>
      </c>
      <c r="BA34" s="113"/>
      <c r="BB34" s="113"/>
      <c r="BC34" s="113"/>
      <c r="BD34" s="113"/>
      <c r="BE34" s="113"/>
      <c r="BF34" s="114">
        <f t="shared" si="46"/>
        <v>1582586.5941000099</v>
      </c>
      <c r="BG34" s="114">
        <f t="shared" si="46"/>
        <v>2012973.1443</v>
      </c>
      <c r="BH34" s="114">
        <f t="shared" si="46"/>
        <v>2200654.2429000116</v>
      </c>
      <c r="BI34" s="114">
        <f t="shared" si="46"/>
        <v>0</v>
      </c>
      <c r="BJ34" s="114">
        <f t="shared" si="4"/>
        <v>5796213.9813000215</v>
      </c>
      <c r="BK34" s="115">
        <f t="shared" si="5"/>
        <v>8500200</v>
      </c>
      <c r="BL34" s="115">
        <f t="shared" si="47"/>
        <v>8500200</v>
      </c>
      <c r="BM34" s="116">
        <f t="shared" si="48"/>
        <v>0.68189999999999995</v>
      </c>
      <c r="BN34" s="126">
        <f t="shared" ca="1" si="6"/>
        <v>0</v>
      </c>
      <c r="BO34" s="117">
        <f t="shared" ca="1" si="7"/>
        <v>0</v>
      </c>
      <c r="BP34" s="118" t="str">
        <f t="shared" si="8"/>
        <v>Uncapped</v>
      </c>
      <c r="BQ34" s="115">
        <f t="shared" ca="1" si="9"/>
        <v>0</v>
      </c>
      <c r="BR34" s="113" t="s">
        <v>695</v>
      </c>
      <c r="BS34" s="161">
        <v>0.2</v>
      </c>
      <c r="BT34" s="113" t="s">
        <v>217</v>
      </c>
      <c r="BU34" s="160" t="s">
        <v>210</v>
      </c>
      <c r="BV34" s="113">
        <v>2705777.0660000001</v>
      </c>
      <c r="BW34" s="113">
        <v>3327898.0589999999</v>
      </c>
      <c r="BX34" s="113">
        <v>3253311.3380000005</v>
      </c>
      <c r="BY34" s="113">
        <v>4253613.5369999995</v>
      </c>
      <c r="BZ34" s="113">
        <v>2620944.7416000096</v>
      </c>
      <c r="CA34" s="113">
        <v>3280933.7388000023</v>
      </c>
      <c r="CB34" s="113">
        <v>3468996.7668000124</v>
      </c>
      <c r="CC34" s="113"/>
      <c r="CD34" s="113"/>
      <c r="CE34" s="113"/>
      <c r="CF34" s="113"/>
      <c r="CG34" s="113"/>
      <c r="CH34" s="114">
        <f t="shared" si="49"/>
        <v>2620944.7416000096</v>
      </c>
      <c r="CI34" s="114">
        <f t="shared" si="49"/>
        <v>3280933.7388000023</v>
      </c>
      <c r="CJ34" s="120">
        <f t="shared" si="49"/>
        <v>3468996.7668000124</v>
      </c>
      <c r="CK34" s="114">
        <f t="shared" si="49"/>
        <v>0</v>
      </c>
      <c r="CL34" s="114">
        <f t="shared" si="10"/>
        <v>9370875.2472000234</v>
      </c>
      <c r="CM34" s="114">
        <f t="shared" si="11"/>
        <v>13540600</v>
      </c>
      <c r="CN34" s="114">
        <f t="shared" si="50"/>
        <v>13540600</v>
      </c>
      <c r="CO34" s="116">
        <f t="shared" si="51"/>
        <v>0.69210000000000005</v>
      </c>
      <c r="CP34" s="126">
        <f t="shared" ca="1" si="52"/>
        <v>0</v>
      </c>
      <c r="CQ34" s="115">
        <f t="shared" ca="1" si="12"/>
        <v>0</v>
      </c>
      <c r="CR34" s="118" t="str">
        <f t="shared" si="53"/>
        <v>Uncapped</v>
      </c>
      <c r="CS34" s="115">
        <f t="shared" ca="1" si="13"/>
        <v>0</v>
      </c>
      <c r="CT34" s="113"/>
      <c r="CU34" s="119">
        <v>0</v>
      </c>
      <c r="CV34" s="113"/>
      <c r="CW34" s="113"/>
      <c r="CX34" s="113">
        <v>0</v>
      </c>
      <c r="CY34" s="113">
        <v>0</v>
      </c>
      <c r="CZ34" s="113">
        <v>0</v>
      </c>
      <c r="DA34" s="113">
        <v>0</v>
      </c>
      <c r="DB34" s="113">
        <v>0</v>
      </c>
      <c r="DC34" s="113">
        <v>0</v>
      </c>
      <c r="DD34" s="113">
        <v>0</v>
      </c>
      <c r="DE34" s="166"/>
      <c r="DF34" s="166"/>
      <c r="DG34" s="166"/>
      <c r="DH34" s="166"/>
      <c r="DI34" s="166"/>
      <c r="DJ34" s="114">
        <f t="shared" si="54"/>
        <v>0</v>
      </c>
      <c r="DK34" s="114">
        <f t="shared" si="54"/>
        <v>0</v>
      </c>
      <c r="DL34" s="114">
        <f t="shared" si="54"/>
        <v>0</v>
      </c>
      <c r="DM34" s="114">
        <f t="shared" si="54"/>
        <v>0</v>
      </c>
      <c r="DN34" s="114">
        <f t="shared" si="55"/>
        <v>0</v>
      </c>
      <c r="DO34" s="114">
        <f t="shared" si="14"/>
        <v>0</v>
      </c>
      <c r="DP34" s="114">
        <f t="shared" si="56"/>
        <v>0</v>
      </c>
      <c r="DQ34" s="116">
        <f t="shared" si="57"/>
        <v>0</v>
      </c>
      <c r="DR34" s="126">
        <f t="shared" ca="1" si="15"/>
        <v>0</v>
      </c>
      <c r="DS34" s="115">
        <f t="shared" ca="1" si="16"/>
        <v>0</v>
      </c>
      <c r="DT34" s="118" t="str">
        <f t="shared" si="58"/>
        <v>Uncapped</v>
      </c>
      <c r="DU34" s="115">
        <f t="shared" ca="1" si="17"/>
        <v>0</v>
      </c>
      <c r="DV34" s="113"/>
      <c r="DW34" s="119">
        <v>0</v>
      </c>
      <c r="DX34" s="113"/>
      <c r="DY34" s="113"/>
      <c r="DZ34" s="113">
        <v>0</v>
      </c>
      <c r="EA34" s="113">
        <v>0</v>
      </c>
      <c r="EB34" s="113">
        <v>0</v>
      </c>
      <c r="EC34" s="113">
        <v>0</v>
      </c>
      <c r="ED34" s="113">
        <v>0</v>
      </c>
      <c r="EE34" s="113">
        <v>0</v>
      </c>
      <c r="EF34" s="113"/>
      <c r="EG34" s="166"/>
      <c r="EH34" s="166"/>
      <c r="EI34" s="166"/>
      <c r="EJ34" s="166"/>
      <c r="EK34" s="166"/>
      <c r="EL34" s="114">
        <f t="shared" si="59"/>
        <v>0</v>
      </c>
      <c r="EM34" s="114">
        <f t="shared" si="59"/>
        <v>0</v>
      </c>
      <c r="EN34" s="114">
        <f t="shared" si="59"/>
        <v>0</v>
      </c>
      <c r="EO34" s="114">
        <f t="shared" si="59"/>
        <v>0</v>
      </c>
      <c r="EP34" s="114">
        <f t="shared" si="18"/>
        <v>0</v>
      </c>
      <c r="EQ34" s="114">
        <f t="shared" si="19"/>
        <v>0</v>
      </c>
      <c r="ER34" s="114">
        <f t="shared" si="60"/>
        <v>0</v>
      </c>
      <c r="ES34" s="116">
        <f t="shared" si="61"/>
        <v>0</v>
      </c>
      <c r="ET34" s="126">
        <f t="shared" ca="1" si="62"/>
        <v>0</v>
      </c>
      <c r="EU34" s="115">
        <f t="shared" ca="1" si="20"/>
        <v>0</v>
      </c>
      <c r="EV34" s="118" t="str">
        <f t="shared" si="21"/>
        <v>Uncapped</v>
      </c>
      <c r="EW34" s="115">
        <f t="shared" ca="1" si="22"/>
        <v>0</v>
      </c>
      <c r="EX34" s="112">
        <f t="shared" ca="1" si="23"/>
        <v>0</v>
      </c>
      <c r="EY34" s="114">
        <f t="shared" ca="1" si="63"/>
        <v>0</v>
      </c>
      <c r="EZ34" s="115">
        <v>0</v>
      </c>
      <c r="FA34" s="115"/>
      <c r="FB34" s="115"/>
      <c r="FC34" s="115">
        <v>0</v>
      </c>
      <c r="FD34" s="115">
        <f t="shared" si="24"/>
        <v>0</v>
      </c>
      <c r="FE34" s="114">
        <f t="shared" si="25"/>
        <v>0</v>
      </c>
      <c r="FF34" s="115">
        <v>0</v>
      </c>
      <c r="FG34" s="115">
        <v>0</v>
      </c>
      <c r="FH34" s="115">
        <v>0</v>
      </c>
      <c r="FI34" s="115">
        <v>0</v>
      </c>
      <c r="FJ34" s="115">
        <f t="shared" si="26"/>
        <v>0</v>
      </c>
      <c r="FK34" s="114">
        <f t="shared" si="27"/>
        <v>0</v>
      </c>
      <c r="FL34" s="113"/>
      <c r="FM34" s="111"/>
      <c r="FN34" s="111"/>
      <c r="FO34" s="111"/>
      <c r="FP34" s="115">
        <f t="shared" si="28"/>
        <v>0</v>
      </c>
      <c r="FQ34" s="115"/>
      <c r="FR34" s="115"/>
      <c r="FS34" s="115"/>
      <c r="FT34" s="114">
        <f t="shared" si="64"/>
        <v>0</v>
      </c>
      <c r="FU34" s="366">
        <f t="shared" ca="1" si="66"/>
        <v>0</v>
      </c>
      <c r="FV34" s="121">
        <f t="shared" ca="1" si="65"/>
        <v>0</v>
      </c>
      <c r="FW34" s="114">
        <f t="shared" si="70"/>
        <v>0</v>
      </c>
      <c r="FX34" s="114">
        <f t="shared" si="70"/>
        <v>0</v>
      </c>
      <c r="FY34" s="114">
        <f t="shared" si="70"/>
        <v>0</v>
      </c>
      <c r="FZ34" s="114">
        <f t="shared" si="70"/>
        <v>0</v>
      </c>
      <c r="GA34" s="114">
        <f t="shared" si="30"/>
        <v>0</v>
      </c>
      <c r="GB34" s="114">
        <f t="shared" si="71"/>
        <v>0</v>
      </c>
      <c r="GC34" s="114">
        <f t="shared" si="71"/>
        <v>0</v>
      </c>
      <c r="GD34" s="114">
        <f t="shared" si="71"/>
        <v>0</v>
      </c>
      <c r="GE34" s="114">
        <f t="shared" si="71"/>
        <v>0</v>
      </c>
      <c r="GF34" s="114">
        <f t="shared" si="72"/>
        <v>0</v>
      </c>
      <c r="GG34" s="114">
        <f t="shared" si="72"/>
        <v>0</v>
      </c>
      <c r="GH34" s="114">
        <f t="shared" si="72"/>
        <v>0</v>
      </c>
      <c r="GI34" s="114">
        <f t="shared" si="72"/>
        <v>0</v>
      </c>
      <c r="GJ34" s="115">
        <f t="shared" si="33"/>
        <v>0</v>
      </c>
      <c r="GK34" s="114">
        <f t="shared" si="34"/>
        <v>0</v>
      </c>
      <c r="GL34" s="114">
        <f t="shared" si="35"/>
        <v>0</v>
      </c>
      <c r="GM34" s="114">
        <f t="shared" si="36"/>
        <v>0</v>
      </c>
      <c r="GN34" s="114">
        <f t="shared" si="37"/>
        <v>0</v>
      </c>
      <c r="GO34" s="114">
        <f t="shared" si="38"/>
        <v>0</v>
      </c>
      <c r="GP34" s="114">
        <f t="shared" si="39"/>
        <v>0</v>
      </c>
      <c r="GQ34" s="114">
        <f t="shared" si="40"/>
        <v>0</v>
      </c>
      <c r="GR34" s="193"/>
      <c r="GS34" s="122">
        <f t="shared" si="41"/>
        <v>15167089.228500046</v>
      </c>
      <c r="GT34" s="122">
        <f t="shared" si="41"/>
        <v>22040800</v>
      </c>
      <c r="GU34" s="123">
        <f t="shared" si="42"/>
        <v>0.6881369654685876</v>
      </c>
      <c r="GV34" s="124">
        <f t="shared" ca="1" si="43"/>
        <v>0</v>
      </c>
      <c r="GW34" s="124">
        <v>0</v>
      </c>
      <c r="GX34" s="32">
        <f t="shared" ca="1" si="44"/>
        <v>0</v>
      </c>
      <c r="GY34" s="100"/>
    </row>
    <row r="35" spans="1:207" s="125" customFormat="1" ht="15" hidden="1" customHeight="1">
      <c r="A35" s="102"/>
      <c r="B35" s="103"/>
      <c r="C35" s="103"/>
      <c r="D35" s="104"/>
      <c r="E35" s="104" t="s">
        <v>253</v>
      </c>
      <c r="F35" s="104" t="s">
        <v>248</v>
      </c>
      <c r="G35" s="104" t="s">
        <v>226</v>
      </c>
      <c r="H35" s="105" t="s">
        <v>306</v>
      </c>
      <c r="I35" s="106" t="s">
        <v>307</v>
      </c>
      <c r="J35" s="104" t="s">
        <v>212</v>
      </c>
      <c r="K35" s="104" t="s">
        <v>208</v>
      </c>
      <c r="L35" s="104" t="s">
        <v>213</v>
      </c>
      <c r="M35" s="104" t="s">
        <v>247</v>
      </c>
      <c r="N35" s="107"/>
      <c r="O35" s="108">
        <v>41376</v>
      </c>
      <c r="P35" s="108">
        <v>41640</v>
      </c>
      <c r="Q35" s="322">
        <f t="shared" si="0"/>
        <v>0</v>
      </c>
      <c r="R35" s="109">
        <f>IF((P35-VLOOKUP(Q35,month!$A$1:$C$13,3,0))&lt;0,Q35,Q35+1)</f>
        <v>0</v>
      </c>
      <c r="S35" s="108"/>
      <c r="T35" s="110" t="str">
        <f>IF(S35&gt;0,"Y","")</f>
        <v/>
      </c>
      <c r="U35" s="107"/>
      <c r="V35" s="107"/>
      <c r="W35" s="107"/>
      <c r="X35" s="107"/>
      <c r="Y35" s="386"/>
      <c r="Z35" s="386" t="s">
        <v>545</v>
      </c>
      <c r="AA35" s="387">
        <v>1000</v>
      </c>
      <c r="AB35" s="387">
        <v>1000</v>
      </c>
      <c r="AC35" s="387">
        <v>1000</v>
      </c>
      <c r="AD35" s="387">
        <v>1000</v>
      </c>
      <c r="AE35" s="387">
        <v>1000</v>
      </c>
      <c r="AF35" s="387">
        <v>1000</v>
      </c>
      <c r="AG35" s="387">
        <v>1000</v>
      </c>
      <c r="AH35" s="387">
        <v>1000</v>
      </c>
      <c r="AI35" s="387">
        <v>1000</v>
      </c>
      <c r="AJ35" s="387">
        <v>1000</v>
      </c>
      <c r="AK35" s="387">
        <v>1000</v>
      </c>
      <c r="AL35" s="387">
        <v>1000</v>
      </c>
      <c r="AM35" s="388">
        <f t="shared" si="2"/>
        <v>12000</v>
      </c>
      <c r="AN35" s="388">
        <f t="shared" si="3"/>
        <v>12000</v>
      </c>
      <c r="AO35" s="390">
        <f t="shared" si="73"/>
        <v>1000</v>
      </c>
      <c r="AP35" s="498" t="s">
        <v>685</v>
      </c>
      <c r="AQ35" s="159">
        <v>0.8</v>
      </c>
      <c r="AR35" s="160" t="s">
        <v>392</v>
      </c>
      <c r="AS35" s="119" t="s">
        <v>210</v>
      </c>
      <c r="AT35" s="111">
        <v>529647.62199999997</v>
      </c>
      <c r="AU35" s="111">
        <v>618198.25300000003</v>
      </c>
      <c r="AV35" s="111">
        <v>679430.24600000004</v>
      </c>
      <c r="AW35" s="111">
        <v>848123.87899999996</v>
      </c>
      <c r="AX35" s="113">
        <v>682598.47499999998</v>
      </c>
      <c r="AY35" s="113">
        <v>865729.27800000203</v>
      </c>
      <c r="AZ35" s="113">
        <v>829148.51250000077</v>
      </c>
      <c r="BA35" s="113"/>
      <c r="BB35" s="113"/>
      <c r="BC35" s="113"/>
      <c r="BD35" s="113"/>
      <c r="BE35" s="113"/>
      <c r="BF35" s="114">
        <f t="shared" si="46"/>
        <v>682598.47499999998</v>
      </c>
      <c r="BG35" s="114">
        <f t="shared" si="46"/>
        <v>865729.27800000203</v>
      </c>
      <c r="BH35" s="114">
        <f t="shared" si="46"/>
        <v>829148.51250000077</v>
      </c>
      <c r="BI35" s="114">
        <f t="shared" si="46"/>
        <v>0</v>
      </c>
      <c r="BJ35" s="114">
        <f t="shared" si="4"/>
        <v>2377476.2655000025</v>
      </c>
      <c r="BK35" s="115">
        <f t="shared" si="5"/>
        <v>2675400</v>
      </c>
      <c r="BL35" s="115">
        <f t="shared" si="47"/>
        <v>2675400</v>
      </c>
      <c r="BM35" s="116">
        <f t="shared" si="48"/>
        <v>0.88859999999999995</v>
      </c>
      <c r="BN35" s="126">
        <f t="shared" ca="1" si="6"/>
        <v>0</v>
      </c>
      <c r="BO35" s="117">
        <f t="shared" ca="1" si="7"/>
        <v>0</v>
      </c>
      <c r="BP35" s="118" t="str">
        <f t="shared" si="8"/>
        <v>Uncapped</v>
      </c>
      <c r="BQ35" s="115">
        <f t="shared" ca="1" si="9"/>
        <v>0</v>
      </c>
      <c r="BR35" s="113" t="s">
        <v>695</v>
      </c>
      <c r="BS35" s="161">
        <v>0.2</v>
      </c>
      <c r="BT35" s="113" t="s">
        <v>217</v>
      </c>
      <c r="BU35" s="160" t="s">
        <v>210</v>
      </c>
      <c r="BV35" s="113">
        <v>2705777.0660000001</v>
      </c>
      <c r="BW35" s="113">
        <v>3327898.0589999999</v>
      </c>
      <c r="BX35" s="113">
        <v>3253311.3380000005</v>
      </c>
      <c r="BY35" s="113">
        <v>4253613.5369999995</v>
      </c>
      <c r="BZ35" s="113">
        <v>2620944.7416000096</v>
      </c>
      <c r="CA35" s="113">
        <v>3280933.7388000023</v>
      </c>
      <c r="CB35" s="113">
        <v>3468996.7668000124</v>
      </c>
      <c r="CC35" s="113"/>
      <c r="CD35" s="113"/>
      <c r="CE35" s="113"/>
      <c r="CF35" s="113"/>
      <c r="CG35" s="113"/>
      <c r="CH35" s="114">
        <f t="shared" si="49"/>
        <v>2620944.7416000096</v>
      </c>
      <c r="CI35" s="114">
        <f t="shared" si="49"/>
        <v>3280933.7388000023</v>
      </c>
      <c r="CJ35" s="120">
        <f t="shared" si="49"/>
        <v>3468996.7668000124</v>
      </c>
      <c r="CK35" s="114">
        <f t="shared" si="49"/>
        <v>0</v>
      </c>
      <c r="CL35" s="114">
        <f t="shared" si="10"/>
        <v>9370875.2472000234</v>
      </c>
      <c r="CM35" s="114">
        <f t="shared" si="11"/>
        <v>13540600</v>
      </c>
      <c r="CN35" s="114">
        <f t="shared" si="50"/>
        <v>13540600</v>
      </c>
      <c r="CO35" s="116">
        <f t="shared" si="51"/>
        <v>0.69210000000000005</v>
      </c>
      <c r="CP35" s="126">
        <f t="shared" ca="1" si="52"/>
        <v>0</v>
      </c>
      <c r="CQ35" s="115">
        <f t="shared" ca="1" si="12"/>
        <v>0</v>
      </c>
      <c r="CR35" s="118" t="str">
        <f t="shared" si="53"/>
        <v>Uncapped</v>
      </c>
      <c r="CS35" s="115">
        <f t="shared" ca="1" si="13"/>
        <v>0</v>
      </c>
      <c r="CT35" s="113"/>
      <c r="CU35" s="119">
        <v>0</v>
      </c>
      <c r="CV35" s="113"/>
      <c r="CW35" s="113"/>
      <c r="CX35" s="113">
        <v>0</v>
      </c>
      <c r="CY35" s="113">
        <v>0</v>
      </c>
      <c r="CZ35" s="113">
        <v>0</v>
      </c>
      <c r="DA35" s="113">
        <v>0</v>
      </c>
      <c r="DB35" s="113">
        <v>0</v>
      </c>
      <c r="DC35" s="113">
        <v>0</v>
      </c>
      <c r="DD35" s="113">
        <v>0</v>
      </c>
      <c r="DE35" s="166"/>
      <c r="DF35" s="166"/>
      <c r="DG35" s="166"/>
      <c r="DH35" s="166"/>
      <c r="DI35" s="166"/>
      <c r="DJ35" s="114">
        <f t="shared" si="54"/>
        <v>0</v>
      </c>
      <c r="DK35" s="114">
        <f t="shared" si="54"/>
        <v>0</v>
      </c>
      <c r="DL35" s="114">
        <f t="shared" si="54"/>
        <v>0</v>
      </c>
      <c r="DM35" s="114">
        <f t="shared" si="54"/>
        <v>0</v>
      </c>
      <c r="DN35" s="114">
        <f t="shared" si="55"/>
        <v>0</v>
      </c>
      <c r="DO35" s="114">
        <f t="shared" si="14"/>
        <v>0</v>
      </c>
      <c r="DP35" s="114">
        <f t="shared" si="56"/>
        <v>0</v>
      </c>
      <c r="DQ35" s="116">
        <f t="shared" si="57"/>
        <v>0</v>
      </c>
      <c r="DR35" s="126">
        <f t="shared" ca="1" si="15"/>
        <v>0</v>
      </c>
      <c r="DS35" s="115">
        <f t="shared" ca="1" si="16"/>
        <v>0</v>
      </c>
      <c r="DT35" s="118" t="str">
        <f t="shared" si="58"/>
        <v>Uncapped</v>
      </c>
      <c r="DU35" s="115">
        <f t="shared" ca="1" si="17"/>
        <v>0</v>
      </c>
      <c r="DV35" s="113"/>
      <c r="DW35" s="119">
        <v>0</v>
      </c>
      <c r="DX35" s="113"/>
      <c r="DY35" s="113"/>
      <c r="DZ35" s="113">
        <v>0</v>
      </c>
      <c r="EA35" s="113">
        <v>0</v>
      </c>
      <c r="EB35" s="113">
        <v>0</v>
      </c>
      <c r="EC35" s="113">
        <v>0</v>
      </c>
      <c r="ED35" s="113">
        <v>0</v>
      </c>
      <c r="EE35" s="113">
        <v>0</v>
      </c>
      <c r="EF35" s="113"/>
      <c r="EG35" s="166"/>
      <c r="EH35" s="166"/>
      <c r="EI35" s="166"/>
      <c r="EJ35" s="166"/>
      <c r="EK35" s="166"/>
      <c r="EL35" s="114">
        <f t="shared" si="59"/>
        <v>0</v>
      </c>
      <c r="EM35" s="114">
        <f t="shared" si="59"/>
        <v>0</v>
      </c>
      <c r="EN35" s="114">
        <f t="shared" si="59"/>
        <v>0</v>
      </c>
      <c r="EO35" s="114">
        <f t="shared" si="59"/>
        <v>0</v>
      </c>
      <c r="EP35" s="114">
        <f t="shared" si="18"/>
        <v>0</v>
      </c>
      <c r="EQ35" s="114">
        <f t="shared" si="19"/>
        <v>0</v>
      </c>
      <c r="ER35" s="114">
        <f t="shared" si="60"/>
        <v>0</v>
      </c>
      <c r="ES35" s="116">
        <f t="shared" si="61"/>
        <v>0</v>
      </c>
      <c r="ET35" s="126">
        <f t="shared" ca="1" si="62"/>
        <v>0</v>
      </c>
      <c r="EU35" s="115">
        <f t="shared" ca="1" si="20"/>
        <v>0</v>
      </c>
      <c r="EV35" s="118" t="str">
        <f t="shared" si="21"/>
        <v>Uncapped</v>
      </c>
      <c r="EW35" s="115">
        <f t="shared" ca="1" si="22"/>
        <v>0</v>
      </c>
      <c r="EX35" s="112">
        <f t="shared" ca="1" si="23"/>
        <v>0</v>
      </c>
      <c r="EY35" s="114">
        <f t="shared" ca="1" si="63"/>
        <v>0</v>
      </c>
      <c r="EZ35" s="115">
        <v>0</v>
      </c>
      <c r="FA35" s="115"/>
      <c r="FB35" s="115"/>
      <c r="FC35" s="115">
        <v>0</v>
      </c>
      <c r="FD35" s="115">
        <f t="shared" si="24"/>
        <v>0</v>
      </c>
      <c r="FE35" s="114">
        <f t="shared" si="25"/>
        <v>0</v>
      </c>
      <c r="FF35" s="115">
        <v>0</v>
      </c>
      <c r="FG35" s="115">
        <v>0</v>
      </c>
      <c r="FH35" s="115">
        <v>0</v>
      </c>
      <c r="FI35" s="115">
        <v>0</v>
      </c>
      <c r="FJ35" s="115">
        <f t="shared" si="26"/>
        <v>0</v>
      </c>
      <c r="FK35" s="114">
        <f t="shared" si="27"/>
        <v>0</v>
      </c>
      <c r="FL35" s="113"/>
      <c r="FM35" s="111"/>
      <c r="FN35" s="111"/>
      <c r="FO35" s="111"/>
      <c r="FP35" s="115">
        <f>SUM(FL35:FO35)</f>
        <v>0</v>
      </c>
      <c r="FQ35" s="115"/>
      <c r="FR35" s="115"/>
      <c r="FS35" s="115"/>
      <c r="FT35" s="114">
        <f t="shared" si="64"/>
        <v>0</v>
      </c>
      <c r="FU35" s="366">
        <f t="shared" ca="1" si="66"/>
        <v>0</v>
      </c>
      <c r="FV35" s="121">
        <f t="shared" ca="1" si="65"/>
        <v>0</v>
      </c>
      <c r="FW35" s="114">
        <f t="shared" si="70"/>
        <v>0</v>
      </c>
      <c r="FX35" s="114">
        <f t="shared" si="70"/>
        <v>0</v>
      </c>
      <c r="FY35" s="114">
        <f t="shared" si="70"/>
        <v>0</v>
      </c>
      <c r="FZ35" s="114">
        <f t="shared" si="70"/>
        <v>0</v>
      </c>
      <c r="GA35" s="114">
        <f>SUM(FW35:FZ35)</f>
        <v>0</v>
      </c>
      <c r="GB35" s="114">
        <f t="shared" si="71"/>
        <v>0</v>
      </c>
      <c r="GC35" s="114">
        <f t="shared" si="71"/>
        <v>0</v>
      </c>
      <c r="GD35" s="114">
        <f t="shared" si="71"/>
        <v>0</v>
      </c>
      <c r="GE35" s="114">
        <f t="shared" si="71"/>
        <v>0</v>
      </c>
      <c r="GF35" s="114">
        <f t="shared" si="72"/>
        <v>0</v>
      </c>
      <c r="GG35" s="114">
        <f t="shared" si="72"/>
        <v>0</v>
      </c>
      <c r="GH35" s="114">
        <f t="shared" si="72"/>
        <v>0</v>
      </c>
      <c r="GI35" s="114">
        <f t="shared" si="72"/>
        <v>0</v>
      </c>
      <c r="GJ35" s="115">
        <f t="shared" si="33"/>
        <v>0</v>
      </c>
      <c r="GK35" s="114">
        <f>SUM(GF35:GI35)</f>
        <v>0</v>
      </c>
      <c r="GL35" s="114">
        <f t="shared" si="35"/>
        <v>0</v>
      </c>
      <c r="GM35" s="114">
        <f t="shared" si="36"/>
        <v>0</v>
      </c>
      <c r="GN35" s="114">
        <f t="shared" si="37"/>
        <v>0</v>
      </c>
      <c r="GO35" s="114">
        <f t="shared" si="38"/>
        <v>0</v>
      </c>
      <c r="GP35" s="114">
        <f t="shared" si="39"/>
        <v>0</v>
      </c>
      <c r="GQ35" s="114">
        <f>SUM(GL35:GO35)</f>
        <v>0</v>
      </c>
      <c r="GR35" s="193"/>
      <c r="GS35" s="122">
        <f t="shared" si="41"/>
        <v>11748351.512700025</v>
      </c>
      <c r="GT35" s="122">
        <f t="shared" si="41"/>
        <v>16216000</v>
      </c>
      <c r="GU35" s="123">
        <f>IFERROR(GS35/GT35,"")</f>
        <v>0.72449133650098818</v>
      </c>
      <c r="GV35" s="124">
        <f t="shared" ca="1" si="43"/>
        <v>0</v>
      </c>
      <c r="GW35" s="124">
        <v>0</v>
      </c>
      <c r="GX35" s="32">
        <f t="shared" ca="1" si="44"/>
        <v>0</v>
      </c>
      <c r="GY35" s="100"/>
    </row>
    <row r="36" spans="1:207" s="125" customFormat="1" ht="15" hidden="1" customHeight="1">
      <c r="A36" s="102"/>
      <c r="B36" s="103"/>
      <c r="C36" s="103" t="s">
        <v>75</v>
      </c>
      <c r="D36" s="104"/>
      <c r="E36" s="104"/>
      <c r="F36" s="104" t="s">
        <v>266</v>
      </c>
      <c r="G36" s="104" t="s">
        <v>226</v>
      </c>
      <c r="H36" s="105" t="s">
        <v>308</v>
      </c>
      <c r="I36" s="546" t="s">
        <v>309</v>
      </c>
      <c r="J36" s="104" t="s">
        <v>212</v>
      </c>
      <c r="K36" s="542" t="s">
        <v>208</v>
      </c>
      <c r="L36" s="104" t="s">
        <v>213</v>
      </c>
      <c r="M36" s="104" t="s">
        <v>213</v>
      </c>
      <c r="N36" s="107"/>
      <c r="O36" s="537">
        <v>43556</v>
      </c>
      <c r="P36" s="359">
        <v>43556</v>
      </c>
      <c r="Q36" s="322">
        <f t="shared" si="0"/>
        <v>4</v>
      </c>
      <c r="R36" s="109">
        <f>IF((P36-VLOOKUP(Q36,month!$A$1:$C$13,3,0))&lt;0,Q36,Q36+1)</f>
        <v>4</v>
      </c>
      <c r="S36" s="108"/>
      <c r="T36" s="110" t="str">
        <f>IF(S36&gt;0,"Y","")</f>
        <v/>
      </c>
      <c r="U36" s="320" t="s">
        <v>652</v>
      </c>
      <c r="V36" s="320"/>
      <c r="W36" s="320">
        <v>3</v>
      </c>
      <c r="X36" s="107"/>
      <c r="Y36" s="386"/>
      <c r="Z36" s="386" t="s">
        <v>545</v>
      </c>
      <c r="AA36" s="387">
        <v>1000</v>
      </c>
      <c r="AB36" s="387">
        <v>1000</v>
      </c>
      <c r="AC36" s="387">
        <v>1000</v>
      </c>
      <c r="AD36" s="387">
        <v>1000</v>
      </c>
      <c r="AE36" s="387">
        <v>1000</v>
      </c>
      <c r="AF36" s="387">
        <v>1000</v>
      </c>
      <c r="AG36" s="387">
        <v>1000</v>
      </c>
      <c r="AH36" s="387">
        <v>1000</v>
      </c>
      <c r="AI36" s="387">
        <v>1000</v>
      </c>
      <c r="AJ36" s="387">
        <v>1000</v>
      </c>
      <c r="AK36" s="387">
        <v>1000</v>
      </c>
      <c r="AL36" s="387">
        <v>1000</v>
      </c>
      <c r="AM36" s="388">
        <f t="shared" ref="AM36:AM59" si="74">IF($H$2=1,SUM(AA36:AC36),IF($H$2=2,SUM(AA36:AF36),IF($H$2=3,SUM(AA36:AI36),SUM(AA36:AL36))))</f>
        <v>12000</v>
      </c>
      <c r="AN36" s="388">
        <f t="shared" si="3"/>
        <v>12000</v>
      </c>
      <c r="AO36" s="390">
        <f>AD36</f>
        <v>1000</v>
      </c>
      <c r="AP36" s="498" t="s">
        <v>682</v>
      </c>
      <c r="AQ36" s="159">
        <v>0.8</v>
      </c>
      <c r="AR36" s="160" t="s">
        <v>211</v>
      </c>
      <c r="AS36" s="119" t="s">
        <v>210</v>
      </c>
      <c r="AT36" s="583"/>
      <c r="AU36" s="111">
        <v>321961.30260000005</v>
      </c>
      <c r="AV36" s="111"/>
      <c r="AW36" s="111"/>
      <c r="AX36" s="113"/>
      <c r="AY36" s="113">
        <v>298047.68999999994</v>
      </c>
      <c r="AZ36" s="113"/>
      <c r="BA36" s="581">
        <f>AW36</f>
        <v>0</v>
      </c>
      <c r="BB36" s="113"/>
      <c r="BC36" s="113"/>
      <c r="BD36" s="113"/>
      <c r="BE36" s="113"/>
      <c r="BF36" s="114">
        <f t="shared" si="46"/>
        <v>0</v>
      </c>
      <c r="BG36" s="114">
        <f t="shared" si="46"/>
        <v>298047.68999999994</v>
      </c>
      <c r="BH36" s="114">
        <f t="shared" si="46"/>
        <v>0</v>
      </c>
      <c r="BI36" s="114">
        <f t="shared" si="46"/>
        <v>0</v>
      </c>
      <c r="BJ36" s="114">
        <f t="shared" si="4"/>
        <v>298047.68999999994</v>
      </c>
      <c r="BK36" s="115">
        <f t="shared" ref="BK36:BK59" si="75">IF($H$2=1,AT36,IF($H$2=2,SUM(AT36:AU36),IF($H$2=3,SUM(AT36:AV36),SUM(AT36:AW36))))</f>
        <v>321961.30260000005</v>
      </c>
      <c r="BL36" s="115">
        <f t="shared" si="47"/>
        <v>321961.30260000005</v>
      </c>
      <c r="BM36" s="116">
        <f t="shared" si="48"/>
        <v>0.92569999999999997</v>
      </c>
      <c r="BN36" s="126">
        <f t="shared" ca="1" si="6"/>
        <v>0</v>
      </c>
      <c r="BO36" s="117">
        <f t="shared" ca="1" si="7"/>
        <v>0</v>
      </c>
      <c r="BP36" s="118" t="str">
        <f t="shared" si="8"/>
        <v>Uncapped</v>
      </c>
      <c r="BQ36" s="115">
        <f t="shared" ca="1" si="9"/>
        <v>0</v>
      </c>
      <c r="BR36" s="113" t="s">
        <v>696</v>
      </c>
      <c r="BS36" s="161">
        <v>0.2</v>
      </c>
      <c r="BT36" s="113" t="s">
        <v>217</v>
      </c>
      <c r="BU36" s="160" t="s">
        <v>210</v>
      </c>
      <c r="BV36" s="113"/>
      <c r="BW36" s="113">
        <v>72180793.063260496</v>
      </c>
      <c r="BX36" s="113"/>
      <c r="BY36" s="113"/>
      <c r="BZ36" s="113"/>
      <c r="CA36" s="113">
        <v>66033166.291189998</v>
      </c>
      <c r="CB36" s="113"/>
      <c r="CC36" s="581">
        <f>BY36</f>
        <v>0</v>
      </c>
      <c r="CD36" s="113"/>
      <c r="CE36" s="113"/>
      <c r="CF36" s="113"/>
      <c r="CG36" s="113"/>
      <c r="CH36" s="114">
        <f t="shared" si="49"/>
        <v>0</v>
      </c>
      <c r="CI36" s="114">
        <f t="shared" si="49"/>
        <v>66033166.291189998</v>
      </c>
      <c r="CJ36" s="120">
        <f t="shared" si="49"/>
        <v>0</v>
      </c>
      <c r="CK36" s="114">
        <f t="shared" si="49"/>
        <v>0</v>
      </c>
      <c r="CL36" s="114">
        <f t="shared" si="10"/>
        <v>66033166.291189998</v>
      </c>
      <c r="CM36" s="114">
        <f t="shared" ref="CM36:CM59" si="76">IF($H$2=1,BV36,IF($H$2=2,SUM(BV36:BW36),IF($H$2=3,SUM(BV36:BX36),SUM(BV36:BY36))))</f>
        <v>72180793.063260496</v>
      </c>
      <c r="CN36" s="114">
        <f t="shared" si="50"/>
        <v>72180793.063260496</v>
      </c>
      <c r="CO36" s="116">
        <f t="shared" si="51"/>
        <v>0.91479999999999995</v>
      </c>
      <c r="CP36" s="126">
        <f t="shared" ca="1" si="52"/>
        <v>0</v>
      </c>
      <c r="CQ36" s="115">
        <f t="shared" ca="1" si="12"/>
        <v>0</v>
      </c>
      <c r="CR36" s="118" t="str">
        <f t="shared" si="53"/>
        <v>Uncapped</v>
      </c>
      <c r="CS36" s="115">
        <f t="shared" ca="1" si="13"/>
        <v>0</v>
      </c>
      <c r="CT36" s="113"/>
      <c r="CU36" s="119"/>
      <c r="CV36" s="113"/>
      <c r="CW36" s="113"/>
      <c r="CX36" s="113"/>
      <c r="CY36" s="113"/>
      <c r="CZ36" s="113"/>
      <c r="DA36" s="113"/>
      <c r="DB36" s="113"/>
      <c r="DC36" s="113"/>
      <c r="DD36" s="113"/>
      <c r="DE36" s="166"/>
      <c r="DF36" s="166"/>
      <c r="DG36" s="166"/>
      <c r="DH36" s="166"/>
      <c r="DI36" s="166"/>
      <c r="DJ36" s="114">
        <f t="shared" si="54"/>
        <v>0</v>
      </c>
      <c r="DK36" s="114">
        <f t="shared" si="54"/>
        <v>0</v>
      </c>
      <c r="DL36" s="114">
        <f t="shared" si="54"/>
        <v>0</v>
      </c>
      <c r="DM36" s="114">
        <f t="shared" si="54"/>
        <v>0</v>
      </c>
      <c r="DN36" s="114">
        <f t="shared" si="55"/>
        <v>0</v>
      </c>
      <c r="DO36" s="114">
        <f t="shared" ref="DO36:DO59" si="77">IF($H$2=1,CX36,IF($H$2=2,SUM(CX36:CY36),IF($H$2=3,SUM(CX36:CZ36),SUM(CX36:DA36))))</f>
        <v>0</v>
      </c>
      <c r="DP36" s="114">
        <f t="shared" si="56"/>
        <v>0</v>
      </c>
      <c r="DQ36" s="116">
        <f t="shared" si="57"/>
        <v>0</v>
      </c>
      <c r="DR36" s="126">
        <f t="shared" ca="1" si="15"/>
        <v>0</v>
      </c>
      <c r="DS36" s="115">
        <f t="shared" ca="1" si="16"/>
        <v>0</v>
      </c>
      <c r="DT36" s="118" t="str">
        <f t="shared" si="58"/>
        <v>Uncapped</v>
      </c>
      <c r="DU36" s="115">
        <f t="shared" ca="1" si="17"/>
        <v>0</v>
      </c>
      <c r="DV36" s="113"/>
      <c r="DW36" s="119">
        <v>0</v>
      </c>
      <c r="DX36" s="113"/>
      <c r="DY36" s="113"/>
      <c r="DZ36" s="113">
        <v>0</v>
      </c>
      <c r="EA36" s="113">
        <v>0</v>
      </c>
      <c r="EB36" s="113">
        <v>0</v>
      </c>
      <c r="EC36" s="113">
        <v>0</v>
      </c>
      <c r="ED36" s="113">
        <v>0</v>
      </c>
      <c r="EE36" s="113">
        <v>0</v>
      </c>
      <c r="EF36" s="113"/>
      <c r="EG36" s="166"/>
      <c r="EH36" s="166"/>
      <c r="EI36" s="166"/>
      <c r="EJ36" s="166"/>
      <c r="EK36" s="166"/>
      <c r="EL36" s="114">
        <f t="shared" si="59"/>
        <v>0</v>
      </c>
      <c r="EM36" s="114">
        <f t="shared" si="59"/>
        <v>0</v>
      </c>
      <c r="EN36" s="114">
        <f t="shared" si="59"/>
        <v>0</v>
      </c>
      <c r="EO36" s="114">
        <f t="shared" si="59"/>
        <v>0</v>
      </c>
      <c r="EP36" s="114">
        <f t="shared" si="18"/>
        <v>0</v>
      </c>
      <c r="EQ36" s="114">
        <f t="shared" ref="EQ36:EQ59" si="78">IF($H$2=1,DZ36,IF($H$2=2,SUM(DZ36:EA36),IF($H$2=3,SUM(DZ36:EB36),SUM(DZ36:EC36))))</f>
        <v>0</v>
      </c>
      <c r="ER36" s="114">
        <f t="shared" si="60"/>
        <v>0</v>
      </c>
      <c r="ES36" s="116">
        <f t="shared" si="61"/>
        <v>0</v>
      </c>
      <c r="ET36" s="126">
        <f t="shared" ca="1" si="62"/>
        <v>0</v>
      </c>
      <c r="EU36" s="115">
        <f t="shared" ca="1" si="20"/>
        <v>0</v>
      </c>
      <c r="EV36" s="118" t="str">
        <f t="shared" si="21"/>
        <v>Uncapped</v>
      </c>
      <c r="EW36" s="115">
        <f t="shared" ca="1" si="22"/>
        <v>0</v>
      </c>
      <c r="EX36" s="112">
        <f t="shared" ca="1" si="23"/>
        <v>0</v>
      </c>
      <c r="EY36" s="114">
        <f t="shared" ca="1" si="63"/>
        <v>3000</v>
      </c>
      <c r="EZ36" s="115">
        <v>0</v>
      </c>
      <c r="FA36" s="115"/>
      <c r="FB36" s="115"/>
      <c r="FC36" s="115">
        <v>0</v>
      </c>
      <c r="FD36" s="115">
        <f t="shared" ref="FD36:FD59" si="79">IF($H$2=1,EZ36,IF($H$2=2,SUM(EZ36:FA36),IF($H$2=3,SUM(EZ36:FB36),SUM(EZ36:FC36))))</f>
        <v>0</v>
      </c>
      <c r="FE36" s="114">
        <f t="shared" si="25"/>
        <v>0</v>
      </c>
      <c r="FF36" s="115">
        <v>0</v>
      </c>
      <c r="FG36" s="115">
        <v>0</v>
      </c>
      <c r="FH36" s="115">
        <v>0</v>
      </c>
      <c r="FI36" s="115">
        <v>0</v>
      </c>
      <c r="FJ36" s="115">
        <f t="shared" ref="FJ36:FJ59" si="80">IF($H$2=1,FF36,IF($H$2=2,SUM(FF36:FG36),IF($H$2=3,SUM(FF36:FH36),SUM(FF36:FI36))))</f>
        <v>0</v>
      </c>
      <c r="FK36" s="114">
        <f t="shared" si="27"/>
        <v>0</v>
      </c>
      <c r="FL36" s="113"/>
      <c r="FM36" s="111"/>
      <c r="FN36" s="111"/>
      <c r="FO36" s="111"/>
      <c r="FP36" s="115">
        <f>SUM(FL36:FO36)</f>
        <v>0</v>
      </c>
      <c r="FQ36" s="115"/>
      <c r="FR36" s="115"/>
      <c r="FS36" s="115"/>
      <c r="FT36" s="114">
        <f t="shared" si="64"/>
        <v>0</v>
      </c>
      <c r="FU36" s="366">
        <f t="shared" ca="1" si="66"/>
        <v>3000</v>
      </c>
      <c r="FV36" s="121">
        <f t="shared" ca="1" si="65"/>
        <v>3000</v>
      </c>
      <c r="FW36" s="114">
        <f t="shared" si="70"/>
        <v>0</v>
      </c>
      <c r="FX36" s="114">
        <f t="shared" si="70"/>
        <v>0</v>
      </c>
      <c r="FY36" s="114">
        <f t="shared" si="70"/>
        <v>0</v>
      </c>
      <c r="FZ36" s="114">
        <f t="shared" si="70"/>
        <v>0</v>
      </c>
      <c r="GA36" s="114">
        <f>SUM(FW36:FZ36)</f>
        <v>0</v>
      </c>
      <c r="GB36" s="114">
        <f t="shared" si="71"/>
        <v>0</v>
      </c>
      <c r="GC36" s="114">
        <f t="shared" si="71"/>
        <v>0</v>
      </c>
      <c r="GD36" s="114">
        <f t="shared" si="71"/>
        <v>0</v>
      </c>
      <c r="GE36" s="114">
        <f t="shared" si="71"/>
        <v>0</v>
      </c>
      <c r="GF36" s="114">
        <f t="shared" si="72"/>
        <v>0</v>
      </c>
      <c r="GG36" s="114">
        <f t="shared" si="72"/>
        <v>0</v>
      </c>
      <c r="GH36" s="114">
        <f t="shared" si="72"/>
        <v>0</v>
      </c>
      <c r="GI36" s="114">
        <f t="shared" si="72"/>
        <v>0</v>
      </c>
      <c r="GJ36" s="115">
        <f t="shared" ref="GJ36:GJ59" si="81">IF($H$2=1,GF36,IF($H$2=2,SUM(GF36:GG36),IF($H$2=3,SUM(GF36:GH36),SUM(GF36:GI36))))</f>
        <v>0</v>
      </c>
      <c r="GK36" s="114">
        <f>SUM(GF36:GI36)</f>
        <v>0</v>
      </c>
      <c r="GL36" s="114">
        <f t="shared" si="35"/>
        <v>0</v>
      </c>
      <c r="GM36" s="114">
        <f t="shared" si="36"/>
        <v>3000</v>
      </c>
      <c r="GN36" s="114">
        <f t="shared" si="37"/>
        <v>0</v>
      </c>
      <c r="GO36" s="114">
        <f t="shared" si="38"/>
        <v>0</v>
      </c>
      <c r="GP36" s="114">
        <f t="shared" si="39"/>
        <v>3000</v>
      </c>
      <c r="GQ36" s="114">
        <f>SUM(GL36:GO36)</f>
        <v>3000</v>
      </c>
      <c r="GR36" s="193"/>
      <c r="GS36" s="122">
        <f t="shared" si="41"/>
        <v>66331213.981189996</v>
      </c>
      <c r="GT36" s="122">
        <f t="shared" si="41"/>
        <v>72502754.365860492</v>
      </c>
      <c r="GU36" s="123">
        <f>IFERROR(GS36/GT36,"")</f>
        <v>0.91487853891001281</v>
      </c>
      <c r="GV36" s="124">
        <f t="shared" ca="1" si="43"/>
        <v>0</v>
      </c>
      <c r="GW36" s="124">
        <v>0</v>
      </c>
      <c r="GX36" s="32">
        <f t="shared" ca="1" si="44"/>
        <v>0</v>
      </c>
      <c r="GY36" s="100"/>
    </row>
    <row r="37" spans="1:207" s="152" customFormat="1" ht="15" hidden="1" customHeight="1">
      <c r="A37" s="129"/>
      <c r="B37" s="130"/>
      <c r="C37" s="130"/>
      <c r="D37" s="131"/>
      <c r="E37" s="131" t="s">
        <v>260</v>
      </c>
      <c r="F37" s="131" t="s">
        <v>261</v>
      </c>
      <c r="G37" s="131" t="s">
        <v>226</v>
      </c>
      <c r="H37" s="132" t="s">
        <v>310</v>
      </c>
      <c r="I37" s="133" t="s">
        <v>311</v>
      </c>
      <c r="J37" s="131" t="s">
        <v>207</v>
      </c>
      <c r="K37" s="508" t="s">
        <v>208</v>
      </c>
      <c r="L37" s="131" t="s">
        <v>264</v>
      </c>
      <c r="M37" s="131" t="s">
        <v>312</v>
      </c>
      <c r="N37" s="134"/>
      <c r="O37" s="155">
        <v>41376</v>
      </c>
      <c r="P37" s="155">
        <v>41640</v>
      </c>
      <c r="Q37" s="321">
        <f t="shared" si="0"/>
        <v>0</v>
      </c>
      <c r="R37" s="109">
        <f>IF((P37-VLOOKUP(Q37,month!$A$1:$C$13,3,0))&lt;0,Q37,Q37+1)</f>
        <v>0</v>
      </c>
      <c r="S37" s="108"/>
      <c r="T37" s="153" t="str">
        <f>IF(S37&gt;0,"Y","")</f>
        <v/>
      </c>
      <c r="U37" s="134"/>
      <c r="V37" s="134"/>
      <c r="W37" s="134"/>
      <c r="X37" s="134"/>
      <c r="Y37" s="383"/>
      <c r="Z37" s="383" t="s">
        <v>545</v>
      </c>
      <c r="AA37" s="371">
        <v>1000</v>
      </c>
      <c r="AB37" s="371">
        <v>1000</v>
      </c>
      <c r="AC37" s="371">
        <v>1000</v>
      </c>
      <c r="AD37" s="371">
        <v>1000</v>
      </c>
      <c r="AE37" s="371">
        <v>1000</v>
      </c>
      <c r="AF37" s="371">
        <v>1000</v>
      </c>
      <c r="AG37" s="371">
        <v>1000</v>
      </c>
      <c r="AH37" s="371">
        <v>1000</v>
      </c>
      <c r="AI37" s="371">
        <v>1000</v>
      </c>
      <c r="AJ37" s="371">
        <v>1000</v>
      </c>
      <c r="AK37" s="371">
        <v>1000</v>
      </c>
      <c r="AL37" s="371">
        <v>1000</v>
      </c>
      <c r="AM37" s="384">
        <f t="shared" si="74"/>
        <v>12000</v>
      </c>
      <c r="AN37" s="384">
        <f t="shared" si="3"/>
        <v>12000</v>
      </c>
      <c r="AO37" s="385">
        <f t="shared" ref="AO37:AO39" si="82">AI37</f>
        <v>1000</v>
      </c>
      <c r="AP37" s="497" t="s">
        <v>682</v>
      </c>
      <c r="AQ37" s="156">
        <v>0.5</v>
      </c>
      <c r="AR37" s="157" t="s">
        <v>211</v>
      </c>
      <c r="AS37" s="146" t="s">
        <v>210</v>
      </c>
      <c r="AT37" s="136">
        <v>553694.41290000011</v>
      </c>
      <c r="AU37" s="136">
        <v>623937.3703999999</v>
      </c>
      <c r="AV37" s="111">
        <v>894989.22646666667</v>
      </c>
      <c r="AW37" s="111">
        <v>1058517.5845666667</v>
      </c>
      <c r="AX37" s="113">
        <v>434643.36120000022</v>
      </c>
      <c r="AY37" s="138">
        <v>685032.60331800021</v>
      </c>
      <c r="AZ37" s="113">
        <v>917033.22018359974</v>
      </c>
      <c r="BA37" s="138"/>
      <c r="BB37" s="138"/>
      <c r="BC37" s="138"/>
      <c r="BD37" s="138"/>
      <c r="BE37" s="138"/>
      <c r="BF37" s="139">
        <f t="shared" si="46"/>
        <v>434643.36120000022</v>
      </c>
      <c r="BG37" s="139">
        <f t="shared" si="46"/>
        <v>685032.60331800021</v>
      </c>
      <c r="BH37" s="139">
        <f t="shared" si="46"/>
        <v>917033.22018359974</v>
      </c>
      <c r="BI37" s="139">
        <f t="shared" si="46"/>
        <v>0</v>
      </c>
      <c r="BJ37" s="139">
        <f t="shared" si="4"/>
        <v>2036709.1847016001</v>
      </c>
      <c r="BK37" s="140">
        <f t="shared" si="75"/>
        <v>3131138.5943333334</v>
      </c>
      <c r="BL37" s="140">
        <f t="shared" si="47"/>
        <v>3131138.5943333334</v>
      </c>
      <c r="BM37" s="141">
        <f t="shared" si="48"/>
        <v>0.65049999999999997</v>
      </c>
      <c r="BN37" s="142">
        <f t="shared" ca="1" si="6"/>
        <v>0</v>
      </c>
      <c r="BO37" s="143">
        <f t="shared" ca="1" si="7"/>
        <v>0</v>
      </c>
      <c r="BP37" s="144" t="str">
        <f t="shared" si="8"/>
        <v>Uncapped</v>
      </c>
      <c r="BQ37" s="140">
        <f t="shared" ca="1" si="9"/>
        <v>0</v>
      </c>
      <c r="BR37" s="138" t="s">
        <v>700</v>
      </c>
      <c r="BS37" s="158">
        <v>0.3</v>
      </c>
      <c r="BT37" s="138" t="s">
        <v>211</v>
      </c>
      <c r="BU37" s="157" t="s">
        <v>210</v>
      </c>
      <c r="BV37" s="138">
        <v>137929.19999999998</v>
      </c>
      <c r="BW37" s="138">
        <v>154730.4</v>
      </c>
      <c r="BX37" s="506">
        <v>188718.8</v>
      </c>
      <c r="BY37" s="506">
        <v>206268</v>
      </c>
      <c r="BZ37" s="138">
        <v>156275.45099999991</v>
      </c>
      <c r="CA37" s="138">
        <v>130742.04689999999</v>
      </c>
      <c r="CB37" s="504">
        <v>147124.02959999998</v>
      </c>
      <c r="CC37" s="138"/>
      <c r="CD37" s="138"/>
      <c r="CE37" s="138"/>
      <c r="CF37" s="138"/>
      <c r="CG37" s="138"/>
      <c r="CH37" s="139">
        <f t="shared" si="49"/>
        <v>156275.45099999991</v>
      </c>
      <c r="CI37" s="139">
        <f t="shared" si="49"/>
        <v>130742.04689999999</v>
      </c>
      <c r="CJ37" s="145">
        <f t="shared" si="49"/>
        <v>147124.02959999998</v>
      </c>
      <c r="CK37" s="139">
        <f t="shared" si="49"/>
        <v>0</v>
      </c>
      <c r="CL37" s="139">
        <f t="shared" si="10"/>
        <v>434141.52749999985</v>
      </c>
      <c r="CM37" s="139">
        <f t="shared" si="76"/>
        <v>687646.39999999991</v>
      </c>
      <c r="CN37" s="139">
        <f t="shared" si="50"/>
        <v>687646.39999999991</v>
      </c>
      <c r="CO37" s="141">
        <f t="shared" si="51"/>
        <v>0.63129999999999997</v>
      </c>
      <c r="CP37" s="142">
        <f t="shared" ca="1" si="52"/>
        <v>0</v>
      </c>
      <c r="CQ37" s="140">
        <f t="shared" ca="1" si="12"/>
        <v>0</v>
      </c>
      <c r="CR37" s="144" t="str">
        <f t="shared" si="53"/>
        <v>Uncapped</v>
      </c>
      <c r="CS37" s="140">
        <f t="shared" ca="1" si="13"/>
        <v>0</v>
      </c>
      <c r="CT37" s="138" t="s">
        <v>702</v>
      </c>
      <c r="CU37" s="146">
        <v>0.2</v>
      </c>
      <c r="CV37" s="138" t="s">
        <v>217</v>
      </c>
      <c r="CW37" s="138" t="s">
        <v>210</v>
      </c>
      <c r="CX37" s="138">
        <v>19653413.080999997</v>
      </c>
      <c r="CY37" s="138">
        <v>22848780.235100001</v>
      </c>
      <c r="CZ37" s="113">
        <v>22618799.574099999</v>
      </c>
      <c r="DA37" s="113">
        <v>27098464.121500004</v>
      </c>
      <c r="DB37" s="138">
        <v>19427532.107000571</v>
      </c>
      <c r="DC37" s="138">
        <v>22270538.357580002</v>
      </c>
      <c r="DD37" s="113">
        <v>22879083.486580007</v>
      </c>
      <c r="DE37" s="138"/>
      <c r="DF37" s="138"/>
      <c r="DG37" s="138"/>
      <c r="DH37" s="138"/>
      <c r="DI37" s="138"/>
      <c r="DJ37" s="139">
        <f t="shared" si="54"/>
        <v>19427532.107000571</v>
      </c>
      <c r="DK37" s="139">
        <f t="shared" si="54"/>
        <v>22270538.357580002</v>
      </c>
      <c r="DL37" s="139">
        <f t="shared" si="54"/>
        <v>22879083.486580007</v>
      </c>
      <c r="DM37" s="139">
        <f t="shared" si="54"/>
        <v>0</v>
      </c>
      <c r="DN37" s="139">
        <f t="shared" si="55"/>
        <v>64577153.95116058</v>
      </c>
      <c r="DO37" s="139">
        <f t="shared" si="77"/>
        <v>92219457.011700004</v>
      </c>
      <c r="DP37" s="139">
        <f t="shared" si="56"/>
        <v>92219457.011700004</v>
      </c>
      <c r="DQ37" s="141">
        <f t="shared" si="57"/>
        <v>0.70030000000000003</v>
      </c>
      <c r="DR37" s="142">
        <f t="shared" ca="1" si="15"/>
        <v>0</v>
      </c>
      <c r="DS37" s="140">
        <f t="shared" ca="1" si="16"/>
        <v>0</v>
      </c>
      <c r="DT37" s="144" t="str">
        <f t="shared" si="58"/>
        <v>Uncapped</v>
      </c>
      <c r="DU37" s="140">
        <f t="shared" ca="1" si="17"/>
        <v>0</v>
      </c>
      <c r="DV37" s="138"/>
      <c r="DW37" s="146">
        <v>0</v>
      </c>
      <c r="DX37" s="138"/>
      <c r="DY37" s="138"/>
      <c r="DZ37" s="138">
        <v>0</v>
      </c>
      <c r="EA37" s="138">
        <v>0</v>
      </c>
      <c r="EB37" s="138">
        <v>0</v>
      </c>
      <c r="EC37" s="138">
        <v>0</v>
      </c>
      <c r="ED37" s="138">
        <v>0</v>
      </c>
      <c r="EE37" s="138">
        <v>0</v>
      </c>
      <c r="EF37" s="138"/>
      <c r="EG37" s="138"/>
      <c r="EH37" s="138"/>
      <c r="EI37" s="138"/>
      <c r="EJ37" s="138"/>
      <c r="EK37" s="138"/>
      <c r="EL37" s="139">
        <f t="shared" si="59"/>
        <v>0</v>
      </c>
      <c r="EM37" s="139">
        <f t="shared" si="59"/>
        <v>0</v>
      </c>
      <c r="EN37" s="139">
        <f t="shared" si="59"/>
        <v>0</v>
      </c>
      <c r="EO37" s="139">
        <f t="shared" si="59"/>
        <v>0</v>
      </c>
      <c r="EP37" s="139">
        <f t="shared" si="18"/>
        <v>0</v>
      </c>
      <c r="EQ37" s="139">
        <f t="shared" si="78"/>
        <v>0</v>
      </c>
      <c r="ER37" s="139">
        <f t="shared" si="60"/>
        <v>0</v>
      </c>
      <c r="ES37" s="141">
        <f t="shared" si="61"/>
        <v>0</v>
      </c>
      <c r="ET37" s="142">
        <f t="shared" ca="1" si="62"/>
        <v>0</v>
      </c>
      <c r="EU37" s="140">
        <f t="shared" ca="1" si="20"/>
        <v>0</v>
      </c>
      <c r="EV37" s="144" t="str">
        <f t="shared" si="21"/>
        <v>Uncapped</v>
      </c>
      <c r="EW37" s="140">
        <f t="shared" ca="1" si="22"/>
        <v>0</v>
      </c>
      <c r="EX37" s="137">
        <f t="shared" ca="1" si="23"/>
        <v>0</v>
      </c>
      <c r="EY37" s="139">
        <f t="shared" ca="1" si="63"/>
        <v>0</v>
      </c>
      <c r="EZ37" s="140">
        <v>0</v>
      </c>
      <c r="FA37" s="140"/>
      <c r="FB37" s="140"/>
      <c r="FC37" s="140">
        <v>0</v>
      </c>
      <c r="FD37" s="140">
        <f t="shared" si="79"/>
        <v>0</v>
      </c>
      <c r="FE37" s="139">
        <f t="shared" si="25"/>
        <v>0</v>
      </c>
      <c r="FF37" s="140">
        <v>0</v>
      </c>
      <c r="FG37" s="140">
        <v>0</v>
      </c>
      <c r="FH37" s="140">
        <v>0</v>
      </c>
      <c r="FI37" s="140">
        <v>0</v>
      </c>
      <c r="FJ37" s="140">
        <f t="shared" si="80"/>
        <v>0</v>
      </c>
      <c r="FK37" s="139">
        <f t="shared" si="27"/>
        <v>0</v>
      </c>
      <c r="FL37" s="138"/>
      <c r="FM37" s="136"/>
      <c r="FN37" s="136"/>
      <c r="FO37" s="136"/>
      <c r="FP37" s="140">
        <f>SUM(FL37:FO37)</f>
        <v>0</v>
      </c>
      <c r="FQ37" s="140"/>
      <c r="FR37" s="140"/>
      <c r="FS37" s="140"/>
      <c r="FT37" s="139">
        <f t="shared" si="64"/>
        <v>0</v>
      </c>
      <c r="FU37" s="365">
        <f t="shared" ca="1" si="66"/>
        <v>0</v>
      </c>
      <c r="FV37" s="147">
        <f t="shared" ca="1" si="65"/>
        <v>0</v>
      </c>
      <c r="FW37" s="139">
        <f t="shared" si="70"/>
        <v>0</v>
      </c>
      <c r="FX37" s="139">
        <f t="shared" si="70"/>
        <v>0</v>
      </c>
      <c r="FY37" s="139">
        <f t="shared" si="70"/>
        <v>0</v>
      </c>
      <c r="FZ37" s="139">
        <f t="shared" si="70"/>
        <v>0</v>
      </c>
      <c r="GA37" s="139">
        <f>SUM(FW37:FZ37)</f>
        <v>0</v>
      </c>
      <c r="GB37" s="139">
        <f t="shared" si="71"/>
        <v>0</v>
      </c>
      <c r="GC37" s="139">
        <f t="shared" si="71"/>
        <v>0</v>
      </c>
      <c r="GD37" s="139">
        <f t="shared" si="71"/>
        <v>0</v>
      </c>
      <c r="GE37" s="139">
        <f t="shared" si="71"/>
        <v>0</v>
      </c>
      <c r="GF37" s="139">
        <f t="shared" si="72"/>
        <v>0</v>
      </c>
      <c r="GG37" s="139">
        <f t="shared" si="72"/>
        <v>0</v>
      </c>
      <c r="GH37" s="139">
        <f t="shared" si="72"/>
        <v>0</v>
      </c>
      <c r="GI37" s="139">
        <f t="shared" si="72"/>
        <v>0</v>
      </c>
      <c r="GJ37" s="140">
        <f t="shared" si="81"/>
        <v>0</v>
      </c>
      <c r="GK37" s="139">
        <f>SUM(GF37:GI37)</f>
        <v>0</v>
      </c>
      <c r="GL37" s="139">
        <f t="shared" si="35"/>
        <v>0</v>
      </c>
      <c r="GM37" s="139">
        <f t="shared" si="36"/>
        <v>0</v>
      </c>
      <c r="GN37" s="139">
        <f t="shared" si="37"/>
        <v>0</v>
      </c>
      <c r="GO37" s="139">
        <f t="shared" si="38"/>
        <v>0</v>
      </c>
      <c r="GP37" s="139">
        <f t="shared" si="39"/>
        <v>0</v>
      </c>
      <c r="GQ37" s="139">
        <f>SUM(GL37:GO37)</f>
        <v>0</v>
      </c>
      <c r="GR37" s="409"/>
      <c r="GS37" s="148">
        <f t="shared" si="41"/>
        <v>67048004.663362183</v>
      </c>
      <c r="GT37" s="148">
        <f t="shared" si="41"/>
        <v>96038242.006033331</v>
      </c>
      <c r="GU37" s="149">
        <f>IFERROR(GS37/GT37,"")</f>
        <v>0.69813860877576328</v>
      </c>
      <c r="GV37" s="150">
        <f t="shared" ca="1" si="43"/>
        <v>0</v>
      </c>
      <c r="GW37" s="150">
        <v>0</v>
      </c>
      <c r="GX37" s="151">
        <f t="shared" ca="1" si="44"/>
        <v>0</v>
      </c>
      <c r="GY37" s="100"/>
    </row>
    <row r="38" spans="1:207" s="125" customFormat="1" ht="15" hidden="1" customHeight="1">
      <c r="A38" s="102"/>
      <c r="B38" s="103"/>
      <c r="C38" s="103"/>
      <c r="D38" s="104"/>
      <c r="E38" s="104" t="s">
        <v>253</v>
      </c>
      <c r="F38" s="104" t="s">
        <v>266</v>
      </c>
      <c r="G38" s="104" t="s">
        <v>226</v>
      </c>
      <c r="H38" s="105" t="s">
        <v>313</v>
      </c>
      <c r="I38" s="106" t="s">
        <v>314</v>
      </c>
      <c r="J38" s="104" t="s">
        <v>212</v>
      </c>
      <c r="K38" s="325" t="s">
        <v>208</v>
      </c>
      <c r="L38" s="104" t="s">
        <v>213</v>
      </c>
      <c r="M38" s="104" t="s">
        <v>315</v>
      </c>
      <c r="N38" s="107"/>
      <c r="O38" s="108">
        <v>41376</v>
      </c>
      <c r="P38" s="108">
        <v>41640</v>
      </c>
      <c r="Q38" s="322">
        <f t="shared" si="0"/>
        <v>0</v>
      </c>
      <c r="R38" s="109">
        <f>IF((P38-VLOOKUP(Q38,month!$A$1:$C$13,3,0))&lt;0,Q38,Q38+1)</f>
        <v>0</v>
      </c>
      <c r="S38" s="108"/>
      <c r="T38" s="110" t="str">
        <f t="shared" si="67"/>
        <v/>
      </c>
      <c r="U38" s="107"/>
      <c r="V38" s="107"/>
      <c r="W38" s="107"/>
      <c r="X38" s="107"/>
      <c r="Y38" s="386"/>
      <c r="Z38" s="386" t="s">
        <v>545</v>
      </c>
      <c r="AA38" s="387">
        <v>1000</v>
      </c>
      <c r="AB38" s="387">
        <v>1000</v>
      </c>
      <c r="AC38" s="387">
        <v>1000</v>
      </c>
      <c r="AD38" s="387">
        <v>1000</v>
      </c>
      <c r="AE38" s="387">
        <v>1000</v>
      </c>
      <c r="AF38" s="387">
        <v>1000</v>
      </c>
      <c r="AG38" s="387">
        <v>1000</v>
      </c>
      <c r="AH38" s="387">
        <v>1000</v>
      </c>
      <c r="AI38" s="387">
        <v>1000</v>
      </c>
      <c r="AJ38" s="387">
        <v>1000</v>
      </c>
      <c r="AK38" s="387">
        <v>1000</v>
      </c>
      <c r="AL38" s="387">
        <v>1000</v>
      </c>
      <c r="AM38" s="388">
        <f t="shared" si="74"/>
        <v>12000</v>
      </c>
      <c r="AN38" s="388">
        <f t="shared" si="3"/>
        <v>12000</v>
      </c>
      <c r="AO38" s="389">
        <f t="shared" si="82"/>
        <v>1000</v>
      </c>
      <c r="AP38" s="498" t="s">
        <v>682</v>
      </c>
      <c r="AQ38" s="159">
        <v>0.5</v>
      </c>
      <c r="AR38" s="160" t="s">
        <v>211</v>
      </c>
      <c r="AS38" s="119" t="s">
        <v>210</v>
      </c>
      <c r="AT38" s="111">
        <v>144315.45515588002</v>
      </c>
      <c r="AU38" s="111">
        <v>165662.51948033998</v>
      </c>
      <c r="AV38" s="111">
        <v>178313.55717060002</v>
      </c>
      <c r="AW38" s="111">
        <v>211887.99559318001</v>
      </c>
      <c r="AX38" s="113">
        <v>114660.32400000011</v>
      </c>
      <c r="AY38" s="113">
        <v>143740.82159999997</v>
      </c>
      <c r="AZ38" s="113">
        <v>118478.91060000006</v>
      </c>
      <c r="BA38" s="113"/>
      <c r="BB38" s="113"/>
      <c r="BC38" s="113"/>
      <c r="BD38" s="113"/>
      <c r="BE38" s="113"/>
      <c r="BF38" s="114">
        <f t="shared" si="46"/>
        <v>114660.32400000011</v>
      </c>
      <c r="BG38" s="114">
        <f t="shared" si="46"/>
        <v>143740.82159999997</v>
      </c>
      <c r="BH38" s="114">
        <f t="shared" si="46"/>
        <v>118478.91060000006</v>
      </c>
      <c r="BI38" s="114">
        <f t="shared" si="46"/>
        <v>0</v>
      </c>
      <c r="BJ38" s="114">
        <f t="shared" ref="BJ38:BJ63" si="83">IF($BB$3="After AR Adjustment",IF($H$2=1,BF38,IF($H$2=2,SUM(BF38:BG38),IF($H$2=3,SUM(BF38:BH38),SUM(BF38:BI38)))),IF($H$2=1,AX38,IF($H$2=2,SUM(AX38:AY38),IF($H$2=3,SUM(AX38:AZ38),SUM(AX38:BA38)))))</f>
        <v>376880.05620000011</v>
      </c>
      <c r="BK38" s="115">
        <f t="shared" si="75"/>
        <v>700179.52740000002</v>
      </c>
      <c r="BL38" s="115">
        <f t="shared" si="47"/>
        <v>700179.52740000002</v>
      </c>
      <c r="BM38" s="116">
        <f t="shared" si="48"/>
        <v>0.5383</v>
      </c>
      <c r="BN38" s="126">
        <f t="shared" ca="1" si="6"/>
        <v>0</v>
      </c>
      <c r="BO38" s="117">
        <f t="shared" ca="1" si="7"/>
        <v>0</v>
      </c>
      <c r="BP38" s="118" t="str">
        <f t="shared" si="8"/>
        <v>Uncapped</v>
      </c>
      <c r="BQ38" s="115">
        <f t="shared" ca="1" si="9"/>
        <v>0</v>
      </c>
      <c r="BR38" s="113" t="s">
        <v>700</v>
      </c>
      <c r="BS38" s="161">
        <v>0.3</v>
      </c>
      <c r="BT38" s="113" t="s">
        <v>211</v>
      </c>
      <c r="BU38" s="160" t="s">
        <v>210</v>
      </c>
      <c r="BV38" s="113">
        <v>17059.645</v>
      </c>
      <c r="BW38" s="113">
        <v>18817.345000000001</v>
      </c>
      <c r="BX38" s="506">
        <v>18947.145</v>
      </c>
      <c r="BY38" s="506">
        <v>21887.464999999997</v>
      </c>
      <c r="BZ38" s="113">
        <v>17183.380499999999</v>
      </c>
      <c r="CA38" s="113">
        <v>22738.067999999999</v>
      </c>
      <c r="CB38" s="504">
        <v>18224.037</v>
      </c>
      <c r="CC38" s="113"/>
      <c r="CD38" s="113"/>
      <c r="CE38" s="113"/>
      <c r="CF38" s="113"/>
      <c r="CG38" s="113"/>
      <c r="CH38" s="114">
        <f t="shared" si="49"/>
        <v>17183.380499999999</v>
      </c>
      <c r="CI38" s="114">
        <f t="shared" si="49"/>
        <v>22738.067999999999</v>
      </c>
      <c r="CJ38" s="120">
        <f t="shared" si="49"/>
        <v>18224.037</v>
      </c>
      <c r="CK38" s="114">
        <f t="shared" si="49"/>
        <v>0</v>
      </c>
      <c r="CL38" s="114">
        <f t="shared" si="10"/>
        <v>58145.485499999995</v>
      </c>
      <c r="CM38" s="114">
        <f t="shared" si="76"/>
        <v>76711.600000000006</v>
      </c>
      <c r="CN38" s="114">
        <f t="shared" si="50"/>
        <v>76711.600000000006</v>
      </c>
      <c r="CO38" s="116">
        <f t="shared" si="51"/>
        <v>0.75800000000000001</v>
      </c>
      <c r="CP38" s="126">
        <f t="shared" ca="1" si="52"/>
        <v>0</v>
      </c>
      <c r="CQ38" s="115">
        <f t="shared" ca="1" si="12"/>
        <v>0</v>
      </c>
      <c r="CR38" s="118" t="str">
        <f t="shared" si="53"/>
        <v>Uncapped</v>
      </c>
      <c r="CS38" s="115">
        <f t="shared" ca="1" si="13"/>
        <v>0</v>
      </c>
      <c r="CT38" s="113" t="s">
        <v>695</v>
      </c>
      <c r="CU38" s="119">
        <v>0.2</v>
      </c>
      <c r="CV38" s="113" t="s">
        <v>211</v>
      </c>
      <c r="CW38" s="113" t="s">
        <v>210</v>
      </c>
      <c r="CX38" s="113">
        <v>553694.41290000011</v>
      </c>
      <c r="CY38" s="113">
        <v>623937.3703999999</v>
      </c>
      <c r="CZ38" s="113">
        <v>894989.22646666667</v>
      </c>
      <c r="DA38" s="113">
        <v>1058517.5845666667</v>
      </c>
      <c r="DB38" s="113">
        <v>434643.36120000022</v>
      </c>
      <c r="DC38" s="113">
        <v>685032.60331800021</v>
      </c>
      <c r="DD38" s="113">
        <v>917033.22018359974</v>
      </c>
      <c r="DE38" s="113"/>
      <c r="DF38" s="113"/>
      <c r="DG38" s="113"/>
      <c r="DH38" s="113"/>
      <c r="DI38" s="113"/>
      <c r="DJ38" s="114">
        <f t="shared" si="54"/>
        <v>434643.36120000022</v>
      </c>
      <c r="DK38" s="114">
        <f t="shared" si="54"/>
        <v>685032.60331800021</v>
      </c>
      <c r="DL38" s="114">
        <f t="shared" si="54"/>
        <v>917033.22018359974</v>
      </c>
      <c r="DM38" s="114">
        <f t="shared" si="54"/>
        <v>0</v>
      </c>
      <c r="DN38" s="114">
        <f t="shared" ref="DN38:DN101" si="84">IF($BB$3="After AR Adjustment",IF($H$2=1,DJ38,IF($H$2=2,SUM(DJ38:DK38),IF($H$2=3,SUM(DJ38:DL38),SUM(DJ38:DM38)))),IF($H$2=1,DB38,IF($H$2=2,SUM(DB38:DC38),IF($H$2=3,SUM(DB38:DD38),SUM(DB38:DE38)))))</f>
        <v>2036709.1847016001</v>
      </c>
      <c r="DO38" s="114">
        <f t="shared" si="77"/>
        <v>3131138.5943333334</v>
      </c>
      <c r="DP38" s="114">
        <f t="shared" si="56"/>
        <v>3131138.5943333334</v>
      </c>
      <c r="DQ38" s="116">
        <f t="shared" si="57"/>
        <v>0.65049999999999997</v>
      </c>
      <c r="DR38" s="126">
        <f t="shared" ca="1" si="15"/>
        <v>0</v>
      </c>
      <c r="DS38" s="115">
        <f t="shared" ca="1" si="16"/>
        <v>0</v>
      </c>
      <c r="DT38" s="118" t="str">
        <f t="shared" si="58"/>
        <v>Uncapped</v>
      </c>
      <c r="DU38" s="115">
        <f t="shared" ca="1" si="17"/>
        <v>0</v>
      </c>
      <c r="DV38" s="113"/>
      <c r="DW38" s="119">
        <v>0</v>
      </c>
      <c r="DX38" s="113"/>
      <c r="DY38" s="113"/>
      <c r="DZ38" s="113">
        <v>0</v>
      </c>
      <c r="EA38" s="113">
        <v>0</v>
      </c>
      <c r="EB38" s="113">
        <v>0</v>
      </c>
      <c r="EC38" s="113">
        <v>0</v>
      </c>
      <c r="ED38" s="113">
        <v>0</v>
      </c>
      <c r="EE38" s="113">
        <v>0</v>
      </c>
      <c r="EF38" s="113"/>
      <c r="EG38" s="113"/>
      <c r="EH38" s="113"/>
      <c r="EI38" s="113"/>
      <c r="EJ38" s="113"/>
      <c r="EK38" s="113"/>
      <c r="EL38" s="114">
        <f t="shared" si="59"/>
        <v>0</v>
      </c>
      <c r="EM38" s="114">
        <f t="shared" si="59"/>
        <v>0</v>
      </c>
      <c r="EN38" s="114">
        <f t="shared" si="59"/>
        <v>0</v>
      </c>
      <c r="EO38" s="114">
        <f t="shared" si="59"/>
        <v>0</v>
      </c>
      <c r="EP38" s="114">
        <f t="shared" si="18"/>
        <v>0</v>
      </c>
      <c r="EQ38" s="114">
        <f t="shared" si="78"/>
        <v>0</v>
      </c>
      <c r="ER38" s="114">
        <f t="shared" si="60"/>
        <v>0</v>
      </c>
      <c r="ES38" s="116">
        <f t="shared" si="61"/>
        <v>0</v>
      </c>
      <c r="ET38" s="126">
        <f t="shared" ca="1" si="62"/>
        <v>0</v>
      </c>
      <c r="EU38" s="115">
        <f t="shared" ca="1" si="20"/>
        <v>0</v>
      </c>
      <c r="EV38" s="118" t="str">
        <f t="shared" si="21"/>
        <v>Uncapped</v>
      </c>
      <c r="EW38" s="115">
        <f t="shared" ca="1" si="22"/>
        <v>0</v>
      </c>
      <c r="EX38" s="112">
        <f t="shared" ca="1" si="23"/>
        <v>0</v>
      </c>
      <c r="EY38" s="114">
        <f t="shared" ca="1" si="63"/>
        <v>0</v>
      </c>
      <c r="EZ38" s="115">
        <v>0</v>
      </c>
      <c r="FA38" s="115"/>
      <c r="FB38" s="115"/>
      <c r="FC38" s="115">
        <v>0</v>
      </c>
      <c r="FD38" s="115">
        <f t="shared" si="79"/>
        <v>0</v>
      </c>
      <c r="FE38" s="114">
        <f>SUMIFS(38:38,$5:$5,"SPIFF payout $ (Local CCY)",$4:$4,CONCATENATE("Q",$H$2))</f>
        <v>0</v>
      </c>
      <c r="FF38" s="115">
        <v>0</v>
      </c>
      <c r="FG38" s="115">
        <v>0</v>
      </c>
      <c r="FH38" s="115">
        <v>0</v>
      </c>
      <c r="FI38" s="115">
        <v>0</v>
      </c>
      <c r="FJ38" s="115">
        <f t="shared" si="80"/>
        <v>0</v>
      </c>
      <c r="FK38" s="114">
        <f>SUMIFS(38:38,$5:$5,"Other payout $ (Local CCY)",$4:$4,CONCATENATE("Q",$H$2))</f>
        <v>0</v>
      </c>
      <c r="FL38" s="113"/>
      <c r="FM38" s="111"/>
      <c r="FN38" s="111"/>
      <c r="FO38" s="111"/>
      <c r="FP38" s="115">
        <f t="shared" si="28"/>
        <v>0</v>
      </c>
      <c r="FQ38" s="115"/>
      <c r="FR38" s="488"/>
      <c r="FS38" s="115"/>
      <c r="FT38" s="114">
        <f t="shared" si="64"/>
        <v>0</v>
      </c>
      <c r="FU38" s="366">
        <f t="shared" ca="1" si="66"/>
        <v>0</v>
      </c>
      <c r="FV38" s="121">
        <f t="shared" ca="1" si="65"/>
        <v>0</v>
      </c>
      <c r="FW38" s="114">
        <f t="shared" si="70"/>
        <v>0</v>
      </c>
      <c r="FX38" s="114">
        <f t="shared" si="70"/>
        <v>0</v>
      </c>
      <c r="FY38" s="114">
        <f t="shared" si="70"/>
        <v>0</v>
      </c>
      <c r="FZ38" s="114">
        <f t="shared" si="70"/>
        <v>0</v>
      </c>
      <c r="GA38" s="114">
        <f t="shared" si="30"/>
        <v>0</v>
      </c>
      <c r="GB38" s="114">
        <f t="shared" si="71"/>
        <v>0</v>
      </c>
      <c r="GC38" s="114">
        <f t="shared" si="71"/>
        <v>0</v>
      </c>
      <c r="GD38" s="114">
        <f t="shared" si="71"/>
        <v>0</v>
      </c>
      <c r="GE38" s="114">
        <f t="shared" si="71"/>
        <v>0</v>
      </c>
      <c r="GF38" s="114">
        <f t="shared" si="72"/>
        <v>0</v>
      </c>
      <c r="GG38" s="114">
        <f t="shared" si="72"/>
        <v>0</v>
      </c>
      <c r="GH38" s="114">
        <f t="shared" si="72"/>
        <v>0</v>
      </c>
      <c r="GI38" s="114">
        <f t="shared" si="72"/>
        <v>0</v>
      </c>
      <c r="GJ38" s="115">
        <f t="shared" si="81"/>
        <v>0</v>
      </c>
      <c r="GK38" s="114">
        <f t="shared" si="34"/>
        <v>0</v>
      </c>
      <c r="GL38" s="114">
        <f t="shared" si="35"/>
        <v>0</v>
      </c>
      <c r="GM38" s="114">
        <f t="shared" si="36"/>
        <v>0</v>
      </c>
      <c r="GN38" s="114">
        <f t="shared" si="37"/>
        <v>0</v>
      </c>
      <c r="GO38" s="114">
        <f t="shared" si="38"/>
        <v>0</v>
      </c>
      <c r="GP38" s="114">
        <f t="shared" si="39"/>
        <v>0</v>
      </c>
      <c r="GQ38" s="114">
        <f t="shared" si="40"/>
        <v>0</v>
      </c>
      <c r="GR38" s="193"/>
      <c r="GS38" s="122">
        <f t="shared" ref="GS38:GT64" si="85">IFERROR(BJ38+CL38+DN38+EP38,0)</f>
        <v>2471734.7264016001</v>
      </c>
      <c r="GT38" s="122">
        <f t="shared" si="85"/>
        <v>3908029.7217333335</v>
      </c>
      <c r="GU38" s="123">
        <f t="shared" si="42"/>
        <v>0.63247592838298794</v>
      </c>
      <c r="GV38" s="124">
        <f t="shared" ca="1" si="43"/>
        <v>0</v>
      </c>
      <c r="GW38" s="124">
        <v>0</v>
      </c>
      <c r="GX38" s="32">
        <f t="shared" ca="1" si="44"/>
        <v>0</v>
      </c>
      <c r="GY38" s="100"/>
    </row>
    <row r="39" spans="1:207" s="125" customFormat="1" ht="15" hidden="1" customHeight="1">
      <c r="A39" s="102"/>
      <c r="B39" s="103"/>
      <c r="C39" s="103"/>
      <c r="D39" s="104"/>
      <c r="E39" s="104" t="s">
        <v>253</v>
      </c>
      <c r="F39" s="104" t="s">
        <v>266</v>
      </c>
      <c r="G39" s="104" t="s">
        <v>226</v>
      </c>
      <c r="H39" s="105" t="s">
        <v>316</v>
      </c>
      <c r="I39" s="106" t="s">
        <v>317</v>
      </c>
      <c r="J39" s="104" t="s">
        <v>212</v>
      </c>
      <c r="K39" s="325" t="s">
        <v>208</v>
      </c>
      <c r="L39" s="104" t="s">
        <v>213</v>
      </c>
      <c r="M39" s="104" t="s">
        <v>315</v>
      </c>
      <c r="N39" s="107"/>
      <c r="O39" s="108">
        <v>42702</v>
      </c>
      <c r="P39" s="108">
        <v>42702</v>
      </c>
      <c r="Q39" s="322">
        <f t="shared" si="0"/>
        <v>0</v>
      </c>
      <c r="R39" s="109">
        <f>IF((P39-VLOOKUP(Q39,month!$A$1:$C$13,3,0))&lt;0,Q39,Q39+1)</f>
        <v>0</v>
      </c>
      <c r="S39" s="108"/>
      <c r="T39" s="110" t="str">
        <f t="shared" si="67"/>
        <v/>
      </c>
      <c r="U39" s="107"/>
      <c r="V39" s="107"/>
      <c r="W39" s="107"/>
      <c r="X39" s="107"/>
      <c r="Y39" s="386"/>
      <c r="Z39" s="386" t="s">
        <v>545</v>
      </c>
      <c r="AA39" s="387">
        <v>1000</v>
      </c>
      <c r="AB39" s="387">
        <v>1000</v>
      </c>
      <c r="AC39" s="387">
        <v>1000</v>
      </c>
      <c r="AD39" s="387">
        <v>1000</v>
      </c>
      <c r="AE39" s="387">
        <v>1000</v>
      </c>
      <c r="AF39" s="387">
        <v>1000</v>
      </c>
      <c r="AG39" s="387">
        <v>1000</v>
      </c>
      <c r="AH39" s="387">
        <v>1000</v>
      </c>
      <c r="AI39" s="387">
        <v>1000</v>
      </c>
      <c r="AJ39" s="387">
        <v>1000</v>
      </c>
      <c r="AK39" s="387">
        <v>1000</v>
      </c>
      <c r="AL39" s="387">
        <v>1000</v>
      </c>
      <c r="AM39" s="388">
        <f t="shared" si="74"/>
        <v>12000</v>
      </c>
      <c r="AN39" s="388">
        <f t="shared" si="3"/>
        <v>12000</v>
      </c>
      <c r="AO39" s="389">
        <f t="shared" si="82"/>
        <v>1000</v>
      </c>
      <c r="AP39" s="498" t="s">
        <v>682</v>
      </c>
      <c r="AQ39" s="159">
        <v>0.5</v>
      </c>
      <c r="AR39" s="160" t="s">
        <v>211</v>
      </c>
      <c r="AS39" s="119" t="s">
        <v>210</v>
      </c>
      <c r="AT39" s="111">
        <v>145362.02824412004</v>
      </c>
      <c r="AU39" s="111">
        <v>166030.80011966001</v>
      </c>
      <c r="AV39" s="111">
        <v>194336.42742940004</v>
      </c>
      <c r="AW39" s="111">
        <v>225694.32180682005</v>
      </c>
      <c r="AX39" s="113">
        <v>111693.65310000007</v>
      </c>
      <c r="AY39" s="113">
        <v>164568.88799999995</v>
      </c>
      <c r="AZ39" s="113">
        <v>215187.39629999993</v>
      </c>
      <c r="BA39" s="113"/>
      <c r="BB39" s="113"/>
      <c r="BC39" s="113"/>
      <c r="BD39" s="113"/>
      <c r="BE39" s="113"/>
      <c r="BF39" s="114">
        <f t="shared" si="46"/>
        <v>111693.65310000007</v>
      </c>
      <c r="BG39" s="114">
        <f t="shared" si="46"/>
        <v>164568.88799999995</v>
      </c>
      <c r="BH39" s="114">
        <f t="shared" si="46"/>
        <v>215187.39629999993</v>
      </c>
      <c r="BI39" s="114">
        <f t="shared" si="46"/>
        <v>0</v>
      </c>
      <c r="BJ39" s="114">
        <f t="shared" si="83"/>
        <v>491449.93739999994</v>
      </c>
      <c r="BK39" s="115">
        <f t="shared" si="75"/>
        <v>731423.57760000019</v>
      </c>
      <c r="BL39" s="115">
        <f t="shared" si="47"/>
        <v>731423.57760000019</v>
      </c>
      <c r="BM39" s="116">
        <f t="shared" si="48"/>
        <v>0.67190000000000005</v>
      </c>
      <c r="BN39" s="126">
        <f t="shared" ca="1" si="6"/>
        <v>0</v>
      </c>
      <c r="BO39" s="117">
        <f t="shared" ca="1" si="7"/>
        <v>0</v>
      </c>
      <c r="BP39" s="118" t="str">
        <f t="shared" si="8"/>
        <v>Uncapped</v>
      </c>
      <c r="BQ39" s="115">
        <f t="shared" ca="1" si="9"/>
        <v>0</v>
      </c>
      <c r="BR39" s="113" t="s">
        <v>700</v>
      </c>
      <c r="BS39" s="161">
        <v>0.3</v>
      </c>
      <c r="BT39" s="113" t="s">
        <v>211</v>
      </c>
      <c r="BU39" s="160" t="s">
        <v>210</v>
      </c>
      <c r="BV39" s="113">
        <v>13406.445</v>
      </c>
      <c r="BW39" s="113">
        <v>14854.994999999999</v>
      </c>
      <c r="BX39" s="506">
        <v>15027.945</v>
      </c>
      <c r="BY39" s="506">
        <v>17122.214999999997</v>
      </c>
      <c r="BZ39" s="113">
        <v>15722.145</v>
      </c>
      <c r="CA39" s="113">
        <v>16185.420000000002</v>
      </c>
      <c r="CB39" s="504">
        <v>15201.855</v>
      </c>
      <c r="CC39" s="113"/>
      <c r="CD39" s="113"/>
      <c r="CE39" s="113"/>
      <c r="CF39" s="113"/>
      <c r="CG39" s="113"/>
      <c r="CH39" s="114">
        <f t="shared" si="49"/>
        <v>15722.145</v>
      </c>
      <c r="CI39" s="114">
        <f t="shared" si="49"/>
        <v>16185.420000000002</v>
      </c>
      <c r="CJ39" s="120">
        <f t="shared" si="49"/>
        <v>15201.855</v>
      </c>
      <c r="CK39" s="114">
        <f t="shared" si="49"/>
        <v>0</v>
      </c>
      <c r="CL39" s="114">
        <f t="shared" si="10"/>
        <v>47109.42</v>
      </c>
      <c r="CM39" s="114">
        <f t="shared" si="76"/>
        <v>60411.599999999991</v>
      </c>
      <c r="CN39" s="114">
        <f t="shared" si="50"/>
        <v>60411.599999999991</v>
      </c>
      <c r="CO39" s="116">
        <f t="shared" si="51"/>
        <v>0.77980000000000005</v>
      </c>
      <c r="CP39" s="126">
        <f t="shared" ca="1" si="52"/>
        <v>0</v>
      </c>
      <c r="CQ39" s="115">
        <f t="shared" ca="1" si="12"/>
        <v>0</v>
      </c>
      <c r="CR39" s="118" t="str">
        <f t="shared" si="53"/>
        <v>Uncapped</v>
      </c>
      <c r="CS39" s="115">
        <f t="shared" ca="1" si="13"/>
        <v>0</v>
      </c>
      <c r="CT39" s="113" t="s">
        <v>695</v>
      </c>
      <c r="CU39" s="119">
        <v>0.2</v>
      </c>
      <c r="CV39" s="113" t="s">
        <v>211</v>
      </c>
      <c r="CW39" s="113" t="s">
        <v>210</v>
      </c>
      <c r="CX39" s="113">
        <v>553694.41290000011</v>
      </c>
      <c r="CY39" s="113">
        <v>623937.3703999999</v>
      </c>
      <c r="CZ39" s="113">
        <v>894989.22646666667</v>
      </c>
      <c r="DA39" s="113">
        <v>1058517.5845666667</v>
      </c>
      <c r="DB39" s="113">
        <v>434643.36120000022</v>
      </c>
      <c r="DC39" s="113">
        <v>685032.60331800021</v>
      </c>
      <c r="DD39" s="113">
        <v>917033.22018359974</v>
      </c>
      <c r="DE39" s="113"/>
      <c r="DF39" s="113"/>
      <c r="DG39" s="113"/>
      <c r="DH39" s="113"/>
      <c r="DI39" s="113"/>
      <c r="DJ39" s="114">
        <f t="shared" si="54"/>
        <v>434643.36120000022</v>
      </c>
      <c r="DK39" s="114">
        <f t="shared" si="54"/>
        <v>685032.60331800021</v>
      </c>
      <c r="DL39" s="114">
        <f t="shared" si="54"/>
        <v>917033.22018359974</v>
      </c>
      <c r="DM39" s="114">
        <f t="shared" si="54"/>
        <v>0</v>
      </c>
      <c r="DN39" s="114">
        <f t="shared" si="84"/>
        <v>2036709.1847016001</v>
      </c>
      <c r="DO39" s="114">
        <f t="shared" si="77"/>
        <v>3131138.5943333334</v>
      </c>
      <c r="DP39" s="114">
        <f t="shared" si="56"/>
        <v>3131138.5943333334</v>
      </c>
      <c r="DQ39" s="116">
        <f t="shared" si="57"/>
        <v>0.65049999999999997</v>
      </c>
      <c r="DR39" s="126">
        <f t="shared" ca="1" si="15"/>
        <v>0</v>
      </c>
      <c r="DS39" s="115">
        <f t="shared" ca="1" si="16"/>
        <v>0</v>
      </c>
      <c r="DT39" s="118" t="str">
        <f t="shared" si="58"/>
        <v>Uncapped</v>
      </c>
      <c r="DU39" s="115">
        <f t="shared" ca="1" si="17"/>
        <v>0</v>
      </c>
      <c r="DV39" s="113"/>
      <c r="DW39" s="119">
        <v>0</v>
      </c>
      <c r="DX39" s="113"/>
      <c r="DY39" s="113"/>
      <c r="DZ39" s="113">
        <v>0</v>
      </c>
      <c r="EA39" s="113">
        <v>0</v>
      </c>
      <c r="EB39" s="113">
        <v>0</v>
      </c>
      <c r="EC39" s="113">
        <v>0</v>
      </c>
      <c r="ED39" s="113">
        <v>0</v>
      </c>
      <c r="EE39" s="113">
        <v>0</v>
      </c>
      <c r="EF39" s="113"/>
      <c r="EG39" s="113"/>
      <c r="EH39" s="113"/>
      <c r="EI39" s="113"/>
      <c r="EJ39" s="113"/>
      <c r="EK39" s="113"/>
      <c r="EL39" s="114">
        <f t="shared" si="59"/>
        <v>0</v>
      </c>
      <c r="EM39" s="114">
        <f t="shared" si="59"/>
        <v>0</v>
      </c>
      <c r="EN39" s="114">
        <f t="shared" si="59"/>
        <v>0</v>
      </c>
      <c r="EO39" s="114">
        <f t="shared" si="59"/>
        <v>0</v>
      </c>
      <c r="EP39" s="114">
        <f t="shared" si="18"/>
        <v>0</v>
      </c>
      <c r="EQ39" s="114">
        <f t="shared" si="78"/>
        <v>0</v>
      </c>
      <c r="ER39" s="114">
        <f t="shared" si="60"/>
        <v>0</v>
      </c>
      <c r="ES39" s="116">
        <f t="shared" si="61"/>
        <v>0</v>
      </c>
      <c r="ET39" s="126">
        <f t="shared" ca="1" si="62"/>
        <v>0</v>
      </c>
      <c r="EU39" s="115">
        <f t="shared" ca="1" si="20"/>
        <v>0</v>
      </c>
      <c r="EV39" s="118" t="str">
        <f t="shared" si="21"/>
        <v>Uncapped</v>
      </c>
      <c r="EW39" s="115">
        <f t="shared" ca="1" si="22"/>
        <v>0</v>
      </c>
      <c r="EX39" s="112">
        <f t="shared" ca="1" si="23"/>
        <v>0</v>
      </c>
      <c r="EY39" s="114">
        <f t="shared" ca="1" si="63"/>
        <v>0</v>
      </c>
      <c r="EZ39" s="115">
        <v>0</v>
      </c>
      <c r="FA39" s="115"/>
      <c r="FB39" s="115"/>
      <c r="FC39" s="115">
        <v>0</v>
      </c>
      <c r="FD39" s="115">
        <f t="shared" si="79"/>
        <v>0</v>
      </c>
      <c r="FE39" s="114">
        <f>SUMIFS(39:39,$5:$5,"SPIFF payout $ (Local CCY)",$4:$4,CONCATENATE("Q",$H$2))</f>
        <v>0</v>
      </c>
      <c r="FF39" s="115">
        <v>0</v>
      </c>
      <c r="FG39" s="115">
        <v>0</v>
      </c>
      <c r="FH39" s="115">
        <v>0</v>
      </c>
      <c r="FI39" s="115">
        <v>0</v>
      </c>
      <c r="FJ39" s="115">
        <f t="shared" si="80"/>
        <v>0</v>
      </c>
      <c r="FK39" s="114">
        <f>SUMIFS(39:39,$5:$5,"Other payout $ (Local CCY)",$4:$4,CONCATENATE("Q",$H$2))</f>
        <v>0</v>
      </c>
      <c r="FL39" s="113"/>
      <c r="FM39" s="111"/>
      <c r="FN39" s="111"/>
      <c r="FO39" s="111"/>
      <c r="FP39" s="115">
        <f t="shared" si="28"/>
        <v>0</v>
      </c>
      <c r="FQ39" s="115"/>
      <c r="FR39" s="488"/>
      <c r="FS39" s="115"/>
      <c r="FT39" s="114">
        <f t="shared" si="64"/>
        <v>0</v>
      </c>
      <c r="FU39" s="366">
        <f t="shared" ca="1" si="66"/>
        <v>0</v>
      </c>
      <c r="FV39" s="121">
        <f t="shared" ca="1" si="65"/>
        <v>0</v>
      </c>
      <c r="FW39" s="114">
        <f t="shared" si="70"/>
        <v>0</v>
      </c>
      <c r="FX39" s="114">
        <f t="shared" si="70"/>
        <v>0</v>
      </c>
      <c r="FY39" s="114">
        <f t="shared" si="70"/>
        <v>0</v>
      </c>
      <c r="FZ39" s="114">
        <f t="shared" si="70"/>
        <v>0</v>
      </c>
      <c r="GA39" s="114">
        <f t="shared" si="30"/>
        <v>0</v>
      </c>
      <c r="GB39" s="114">
        <f t="shared" si="71"/>
        <v>0</v>
      </c>
      <c r="GC39" s="114">
        <f t="shared" si="71"/>
        <v>0</v>
      </c>
      <c r="GD39" s="114">
        <f t="shared" si="71"/>
        <v>0</v>
      </c>
      <c r="GE39" s="114">
        <f t="shared" si="71"/>
        <v>0</v>
      </c>
      <c r="GF39" s="114">
        <f t="shared" si="72"/>
        <v>0</v>
      </c>
      <c r="GG39" s="114">
        <f t="shared" si="72"/>
        <v>0</v>
      </c>
      <c r="GH39" s="114">
        <f t="shared" si="72"/>
        <v>0</v>
      </c>
      <c r="GI39" s="114">
        <f t="shared" si="72"/>
        <v>0</v>
      </c>
      <c r="GJ39" s="115">
        <f t="shared" si="81"/>
        <v>0</v>
      </c>
      <c r="GK39" s="114">
        <f t="shared" si="34"/>
        <v>0</v>
      </c>
      <c r="GL39" s="114">
        <f t="shared" si="35"/>
        <v>0</v>
      </c>
      <c r="GM39" s="114">
        <f t="shared" si="36"/>
        <v>0</v>
      </c>
      <c r="GN39" s="114">
        <f t="shared" si="37"/>
        <v>0</v>
      </c>
      <c r="GO39" s="114">
        <f t="shared" si="38"/>
        <v>0</v>
      </c>
      <c r="GP39" s="114">
        <f t="shared" si="39"/>
        <v>0</v>
      </c>
      <c r="GQ39" s="114">
        <f t="shared" si="40"/>
        <v>0</v>
      </c>
      <c r="GR39" s="193"/>
      <c r="GS39" s="122">
        <f t="shared" si="85"/>
        <v>2575268.5421016002</v>
      </c>
      <c r="GT39" s="122">
        <f t="shared" si="85"/>
        <v>3922973.7719333335</v>
      </c>
      <c r="GU39" s="123">
        <f t="shared" si="42"/>
        <v>0.65645826146638941</v>
      </c>
      <c r="GV39" s="124">
        <f t="shared" ca="1" si="43"/>
        <v>0</v>
      </c>
      <c r="GW39" s="124">
        <v>0</v>
      </c>
      <c r="GX39" s="32">
        <f t="shared" ca="1" si="44"/>
        <v>0</v>
      </c>
      <c r="GY39" s="100"/>
    </row>
    <row r="40" spans="1:207" s="125" customFormat="1" ht="15" hidden="1" customHeight="1">
      <c r="A40" s="102"/>
      <c r="B40" s="103"/>
      <c r="C40" s="103"/>
      <c r="D40" s="104"/>
      <c r="E40" s="104" t="s">
        <v>253</v>
      </c>
      <c r="F40" s="104" t="s">
        <v>266</v>
      </c>
      <c r="G40" s="104" t="s">
        <v>226</v>
      </c>
      <c r="H40" s="105" t="s">
        <v>318</v>
      </c>
      <c r="I40" s="106" t="s">
        <v>319</v>
      </c>
      <c r="J40" s="104" t="s">
        <v>212</v>
      </c>
      <c r="K40" s="325" t="s">
        <v>208</v>
      </c>
      <c r="L40" s="104" t="s">
        <v>213</v>
      </c>
      <c r="M40" s="104" t="s">
        <v>315</v>
      </c>
      <c r="N40" s="107"/>
      <c r="O40" s="108">
        <v>43435</v>
      </c>
      <c r="P40" s="108">
        <v>43435</v>
      </c>
      <c r="Q40" s="322">
        <f t="shared" si="0"/>
        <v>0</v>
      </c>
      <c r="R40" s="109">
        <f>IF((P40-VLOOKUP(Q40,month!$A$1:$C$13,3,0))&lt;0,Q40,Q40+1)</f>
        <v>0</v>
      </c>
      <c r="S40" s="108"/>
      <c r="T40" s="110" t="str">
        <f>IF(S40&gt;0,"Y","")</f>
        <v/>
      </c>
      <c r="U40" s="320" t="s">
        <v>214</v>
      </c>
      <c r="V40" s="320">
        <v>2</v>
      </c>
      <c r="W40" s="107"/>
      <c r="X40" s="107"/>
      <c r="Y40" s="386"/>
      <c r="Z40" s="386" t="s">
        <v>545</v>
      </c>
      <c r="AA40" s="387">
        <v>1000</v>
      </c>
      <c r="AB40" s="387">
        <v>1000</v>
      </c>
      <c r="AC40" s="387">
        <v>1000</v>
      </c>
      <c r="AD40" s="387">
        <v>1000</v>
      </c>
      <c r="AE40" s="387">
        <v>1000</v>
      </c>
      <c r="AF40" s="387">
        <v>1000</v>
      </c>
      <c r="AG40" s="387">
        <v>1000</v>
      </c>
      <c r="AH40" s="387">
        <v>1000</v>
      </c>
      <c r="AI40" s="387">
        <v>1000</v>
      </c>
      <c r="AJ40" s="387">
        <v>1000</v>
      </c>
      <c r="AK40" s="387">
        <v>1000</v>
      </c>
      <c r="AL40" s="387">
        <v>1000</v>
      </c>
      <c r="AM40" s="388">
        <f t="shared" si="74"/>
        <v>12000</v>
      </c>
      <c r="AN40" s="388">
        <f t="shared" si="3"/>
        <v>12000</v>
      </c>
      <c r="AO40" s="389">
        <f>AA40</f>
        <v>1000</v>
      </c>
      <c r="AP40" s="498" t="s">
        <v>682</v>
      </c>
      <c r="AQ40" s="159">
        <v>0.5</v>
      </c>
      <c r="AR40" s="160" t="s">
        <v>211</v>
      </c>
      <c r="AS40" s="119" t="s">
        <v>210</v>
      </c>
      <c r="AT40" s="111">
        <v>152277.99849999999</v>
      </c>
      <c r="AU40" s="111">
        <v>174179.54120000001</v>
      </c>
      <c r="AV40" s="111">
        <v>190265.76679999998</v>
      </c>
      <c r="AW40" s="111">
        <v>225377.53750000001</v>
      </c>
      <c r="AX40" s="113">
        <v>116320.12200000002</v>
      </c>
      <c r="AY40" s="113">
        <v>117827.17200000006</v>
      </c>
      <c r="AZ40" s="113">
        <v>278312.35679999978</v>
      </c>
      <c r="BA40" s="113"/>
      <c r="BB40" s="113"/>
      <c r="BC40" s="113"/>
      <c r="BD40" s="113"/>
      <c r="BE40" s="113"/>
      <c r="BF40" s="114">
        <f t="shared" si="46"/>
        <v>116320.12200000002</v>
      </c>
      <c r="BG40" s="114">
        <f t="shared" si="46"/>
        <v>117827.17200000006</v>
      </c>
      <c r="BH40" s="114">
        <f t="shared" si="46"/>
        <v>278312.35679999978</v>
      </c>
      <c r="BI40" s="114">
        <f t="shared" si="46"/>
        <v>0</v>
      </c>
      <c r="BJ40" s="114">
        <f t="shared" si="83"/>
        <v>512459.65079999983</v>
      </c>
      <c r="BK40" s="115">
        <f t="shared" si="75"/>
        <v>742100.84399999992</v>
      </c>
      <c r="BL40" s="115">
        <f t="shared" si="47"/>
        <v>742100.84399999992</v>
      </c>
      <c r="BM40" s="116">
        <f t="shared" si="48"/>
        <v>0.69059999999999999</v>
      </c>
      <c r="BN40" s="126">
        <f t="shared" ca="1" si="6"/>
        <v>0</v>
      </c>
      <c r="BO40" s="117">
        <f t="shared" ca="1" si="7"/>
        <v>0</v>
      </c>
      <c r="BP40" s="118" t="str">
        <f t="shared" si="8"/>
        <v>Uncapped</v>
      </c>
      <c r="BQ40" s="115">
        <f t="shared" ca="1" si="9"/>
        <v>0</v>
      </c>
      <c r="BR40" s="113" t="s">
        <v>700</v>
      </c>
      <c r="BS40" s="161">
        <v>0.3</v>
      </c>
      <c r="BT40" s="113" t="s">
        <v>211</v>
      </c>
      <c r="BU40" s="160" t="s">
        <v>210</v>
      </c>
      <c r="BV40" s="113">
        <v>30284.229999999996</v>
      </c>
      <c r="BW40" s="113">
        <v>33838.78</v>
      </c>
      <c r="BX40" s="173">
        <v>34056.03</v>
      </c>
      <c r="BY40" s="173">
        <v>37932.559999999998</v>
      </c>
      <c r="BZ40" s="113">
        <v>9987.9255000000012</v>
      </c>
      <c r="CA40" s="113">
        <v>9357.1623</v>
      </c>
      <c r="CB40" s="504">
        <v>16714.565999999999</v>
      </c>
      <c r="CC40" s="113"/>
      <c r="CD40" s="113"/>
      <c r="CE40" s="113"/>
      <c r="CF40" s="113"/>
      <c r="CG40" s="113"/>
      <c r="CH40" s="114">
        <f t="shared" si="49"/>
        <v>9987.9255000000012</v>
      </c>
      <c r="CI40" s="114">
        <f t="shared" si="49"/>
        <v>9357.1623</v>
      </c>
      <c r="CJ40" s="120">
        <f t="shared" si="49"/>
        <v>16714.565999999999</v>
      </c>
      <c r="CK40" s="114">
        <f t="shared" si="49"/>
        <v>0</v>
      </c>
      <c r="CL40" s="114">
        <f t="shared" si="10"/>
        <v>36059.6538</v>
      </c>
      <c r="CM40" s="114">
        <f t="shared" si="76"/>
        <v>136111.59999999998</v>
      </c>
      <c r="CN40" s="114">
        <f t="shared" si="50"/>
        <v>136111.59999999998</v>
      </c>
      <c r="CO40" s="116">
        <f t="shared" si="51"/>
        <v>0.26490000000000002</v>
      </c>
      <c r="CP40" s="126">
        <f t="shared" ca="1" si="52"/>
        <v>0</v>
      </c>
      <c r="CQ40" s="115">
        <f t="shared" ca="1" si="12"/>
        <v>0</v>
      </c>
      <c r="CR40" s="118" t="str">
        <f t="shared" si="53"/>
        <v>Uncapped</v>
      </c>
      <c r="CS40" s="115">
        <f t="shared" ca="1" si="13"/>
        <v>0</v>
      </c>
      <c r="CT40" s="113" t="s">
        <v>695</v>
      </c>
      <c r="CU40" s="119">
        <v>0.2</v>
      </c>
      <c r="CV40" s="113" t="s">
        <v>211</v>
      </c>
      <c r="CW40" s="113" t="s">
        <v>210</v>
      </c>
      <c r="CX40" s="113">
        <v>553694.41290000011</v>
      </c>
      <c r="CY40" s="113">
        <v>623937.3703999999</v>
      </c>
      <c r="CZ40" s="113">
        <v>894989.22646666667</v>
      </c>
      <c r="DA40" s="113">
        <v>1058517.5845666667</v>
      </c>
      <c r="DB40" s="113">
        <v>434643.36120000022</v>
      </c>
      <c r="DC40" s="113">
        <v>685032.60331800021</v>
      </c>
      <c r="DD40" s="113">
        <v>917033.22018359974</v>
      </c>
      <c r="DE40" s="113"/>
      <c r="DF40" s="113"/>
      <c r="DG40" s="113"/>
      <c r="DH40" s="113"/>
      <c r="DI40" s="113"/>
      <c r="DJ40" s="114">
        <f t="shared" si="54"/>
        <v>434643.36120000022</v>
      </c>
      <c r="DK40" s="114">
        <f t="shared" si="54"/>
        <v>685032.60331800021</v>
      </c>
      <c r="DL40" s="114">
        <f t="shared" si="54"/>
        <v>917033.22018359974</v>
      </c>
      <c r="DM40" s="114">
        <f t="shared" si="54"/>
        <v>0</v>
      </c>
      <c r="DN40" s="114">
        <f t="shared" si="84"/>
        <v>2036709.1847016001</v>
      </c>
      <c r="DO40" s="114">
        <f t="shared" si="77"/>
        <v>3131138.5943333334</v>
      </c>
      <c r="DP40" s="114">
        <f t="shared" si="56"/>
        <v>3131138.5943333334</v>
      </c>
      <c r="DQ40" s="116">
        <f t="shared" si="57"/>
        <v>0.65049999999999997</v>
      </c>
      <c r="DR40" s="126">
        <f t="shared" ca="1" si="15"/>
        <v>0</v>
      </c>
      <c r="DS40" s="115">
        <f t="shared" ca="1" si="16"/>
        <v>0</v>
      </c>
      <c r="DT40" s="118" t="str">
        <f t="shared" si="58"/>
        <v>Uncapped</v>
      </c>
      <c r="DU40" s="115">
        <f t="shared" ca="1" si="17"/>
        <v>0</v>
      </c>
      <c r="DV40" s="113"/>
      <c r="DW40" s="119">
        <v>0</v>
      </c>
      <c r="DX40" s="113"/>
      <c r="DY40" s="113"/>
      <c r="DZ40" s="113">
        <v>0</v>
      </c>
      <c r="EA40" s="113">
        <v>0</v>
      </c>
      <c r="EB40" s="113">
        <v>0</v>
      </c>
      <c r="EC40" s="113">
        <v>0</v>
      </c>
      <c r="ED40" s="113">
        <v>0</v>
      </c>
      <c r="EE40" s="113">
        <v>0</v>
      </c>
      <c r="EF40" s="113"/>
      <c r="EG40" s="113"/>
      <c r="EH40" s="113"/>
      <c r="EI40" s="113"/>
      <c r="EJ40" s="113"/>
      <c r="EK40" s="113"/>
      <c r="EL40" s="114">
        <f t="shared" si="59"/>
        <v>0</v>
      </c>
      <c r="EM40" s="114">
        <f t="shared" si="59"/>
        <v>0</v>
      </c>
      <c r="EN40" s="114">
        <f t="shared" si="59"/>
        <v>0</v>
      </c>
      <c r="EO40" s="114">
        <f t="shared" si="59"/>
        <v>0</v>
      </c>
      <c r="EP40" s="114">
        <f t="shared" si="18"/>
        <v>0</v>
      </c>
      <c r="EQ40" s="114">
        <f t="shared" si="78"/>
        <v>0</v>
      </c>
      <c r="ER40" s="114">
        <f t="shared" si="60"/>
        <v>0</v>
      </c>
      <c r="ES40" s="116">
        <f t="shared" si="61"/>
        <v>0</v>
      </c>
      <c r="ET40" s="126">
        <f t="shared" ca="1" si="62"/>
        <v>0</v>
      </c>
      <c r="EU40" s="115">
        <f t="shared" ca="1" si="20"/>
        <v>0</v>
      </c>
      <c r="EV40" s="118" t="str">
        <f t="shared" si="21"/>
        <v>Uncapped</v>
      </c>
      <c r="EW40" s="115">
        <f t="shared" ca="1" si="22"/>
        <v>0</v>
      </c>
      <c r="EX40" s="112">
        <f t="shared" ca="1" si="23"/>
        <v>0</v>
      </c>
      <c r="EY40" s="114">
        <f t="shared" ca="1" si="63"/>
        <v>2000</v>
      </c>
      <c r="EZ40" s="115">
        <v>0</v>
      </c>
      <c r="FA40" s="115"/>
      <c r="FB40" s="115"/>
      <c r="FC40" s="115">
        <v>0</v>
      </c>
      <c r="FD40" s="115">
        <f t="shared" si="79"/>
        <v>0</v>
      </c>
      <c r="FE40" s="114">
        <f>SUMIFS(40:40,$5:$5,"SPIFF payout $ (Local CCY)",$4:$4,CONCATENATE("Q",$H$2))</f>
        <v>0</v>
      </c>
      <c r="FF40" s="115">
        <v>0</v>
      </c>
      <c r="FG40" s="115">
        <v>0</v>
      </c>
      <c r="FH40" s="115">
        <v>0</v>
      </c>
      <c r="FI40" s="115">
        <v>0</v>
      </c>
      <c r="FJ40" s="115">
        <f t="shared" si="80"/>
        <v>0</v>
      </c>
      <c r="FK40" s="114">
        <f>SUMIFS(40:40,$5:$5,"Other payout $ (Local CCY)",$4:$4,CONCATENATE("Q",$H$2))</f>
        <v>0</v>
      </c>
      <c r="FL40" s="113"/>
      <c r="FM40" s="111"/>
      <c r="FN40" s="111"/>
      <c r="FO40" s="111"/>
      <c r="FP40" s="115">
        <f>SUM(FL40:FO40)</f>
        <v>0</v>
      </c>
      <c r="FQ40" s="115"/>
      <c r="FR40" s="115"/>
      <c r="FS40" s="115"/>
      <c r="FT40" s="114">
        <f t="shared" si="64"/>
        <v>0</v>
      </c>
      <c r="FU40" s="366">
        <f t="shared" ca="1" si="66"/>
        <v>2000</v>
      </c>
      <c r="FV40" s="121">
        <f t="shared" ca="1" si="65"/>
        <v>2000</v>
      </c>
      <c r="FW40" s="114">
        <f t="shared" si="70"/>
        <v>0</v>
      </c>
      <c r="FX40" s="114">
        <f t="shared" si="70"/>
        <v>0</v>
      </c>
      <c r="FY40" s="114">
        <f t="shared" si="70"/>
        <v>0</v>
      </c>
      <c r="FZ40" s="114">
        <f t="shared" si="70"/>
        <v>0</v>
      </c>
      <c r="GA40" s="114">
        <f t="shared" si="30"/>
        <v>0</v>
      </c>
      <c r="GB40" s="114">
        <f t="shared" si="71"/>
        <v>0</v>
      </c>
      <c r="GC40" s="114">
        <f t="shared" si="71"/>
        <v>0</v>
      </c>
      <c r="GD40" s="114">
        <f t="shared" si="71"/>
        <v>0</v>
      </c>
      <c r="GE40" s="114">
        <f t="shared" si="71"/>
        <v>0</v>
      </c>
      <c r="GF40" s="114">
        <f t="shared" si="72"/>
        <v>0</v>
      </c>
      <c r="GG40" s="114">
        <f t="shared" si="72"/>
        <v>0</v>
      </c>
      <c r="GH40" s="114">
        <f t="shared" si="72"/>
        <v>0</v>
      </c>
      <c r="GI40" s="114">
        <f t="shared" si="72"/>
        <v>0</v>
      </c>
      <c r="GJ40" s="115">
        <f t="shared" si="81"/>
        <v>0</v>
      </c>
      <c r="GK40" s="114">
        <f t="shared" si="34"/>
        <v>0</v>
      </c>
      <c r="GL40" s="114">
        <f t="shared" si="35"/>
        <v>2000</v>
      </c>
      <c r="GM40" s="114">
        <f t="shared" si="36"/>
        <v>0</v>
      </c>
      <c r="GN40" s="114">
        <f t="shared" si="37"/>
        <v>0</v>
      </c>
      <c r="GO40" s="114">
        <f t="shared" si="38"/>
        <v>0</v>
      </c>
      <c r="GP40" s="114">
        <f t="shared" si="39"/>
        <v>2000</v>
      </c>
      <c r="GQ40" s="114">
        <f t="shared" si="40"/>
        <v>2000</v>
      </c>
      <c r="GR40" s="193"/>
      <c r="GS40" s="122">
        <f t="shared" si="85"/>
        <v>2585228.4893016</v>
      </c>
      <c r="GT40" s="122">
        <f t="shared" si="85"/>
        <v>4009351.0383333331</v>
      </c>
      <c r="GU40" s="123">
        <f t="shared" si="42"/>
        <v>0.64479973556425396</v>
      </c>
      <c r="GV40" s="124">
        <f t="shared" ca="1" si="43"/>
        <v>0</v>
      </c>
      <c r="GW40" s="124">
        <v>0</v>
      </c>
      <c r="GX40" s="32">
        <f t="shared" ca="1" si="44"/>
        <v>0</v>
      </c>
      <c r="GY40" s="100"/>
    </row>
    <row r="41" spans="1:207" s="125" customFormat="1" ht="15" hidden="1" customHeight="1">
      <c r="A41" s="102"/>
      <c r="B41" s="103"/>
      <c r="C41" s="103"/>
      <c r="D41" s="104"/>
      <c r="E41" s="104" t="s">
        <v>253</v>
      </c>
      <c r="F41" s="104" t="s">
        <v>266</v>
      </c>
      <c r="G41" s="104" t="s">
        <v>226</v>
      </c>
      <c r="H41" s="105" t="s">
        <v>320</v>
      </c>
      <c r="I41" s="106" t="s">
        <v>321</v>
      </c>
      <c r="J41" s="104" t="s">
        <v>212</v>
      </c>
      <c r="K41" s="325" t="s">
        <v>208</v>
      </c>
      <c r="L41" s="104" t="s">
        <v>213</v>
      </c>
      <c r="M41" s="104" t="s">
        <v>315</v>
      </c>
      <c r="N41" s="107"/>
      <c r="O41" s="108">
        <v>41376</v>
      </c>
      <c r="P41" s="108">
        <v>41640</v>
      </c>
      <c r="Q41" s="322">
        <f t="shared" si="0"/>
        <v>0</v>
      </c>
      <c r="R41" s="109">
        <f>IF((P41-VLOOKUP(Q41,month!$A$1:$C$13,3,0))&lt;0,Q41,Q41+1)</f>
        <v>0</v>
      </c>
      <c r="S41" s="108"/>
      <c r="T41" s="110" t="str">
        <f>IF(S41&gt;0,"Y","")</f>
        <v/>
      </c>
      <c r="U41" s="107"/>
      <c r="V41" s="107"/>
      <c r="W41" s="107"/>
      <c r="X41" s="107"/>
      <c r="Y41" s="386"/>
      <c r="Z41" s="386" t="s">
        <v>545</v>
      </c>
      <c r="AA41" s="387">
        <v>1000</v>
      </c>
      <c r="AB41" s="387">
        <v>1000</v>
      </c>
      <c r="AC41" s="387">
        <v>1000</v>
      </c>
      <c r="AD41" s="387">
        <v>1000</v>
      </c>
      <c r="AE41" s="387">
        <v>1000</v>
      </c>
      <c r="AF41" s="387">
        <v>1000</v>
      </c>
      <c r="AG41" s="387">
        <v>1000</v>
      </c>
      <c r="AH41" s="387">
        <v>1000</v>
      </c>
      <c r="AI41" s="387">
        <v>1000</v>
      </c>
      <c r="AJ41" s="387">
        <v>1000</v>
      </c>
      <c r="AK41" s="387">
        <v>1000</v>
      </c>
      <c r="AL41" s="387">
        <v>1000</v>
      </c>
      <c r="AM41" s="388">
        <f t="shared" si="74"/>
        <v>12000</v>
      </c>
      <c r="AN41" s="388">
        <f t="shared" si="3"/>
        <v>12000</v>
      </c>
      <c r="AO41" s="389">
        <f t="shared" ref="AO41:AO49" si="86">AI41</f>
        <v>1000</v>
      </c>
      <c r="AP41" s="498" t="s">
        <v>682</v>
      </c>
      <c r="AQ41" s="159">
        <v>0.5</v>
      </c>
      <c r="AR41" s="160" t="s">
        <v>211</v>
      </c>
      <c r="AS41" s="119" t="s">
        <v>210</v>
      </c>
      <c r="AT41" s="111">
        <v>111738.93100000001</v>
      </c>
      <c r="AU41" s="111">
        <v>118064.50959999999</v>
      </c>
      <c r="AV41" s="111">
        <v>131856.80840000001</v>
      </c>
      <c r="AW41" s="111">
        <v>156341.06300000002</v>
      </c>
      <c r="AX41" s="113">
        <v>91969.262100000022</v>
      </c>
      <c r="AY41" s="113">
        <v>258895.72171800028</v>
      </c>
      <c r="AZ41" s="113">
        <v>305054.55648360006</v>
      </c>
      <c r="BA41" s="113"/>
      <c r="BB41" s="113"/>
      <c r="BC41" s="113"/>
      <c r="BD41" s="113"/>
      <c r="BE41" s="113"/>
      <c r="BF41" s="114">
        <f t="shared" si="46"/>
        <v>91969.262100000022</v>
      </c>
      <c r="BG41" s="114">
        <f t="shared" si="46"/>
        <v>258895.72171800028</v>
      </c>
      <c r="BH41" s="114">
        <f t="shared" si="46"/>
        <v>305054.55648360006</v>
      </c>
      <c r="BI41" s="114">
        <f t="shared" si="46"/>
        <v>0</v>
      </c>
      <c r="BJ41" s="114">
        <f t="shared" si="83"/>
        <v>655919.54030160035</v>
      </c>
      <c r="BK41" s="115">
        <f t="shared" si="75"/>
        <v>518001.31200000003</v>
      </c>
      <c r="BL41" s="115">
        <f t="shared" si="47"/>
        <v>518001.31200000003</v>
      </c>
      <c r="BM41" s="116">
        <f t="shared" si="48"/>
        <v>1.2663</v>
      </c>
      <c r="BN41" s="126">
        <f t="shared" ca="1" si="6"/>
        <v>0</v>
      </c>
      <c r="BO41" s="117">
        <f t="shared" ca="1" si="7"/>
        <v>0</v>
      </c>
      <c r="BP41" s="118" t="str">
        <f t="shared" si="8"/>
        <v>Uncapped</v>
      </c>
      <c r="BQ41" s="115">
        <f t="shared" ca="1" si="9"/>
        <v>0</v>
      </c>
      <c r="BR41" s="113" t="s">
        <v>700</v>
      </c>
      <c r="BS41" s="161">
        <v>0.3</v>
      </c>
      <c r="BT41" s="113" t="s">
        <v>211</v>
      </c>
      <c r="BU41" s="160" t="s">
        <v>210</v>
      </c>
      <c r="BV41" s="113">
        <v>77178.87999999999</v>
      </c>
      <c r="BW41" s="113">
        <v>87219.28</v>
      </c>
      <c r="BX41" s="506">
        <v>87787.68</v>
      </c>
      <c r="BY41" s="506">
        <v>94625.76</v>
      </c>
      <c r="BZ41" s="113">
        <v>113381.9999999999</v>
      </c>
      <c r="CA41" s="113">
        <v>82461.396599999993</v>
      </c>
      <c r="CB41" s="504">
        <v>96983.571599999996</v>
      </c>
      <c r="CC41" s="113"/>
      <c r="CD41" s="113"/>
      <c r="CE41" s="113"/>
      <c r="CF41" s="113"/>
      <c r="CG41" s="113"/>
      <c r="CH41" s="114">
        <f t="shared" si="49"/>
        <v>113381.9999999999</v>
      </c>
      <c r="CI41" s="114">
        <f t="shared" si="49"/>
        <v>82461.396599999993</v>
      </c>
      <c r="CJ41" s="120">
        <f t="shared" si="49"/>
        <v>96983.571599999996</v>
      </c>
      <c r="CK41" s="114">
        <f t="shared" si="49"/>
        <v>0</v>
      </c>
      <c r="CL41" s="114">
        <f t="shared" si="10"/>
        <v>292826.96819999989</v>
      </c>
      <c r="CM41" s="114">
        <f t="shared" si="76"/>
        <v>346811.6</v>
      </c>
      <c r="CN41" s="114">
        <f t="shared" si="50"/>
        <v>346811.6</v>
      </c>
      <c r="CO41" s="116">
        <f t="shared" si="51"/>
        <v>0.84430000000000005</v>
      </c>
      <c r="CP41" s="126">
        <f t="shared" ca="1" si="52"/>
        <v>0</v>
      </c>
      <c r="CQ41" s="115">
        <f t="shared" ca="1" si="12"/>
        <v>0</v>
      </c>
      <c r="CR41" s="118" t="str">
        <f t="shared" si="53"/>
        <v>Uncapped</v>
      </c>
      <c r="CS41" s="115">
        <f t="shared" ca="1" si="13"/>
        <v>0</v>
      </c>
      <c r="CT41" s="113" t="s">
        <v>695</v>
      </c>
      <c r="CU41" s="119">
        <v>0.2</v>
      </c>
      <c r="CV41" s="113" t="s">
        <v>211</v>
      </c>
      <c r="CW41" s="113" t="s">
        <v>210</v>
      </c>
      <c r="CX41" s="113">
        <v>553694.41290000011</v>
      </c>
      <c r="CY41" s="113">
        <v>623937.3703999999</v>
      </c>
      <c r="CZ41" s="113">
        <v>894989.22646666667</v>
      </c>
      <c r="DA41" s="113">
        <v>1058517.5845666667</v>
      </c>
      <c r="DB41" s="113">
        <v>434643.36120000022</v>
      </c>
      <c r="DC41" s="113">
        <v>685032.60331800021</v>
      </c>
      <c r="DD41" s="113">
        <v>917033.22018359974</v>
      </c>
      <c r="DE41" s="113"/>
      <c r="DF41" s="113"/>
      <c r="DG41" s="113"/>
      <c r="DH41" s="113"/>
      <c r="DI41" s="113"/>
      <c r="DJ41" s="114">
        <f t="shared" si="54"/>
        <v>434643.36120000022</v>
      </c>
      <c r="DK41" s="114">
        <f t="shared" si="54"/>
        <v>685032.60331800021</v>
      </c>
      <c r="DL41" s="114">
        <f t="shared" si="54"/>
        <v>917033.22018359974</v>
      </c>
      <c r="DM41" s="114">
        <f t="shared" si="54"/>
        <v>0</v>
      </c>
      <c r="DN41" s="114">
        <f t="shared" si="84"/>
        <v>2036709.1847016001</v>
      </c>
      <c r="DO41" s="114">
        <f t="shared" si="77"/>
        <v>3131138.5943333334</v>
      </c>
      <c r="DP41" s="114">
        <f t="shared" si="56"/>
        <v>3131138.5943333334</v>
      </c>
      <c r="DQ41" s="116">
        <f t="shared" si="57"/>
        <v>0.65049999999999997</v>
      </c>
      <c r="DR41" s="126">
        <f t="shared" ca="1" si="15"/>
        <v>0</v>
      </c>
      <c r="DS41" s="115">
        <f t="shared" ca="1" si="16"/>
        <v>0</v>
      </c>
      <c r="DT41" s="118" t="str">
        <f t="shared" si="58"/>
        <v>Uncapped</v>
      </c>
      <c r="DU41" s="115">
        <f t="shared" ca="1" si="17"/>
        <v>0</v>
      </c>
      <c r="DV41" s="113"/>
      <c r="DW41" s="119">
        <v>0</v>
      </c>
      <c r="DX41" s="113"/>
      <c r="DY41" s="113"/>
      <c r="DZ41" s="113">
        <v>0</v>
      </c>
      <c r="EA41" s="113">
        <v>0</v>
      </c>
      <c r="EB41" s="113">
        <v>0</v>
      </c>
      <c r="EC41" s="113">
        <v>0</v>
      </c>
      <c r="ED41" s="113">
        <v>0</v>
      </c>
      <c r="EE41" s="113">
        <v>0</v>
      </c>
      <c r="EF41" s="113"/>
      <c r="EG41" s="113"/>
      <c r="EH41" s="113"/>
      <c r="EI41" s="113"/>
      <c r="EJ41" s="113"/>
      <c r="EK41" s="113"/>
      <c r="EL41" s="114">
        <f t="shared" si="59"/>
        <v>0</v>
      </c>
      <c r="EM41" s="114">
        <f t="shared" si="59"/>
        <v>0</v>
      </c>
      <c r="EN41" s="114">
        <f t="shared" si="59"/>
        <v>0</v>
      </c>
      <c r="EO41" s="114">
        <f t="shared" si="59"/>
        <v>0</v>
      </c>
      <c r="EP41" s="114">
        <f t="shared" si="18"/>
        <v>0</v>
      </c>
      <c r="EQ41" s="114">
        <f t="shared" si="78"/>
        <v>0</v>
      </c>
      <c r="ER41" s="114">
        <f t="shared" si="60"/>
        <v>0</v>
      </c>
      <c r="ES41" s="116">
        <f t="shared" si="61"/>
        <v>0</v>
      </c>
      <c r="ET41" s="126">
        <f t="shared" ca="1" si="62"/>
        <v>0</v>
      </c>
      <c r="EU41" s="115">
        <f t="shared" ca="1" si="20"/>
        <v>0</v>
      </c>
      <c r="EV41" s="118" t="str">
        <f t="shared" si="21"/>
        <v>Uncapped</v>
      </c>
      <c r="EW41" s="115">
        <f t="shared" ca="1" si="22"/>
        <v>0</v>
      </c>
      <c r="EX41" s="112">
        <f t="shared" ca="1" si="23"/>
        <v>0</v>
      </c>
      <c r="EY41" s="114">
        <f t="shared" ca="1" si="63"/>
        <v>0</v>
      </c>
      <c r="EZ41" s="115">
        <v>740594</v>
      </c>
      <c r="FA41" s="115">
        <f>3710+39936</f>
        <v>43646</v>
      </c>
      <c r="FB41" s="115">
        <v>43590</v>
      </c>
      <c r="FC41" s="115">
        <v>0</v>
      </c>
      <c r="FD41" s="115">
        <f t="shared" si="79"/>
        <v>827830</v>
      </c>
      <c r="FE41" s="114">
        <f>SUMIFS(41:41,$5:$5,"SPIFF payout $ (Local CCY)",$4:$4,CONCATENATE("Q",$H$2))</f>
        <v>0</v>
      </c>
      <c r="FF41" s="115">
        <v>0</v>
      </c>
      <c r="FG41" s="115">
        <v>0</v>
      </c>
      <c r="FH41" s="115">
        <v>0</v>
      </c>
      <c r="FI41" s="115">
        <v>0</v>
      </c>
      <c r="FJ41" s="115">
        <f t="shared" si="80"/>
        <v>0</v>
      </c>
      <c r="FK41" s="114">
        <f>SUMIFS(41:41,$5:$5,"Other payout $ (Local CCY)",$4:$4,CONCATENATE("Q",$H$2))</f>
        <v>0</v>
      </c>
      <c r="FL41" s="113"/>
      <c r="FM41" s="111"/>
      <c r="FN41" s="111"/>
      <c r="FO41" s="111"/>
      <c r="FP41" s="115">
        <f>SUM(FL41:FO41)</f>
        <v>0</v>
      </c>
      <c r="FQ41" s="115"/>
      <c r="FR41" s="488"/>
      <c r="FS41" s="115"/>
      <c r="FT41" s="114">
        <f t="shared" si="64"/>
        <v>0</v>
      </c>
      <c r="FU41" s="366">
        <f t="shared" ca="1" si="66"/>
        <v>827830</v>
      </c>
      <c r="FV41" s="121">
        <f t="shared" ca="1" si="65"/>
        <v>827830</v>
      </c>
      <c r="FW41" s="114">
        <f t="shared" si="70"/>
        <v>0</v>
      </c>
      <c r="FX41" s="114">
        <f t="shared" si="70"/>
        <v>0</v>
      </c>
      <c r="FY41" s="114">
        <f t="shared" si="70"/>
        <v>0</v>
      </c>
      <c r="FZ41" s="114">
        <f t="shared" si="70"/>
        <v>0</v>
      </c>
      <c r="GA41" s="114">
        <f>SUM(FW41:FZ41)</f>
        <v>0</v>
      </c>
      <c r="GB41" s="114">
        <f t="shared" si="71"/>
        <v>740594</v>
      </c>
      <c r="GC41" s="114">
        <f t="shared" si="71"/>
        <v>43646</v>
      </c>
      <c r="GD41" s="114">
        <f t="shared" si="71"/>
        <v>43590</v>
      </c>
      <c r="GE41" s="114">
        <f t="shared" si="71"/>
        <v>0</v>
      </c>
      <c r="GF41" s="114">
        <f>GB41+FW41</f>
        <v>740594</v>
      </c>
      <c r="GG41" s="114">
        <f>GC41+FX41</f>
        <v>43646</v>
      </c>
      <c r="GH41" s="114">
        <f>GD41+FY41</f>
        <v>43590</v>
      </c>
      <c r="GI41" s="114">
        <f>GE41+FZ41</f>
        <v>0</v>
      </c>
      <c r="GJ41" s="115">
        <f t="shared" si="81"/>
        <v>827830</v>
      </c>
      <c r="GK41" s="114">
        <f>SUM(GF41:GI41)</f>
        <v>827830</v>
      </c>
      <c r="GL41" s="114">
        <f t="shared" si="35"/>
        <v>0</v>
      </c>
      <c r="GM41" s="114">
        <f t="shared" si="36"/>
        <v>0</v>
      </c>
      <c r="GN41" s="114">
        <f t="shared" si="37"/>
        <v>0</v>
      </c>
      <c r="GO41" s="114">
        <f t="shared" si="38"/>
        <v>0</v>
      </c>
      <c r="GP41" s="114">
        <f t="shared" si="39"/>
        <v>0</v>
      </c>
      <c r="GQ41" s="114">
        <f>SUM(GL41:GO41)</f>
        <v>0</v>
      </c>
      <c r="GR41" s="193"/>
      <c r="GS41" s="122">
        <f t="shared" si="85"/>
        <v>2985455.6932032006</v>
      </c>
      <c r="GT41" s="122">
        <f t="shared" si="85"/>
        <v>3995951.5063333334</v>
      </c>
      <c r="GU41" s="123">
        <f>IFERROR(GS41/GT41,"")</f>
        <v>0.74712010105013538</v>
      </c>
      <c r="GV41" s="124">
        <f t="shared" ca="1" si="43"/>
        <v>0</v>
      </c>
      <c r="GW41" s="124">
        <v>0</v>
      </c>
      <c r="GX41" s="32">
        <f t="shared" ca="1" si="44"/>
        <v>0</v>
      </c>
      <c r="GY41" s="100"/>
    </row>
    <row r="42" spans="1:207" s="167" customFormat="1" ht="16.5" hidden="1" customHeight="1">
      <c r="A42" s="129"/>
      <c r="B42" s="130"/>
      <c r="C42" s="130"/>
      <c r="D42" s="131"/>
      <c r="E42" s="131" t="s">
        <v>260</v>
      </c>
      <c r="F42" s="131" t="s">
        <v>261</v>
      </c>
      <c r="G42" s="131" t="s">
        <v>226</v>
      </c>
      <c r="H42" s="132" t="s">
        <v>322</v>
      </c>
      <c r="I42" s="133" t="s">
        <v>323</v>
      </c>
      <c r="J42" s="131" t="s">
        <v>207</v>
      </c>
      <c r="K42" s="131" t="s">
        <v>208</v>
      </c>
      <c r="L42" s="131" t="s">
        <v>264</v>
      </c>
      <c r="M42" s="131" t="s">
        <v>312</v>
      </c>
      <c r="N42" s="134"/>
      <c r="O42" s="155">
        <v>41809</v>
      </c>
      <c r="P42" s="155">
        <v>43313</v>
      </c>
      <c r="Q42" s="321">
        <f t="shared" si="0"/>
        <v>0</v>
      </c>
      <c r="R42" s="109">
        <f>IF((P42-VLOOKUP(Q42,month!$A$1:$C$13,3,0))&lt;0,Q42,Q42+1)</f>
        <v>0</v>
      </c>
      <c r="S42" s="108"/>
      <c r="T42" s="135" t="str">
        <f t="shared" si="67"/>
        <v/>
      </c>
      <c r="U42" s="134"/>
      <c r="V42" s="134"/>
      <c r="W42" s="134"/>
      <c r="X42" s="134"/>
      <c r="Y42" s="383"/>
      <c r="Z42" s="383" t="s">
        <v>545</v>
      </c>
      <c r="AA42" s="371">
        <v>1000</v>
      </c>
      <c r="AB42" s="371">
        <v>1000</v>
      </c>
      <c r="AC42" s="371">
        <v>1000</v>
      </c>
      <c r="AD42" s="371">
        <v>1000</v>
      </c>
      <c r="AE42" s="371">
        <v>1000</v>
      </c>
      <c r="AF42" s="371">
        <v>1000</v>
      </c>
      <c r="AG42" s="371">
        <v>1000</v>
      </c>
      <c r="AH42" s="371">
        <v>1000</v>
      </c>
      <c r="AI42" s="371">
        <v>1000</v>
      </c>
      <c r="AJ42" s="371">
        <v>1000</v>
      </c>
      <c r="AK42" s="371">
        <v>1000</v>
      </c>
      <c r="AL42" s="371">
        <v>1000</v>
      </c>
      <c r="AM42" s="384">
        <f t="shared" si="74"/>
        <v>12000</v>
      </c>
      <c r="AN42" s="384">
        <f t="shared" si="3"/>
        <v>12000</v>
      </c>
      <c r="AO42" s="385">
        <f t="shared" si="86"/>
        <v>1000</v>
      </c>
      <c r="AP42" s="497" t="s">
        <v>682</v>
      </c>
      <c r="AQ42" s="156">
        <v>0.5</v>
      </c>
      <c r="AR42" s="157" t="s">
        <v>211</v>
      </c>
      <c r="AS42" s="146" t="s">
        <v>210</v>
      </c>
      <c r="AT42" s="136">
        <v>727316.14100000006</v>
      </c>
      <c r="AU42" s="136">
        <v>819088.96360000013</v>
      </c>
      <c r="AV42" s="136">
        <v>583241.87239999999</v>
      </c>
      <c r="AW42" s="136">
        <v>701050.38899999997</v>
      </c>
      <c r="AX42" s="138">
        <v>603720.87213599868</v>
      </c>
      <c r="AY42" s="138">
        <v>840328.13859999971</v>
      </c>
      <c r="AZ42" s="138">
        <v>613908.57230299932</v>
      </c>
      <c r="BA42" s="138"/>
      <c r="BB42" s="138"/>
      <c r="BC42" s="138"/>
      <c r="BD42" s="138"/>
      <c r="BE42" s="138"/>
      <c r="BF42" s="139">
        <f t="shared" si="46"/>
        <v>603720.87213599868</v>
      </c>
      <c r="BG42" s="139">
        <f t="shared" si="46"/>
        <v>840328.13859999971</v>
      </c>
      <c r="BH42" s="139">
        <f t="shared" si="46"/>
        <v>613908.57230299932</v>
      </c>
      <c r="BI42" s="139">
        <f t="shared" si="46"/>
        <v>0</v>
      </c>
      <c r="BJ42" s="139">
        <f t="shared" si="83"/>
        <v>2057957.5830389978</v>
      </c>
      <c r="BK42" s="140">
        <f t="shared" si="75"/>
        <v>2830697.3659999999</v>
      </c>
      <c r="BL42" s="140">
        <f t="shared" si="47"/>
        <v>2830697.3659999999</v>
      </c>
      <c r="BM42" s="141">
        <f t="shared" si="48"/>
        <v>0.72699999999999998</v>
      </c>
      <c r="BN42" s="142">
        <f t="shared" ca="1" si="6"/>
        <v>0</v>
      </c>
      <c r="BO42" s="143">
        <f t="shared" ca="1" si="7"/>
        <v>0</v>
      </c>
      <c r="BP42" s="144" t="str">
        <f t="shared" si="8"/>
        <v>Uncapped</v>
      </c>
      <c r="BQ42" s="140">
        <f t="shared" ca="1" si="9"/>
        <v>0</v>
      </c>
      <c r="BR42" s="138" t="s">
        <v>700</v>
      </c>
      <c r="BS42" s="158">
        <v>0.3</v>
      </c>
      <c r="BT42" s="138" t="s">
        <v>211</v>
      </c>
      <c r="BU42" s="157" t="s">
        <v>210</v>
      </c>
      <c r="BV42" s="138">
        <v>94334.614999999991</v>
      </c>
      <c r="BW42" s="138">
        <v>107983.565</v>
      </c>
      <c r="BX42" s="138">
        <v>101079.91499999999</v>
      </c>
      <c r="BY42" s="138">
        <v>106148.30499999999</v>
      </c>
      <c r="BZ42" s="138">
        <v>67024.106999999989</v>
      </c>
      <c r="CA42" s="138">
        <v>84978.891000000003</v>
      </c>
      <c r="CB42" s="138">
        <v>103048.092</v>
      </c>
      <c r="CC42" s="138"/>
      <c r="CD42" s="138"/>
      <c r="CE42" s="138"/>
      <c r="CF42" s="138"/>
      <c r="CG42" s="138"/>
      <c r="CH42" s="139">
        <f t="shared" si="49"/>
        <v>67024.106999999989</v>
      </c>
      <c r="CI42" s="139">
        <f t="shared" si="49"/>
        <v>84978.891000000003</v>
      </c>
      <c r="CJ42" s="145">
        <f t="shared" si="49"/>
        <v>103048.092</v>
      </c>
      <c r="CK42" s="139">
        <f t="shared" si="49"/>
        <v>0</v>
      </c>
      <c r="CL42" s="139">
        <f t="shared" si="10"/>
        <v>255051.09</v>
      </c>
      <c r="CM42" s="139">
        <f t="shared" si="76"/>
        <v>409546.39999999997</v>
      </c>
      <c r="CN42" s="139">
        <f t="shared" si="50"/>
        <v>409546.39999999997</v>
      </c>
      <c r="CO42" s="141">
        <f t="shared" si="51"/>
        <v>0.62280000000000002</v>
      </c>
      <c r="CP42" s="142">
        <f t="shared" ca="1" si="52"/>
        <v>0</v>
      </c>
      <c r="CQ42" s="140">
        <f t="shared" ca="1" si="12"/>
        <v>0</v>
      </c>
      <c r="CR42" s="144" t="str">
        <f t="shared" si="53"/>
        <v>Uncapped</v>
      </c>
      <c r="CS42" s="140">
        <f t="shared" ca="1" si="13"/>
        <v>0</v>
      </c>
      <c r="CT42" s="138" t="s">
        <v>702</v>
      </c>
      <c r="CU42" s="146">
        <v>0.2</v>
      </c>
      <c r="CV42" s="138" t="s">
        <v>217</v>
      </c>
      <c r="CW42" s="138" t="s">
        <v>210</v>
      </c>
      <c r="CX42" s="138">
        <v>19653413.080999997</v>
      </c>
      <c r="CY42" s="138">
        <v>22848780.235100001</v>
      </c>
      <c r="CZ42" s="138">
        <v>22618799.574099999</v>
      </c>
      <c r="DA42" s="138">
        <v>27098464.121500004</v>
      </c>
      <c r="DB42" s="138">
        <v>19427532.107000571</v>
      </c>
      <c r="DC42" s="138">
        <v>22270538.357580002</v>
      </c>
      <c r="DD42" s="138">
        <v>22879083.486580007</v>
      </c>
      <c r="DE42" s="138"/>
      <c r="DF42" s="138"/>
      <c r="DG42" s="138"/>
      <c r="DH42" s="138"/>
      <c r="DI42" s="138"/>
      <c r="DJ42" s="139">
        <f t="shared" si="54"/>
        <v>19427532.107000571</v>
      </c>
      <c r="DK42" s="139">
        <f t="shared" si="54"/>
        <v>22270538.357580002</v>
      </c>
      <c r="DL42" s="139">
        <f t="shared" si="54"/>
        <v>22879083.486580007</v>
      </c>
      <c r="DM42" s="139">
        <f t="shared" si="54"/>
        <v>0</v>
      </c>
      <c r="DN42" s="139">
        <f t="shared" si="84"/>
        <v>64577153.95116058</v>
      </c>
      <c r="DO42" s="139">
        <f t="shared" si="77"/>
        <v>92219457.011700004</v>
      </c>
      <c r="DP42" s="139">
        <f t="shared" si="56"/>
        <v>92219457.011700004</v>
      </c>
      <c r="DQ42" s="141">
        <f t="shared" si="57"/>
        <v>0.70030000000000003</v>
      </c>
      <c r="DR42" s="142">
        <f t="shared" ca="1" si="15"/>
        <v>0</v>
      </c>
      <c r="DS42" s="140">
        <f t="shared" ca="1" si="16"/>
        <v>0</v>
      </c>
      <c r="DT42" s="144" t="str">
        <f t="shared" si="58"/>
        <v>Uncapped</v>
      </c>
      <c r="DU42" s="140">
        <f t="shared" ca="1" si="17"/>
        <v>0</v>
      </c>
      <c r="DV42" s="138"/>
      <c r="DW42" s="146">
        <v>0</v>
      </c>
      <c r="DX42" s="138"/>
      <c r="DY42" s="138"/>
      <c r="DZ42" s="138">
        <v>0</v>
      </c>
      <c r="EA42" s="138">
        <v>0</v>
      </c>
      <c r="EB42" s="138">
        <v>0</v>
      </c>
      <c r="EC42" s="138">
        <v>0</v>
      </c>
      <c r="ED42" s="138">
        <v>0</v>
      </c>
      <c r="EE42" s="138">
        <v>0</v>
      </c>
      <c r="EF42" s="138"/>
      <c r="EG42" s="138"/>
      <c r="EH42" s="138"/>
      <c r="EI42" s="138"/>
      <c r="EJ42" s="138"/>
      <c r="EK42" s="138"/>
      <c r="EL42" s="139">
        <f t="shared" si="59"/>
        <v>0</v>
      </c>
      <c r="EM42" s="139">
        <f t="shared" si="59"/>
        <v>0</v>
      </c>
      <c r="EN42" s="139">
        <f t="shared" si="59"/>
        <v>0</v>
      </c>
      <c r="EO42" s="139">
        <f t="shared" si="59"/>
        <v>0</v>
      </c>
      <c r="EP42" s="139">
        <f t="shared" si="18"/>
        <v>0</v>
      </c>
      <c r="EQ42" s="139">
        <f t="shared" si="78"/>
        <v>0</v>
      </c>
      <c r="ER42" s="139">
        <f t="shared" si="60"/>
        <v>0</v>
      </c>
      <c r="ES42" s="141">
        <f t="shared" si="61"/>
        <v>0</v>
      </c>
      <c r="ET42" s="142">
        <f t="shared" ca="1" si="62"/>
        <v>0</v>
      </c>
      <c r="EU42" s="140">
        <f t="shared" ca="1" si="20"/>
        <v>0</v>
      </c>
      <c r="EV42" s="144" t="str">
        <f t="shared" si="21"/>
        <v>Uncapped</v>
      </c>
      <c r="EW42" s="140">
        <f t="shared" ca="1" si="22"/>
        <v>0</v>
      </c>
      <c r="EX42" s="137">
        <f t="shared" ca="1" si="23"/>
        <v>0</v>
      </c>
      <c r="EY42" s="139">
        <f t="shared" ca="1" si="63"/>
        <v>0</v>
      </c>
      <c r="EZ42" s="140">
        <v>0</v>
      </c>
      <c r="FA42" s="140"/>
      <c r="FB42" s="140">
        <v>115362</v>
      </c>
      <c r="FC42" s="140">
        <v>0</v>
      </c>
      <c r="FD42" s="140">
        <f t="shared" si="79"/>
        <v>115362</v>
      </c>
      <c r="FE42" s="139">
        <f>SUMIFS(42:42,$5:$5,"SPIFF payout $ (Local CCY)",$4:$4,CONCATENATE("Q",$H$2))</f>
        <v>0</v>
      </c>
      <c r="FF42" s="140">
        <v>0</v>
      </c>
      <c r="FG42" s="140">
        <v>0</v>
      </c>
      <c r="FH42" s="140">
        <v>0</v>
      </c>
      <c r="FI42" s="140">
        <v>0</v>
      </c>
      <c r="FJ42" s="140">
        <f t="shared" si="80"/>
        <v>0</v>
      </c>
      <c r="FK42" s="139">
        <f>SUMIFS(42:42,$5:$5,"Other payout $ (Local CCY)",$4:$4,CONCATENATE("Q",$H$2))</f>
        <v>0</v>
      </c>
      <c r="FL42" s="138"/>
      <c r="FM42" s="136"/>
      <c r="FN42" s="136"/>
      <c r="FO42" s="136"/>
      <c r="FP42" s="140">
        <f t="shared" si="28"/>
        <v>0</v>
      </c>
      <c r="FQ42" s="140"/>
      <c r="FR42" s="140"/>
      <c r="FS42" s="140"/>
      <c r="FT42" s="139">
        <f t="shared" si="64"/>
        <v>0</v>
      </c>
      <c r="FU42" s="365">
        <f t="shared" ca="1" si="66"/>
        <v>115362</v>
      </c>
      <c r="FV42" s="147">
        <f t="shared" ca="1" si="65"/>
        <v>115362</v>
      </c>
      <c r="FW42" s="139">
        <f t="shared" si="70"/>
        <v>0</v>
      </c>
      <c r="FX42" s="139">
        <f t="shared" si="70"/>
        <v>0</v>
      </c>
      <c r="FY42" s="139">
        <f t="shared" si="70"/>
        <v>0</v>
      </c>
      <c r="FZ42" s="139">
        <f t="shared" si="70"/>
        <v>0</v>
      </c>
      <c r="GA42" s="139">
        <f t="shared" si="30"/>
        <v>0</v>
      </c>
      <c r="GB42" s="139">
        <f t="shared" si="71"/>
        <v>0</v>
      </c>
      <c r="GC42" s="139">
        <f t="shared" si="71"/>
        <v>0</v>
      </c>
      <c r="GD42" s="139">
        <f t="shared" si="71"/>
        <v>115362</v>
      </c>
      <c r="GE42" s="139">
        <f t="shared" si="71"/>
        <v>0</v>
      </c>
      <c r="GF42" s="139">
        <f t="shared" si="72"/>
        <v>0</v>
      </c>
      <c r="GG42" s="139">
        <f t="shared" si="72"/>
        <v>0</v>
      </c>
      <c r="GH42" s="139">
        <f t="shared" si="72"/>
        <v>115362</v>
      </c>
      <c r="GI42" s="139">
        <f t="shared" si="72"/>
        <v>0</v>
      </c>
      <c r="GJ42" s="140">
        <f t="shared" si="81"/>
        <v>115362</v>
      </c>
      <c r="GK42" s="139">
        <f t="shared" si="34"/>
        <v>115362</v>
      </c>
      <c r="GL42" s="139">
        <f t="shared" si="35"/>
        <v>0</v>
      </c>
      <c r="GM42" s="139">
        <f t="shared" si="36"/>
        <v>0</v>
      </c>
      <c r="GN42" s="139">
        <f t="shared" si="37"/>
        <v>0</v>
      </c>
      <c r="GO42" s="139">
        <f t="shared" si="38"/>
        <v>0</v>
      </c>
      <c r="GP42" s="139">
        <f t="shared" si="39"/>
        <v>0</v>
      </c>
      <c r="GQ42" s="139">
        <f t="shared" si="40"/>
        <v>0</v>
      </c>
      <c r="GR42" s="409"/>
      <c r="GS42" s="148">
        <f t="shared" si="85"/>
        <v>66890162.624199577</v>
      </c>
      <c r="GT42" s="148">
        <f t="shared" si="85"/>
        <v>95459700.777700007</v>
      </c>
      <c r="GU42" s="149">
        <f t="shared" si="42"/>
        <v>0.70071624024852952</v>
      </c>
      <c r="GV42" s="150">
        <f t="shared" ca="1" si="43"/>
        <v>0</v>
      </c>
      <c r="GW42" s="150">
        <v>0</v>
      </c>
      <c r="GX42" s="151">
        <f t="shared" ca="1" si="44"/>
        <v>0</v>
      </c>
      <c r="GY42" s="100"/>
    </row>
    <row r="43" spans="1:207" s="125" customFormat="1" ht="15" hidden="1" customHeight="1">
      <c r="A43" s="102"/>
      <c r="B43" s="103"/>
      <c r="C43" s="103"/>
      <c r="D43" s="104"/>
      <c r="E43" s="104" t="s">
        <v>253</v>
      </c>
      <c r="F43" s="104" t="s">
        <v>266</v>
      </c>
      <c r="G43" s="104" t="s">
        <v>226</v>
      </c>
      <c r="H43" s="105" t="s">
        <v>324</v>
      </c>
      <c r="I43" s="164" t="s">
        <v>325</v>
      </c>
      <c r="J43" s="104" t="s">
        <v>212</v>
      </c>
      <c r="K43" s="104" t="s">
        <v>208</v>
      </c>
      <c r="L43" s="104" t="s">
        <v>213</v>
      </c>
      <c r="M43" s="104" t="s">
        <v>315</v>
      </c>
      <c r="N43" s="107"/>
      <c r="O43" s="108">
        <v>43132</v>
      </c>
      <c r="P43" s="108">
        <v>43132</v>
      </c>
      <c r="Q43" s="322">
        <f t="shared" si="0"/>
        <v>0</v>
      </c>
      <c r="R43" s="109">
        <f>IF((P43-VLOOKUP(Q43,month!$A$1:$C$13,3,0))&lt;0,Q43,Q43+1)</f>
        <v>0</v>
      </c>
      <c r="S43" s="108"/>
      <c r="T43" s="127" t="str">
        <f t="shared" si="67"/>
        <v/>
      </c>
      <c r="U43" s="107"/>
      <c r="V43" s="107"/>
      <c r="W43" s="107"/>
      <c r="X43" s="107"/>
      <c r="Y43" s="386"/>
      <c r="Z43" s="386" t="s">
        <v>545</v>
      </c>
      <c r="AA43" s="387">
        <v>1000</v>
      </c>
      <c r="AB43" s="387">
        <v>1000</v>
      </c>
      <c r="AC43" s="387">
        <v>1000</v>
      </c>
      <c r="AD43" s="387">
        <v>1000</v>
      </c>
      <c r="AE43" s="387">
        <v>1000</v>
      </c>
      <c r="AF43" s="387">
        <v>1000</v>
      </c>
      <c r="AG43" s="387">
        <v>1000</v>
      </c>
      <c r="AH43" s="387">
        <v>1000</v>
      </c>
      <c r="AI43" s="387">
        <v>1000</v>
      </c>
      <c r="AJ43" s="387">
        <v>1000</v>
      </c>
      <c r="AK43" s="387">
        <v>1000</v>
      </c>
      <c r="AL43" s="387">
        <v>1000</v>
      </c>
      <c r="AM43" s="388">
        <f t="shared" si="74"/>
        <v>12000</v>
      </c>
      <c r="AN43" s="388">
        <f t="shared" si="3"/>
        <v>12000</v>
      </c>
      <c r="AO43" s="389">
        <f t="shared" si="86"/>
        <v>1000</v>
      </c>
      <c r="AP43" s="498" t="s">
        <v>682</v>
      </c>
      <c r="AQ43" s="159">
        <v>0.5</v>
      </c>
      <c r="AR43" s="160" t="s">
        <v>211</v>
      </c>
      <c r="AS43" s="119" t="s">
        <v>210</v>
      </c>
      <c r="AT43" s="111">
        <v>196185.55350000001</v>
      </c>
      <c r="AU43" s="111">
        <v>222310.29459999996</v>
      </c>
      <c r="AV43" s="111">
        <v>218623.33139999997</v>
      </c>
      <c r="AW43" s="111">
        <v>263578.86349999998</v>
      </c>
      <c r="AX43" s="113">
        <v>175656.15899999987</v>
      </c>
      <c r="AY43" s="113">
        <v>231718.15979999967</v>
      </c>
      <c r="AZ43" s="113">
        <v>206632.69919999968</v>
      </c>
      <c r="BA43" s="113"/>
      <c r="BB43" s="113"/>
      <c r="BC43" s="113"/>
      <c r="BD43" s="113"/>
      <c r="BE43" s="113"/>
      <c r="BF43" s="114">
        <f t="shared" si="46"/>
        <v>175656.15899999987</v>
      </c>
      <c r="BG43" s="114">
        <f t="shared" si="46"/>
        <v>231718.15979999967</v>
      </c>
      <c r="BH43" s="114">
        <f t="shared" si="46"/>
        <v>206632.69919999968</v>
      </c>
      <c r="BI43" s="114">
        <f t="shared" si="46"/>
        <v>0</v>
      </c>
      <c r="BJ43" s="114">
        <f t="shared" si="83"/>
        <v>614007.01799999923</v>
      </c>
      <c r="BK43" s="115">
        <f t="shared" si="75"/>
        <v>900698.04299999983</v>
      </c>
      <c r="BL43" s="115">
        <f t="shared" si="47"/>
        <v>900698.04299999983</v>
      </c>
      <c r="BM43" s="116">
        <f t="shared" si="48"/>
        <v>0.68169999999999997</v>
      </c>
      <c r="BN43" s="126">
        <f t="shared" ca="1" si="6"/>
        <v>0</v>
      </c>
      <c r="BO43" s="117">
        <f t="shared" ca="1" si="7"/>
        <v>0</v>
      </c>
      <c r="BP43" s="118" t="str">
        <f t="shared" si="8"/>
        <v>Uncapped</v>
      </c>
      <c r="BQ43" s="115">
        <f t="shared" ca="1" si="9"/>
        <v>0</v>
      </c>
      <c r="BR43" s="113" t="s">
        <v>700</v>
      </c>
      <c r="BS43" s="161">
        <v>0.3</v>
      </c>
      <c r="BT43" s="113" t="s">
        <v>211</v>
      </c>
      <c r="BU43" s="160" t="s">
        <v>210</v>
      </c>
      <c r="BV43" s="113">
        <v>23754.805</v>
      </c>
      <c r="BW43" s="113">
        <v>26642.005000000001</v>
      </c>
      <c r="BX43" s="113">
        <v>26676.704999999998</v>
      </c>
      <c r="BY43" s="113">
        <v>29426.484999999993</v>
      </c>
      <c r="BZ43" s="113">
        <v>31691.330999999998</v>
      </c>
      <c r="CA43" s="113">
        <v>49203.791999999994</v>
      </c>
      <c r="CB43" s="113">
        <v>44022.528000000006</v>
      </c>
      <c r="CC43" s="113"/>
      <c r="CD43" s="113"/>
      <c r="CE43" s="113"/>
      <c r="CF43" s="113"/>
      <c r="CG43" s="113"/>
      <c r="CH43" s="114">
        <f t="shared" si="49"/>
        <v>31691.330999999998</v>
      </c>
      <c r="CI43" s="114">
        <f t="shared" si="49"/>
        <v>49203.791999999994</v>
      </c>
      <c r="CJ43" s="120">
        <f t="shared" si="49"/>
        <v>44022.528000000006</v>
      </c>
      <c r="CK43" s="114">
        <f t="shared" si="49"/>
        <v>0</v>
      </c>
      <c r="CL43" s="114">
        <f t="shared" si="10"/>
        <v>124917.651</v>
      </c>
      <c r="CM43" s="114">
        <f t="shared" si="76"/>
        <v>106500</v>
      </c>
      <c r="CN43" s="114">
        <f t="shared" si="50"/>
        <v>106500</v>
      </c>
      <c r="CO43" s="116">
        <f t="shared" si="51"/>
        <v>1.1729000000000001</v>
      </c>
      <c r="CP43" s="126">
        <f t="shared" ca="1" si="52"/>
        <v>0</v>
      </c>
      <c r="CQ43" s="115">
        <f t="shared" ca="1" si="12"/>
        <v>0</v>
      </c>
      <c r="CR43" s="118" t="str">
        <f t="shared" si="53"/>
        <v>Uncapped</v>
      </c>
      <c r="CS43" s="115">
        <f t="shared" ca="1" si="13"/>
        <v>0</v>
      </c>
      <c r="CT43" s="113" t="s">
        <v>695</v>
      </c>
      <c r="CU43" s="119">
        <v>0.2</v>
      </c>
      <c r="CV43" s="113" t="s">
        <v>211</v>
      </c>
      <c r="CW43" s="113" t="s">
        <v>210</v>
      </c>
      <c r="CX43" s="113">
        <v>727316.14100000006</v>
      </c>
      <c r="CY43" s="113">
        <v>819088.96360000013</v>
      </c>
      <c r="CZ43" s="113">
        <v>583241.87239999999</v>
      </c>
      <c r="DA43" s="113">
        <v>701050.38899999997</v>
      </c>
      <c r="DB43" s="113">
        <v>603720.87213599868</v>
      </c>
      <c r="DC43" s="113">
        <v>840328.13859999971</v>
      </c>
      <c r="DD43" s="113">
        <v>613908.57230299932</v>
      </c>
      <c r="DE43" s="113"/>
      <c r="DF43" s="113"/>
      <c r="DG43" s="113"/>
      <c r="DH43" s="113"/>
      <c r="DI43" s="113"/>
      <c r="DJ43" s="114">
        <f t="shared" si="54"/>
        <v>603720.87213599868</v>
      </c>
      <c r="DK43" s="114">
        <f t="shared" si="54"/>
        <v>840328.13859999971</v>
      </c>
      <c r="DL43" s="114">
        <f t="shared" si="54"/>
        <v>613908.57230299932</v>
      </c>
      <c r="DM43" s="114">
        <f t="shared" si="54"/>
        <v>0</v>
      </c>
      <c r="DN43" s="114">
        <f t="shared" si="84"/>
        <v>2057957.5830389978</v>
      </c>
      <c r="DO43" s="114">
        <f t="shared" si="77"/>
        <v>2830697.3659999999</v>
      </c>
      <c r="DP43" s="114">
        <f t="shared" si="56"/>
        <v>2830697.3659999999</v>
      </c>
      <c r="DQ43" s="116">
        <f t="shared" si="57"/>
        <v>0.72699999999999998</v>
      </c>
      <c r="DR43" s="126">
        <f t="shared" ca="1" si="15"/>
        <v>0</v>
      </c>
      <c r="DS43" s="115">
        <f t="shared" ca="1" si="16"/>
        <v>0</v>
      </c>
      <c r="DT43" s="118" t="str">
        <f t="shared" si="58"/>
        <v>Uncapped</v>
      </c>
      <c r="DU43" s="115">
        <f t="shared" ca="1" si="17"/>
        <v>0</v>
      </c>
      <c r="DV43" s="113"/>
      <c r="DW43" s="119">
        <v>0</v>
      </c>
      <c r="DX43" s="113"/>
      <c r="DY43" s="113"/>
      <c r="DZ43" s="113">
        <v>0</v>
      </c>
      <c r="EA43" s="113">
        <v>0</v>
      </c>
      <c r="EB43" s="113">
        <v>0</v>
      </c>
      <c r="EC43" s="113">
        <v>0</v>
      </c>
      <c r="ED43" s="113">
        <v>0</v>
      </c>
      <c r="EE43" s="113">
        <v>0</v>
      </c>
      <c r="EF43" s="113"/>
      <c r="EG43" s="113"/>
      <c r="EH43" s="113"/>
      <c r="EI43" s="113"/>
      <c r="EJ43" s="113"/>
      <c r="EK43" s="113"/>
      <c r="EL43" s="114">
        <f t="shared" si="59"/>
        <v>0</v>
      </c>
      <c r="EM43" s="114">
        <f t="shared" si="59"/>
        <v>0</v>
      </c>
      <c r="EN43" s="114">
        <f t="shared" si="59"/>
        <v>0</v>
      </c>
      <c r="EO43" s="114">
        <f t="shared" si="59"/>
        <v>0</v>
      </c>
      <c r="EP43" s="114">
        <f t="shared" si="18"/>
        <v>0</v>
      </c>
      <c r="EQ43" s="114">
        <f t="shared" si="78"/>
        <v>0</v>
      </c>
      <c r="ER43" s="114">
        <f t="shared" si="60"/>
        <v>0</v>
      </c>
      <c r="ES43" s="116">
        <f t="shared" si="61"/>
        <v>0</v>
      </c>
      <c r="ET43" s="126">
        <f t="shared" ca="1" si="62"/>
        <v>0</v>
      </c>
      <c r="EU43" s="115">
        <f t="shared" ca="1" si="20"/>
        <v>0</v>
      </c>
      <c r="EV43" s="118" t="str">
        <f t="shared" si="21"/>
        <v>Uncapped</v>
      </c>
      <c r="EW43" s="115">
        <f t="shared" ca="1" si="22"/>
        <v>0</v>
      </c>
      <c r="EX43" s="112">
        <f t="shared" ca="1" si="23"/>
        <v>0</v>
      </c>
      <c r="EY43" s="114">
        <f t="shared" ca="1" si="63"/>
        <v>0</v>
      </c>
      <c r="EZ43" s="115">
        <v>0</v>
      </c>
      <c r="FA43" s="115"/>
      <c r="FB43" s="115">
        <v>684000</v>
      </c>
      <c r="FC43" s="115">
        <v>0</v>
      </c>
      <c r="FD43" s="115">
        <f t="shared" si="79"/>
        <v>684000</v>
      </c>
      <c r="FE43" s="114">
        <f t="shared" ref="FE43:FE106" si="87">SUMIFS(43:43,$5:$5,"SPIFF payout $ (Local CCY)",$4:$4,CONCATENATE("Q",$H$2))</f>
        <v>0</v>
      </c>
      <c r="FF43" s="115">
        <v>0</v>
      </c>
      <c r="FG43" s="115">
        <v>0</v>
      </c>
      <c r="FH43" s="115">
        <v>0</v>
      </c>
      <c r="FI43" s="115">
        <v>0</v>
      </c>
      <c r="FJ43" s="115">
        <f t="shared" si="80"/>
        <v>0</v>
      </c>
      <c r="FK43" s="114">
        <f t="shared" ref="FK43:FK106" si="88">SUMIFS(43:43,$5:$5,"Other payout $ (Local CCY)",$4:$4,CONCATENATE("Q",$H$2))</f>
        <v>0</v>
      </c>
      <c r="FL43" s="113"/>
      <c r="FM43" s="111"/>
      <c r="FN43" s="111"/>
      <c r="FO43" s="111"/>
      <c r="FP43" s="115">
        <f t="shared" si="28"/>
        <v>0</v>
      </c>
      <c r="FQ43" s="115"/>
      <c r="FR43" s="115"/>
      <c r="FS43" s="115"/>
      <c r="FT43" s="114">
        <f t="shared" si="64"/>
        <v>0</v>
      </c>
      <c r="FU43" s="366">
        <f t="shared" ca="1" si="66"/>
        <v>684000</v>
      </c>
      <c r="FV43" s="121">
        <f t="shared" ca="1" si="65"/>
        <v>684000</v>
      </c>
      <c r="FW43" s="114">
        <f t="shared" si="70"/>
        <v>0</v>
      </c>
      <c r="FX43" s="114">
        <f t="shared" si="70"/>
        <v>0</v>
      </c>
      <c r="FY43" s="114">
        <f t="shared" si="70"/>
        <v>0</v>
      </c>
      <c r="FZ43" s="114">
        <f t="shared" si="70"/>
        <v>0</v>
      </c>
      <c r="GA43" s="114">
        <f t="shared" si="30"/>
        <v>0</v>
      </c>
      <c r="GB43" s="114">
        <f t="shared" si="71"/>
        <v>0</v>
      </c>
      <c r="GC43" s="114">
        <f t="shared" si="71"/>
        <v>0</v>
      </c>
      <c r="GD43" s="114">
        <f t="shared" si="71"/>
        <v>684000</v>
      </c>
      <c r="GE43" s="114">
        <f t="shared" si="71"/>
        <v>0</v>
      </c>
      <c r="GF43" s="114">
        <f t="shared" si="72"/>
        <v>0</v>
      </c>
      <c r="GG43" s="114">
        <f t="shared" si="72"/>
        <v>0</v>
      </c>
      <c r="GH43" s="114">
        <f t="shared" si="72"/>
        <v>684000</v>
      </c>
      <c r="GI43" s="114">
        <f t="shared" si="72"/>
        <v>0</v>
      </c>
      <c r="GJ43" s="115">
        <f t="shared" si="81"/>
        <v>684000</v>
      </c>
      <c r="GK43" s="114">
        <f t="shared" si="34"/>
        <v>684000</v>
      </c>
      <c r="GL43" s="114">
        <f t="shared" si="35"/>
        <v>0</v>
      </c>
      <c r="GM43" s="114">
        <f t="shared" si="36"/>
        <v>0</v>
      </c>
      <c r="GN43" s="114">
        <f t="shared" si="37"/>
        <v>0</v>
      </c>
      <c r="GO43" s="114">
        <f t="shared" si="38"/>
        <v>0</v>
      </c>
      <c r="GP43" s="114">
        <f t="shared" si="39"/>
        <v>0</v>
      </c>
      <c r="GQ43" s="114">
        <f t="shared" si="40"/>
        <v>0</v>
      </c>
      <c r="GR43" s="193"/>
      <c r="GS43" s="122">
        <f t="shared" si="85"/>
        <v>2796882.2520389971</v>
      </c>
      <c r="GT43" s="122">
        <f t="shared" si="85"/>
        <v>3837895.409</v>
      </c>
      <c r="GU43" s="123">
        <f t="shared" si="42"/>
        <v>0.72875416184615394</v>
      </c>
      <c r="GV43" s="124">
        <f t="shared" ca="1" si="43"/>
        <v>0</v>
      </c>
      <c r="GW43" s="124">
        <v>0</v>
      </c>
      <c r="GX43" s="32">
        <f t="shared" ca="1" si="44"/>
        <v>0</v>
      </c>
      <c r="GY43" s="100"/>
    </row>
    <row r="44" spans="1:207" s="152" customFormat="1" ht="15" hidden="1" customHeight="1">
      <c r="A44" s="129"/>
      <c r="B44" s="130"/>
      <c r="C44" s="130"/>
      <c r="D44" s="131"/>
      <c r="E44" s="131" t="s">
        <v>260</v>
      </c>
      <c r="F44" s="131" t="s">
        <v>261</v>
      </c>
      <c r="G44" s="131" t="s">
        <v>226</v>
      </c>
      <c r="H44" s="132" t="s">
        <v>326</v>
      </c>
      <c r="I44" s="133" t="s">
        <v>327</v>
      </c>
      <c r="J44" s="131" t="s">
        <v>207</v>
      </c>
      <c r="K44" s="131" t="s">
        <v>208</v>
      </c>
      <c r="L44" s="131" t="s">
        <v>264</v>
      </c>
      <c r="M44" s="131" t="s">
        <v>312</v>
      </c>
      <c r="N44" s="134"/>
      <c r="O44" s="155">
        <v>41376</v>
      </c>
      <c r="P44" s="155">
        <v>43313</v>
      </c>
      <c r="Q44" s="321">
        <f t="shared" si="0"/>
        <v>0</v>
      </c>
      <c r="R44" s="109">
        <f>IF((P44-VLOOKUP(Q44,month!$A$1:$C$13,3,0))&lt;0,Q44,Q44+1)</f>
        <v>0</v>
      </c>
      <c r="S44" s="108"/>
      <c r="T44" s="135" t="str">
        <f t="shared" si="67"/>
        <v/>
      </c>
      <c r="U44" s="134"/>
      <c r="V44" s="134"/>
      <c r="W44" s="134"/>
      <c r="X44" s="134"/>
      <c r="Y44" s="383"/>
      <c r="Z44" s="383" t="s">
        <v>545</v>
      </c>
      <c r="AA44" s="371">
        <v>1000</v>
      </c>
      <c r="AB44" s="371">
        <v>1000</v>
      </c>
      <c r="AC44" s="371">
        <v>1000</v>
      </c>
      <c r="AD44" s="371">
        <v>1000</v>
      </c>
      <c r="AE44" s="371">
        <v>1000</v>
      </c>
      <c r="AF44" s="371">
        <v>1000</v>
      </c>
      <c r="AG44" s="371">
        <v>1000</v>
      </c>
      <c r="AH44" s="371">
        <v>1000</v>
      </c>
      <c r="AI44" s="371">
        <v>1000</v>
      </c>
      <c r="AJ44" s="371">
        <v>1000</v>
      </c>
      <c r="AK44" s="371">
        <v>1000</v>
      </c>
      <c r="AL44" s="371">
        <v>1000</v>
      </c>
      <c r="AM44" s="384">
        <f t="shared" si="74"/>
        <v>12000</v>
      </c>
      <c r="AN44" s="384">
        <f t="shared" si="3"/>
        <v>12000</v>
      </c>
      <c r="AO44" s="385">
        <f t="shared" si="86"/>
        <v>1000</v>
      </c>
      <c r="AP44" s="497" t="s">
        <v>682</v>
      </c>
      <c r="AQ44" s="156">
        <v>0.5</v>
      </c>
      <c r="AR44" s="157" t="s">
        <v>211</v>
      </c>
      <c r="AS44" s="146" t="s">
        <v>210</v>
      </c>
      <c r="AT44" s="136">
        <v>804743.47850000008</v>
      </c>
      <c r="AU44" s="136">
        <v>918812.05920000002</v>
      </c>
      <c r="AV44" s="136">
        <v>924782.75520000013</v>
      </c>
      <c r="AW44" s="136">
        <v>1112566.3257999998</v>
      </c>
      <c r="AX44" s="138">
        <v>891012.76593406429</v>
      </c>
      <c r="AY44" s="138">
        <v>1009048.1644025138</v>
      </c>
      <c r="AZ44" s="138">
        <v>617884.41610000026</v>
      </c>
      <c r="BA44" s="138"/>
      <c r="BB44" s="138"/>
      <c r="BC44" s="138"/>
      <c r="BD44" s="138"/>
      <c r="BE44" s="138"/>
      <c r="BF44" s="139">
        <f t="shared" si="46"/>
        <v>891012.76593406429</v>
      </c>
      <c r="BG44" s="139">
        <f t="shared" si="46"/>
        <v>1009048.1644025138</v>
      </c>
      <c r="BH44" s="139">
        <f t="shared" si="46"/>
        <v>617884.41610000026</v>
      </c>
      <c r="BI44" s="139">
        <f t="shared" si="46"/>
        <v>0</v>
      </c>
      <c r="BJ44" s="139">
        <f t="shared" si="83"/>
        <v>2517945.3464365783</v>
      </c>
      <c r="BK44" s="140">
        <f t="shared" si="75"/>
        <v>3760904.6187</v>
      </c>
      <c r="BL44" s="140">
        <f t="shared" si="47"/>
        <v>3760904.6187</v>
      </c>
      <c r="BM44" s="141">
        <f t="shared" si="48"/>
        <v>0.66949999999999998</v>
      </c>
      <c r="BN44" s="142">
        <f t="shared" ca="1" si="6"/>
        <v>0</v>
      </c>
      <c r="BO44" s="143">
        <f t="shared" ca="1" si="7"/>
        <v>0</v>
      </c>
      <c r="BP44" s="144" t="str">
        <f t="shared" si="8"/>
        <v>Uncapped</v>
      </c>
      <c r="BQ44" s="140">
        <f t="shared" ca="1" si="9"/>
        <v>0</v>
      </c>
      <c r="BR44" s="138" t="s">
        <v>700</v>
      </c>
      <c r="BS44" s="158">
        <v>0.3</v>
      </c>
      <c r="BT44" s="138" t="s">
        <v>211</v>
      </c>
      <c r="BU44" s="157" t="s">
        <v>210</v>
      </c>
      <c r="BV44" s="138">
        <v>71156.054999999993</v>
      </c>
      <c r="BW44" s="138">
        <v>80124.10500000001</v>
      </c>
      <c r="BX44" s="138">
        <v>67116.554999999935</v>
      </c>
      <c r="BY44" s="138">
        <v>76249.685000000056</v>
      </c>
      <c r="BZ44" s="138">
        <v>45772.904700446401</v>
      </c>
      <c r="CA44" s="138">
        <v>66029.726700330473</v>
      </c>
      <c r="CB44" s="138">
        <v>37913.182200000003</v>
      </c>
      <c r="CC44" s="138"/>
      <c r="CD44" s="138"/>
      <c r="CE44" s="138"/>
      <c r="CF44" s="138"/>
      <c r="CG44" s="138"/>
      <c r="CH44" s="139">
        <f t="shared" si="49"/>
        <v>45772.904700446401</v>
      </c>
      <c r="CI44" s="139">
        <f t="shared" si="49"/>
        <v>66029.726700330473</v>
      </c>
      <c r="CJ44" s="145">
        <f t="shared" si="49"/>
        <v>37913.182200000003</v>
      </c>
      <c r="CK44" s="139">
        <f t="shared" si="49"/>
        <v>0</v>
      </c>
      <c r="CL44" s="139">
        <f t="shared" si="10"/>
        <v>149715.81360077689</v>
      </c>
      <c r="CM44" s="139">
        <f t="shared" si="76"/>
        <v>294646.40000000002</v>
      </c>
      <c r="CN44" s="139">
        <f t="shared" si="50"/>
        <v>294646.40000000002</v>
      </c>
      <c r="CO44" s="141">
        <f t="shared" si="51"/>
        <v>0.5081</v>
      </c>
      <c r="CP44" s="142">
        <f t="shared" ca="1" si="52"/>
        <v>0</v>
      </c>
      <c r="CQ44" s="140">
        <f t="shared" ca="1" si="12"/>
        <v>0</v>
      </c>
      <c r="CR44" s="144" t="str">
        <f t="shared" si="53"/>
        <v>Uncapped</v>
      </c>
      <c r="CS44" s="140">
        <f t="shared" ca="1" si="13"/>
        <v>0</v>
      </c>
      <c r="CT44" s="138" t="s">
        <v>702</v>
      </c>
      <c r="CU44" s="146">
        <v>0.2</v>
      </c>
      <c r="CV44" s="138" t="s">
        <v>217</v>
      </c>
      <c r="CW44" s="138" t="s">
        <v>210</v>
      </c>
      <c r="CX44" s="138">
        <v>19653413.080999997</v>
      </c>
      <c r="CY44" s="138">
        <v>22848780.235100001</v>
      </c>
      <c r="CZ44" s="138">
        <v>22618799.574099999</v>
      </c>
      <c r="DA44" s="138">
        <v>27098464.121500004</v>
      </c>
      <c r="DB44" s="138">
        <v>19427532.107000571</v>
      </c>
      <c r="DC44" s="138">
        <v>22270538.357580002</v>
      </c>
      <c r="DD44" s="138">
        <v>22879083.486580007</v>
      </c>
      <c r="DE44" s="138"/>
      <c r="DF44" s="138"/>
      <c r="DG44" s="138"/>
      <c r="DH44" s="138"/>
      <c r="DI44" s="138"/>
      <c r="DJ44" s="139">
        <f t="shared" si="54"/>
        <v>19427532.107000571</v>
      </c>
      <c r="DK44" s="139">
        <f t="shared" si="54"/>
        <v>22270538.357580002</v>
      </c>
      <c r="DL44" s="139">
        <f t="shared" si="54"/>
        <v>22879083.486580007</v>
      </c>
      <c r="DM44" s="139">
        <f t="shared" si="54"/>
        <v>0</v>
      </c>
      <c r="DN44" s="139">
        <f t="shared" si="84"/>
        <v>64577153.95116058</v>
      </c>
      <c r="DO44" s="139">
        <f t="shared" si="77"/>
        <v>92219457.011700004</v>
      </c>
      <c r="DP44" s="139">
        <f t="shared" si="56"/>
        <v>92219457.011700004</v>
      </c>
      <c r="DQ44" s="141">
        <f t="shared" si="57"/>
        <v>0.70030000000000003</v>
      </c>
      <c r="DR44" s="142">
        <f t="shared" ca="1" si="15"/>
        <v>0</v>
      </c>
      <c r="DS44" s="140">
        <f t="shared" ca="1" si="16"/>
        <v>0</v>
      </c>
      <c r="DT44" s="144" t="str">
        <f t="shared" si="58"/>
        <v>Uncapped</v>
      </c>
      <c r="DU44" s="140">
        <f t="shared" ca="1" si="17"/>
        <v>0</v>
      </c>
      <c r="DV44" s="138"/>
      <c r="DW44" s="146">
        <v>0</v>
      </c>
      <c r="DX44" s="138"/>
      <c r="DY44" s="138"/>
      <c r="DZ44" s="138">
        <v>0</v>
      </c>
      <c r="EA44" s="138">
        <v>0</v>
      </c>
      <c r="EB44" s="138">
        <v>0</v>
      </c>
      <c r="EC44" s="138">
        <v>0</v>
      </c>
      <c r="ED44" s="138">
        <v>0</v>
      </c>
      <c r="EE44" s="138">
        <v>0</v>
      </c>
      <c r="EF44" s="138"/>
      <c r="EG44" s="138"/>
      <c r="EH44" s="138"/>
      <c r="EI44" s="138"/>
      <c r="EJ44" s="138"/>
      <c r="EK44" s="138"/>
      <c r="EL44" s="139">
        <f t="shared" si="59"/>
        <v>0</v>
      </c>
      <c r="EM44" s="139">
        <f t="shared" si="59"/>
        <v>0</v>
      </c>
      <c r="EN44" s="139">
        <f t="shared" si="59"/>
        <v>0</v>
      </c>
      <c r="EO44" s="139">
        <f t="shared" si="59"/>
        <v>0</v>
      </c>
      <c r="EP44" s="139">
        <f t="shared" si="18"/>
        <v>0</v>
      </c>
      <c r="EQ44" s="139">
        <f t="shared" si="78"/>
        <v>0</v>
      </c>
      <c r="ER44" s="139">
        <f t="shared" si="60"/>
        <v>0</v>
      </c>
      <c r="ES44" s="141">
        <f t="shared" si="61"/>
        <v>0</v>
      </c>
      <c r="ET44" s="142">
        <f t="shared" ca="1" si="62"/>
        <v>0</v>
      </c>
      <c r="EU44" s="140">
        <f t="shared" ca="1" si="20"/>
        <v>0</v>
      </c>
      <c r="EV44" s="144" t="str">
        <f t="shared" si="21"/>
        <v>Uncapped</v>
      </c>
      <c r="EW44" s="140">
        <f t="shared" ca="1" si="22"/>
        <v>0</v>
      </c>
      <c r="EX44" s="137">
        <f t="shared" ca="1" si="23"/>
        <v>0</v>
      </c>
      <c r="EY44" s="139">
        <f t="shared" ca="1" si="63"/>
        <v>0</v>
      </c>
      <c r="EZ44" s="140">
        <v>0</v>
      </c>
      <c r="FA44" s="140">
        <v>55674</v>
      </c>
      <c r="FB44" s="140"/>
      <c r="FC44" s="140">
        <v>0</v>
      </c>
      <c r="FD44" s="140">
        <f t="shared" si="79"/>
        <v>55674</v>
      </c>
      <c r="FE44" s="139">
        <f t="shared" si="87"/>
        <v>0</v>
      </c>
      <c r="FF44" s="140">
        <v>0</v>
      </c>
      <c r="FG44" s="140">
        <v>0</v>
      </c>
      <c r="FH44" s="140">
        <v>0</v>
      </c>
      <c r="FI44" s="140">
        <v>0</v>
      </c>
      <c r="FJ44" s="140">
        <f t="shared" si="80"/>
        <v>0</v>
      </c>
      <c r="FK44" s="139">
        <f t="shared" si="88"/>
        <v>0</v>
      </c>
      <c r="FL44" s="138"/>
      <c r="FM44" s="136"/>
      <c r="FN44" s="136"/>
      <c r="FO44" s="136"/>
      <c r="FP44" s="140">
        <f t="shared" si="28"/>
        <v>0</v>
      </c>
      <c r="FQ44" s="140"/>
      <c r="FR44" s="140"/>
      <c r="FS44" s="140"/>
      <c r="FT44" s="139">
        <f t="shared" si="64"/>
        <v>0</v>
      </c>
      <c r="FU44" s="365">
        <f t="shared" ca="1" si="66"/>
        <v>55674</v>
      </c>
      <c r="FV44" s="147">
        <f t="shared" ca="1" si="65"/>
        <v>55674</v>
      </c>
      <c r="FW44" s="139">
        <f t="shared" si="70"/>
        <v>0</v>
      </c>
      <c r="FX44" s="139">
        <f t="shared" si="70"/>
        <v>0</v>
      </c>
      <c r="FY44" s="139">
        <f t="shared" si="70"/>
        <v>0</v>
      </c>
      <c r="FZ44" s="139">
        <f t="shared" si="70"/>
        <v>0</v>
      </c>
      <c r="GA44" s="139">
        <f t="shared" si="30"/>
        <v>0</v>
      </c>
      <c r="GB44" s="139">
        <f t="shared" si="71"/>
        <v>0</v>
      </c>
      <c r="GC44" s="139">
        <f t="shared" si="71"/>
        <v>55674</v>
      </c>
      <c r="GD44" s="139">
        <f t="shared" si="71"/>
        <v>0</v>
      </c>
      <c r="GE44" s="139">
        <f t="shared" si="71"/>
        <v>0</v>
      </c>
      <c r="GF44" s="139">
        <f t="shared" si="72"/>
        <v>0</v>
      </c>
      <c r="GG44" s="139">
        <f t="shared" si="72"/>
        <v>55674</v>
      </c>
      <c r="GH44" s="139">
        <f t="shared" si="72"/>
        <v>0</v>
      </c>
      <c r="GI44" s="139">
        <f t="shared" si="72"/>
        <v>0</v>
      </c>
      <c r="GJ44" s="140">
        <f t="shared" si="81"/>
        <v>55674</v>
      </c>
      <c r="GK44" s="139">
        <f t="shared" si="34"/>
        <v>55674</v>
      </c>
      <c r="GL44" s="139">
        <f t="shared" si="35"/>
        <v>0</v>
      </c>
      <c r="GM44" s="139">
        <f t="shared" si="36"/>
        <v>0</v>
      </c>
      <c r="GN44" s="139">
        <f t="shared" si="37"/>
        <v>0</v>
      </c>
      <c r="GO44" s="139">
        <f t="shared" si="38"/>
        <v>0</v>
      </c>
      <c r="GP44" s="139">
        <f t="shared" si="39"/>
        <v>0</v>
      </c>
      <c r="GQ44" s="139">
        <f t="shared" si="40"/>
        <v>0</v>
      </c>
      <c r="GR44" s="409"/>
      <c r="GS44" s="148">
        <f t="shared" si="85"/>
        <v>67244815.111197934</v>
      </c>
      <c r="GT44" s="148">
        <f t="shared" si="85"/>
        <v>96275008.030400008</v>
      </c>
      <c r="GU44" s="149">
        <f t="shared" si="42"/>
        <v>0.69846595172409187</v>
      </c>
      <c r="GV44" s="150">
        <f t="shared" ca="1" si="43"/>
        <v>0</v>
      </c>
      <c r="GW44" s="150">
        <v>0</v>
      </c>
      <c r="GX44" s="151">
        <f t="shared" ca="1" si="44"/>
        <v>0</v>
      </c>
      <c r="GY44" s="100"/>
    </row>
    <row r="45" spans="1:207" s="125" customFormat="1" ht="15" hidden="1" customHeight="1">
      <c r="A45" s="102"/>
      <c r="B45" s="103"/>
      <c r="C45" s="103"/>
      <c r="D45" s="104"/>
      <c r="E45" s="104" t="s">
        <v>253</v>
      </c>
      <c r="F45" s="104" t="s">
        <v>266</v>
      </c>
      <c r="G45" s="104" t="s">
        <v>226</v>
      </c>
      <c r="H45" s="105" t="s">
        <v>328</v>
      </c>
      <c r="I45" s="106" t="s">
        <v>329</v>
      </c>
      <c r="J45" s="104" t="s">
        <v>212</v>
      </c>
      <c r="K45" s="104" t="s">
        <v>208</v>
      </c>
      <c r="L45" s="104" t="s">
        <v>213</v>
      </c>
      <c r="M45" s="104" t="s">
        <v>315</v>
      </c>
      <c r="N45" s="107"/>
      <c r="O45" s="108">
        <v>43228</v>
      </c>
      <c r="P45" s="108">
        <v>43228</v>
      </c>
      <c r="Q45" s="322">
        <f t="shared" si="0"/>
        <v>0</v>
      </c>
      <c r="R45" s="109">
        <f>IF((P45-VLOOKUP(Q45,month!$A$1:$C$13,3,0))&lt;0,Q45,Q45+1)</f>
        <v>0</v>
      </c>
      <c r="S45" s="108"/>
      <c r="T45" s="127" t="str">
        <f t="shared" si="67"/>
        <v/>
      </c>
      <c r="U45" s="107"/>
      <c r="V45" s="107"/>
      <c r="W45" s="107"/>
      <c r="X45" s="107"/>
      <c r="Y45" s="386"/>
      <c r="Z45" s="386" t="s">
        <v>545</v>
      </c>
      <c r="AA45" s="387">
        <v>1000</v>
      </c>
      <c r="AB45" s="387">
        <v>1000</v>
      </c>
      <c r="AC45" s="387">
        <v>1000</v>
      </c>
      <c r="AD45" s="387">
        <v>1000</v>
      </c>
      <c r="AE45" s="387">
        <v>1000</v>
      </c>
      <c r="AF45" s="387">
        <v>1000</v>
      </c>
      <c r="AG45" s="387">
        <v>1000</v>
      </c>
      <c r="AH45" s="387">
        <v>1000</v>
      </c>
      <c r="AI45" s="387">
        <v>1000</v>
      </c>
      <c r="AJ45" s="387">
        <v>1000</v>
      </c>
      <c r="AK45" s="387">
        <v>1000</v>
      </c>
      <c r="AL45" s="387">
        <v>1000</v>
      </c>
      <c r="AM45" s="388">
        <f t="shared" si="74"/>
        <v>12000</v>
      </c>
      <c r="AN45" s="388">
        <f t="shared" si="3"/>
        <v>12000</v>
      </c>
      <c r="AO45" s="389">
        <f t="shared" si="86"/>
        <v>1000</v>
      </c>
      <c r="AP45" s="498" t="s">
        <v>682</v>
      </c>
      <c r="AQ45" s="159">
        <v>0.5</v>
      </c>
      <c r="AR45" s="160" t="s">
        <v>211</v>
      </c>
      <c r="AS45" s="119" t="s">
        <v>210</v>
      </c>
      <c r="AT45" s="111">
        <v>159734.33200000002</v>
      </c>
      <c r="AU45" s="111">
        <v>182357.02719999998</v>
      </c>
      <c r="AV45" s="111">
        <v>181494.07580000002</v>
      </c>
      <c r="AW45" s="111">
        <v>215811.74799999999</v>
      </c>
      <c r="AX45" s="113">
        <v>176387.41352875839</v>
      </c>
      <c r="AY45" s="113">
        <v>195413.41800269368</v>
      </c>
      <c r="AZ45" s="113">
        <v>235114.94880000001</v>
      </c>
      <c r="BA45" s="113"/>
      <c r="BB45" s="113"/>
      <c r="BC45" s="113"/>
      <c r="BD45" s="113"/>
      <c r="BE45" s="113"/>
      <c r="BF45" s="114">
        <f t="shared" si="46"/>
        <v>176387.41352875839</v>
      </c>
      <c r="BG45" s="114">
        <f t="shared" si="46"/>
        <v>195413.41800269368</v>
      </c>
      <c r="BH45" s="114">
        <f t="shared" si="46"/>
        <v>235114.94880000001</v>
      </c>
      <c r="BI45" s="114">
        <f t="shared" si="46"/>
        <v>0</v>
      </c>
      <c r="BJ45" s="114">
        <f t="shared" si="83"/>
        <v>606915.78033145214</v>
      </c>
      <c r="BK45" s="115">
        <f t="shared" si="75"/>
        <v>739397.18300000008</v>
      </c>
      <c r="BL45" s="115">
        <f t="shared" si="47"/>
        <v>739397.18300000008</v>
      </c>
      <c r="BM45" s="116">
        <f t="shared" si="48"/>
        <v>0.82079999999999997</v>
      </c>
      <c r="BN45" s="126">
        <f t="shared" ca="1" si="6"/>
        <v>0</v>
      </c>
      <c r="BO45" s="117">
        <f t="shared" ca="1" si="7"/>
        <v>0</v>
      </c>
      <c r="BP45" s="118" t="str">
        <f t="shared" si="8"/>
        <v>Uncapped</v>
      </c>
      <c r="BQ45" s="115">
        <f t="shared" ca="1" si="9"/>
        <v>0</v>
      </c>
      <c r="BR45" s="113" t="s">
        <v>700</v>
      </c>
      <c r="BS45" s="161">
        <v>0.3</v>
      </c>
      <c r="BT45" s="113" t="s">
        <v>211</v>
      </c>
      <c r="BU45" s="160" t="s">
        <v>210</v>
      </c>
      <c r="BV45" s="113">
        <v>20167.204999999998</v>
      </c>
      <c r="BW45" s="113">
        <v>22591.355</v>
      </c>
      <c r="BX45" s="113">
        <v>22611.105</v>
      </c>
      <c r="BY45" s="113">
        <v>25030.334999999995</v>
      </c>
      <c r="BZ45" s="113">
        <v>16943.591700446399</v>
      </c>
      <c r="CA45" s="113">
        <v>18183.089700330482</v>
      </c>
      <c r="CB45" s="113">
        <v>22790.835000000003</v>
      </c>
      <c r="CC45" s="113"/>
      <c r="CD45" s="113"/>
      <c r="CE45" s="113"/>
      <c r="CF45" s="113"/>
      <c r="CG45" s="113"/>
      <c r="CH45" s="114">
        <f t="shared" si="49"/>
        <v>16943.591700446399</v>
      </c>
      <c r="CI45" s="114">
        <f t="shared" si="49"/>
        <v>18183.089700330482</v>
      </c>
      <c r="CJ45" s="120">
        <f t="shared" si="49"/>
        <v>22790.835000000003</v>
      </c>
      <c r="CK45" s="114">
        <f t="shared" si="49"/>
        <v>0</v>
      </c>
      <c r="CL45" s="114">
        <f t="shared" si="10"/>
        <v>57917.516400776891</v>
      </c>
      <c r="CM45" s="114">
        <f t="shared" si="76"/>
        <v>90399.999999999985</v>
      </c>
      <c r="CN45" s="114">
        <f t="shared" si="50"/>
        <v>90399.999999999985</v>
      </c>
      <c r="CO45" s="116">
        <f t="shared" si="51"/>
        <v>0.64070000000000005</v>
      </c>
      <c r="CP45" s="126">
        <f t="shared" ca="1" si="52"/>
        <v>0</v>
      </c>
      <c r="CQ45" s="115">
        <f t="shared" ca="1" si="12"/>
        <v>0</v>
      </c>
      <c r="CR45" s="118" t="str">
        <f t="shared" si="53"/>
        <v>Uncapped</v>
      </c>
      <c r="CS45" s="115">
        <f t="shared" ca="1" si="13"/>
        <v>0</v>
      </c>
      <c r="CT45" s="113" t="s">
        <v>695</v>
      </c>
      <c r="CU45" s="119">
        <v>0.2</v>
      </c>
      <c r="CV45" s="113" t="s">
        <v>211</v>
      </c>
      <c r="CW45" s="113" t="s">
        <v>210</v>
      </c>
      <c r="CX45" s="113">
        <v>804743.47850000008</v>
      </c>
      <c r="CY45" s="113">
        <v>918812.05920000002</v>
      </c>
      <c r="CZ45" s="113">
        <v>924782.75520000013</v>
      </c>
      <c r="DA45" s="113">
        <v>1112566.3257999998</v>
      </c>
      <c r="DB45" s="113">
        <v>891012.76593406429</v>
      </c>
      <c r="DC45" s="113">
        <v>1009048.1644025138</v>
      </c>
      <c r="DD45" s="113">
        <v>617884.41610000026</v>
      </c>
      <c r="DE45" s="113"/>
      <c r="DF45" s="113"/>
      <c r="DG45" s="113"/>
      <c r="DH45" s="113"/>
      <c r="DI45" s="113"/>
      <c r="DJ45" s="114">
        <f t="shared" si="54"/>
        <v>891012.76593406429</v>
      </c>
      <c r="DK45" s="114">
        <f t="shared" si="54"/>
        <v>1009048.1644025138</v>
      </c>
      <c r="DL45" s="114">
        <f t="shared" si="54"/>
        <v>617884.41610000026</v>
      </c>
      <c r="DM45" s="114">
        <f t="shared" si="54"/>
        <v>0</v>
      </c>
      <c r="DN45" s="114">
        <f t="shared" si="84"/>
        <v>2517945.3464365783</v>
      </c>
      <c r="DO45" s="114">
        <f t="shared" si="77"/>
        <v>3760904.6187</v>
      </c>
      <c r="DP45" s="114">
        <f t="shared" si="56"/>
        <v>3760904.6187</v>
      </c>
      <c r="DQ45" s="116">
        <f t="shared" si="57"/>
        <v>0.66949999999999998</v>
      </c>
      <c r="DR45" s="126">
        <f t="shared" ca="1" si="15"/>
        <v>0</v>
      </c>
      <c r="DS45" s="115">
        <f t="shared" ca="1" si="16"/>
        <v>0</v>
      </c>
      <c r="DT45" s="118" t="str">
        <f t="shared" si="58"/>
        <v>Uncapped</v>
      </c>
      <c r="DU45" s="115">
        <f t="shared" ca="1" si="17"/>
        <v>0</v>
      </c>
      <c r="DV45" s="113"/>
      <c r="DW45" s="119">
        <v>0</v>
      </c>
      <c r="DX45" s="113"/>
      <c r="DY45" s="113"/>
      <c r="DZ45" s="113">
        <v>0</v>
      </c>
      <c r="EA45" s="113">
        <v>0</v>
      </c>
      <c r="EB45" s="113">
        <v>0</v>
      </c>
      <c r="EC45" s="113">
        <v>0</v>
      </c>
      <c r="ED45" s="113">
        <v>0</v>
      </c>
      <c r="EE45" s="113">
        <v>0</v>
      </c>
      <c r="EF45" s="113"/>
      <c r="EG45" s="113"/>
      <c r="EH45" s="113"/>
      <c r="EI45" s="113"/>
      <c r="EJ45" s="113"/>
      <c r="EK45" s="113"/>
      <c r="EL45" s="114">
        <f t="shared" si="59"/>
        <v>0</v>
      </c>
      <c r="EM45" s="114">
        <f t="shared" si="59"/>
        <v>0</v>
      </c>
      <c r="EN45" s="114">
        <f t="shared" si="59"/>
        <v>0</v>
      </c>
      <c r="EO45" s="114">
        <f t="shared" si="59"/>
        <v>0</v>
      </c>
      <c r="EP45" s="114">
        <f t="shared" si="18"/>
        <v>0</v>
      </c>
      <c r="EQ45" s="114">
        <f t="shared" si="78"/>
        <v>0</v>
      </c>
      <c r="ER45" s="114">
        <f t="shared" si="60"/>
        <v>0</v>
      </c>
      <c r="ES45" s="116">
        <f t="shared" si="61"/>
        <v>0</v>
      </c>
      <c r="ET45" s="126">
        <f t="shared" ca="1" si="62"/>
        <v>0</v>
      </c>
      <c r="EU45" s="115">
        <f t="shared" ca="1" si="20"/>
        <v>0</v>
      </c>
      <c r="EV45" s="118" t="str">
        <f t="shared" si="21"/>
        <v>Uncapped</v>
      </c>
      <c r="EW45" s="115">
        <f t="shared" ca="1" si="22"/>
        <v>0</v>
      </c>
      <c r="EX45" s="112">
        <f t="shared" ca="1" si="23"/>
        <v>0</v>
      </c>
      <c r="EY45" s="114">
        <f t="shared" ca="1" si="63"/>
        <v>0</v>
      </c>
      <c r="EZ45" s="115">
        <v>0</v>
      </c>
      <c r="FA45" s="115"/>
      <c r="FB45" s="115"/>
      <c r="FC45" s="115">
        <v>0</v>
      </c>
      <c r="FD45" s="115">
        <f t="shared" si="79"/>
        <v>0</v>
      </c>
      <c r="FE45" s="114">
        <f t="shared" si="87"/>
        <v>0</v>
      </c>
      <c r="FF45" s="115">
        <v>0</v>
      </c>
      <c r="FG45" s="115">
        <v>0</v>
      </c>
      <c r="FH45" s="115">
        <v>0</v>
      </c>
      <c r="FI45" s="115">
        <v>0</v>
      </c>
      <c r="FJ45" s="115">
        <f t="shared" si="80"/>
        <v>0</v>
      </c>
      <c r="FK45" s="114">
        <f t="shared" si="88"/>
        <v>0</v>
      </c>
      <c r="FL45" s="113"/>
      <c r="FM45" s="111"/>
      <c r="FN45" s="111"/>
      <c r="FO45" s="111"/>
      <c r="FP45" s="115">
        <f t="shared" si="28"/>
        <v>0</v>
      </c>
      <c r="FQ45" s="115"/>
      <c r="FR45" s="115"/>
      <c r="FS45" s="115"/>
      <c r="FT45" s="114">
        <f t="shared" si="64"/>
        <v>0</v>
      </c>
      <c r="FU45" s="366">
        <f t="shared" ca="1" si="66"/>
        <v>0</v>
      </c>
      <c r="FV45" s="121">
        <f t="shared" ca="1" si="65"/>
        <v>0</v>
      </c>
      <c r="FW45" s="114">
        <f t="shared" si="70"/>
        <v>0</v>
      </c>
      <c r="FX45" s="114">
        <f t="shared" si="70"/>
        <v>0</v>
      </c>
      <c r="FY45" s="114">
        <f t="shared" si="70"/>
        <v>0</v>
      </c>
      <c r="FZ45" s="114">
        <f t="shared" si="70"/>
        <v>0</v>
      </c>
      <c r="GA45" s="114">
        <f>SUM(FW45:FZ45)</f>
        <v>0</v>
      </c>
      <c r="GB45" s="114">
        <f t="shared" si="71"/>
        <v>0</v>
      </c>
      <c r="GC45" s="114">
        <f t="shared" si="71"/>
        <v>0</v>
      </c>
      <c r="GD45" s="114">
        <f t="shared" si="71"/>
        <v>0</v>
      </c>
      <c r="GE45" s="114">
        <f t="shared" si="71"/>
        <v>0</v>
      </c>
      <c r="GF45" s="114">
        <f>GB45+FW45</f>
        <v>0</v>
      </c>
      <c r="GG45" s="114">
        <f>GC45+FX45</f>
        <v>0</v>
      </c>
      <c r="GH45" s="114">
        <f>GD45+FY45</f>
        <v>0</v>
      </c>
      <c r="GI45" s="114">
        <f>GE45+FZ45</f>
        <v>0</v>
      </c>
      <c r="GJ45" s="115">
        <f t="shared" si="81"/>
        <v>0</v>
      </c>
      <c r="GK45" s="114">
        <f>SUM(GF45:GI45)</f>
        <v>0</v>
      </c>
      <c r="GL45" s="114">
        <f t="shared" si="35"/>
        <v>0</v>
      </c>
      <c r="GM45" s="114">
        <f t="shared" si="36"/>
        <v>0</v>
      </c>
      <c r="GN45" s="114">
        <f t="shared" si="37"/>
        <v>0</v>
      </c>
      <c r="GO45" s="114">
        <f t="shared" si="38"/>
        <v>0</v>
      </c>
      <c r="GP45" s="114">
        <f t="shared" si="39"/>
        <v>0</v>
      </c>
      <c r="GQ45" s="114">
        <f>SUM(GL45:GO45)</f>
        <v>0</v>
      </c>
      <c r="GR45" s="193"/>
      <c r="GS45" s="122">
        <f t="shared" si="85"/>
        <v>3182778.6431688075</v>
      </c>
      <c r="GT45" s="122">
        <f t="shared" si="85"/>
        <v>4590701.8016999997</v>
      </c>
      <c r="GU45" s="123">
        <f>IFERROR(GS45/GT45,"")</f>
        <v>0.69330982073158853</v>
      </c>
      <c r="GV45" s="124">
        <f t="shared" ca="1" si="43"/>
        <v>0</v>
      </c>
      <c r="GW45" s="124">
        <v>0</v>
      </c>
      <c r="GX45" s="32">
        <f t="shared" ca="1" si="44"/>
        <v>0</v>
      </c>
      <c r="GY45" s="100"/>
    </row>
    <row r="46" spans="1:207" s="152" customFormat="1" ht="15" hidden="1" customHeight="1">
      <c r="A46" s="129"/>
      <c r="B46" s="130"/>
      <c r="C46" s="130"/>
      <c r="D46" s="131"/>
      <c r="E46" s="131" t="s">
        <v>260</v>
      </c>
      <c r="F46" s="131" t="s">
        <v>261</v>
      </c>
      <c r="G46" s="131" t="s">
        <v>226</v>
      </c>
      <c r="H46" s="132" t="s">
        <v>330</v>
      </c>
      <c r="I46" s="133" t="s">
        <v>331</v>
      </c>
      <c r="J46" s="131" t="s">
        <v>207</v>
      </c>
      <c r="K46" s="508" t="s">
        <v>208</v>
      </c>
      <c r="L46" s="131" t="s">
        <v>264</v>
      </c>
      <c r="M46" s="131" t="s">
        <v>312</v>
      </c>
      <c r="N46" s="134"/>
      <c r="O46" s="540">
        <v>42954</v>
      </c>
      <c r="P46" s="155">
        <v>42954</v>
      </c>
      <c r="Q46" s="321">
        <f t="shared" si="0"/>
        <v>0</v>
      </c>
      <c r="R46" s="109">
        <f>IF((P46-VLOOKUP(Q46,month!$A$1:$C$13,3,0))&lt;0,Q46,Q46+1)</f>
        <v>0</v>
      </c>
      <c r="S46" s="108"/>
      <c r="T46" s="135" t="str">
        <f t="shared" si="67"/>
        <v/>
      </c>
      <c r="U46" s="134"/>
      <c r="V46" s="134"/>
      <c r="W46" s="134"/>
      <c r="X46" s="134"/>
      <c r="Y46" s="383"/>
      <c r="Z46" s="383" t="s">
        <v>545</v>
      </c>
      <c r="AA46" s="371">
        <v>1000</v>
      </c>
      <c r="AB46" s="371">
        <v>1000</v>
      </c>
      <c r="AC46" s="371">
        <v>1000</v>
      </c>
      <c r="AD46" s="371">
        <v>1000</v>
      </c>
      <c r="AE46" s="371">
        <v>1000</v>
      </c>
      <c r="AF46" s="371">
        <v>1000</v>
      </c>
      <c r="AG46" s="371">
        <v>1000</v>
      </c>
      <c r="AH46" s="371">
        <v>1000</v>
      </c>
      <c r="AI46" s="371">
        <v>1000</v>
      </c>
      <c r="AJ46" s="371">
        <v>1000</v>
      </c>
      <c r="AK46" s="371">
        <v>1000</v>
      </c>
      <c r="AL46" s="371">
        <v>1000</v>
      </c>
      <c r="AM46" s="384">
        <f t="shared" si="74"/>
        <v>12000</v>
      </c>
      <c r="AN46" s="384">
        <f t="shared" si="3"/>
        <v>12000</v>
      </c>
      <c r="AO46" s="385">
        <f t="shared" si="86"/>
        <v>1000</v>
      </c>
      <c r="AP46" s="497" t="s">
        <v>682</v>
      </c>
      <c r="AQ46" s="156">
        <v>0.5</v>
      </c>
      <c r="AR46" s="157" t="s">
        <v>211</v>
      </c>
      <c r="AS46" s="146" t="s">
        <v>210</v>
      </c>
      <c r="AT46" s="136">
        <v>2454027.4075000002</v>
      </c>
      <c r="AU46" s="136">
        <v>2799125.9108000002</v>
      </c>
      <c r="AV46" s="136"/>
      <c r="AW46" s="136"/>
      <c r="AX46" s="138">
        <v>2309707.9470700622</v>
      </c>
      <c r="AY46" s="138">
        <v>2825727.3710025134</v>
      </c>
      <c r="AZ46" s="138"/>
      <c r="BA46" s="138"/>
      <c r="BB46" s="138"/>
      <c r="BC46" s="138"/>
      <c r="BD46" s="138"/>
      <c r="BE46" s="138"/>
      <c r="BF46" s="139">
        <f t="shared" si="46"/>
        <v>2309707.9470700622</v>
      </c>
      <c r="BG46" s="139">
        <f t="shared" si="46"/>
        <v>2825727.3710025134</v>
      </c>
      <c r="BH46" s="139">
        <f t="shared" si="46"/>
        <v>0</v>
      </c>
      <c r="BI46" s="139">
        <f t="shared" si="46"/>
        <v>0</v>
      </c>
      <c r="BJ46" s="139">
        <f t="shared" si="83"/>
        <v>5135435.3180725761</v>
      </c>
      <c r="BK46" s="140">
        <f t="shared" si="75"/>
        <v>5253153.3183000004</v>
      </c>
      <c r="BL46" s="140">
        <f t="shared" si="47"/>
        <v>5253153.3183000004</v>
      </c>
      <c r="BM46" s="141">
        <f t="shared" si="48"/>
        <v>0.97760000000000002</v>
      </c>
      <c r="BN46" s="142">
        <f t="shared" ca="1" si="6"/>
        <v>0</v>
      </c>
      <c r="BO46" s="143">
        <f t="shared" ca="1" si="7"/>
        <v>0</v>
      </c>
      <c r="BP46" s="144" t="str">
        <f t="shared" si="8"/>
        <v>Uncapped</v>
      </c>
      <c r="BQ46" s="140">
        <f t="shared" ca="1" si="9"/>
        <v>0</v>
      </c>
      <c r="BR46" s="138" t="s">
        <v>700</v>
      </c>
      <c r="BS46" s="158">
        <v>0.3</v>
      </c>
      <c r="BT46" s="138" t="s">
        <v>211</v>
      </c>
      <c r="BU46" s="157" t="s">
        <v>210</v>
      </c>
      <c r="BV46" s="138">
        <v>241900.15499999997</v>
      </c>
      <c r="BW46" s="138">
        <v>280569.55499999999</v>
      </c>
      <c r="BX46" s="138"/>
      <c r="BY46" s="138"/>
      <c r="BZ46" s="138">
        <v>153571.9437004464</v>
      </c>
      <c r="CA46" s="138">
        <v>185627.81070033048</v>
      </c>
      <c r="CB46" s="138"/>
      <c r="CC46" s="138"/>
      <c r="CD46" s="138"/>
      <c r="CE46" s="138"/>
      <c r="CF46" s="138"/>
      <c r="CG46" s="138"/>
      <c r="CH46" s="139">
        <f t="shared" si="49"/>
        <v>153571.9437004464</v>
      </c>
      <c r="CI46" s="139">
        <f t="shared" si="49"/>
        <v>185627.81070033048</v>
      </c>
      <c r="CJ46" s="145">
        <f t="shared" si="49"/>
        <v>0</v>
      </c>
      <c r="CK46" s="139">
        <f t="shared" si="49"/>
        <v>0</v>
      </c>
      <c r="CL46" s="139">
        <f t="shared" si="10"/>
        <v>339199.75440077687</v>
      </c>
      <c r="CM46" s="139">
        <f t="shared" si="76"/>
        <v>522469.70999999996</v>
      </c>
      <c r="CN46" s="139">
        <f t="shared" si="50"/>
        <v>522469.70999999996</v>
      </c>
      <c r="CO46" s="141">
        <f t="shared" si="51"/>
        <v>0.6492</v>
      </c>
      <c r="CP46" s="142">
        <f t="shared" ca="1" si="52"/>
        <v>0</v>
      </c>
      <c r="CQ46" s="140">
        <f t="shared" ca="1" si="12"/>
        <v>0</v>
      </c>
      <c r="CR46" s="144" t="str">
        <f t="shared" si="53"/>
        <v>Uncapped</v>
      </c>
      <c r="CS46" s="140">
        <f t="shared" ca="1" si="13"/>
        <v>0</v>
      </c>
      <c r="CT46" s="138" t="s">
        <v>702</v>
      </c>
      <c r="CU46" s="146">
        <v>0.2</v>
      </c>
      <c r="CV46" s="138" t="s">
        <v>217</v>
      </c>
      <c r="CW46" s="138" t="s">
        <v>210</v>
      </c>
      <c r="CX46" s="138">
        <v>19653413.080999997</v>
      </c>
      <c r="CY46" s="138">
        <v>22848780.235100001</v>
      </c>
      <c r="CZ46" s="138"/>
      <c r="DA46" s="138"/>
      <c r="DB46" s="138">
        <v>19427532.107000571</v>
      </c>
      <c r="DC46" s="138">
        <v>22270538.357580002</v>
      </c>
      <c r="DD46" s="138"/>
      <c r="DE46" s="138"/>
      <c r="DF46" s="138"/>
      <c r="DG46" s="138"/>
      <c r="DH46" s="138"/>
      <c r="DI46" s="138"/>
      <c r="DJ46" s="139">
        <f t="shared" si="54"/>
        <v>19427532.107000571</v>
      </c>
      <c r="DK46" s="139">
        <f t="shared" si="54"/>
        <v>22270538.357580002</v>
      </c>
      <c r="DL46" s="139">
        <f t="shared" si="54"/>
        <v>0</v>
      </c>
      <c r="DM46" s="139">
        <f t="shared" si="54"/>
        <v>0</v>
      </c>
      <c r="DN46" s="139">
        <f t="shared" si="84"/>
        <v>41698070.464580573</v>
      </c>
      <c r="DO46" s="139">
        <f t="shared" si="77"/>
        <v>42502193.316100001</v>
      </c>
      <c r="DP46" s="139">
        <f t="shared" si="56"/>
        <v>42502193.316100001</v>
      </c>
      <c r="DQ46" s="141">
        <f t="shared" si="57"/>
        <v>0.98109999999999997</v>
      </c>
      <c r="DR46" s="142">
        <f t="shared" ca="1" si="15"/>
        <v>0</v>
      </c>
      <c r="DS46" s="140">
        <f t="shared" ca="1" si="16"/>
        <v>0</v>
      </c>
      <c r="DT46" s="144" t="str">
        <f t="shared" si="58"/>
        <v>Uncapped</v>
      </c>
      <c r="DU46" s="140">
        <f t="shared" ca="1" si="17"/>
        <v>0</v>
      </c>
      <c r="DV46" s="138"/>
      <c r="DW46" s="146">
        <v>0</v>
      </c>
      <c r="DX46" s="138"/>
      <c r="DY46" s="138"/>
      <c r="DZ46" s="138">
        <v>0</v>
      </c>
      <c r="EA46" s="138">
        <v>0</v>
      </c>
      <c r="EB46" s="138">
        <v>0</v>
      </c>
      <c r="EC46" s="138">
        <v>0</v>
      </c>
      <c r="ED46" s="138">
        <v>0</v>
      </c>
      <c r="EE46" s="138">
        <v>0</v>
      </c>
      <c r="EF46" s="138"/>
      <c r="EG46" s="138"/>
      <c r="EH46" s="138"/>
      <c r="EI46" s="138"/>
      <c r="EJ46" s="138"/>
      <c r="EK46" s="138"/>
      <c r="EL46" s="139">
        <f t="shared" si="59"/>
        <v>0</v>
      </c>
      <c r="EM46" s="139">
        <f t="shared" si="59"/>
        <v>0</v>
      </c>
      <c r="EN46" s="139">
        <f t="shared" si="59"/>
        <v>0</v>
      </c>
      <c r="EO46" s="139">
        <f t="shared" si="59"/>
        <v>0</v>
      </c>
      <c r="EP46" s="139">
        <f t="shared" si="18"/>
        <v>0</v>
      </c>
      <c r="EQ46" s="139">
        <f t="shared" si="78"/>
        <v>0</v>
      </c>
      <c r="ER46" s="139">
        <f t="shared" si="60"/>
        <v>0</v>
      </c>
      <c r="ES46" s="141">
        <f t="shared" si="61"/>
        <v>0</v>
      </c>
      <c r="ET46" s="142">
        <f t="shared" ca="1" si="62"/>
        <v>0</v>
      </c>
      <c r="EU46" s="140">
        <f t="shared" ca="1" si="20"/>
        <v>0</v>
      </c>
      <c r="EV46" s="144" t="str">
        <f t="shared" si="21"/>
        <v>Uncapped</v>
      </c>
      <c r="EW46" s="140">
        <f t="shared" ca="1" si="22"/>
        <v>0</v>
      </c>
      <c r="EX46" s="137">
        <f t="shared" ca="1" si="23"/>
        <v>0</v>
      </c>
      <c r="EY46" s="139">
        <f t="shared" ca="1" si="63"/>
        <v>0</v>
      </c>
      <c r="EZ46" s="140">
        <v>0</v>
      </c>
      <c r="FA46" s="140"/>
      <c r="FB46" s="140"/>
      <c r="FC46" s="140">
        <v>0</v>
      </c>
      <c r="FD46" s="140">
        <f t="shared" si="79"/>
        <v>0</v>
      </c>
      <c r="FE46" s="139">
        <f t="shared" si="87"/>
        <v>0</v>
      </c>
      <c r="FF46" s="140">
        <v>0</v>
      </c>
      <c r="FG46" s="140">
        <v>0</v>
      </c>
      <c r="FH46" s="140">
        <v>0</v>
      </c>
      <c r="FI46" s="140">
        <v>0</v>
      </c>
      <c r="FJ46" s="140">
        <f t="shared" si="80"/>
        <v>0</v>
      </c>
      <c r="FK46" s="139">
        <f t="shared" si="88"/>
        <v>0</v>
      </c>
      <c r="FL46" s="138"/>
      <c r="FM46" s="136"/>
      <c r="FN46" s="136"/>
      <c r="FO46" s="136"/>
      <c r="FP46" s="140">
        <f t="shared" si="28"/>
        <v>0</v>
      </c>
      <c r="FQ46" s="140"/>
      <c r="FR46" s="140"/>
      <c r="FS46" s="140"/>
      <c r="FT46" s="139">
        <f t="shared" si="64"/>
        <v>0</v>
      </c>
      <c r="FU46" s="365">
        <f t="shared" ca="1" si="66"/>
        <v>0</v>
      </c>
      <c r="FV46" s="147">
        <f t="shared" ca="1" si="65"/>
        <v>0</v>
      </c>
      <c r="FW46" s="139">
        <f t="shared" si="70"/>
        <v>0</v>
      </c>
      <c r="FX46" s="139">
        <f t="shared" si="70"/>
        <v>0</v>
      </c>
      <c r="FY46" s="139">
        <f t="shared" si="70"/>
        <v>0</v>
      </c>
      <c r="FZ46" s="139">
        <f t="shared" si="70"/>
        <v>0</v>
      </c>
      <c r="GA46" s="139">
        <f t="shared" si="30"/>
        <v>0</v>
      </c>
      <c r="GB46" s="139">
        <f t="shared" si="71"/>
        <v>0</v>
      </c>
      <c r="GC46" s="139">
        <f t="shared" si="71"/>
        <v>0</v>
      </c>
      <c r="GD46" s="139">
        <f t="shared" si="71"/>
        <v>0</v>
      </c>
      <c r="GE46" s="139">
        <f t="shared" si="71"/>
        <v>0</v>
      </c>
      <c r="GF46" s="139">
        <f t="shared" si="72"/>
        <v>0</v>
      </c>
      <c r="GG46" s="139">
        <f t="shared" si="72"/>
        <v>0</v>
      </c>
      <c r="GH46" s="139">
        <f t="shared" si="72"/>
        <v>0</v>
      </c>
      <c r="GI46" s="139">
        <f t="shared" si="72"/>
        <v>0</v>
      </c>
      <c r="GJ46" s="140">
        <f t="shared" si="81"/>
        <v>0</v>
      </c>
      <c r="GK46" s="139">
        <f t="shared" si="34"/>
        <v>0</v>
      </c>
      <c r="GL46" s="139">
        <f t="shared" si="35"/>
        <v>0</v>
      </c>
      <c r="GM46" s="139">
        <f t="shared" si="36"/>
        <v>0</v>
      </c>
      <c r="GN46" s="139">
        <f t="shared" si="37"/>
        <v>0</v>
      </c>
      <c r="GO46" s="139">
        <f t="shared" si="38"/>
        <v>0</v>
      </c>
      <c r="GP46" s="139">
        <f t="shared" si="39"/>
        <v>0</v>
      </c>
      <c r="GQ46" s="139">
        <f t="shared" si="40"/>
        <v>0</v>
      </c>
      <c r="GR46" s="409"/>
      <c r="GS46" s="148">
        <f t="shared" si="85"/>
        <v>47172705.537053928</v>
      </c>
      <c r="GT46" s="148">
        <f t="shared" si="85"/>
        <v>48277816.344400004</v>
      </c>
      <c r="GU46" s="149">
        <f t="shared" si="42"/>
        <v>0.97710934563687524</v>
      </c>
      <c r="GV46" s="150">
        <f t="shared" ca="1" si="43"/>
        <v>0</v>
      </c>
      <c r="GW46" s="150">
        <v>0</v>
      </c>
      <c r="GX46" s="151">
        <f t="shared" ca="1" si="44"/>
        <v>0</v>
      </c>
      <c r="GY46" s="100"/>
    </row>
    <row r="47" spans="1:207" s="163" customFormat="1" ht="15" hidden="1" customHeight="1">
      <c r="A47" s="129"/>
      <c r="B47" s="130"/>
      <c r="C47" s="130"/>
      <c r="D47" s="131"/>
      <c r="E47" s="131" t="s">
        <v>256</v>
      </c>
      <c r="F47" s="169" t="s">
        <v>256</v>
      </c>
      <c r="G47" s="131" t="s">
        <v>226</v>
      </c>
      <c r="H47" s="132" t="s">
        <v>332</v>
      </c>
      <c r="I47" s="133" t="s">
        <v>333</v>
      </c>
      <c r="J47" s="131" t="s">
        <v>212</v>
      </c>
      <c r="K47" s="131" t="s">
        <v>208</v>
      </c>
      <c r="L47" s="131" t="s">
        <v>223</v>
      </c>
      <c r="M47" s="131" t="s">
        <v>256</v>
      </c>
      <c r="N47" s="134"/>
      <c r="O47" s="155">
        <v>42562</v>
      </c>
      <c r="P47" s="155">
        <v>43191</v>
      </c>
      <c r="Q47" s="321">
        <f t="shared" si="0"/>
        <v>0</v>
      </c>
      <c r="R47" s="109">
        <f>IF((P47-VLOOKUP(Q47,month!$A$1:$C$13,3,0))&lt;0,Q47,Q47+1)</f>
        <v>0</v>
      </c>
      <c r="S47" s="108"/>
      <c r="T47" s="135" t="str">
        <f t="shared" si="67"/>
        <v/>
      </c>
      <c r="U47" s="134"/>
      <c r="V47" s="134"/>
      <c r="W47" s="134"/>
      <c r="X47" s="134"/>
      <c r="Y47" s="383"/>
      <c r="Z47" s="383" t="s">
        <v>545</v>
      </c>
      <c r="AA47" s="371">
        <v>1000</v>
      </c>
      <c r="AB47" s="371">
        <v>1000</v>
      </c>
      <c r="AC47" s="371">
        <v>1000</v>
      </c>
      <c r="AD47" s="371">
        <v>1000</v>
      </c>
      <c r="AE47" s="371">
        <v>1000</v>
      </c>
      <c r="AF47" s="371">
        <v>1000</v>
      </c>
      <c r="AG47" s="371">
        <v>1000</v>
      </c>
      <c r="AH47" s="371">
        <v>1000</v>
      </c>
      <c r="AI47" s="371">
        <v>1000</v>
      </c>
      <c r="AJ47" s="371">
        <v>1000</v>
      </c>
      <c r="AK47" s="371">
        <v>1000</v>
      </c>
      <c r="AL47" s="371">
        <v>1000</v>
      </c>
      <c r="AM47" s="384">
        <f t="shared" si="74"/>
        <v>12000</v>
      </c>
      <c r="AN47" s="384">
        <f t="shared" si="3"/>
        <v>12000</v>
      </c>
      <c r="AO47" s="385">
        <f t="shared" si="86"/>
        <v>1000</v>
      </c>
      <c r="AP47" s="497" t="s">
        <v>676</v>
      </c>
      <c r="AQ47" s="156">
        <v>0.6</v>
      </c>
      <c r="AR47" s="157" t="s">
        <v>211</v>
      </c>
      <c r="AS47" s="146" t="s">
        <v>210</v>
      </c>
      <c r="AT47" s="136">
        <v>6650900</v>
      </c>
      <c r="AU47" s="136">
        <v>7954900</v>
      </c>
      <c r="AV47" s="136">
        <v>8628329</v>
      </c>
      <c r="AW47" s="136">
        <v>10373410</v>
      </c>
      <c r="AX47" s="138">
        <v>6915282.3080999181</v>
      </c>
      <c r="AY47" s="138">
        <v>7920401.2478999048</v>
      </c>
      <c r="AZ47" s="138">
        <v>8011755.53880296</v>
      </c>
      <c r="BA47" s="138"/>
      <c r="BB47" s="138"/>
      <c r="BC47" s="138"/>
      <c r="BD47" s="138"/>
      <c r="BE47" s="138"/>
      <c r="BF47" s="139">
        <f t="shared" si="46"/>
        <v>6915282.3080999181</v>
      </c>
      <c r="BG47" s="139">
        <f t="shared" si="46"/>
        <v>7920401.2478999048</v>
      </c>
      <c r="BH47" s="139">
        <f t="shared" si="46"/>
        <v>8011755.53880296</v>
      </c>
      <c r="BI47" s="139">
        <f t="shared" si="46"/>
        <v>0</v>
      </c>
      <c r="BJ47" s="139">
        <f t="shared" si="83"/>
        <v>22847439.094802782</v>
      </c>
      <c r="BK47" s="140">
        <f t="shared" si="75"/>
        <v>33607539</v>
      </c>
      <c r="BL47" s="140">
        <f t="shared" si="47"/>
        <v>33607539</v>
      </c>
      <c r="BM47" s="141">
        <f t="shared" si="48"/>
        <v>0.67979999999999996</v>
      </c>
      <c r="BN47" s="142">
        <f t="shared" ca="1" si="6"/>
        <v>0</v>
      </c>
      <c r="BO47" s="143">
        <f t="shared" ca="1" si="7"/>
        <v>0</v>
      </c>
      <c r="BP47" s="144" t="str">
        <f t="shared" si="8"/>
        <v>Uncapped</v>
      </c>
      <c r="BQ47" s="140">
        <f t="shared" ca="1" si="9"/>
        <v>0</v>
      </c>
      <c r="BR47" s="138" t="s">
        <v>688</v>
      </c>
      <c r="BS47" s="158">
        <v>0.2</v>
      </c>
      <c r="BT47" s="138" t="s">
        <v>211</v>
      </c>
      <c r="BU47" s="157" t="s">
        <v>210</v>
      </c>
      <c r="BV47" s="138">
        <v>19653413.080999997</v>
      </c>
      <c r="BW47" s="138">
        <v>22848780.235100001</v>
      </c>
      <c r="BX47" s="138">
        <v>22618799.574099999</v>
      </c>
      <c r="BY47" s="138">
        <v>27098464.121500004</v>
      </c>
      <c r="BZ47" s="138">
        <v>19427532.107000571</v>
      </c>
      <c r="CA47" s="138">
        <v>22270538.357580002</v>
      </c>
      <c r="CB47" s="138">
        <v>22879083.486580007</v>
      </c>
      <c r="CC47" s="138"/>
      <c r="CD47" s="138"/>
      <c r="CE47" s="138"/>
      <c r="CF47" s="138"/>
      <c r="CG47" s="138"/>
      <c r="CH47" s="139">
        <f t="shared" si="49"/>
        <v>19427532.107000571</v>
      </c>
      <c r="CI47" s="139">
        <f t="shared" si="49"/>
        <v>22270538.357580002</v>
      </c>
      <c r="CJ47" s="145">
        <f t="shared" si="49"/>
        <v>22879083.486580007</v>
      </c>
      <c r="CK47" s="139">
        <f t="shared" si="49"/>
        <v>0</v>
      </c>
      <c r="CL47" s="139">
        <f t="shared" si="10"/>
        <v>64577153.95116058</v>
      </c>
      <c r="CM47" s="139">
        <f t="shared" si="76"/>
        <v>92219457.011700004</v>
      </c>
      <c r="CN47" s="139">
        <f t="shared" si="50"/>
        <v>92219457.011700004</v>
      </c>
      <c r="CO47" s="141">
        <f t="shared" si="51"/>
        <v>0.70030000000000003</v>
      </c>
      <c r="CP47" s="142">
        <f t="shared" ca="1" si="52"/>
        <v>0</v>
      </c>
      <c r="CQ47" s="140">
        <f t="shared" ca="1" si="12"/>
        <v>0</v>
      </c>
      <c r="CR47" s="144" t="str">
        <f t="shared" si="53"/>
        <v>Uncapped</v>
      </c>
      <c r="CS47" s="140">
        <f t="shared" ca="1" si="13"/>
        <v>0</v>
      </c>
      <c r="CT47" s="138" t="s">
        <v>696</v>
      </c>
      <c r="CU47" s="146">
        <v>0.2</v>
      </c>
      <c r="CV47" s="138" t="s">
        <v>217</v>
      </c>
      <c r="CW47" s="138" t="s">
        <v>210</v>
      </c>
      <c r="CX47" s="138">
        <v>61881722.047854595</v>
      </c>
      <c r="CY47" s="138">
        <v>72180793.063260496</v>
      </c>
      <c r="CZ47" s="138">
        <v>69179032.514420599</v>
      </c>
      <c r="DA47" s="138">
        <v>76323964.015026003</v>
      </c>
      <c r="DB47" s="138">
        <v>63657388.730680585</v>
      </c>
      <c r="DC47" s="138">
        <v>65995192.891159989</v>
      </c>
      <c r="DD47" s="138">
        <v>66410604.684560001</v>
      </c>
      <c r="DE47" s="138"/>
      <c r="DF47" s="138"/>
      <c r="DG47" s="138"/>
      <c r="DH47" s="138"/>
      <c r="DI47" s="138"/>
      <c r="DJ47" s="139">
        <f t="shared" si="54"/>
        <v>63657388.730680585</v>
      </c>
      <c r="DK47" s="139">
        <f t="shared" si="54"/>
        <v>65995192.891159989</v>
      </c>
      <c r="DL47" s="139">
        <f t="shared" si="54"/>
        <v>66410604.684560001</v>
      </c>
      <c r="DM47" s="139">
        <f t="shared" si="54"/>
        <v>0</v>
      </c>
      <c r="DN47" s="139">
        <f t="shared" si="84"/>
        <v>196063186.30640057</v>
      </c>
      <c r="DO47" s="139">
        <f t="shared" si="77"/>
        <v>279565511.6405617</v>
      </c>
      <c r="DP47" s="139">
        <f t="shared" si="56"/>
        <v>279565511.6405617</v>
      </c>
      <c r="DQ47" s="141">
        <f t="shared" si="57"/>
        <v>0.70130000000000003</v>
      </c>
      <c r="DR47" s="142">
        <f t="shared" ca="1" si="15"/>
        <v>0</v>
      </c>
      <c r="DS47" s="140">
        <f t="shared" ca="1" si="16"/>
        <v>0</v>
      </c>
      <c r="DT47" s="144" t="str">
        <f t="shared" si="58"/>
        <v>Uncapped</v>
      </c>
      <c r="DU47" s="140">
        <f t="shared" ca="1" si="17"/>
        <v>0</v>
      </c>
      <c r="DV47" s="138"/>
      <c r="DW47" s="146">
        <v>0</v>
      </c>
      <c r="DX47" s="138"/>
      <c r="DY47" s="138"/>
      <c r="DZ47" s="138">
        <v>0</v>
      </c>
      <c r="EA47" s="138">
        <v>0</v>
      </c>
      <c r="EB47" s="138">
        <v>0</v>
      </c>
      <c r="EC47" s="138">
        <v>0</v>
      </c>
      <c r="ED47" s="138">
        <v>0</v>
      </c>
      <c r="EE47" s="138">
        <v>0</v>
      </c>
      <c r="EF47" s="138"/>
      <c r="EG47" s="138"/>
      <c r="EH47" s="138"/>
      <c r="EI47" s="138"/>
      <c r="EJ47" s="138"/>
      <c r="EK47" s="138"/>
      <c r="EL47" s="139">
        <f t="shared" si="59"/>
        <v>0</v>
      </c>
      <c r="EM47" s="139">
        <f t="shared" si="59"/>
        <v>0</v>
      </c>
      <c r="EN47" s="139">
        <f t="shared" si="59"/>
        <v>0</v>
      </c>
      <c r="EO47" s="139">
        <f t="shared" si="59"/>
        <v>0</v>
      </c>
      <c r="EP47" s="139">
        <f t="shared" si="18"/>
        <v>0</v>
      </c>
      <c r="EQ47" s="139">
        <f t="shared" si="78"/>
        <v>0</v>
      </c>
      <c r="ER47" s="139">
        <f t="shared" si="60"/>
        <v>0</v>
      </c>
      <c r="ES47" s="141">
        <f t="shared" si="61"/>
        <v>0</v>
      </c>
      <c r="ET47" s="142">
        <f t="shared" ca="1" si="62"/>
        <v>0</v>
      </c>
      <c r="EU47" s="140">
        <f t="shared" ca="1" si="20"/>
        <v>0</v>
      </c>
      <c r="EV47" s="144" t="str">
        <f t="shared" si="21"/>
        <v>Uncapped</v>
      </c>
      <c r="EW47" s="140">
        <f t="shared" ca="1" si="22"/>
        <v>0</v>
      </c>
      <c r="EX47" s="137">
        <f t="shared" ca="1" si="23"/>
        <v>0</v>
      </c>
      <c r="EY47" s="139">
        <f t="shared" ca="1" si="63"/>
        <v>0</v>
      </c>
      <c r="EZ47" s="140">
        <v>0</v>
      </c>
      <c r="FA47" s="140"/>
      <c r="FB47" s="140"/>
      <c r="FC47" s="140">
        <v>0</v>
      </c>
      <c r="FD47" s="140">
        <f t="shared" si="79"/>
        <v>0</v>
      </c>
      <c r="FE47" s="139">
        <f t="shared" si="87"/>
        <v>0</v>
      </c>
      <c r="FF47" s="140">
        <v>0</v>
      </c>
      <c r="FG47" s="140">
        <v>0</v>
      </c>
      <c r="FH47" s="140">
        <v>0</v>
      </c>
      <c r="FI47" s="140">
        <v>0</v>
      </c>
      <c r="FJ47" s="140">
        <f t="shared" si="80"/>
        <v>0</v>
      </c>
      <c r="FK47" s="139">
        <f t="shared" si="88"/>
        <v>0</v>
      </c>
      <c r="FL47" s="138"/>
      <c r="FM47" s="136"/>
      <c r="FN47" s="136"/>
      <c r="FO47" s="136"/>
      <c r="FP47" s="140">
        <f t="shared" si="28"/>
        <v>0</v>
      </c>
      <c r="FQ47" s="140"/>
      <c r="FR47" s="140"/>
      <c r="FS47" s="140"/>
      <c r="FT47" s="139">
        <f t="shared" si="64"/>
        <v>0</v>
      </c>
      <c r="FU47" s="365">
        <f t="shared" ca="1" si="66"/>
        <v>0</v>
      </c>
      <c r="FV47" s="147">
        <f t="shared" ca="1" si="65"/>
        <v>0</v>
      </c>
      <c r="FW47" s="139">
        <f t="shared" si="70"/>
        <v>0</v>
      </c>
      <c r="FX47" s="139">
        <f t="shared" si="70"/>
        <v>0</v>
      </c>
      <c r="FY47" s="139">
        <f t="shared" si="70"/>
        <v>0</v>
      </c>
      <c r="FZ47" s="139">
        <f t="shared" si="70"/>
        <v>0</v>
      </c>
      <c r="GA47" s="139">
        <f t="shared" si="30"/>
        <v>0</v>
      </c>
      <c r="GB47" s="139">
        <f t="shared" si="71"/>
        <v>0</v>
      </c>
      <c r="GC47" s="139">
        <f t="shared" si="71"/>
        <v>0</v>
      </c>
      <c r="GD47" s="139">
        <f t="shared" si="71"/>
        <v>0</v>
      </c>
      <c r="GE47" s="139">
        <f t="shared" si="71"/>
        <v>0</v>
      </c>
      <c r="GF47" s="139">
        <f t="shared" si="72"/>
        <v>0</v>
      </c>
      <c r="GG47" s="139">
        <f t="shared" si="72"/>
        <v>0</v>
      </c>
      <c r="GH47" s="139">
        <f t="shared" si="72"/>
        <v>0</v>
      </c>
      <c r="GI47" s="139">
        <f t="shared" si="72"/>
        <v>0</v>
      </c>
      <c r="GJ47" s="140">
        <f t="shared" si="81"/>
        <v>0</v>
      </c>
      <c r="GK47" s="139">
        <f t="shared" si="34"/>
        <v>0</v>
      </c>
      <c r="GL47" s="139">
        <f t="shared" si="35"/>
        <v>0</v>
      </c>
      <c r="GM47" s="139">
        <f t="shared" si="36"/>
        <v>0</v>
      </c>
      <c r="GN47" s="139">
        <f t="shared" si="37"/>
        <v>0</v>
      </c>
      <c r="GO47" s="139">
        <f t="shared" si="38"/>
        <v>0</v>
      </c>
      <c r="GP47" s="139">
        <f t="shared" si="39"/>
        <v>0</v>
      </c>
      <c r="GQ47" s="139">
        <f t="shared" si="40"/>
        <v>0</v>
      </c>
      <c r="GR47" s="409"/>
      <c r="GS47" s="148">
        <f t="shared" si="85"/>
        <v>283487779.35236394</v>
      </c>
      <c r="GT47" s="148">
        <f t="shared" si="85"/>
        <v>405392507.65226173</v>
      </c>
      <c r="GU47" s="149">
        <f t="shared" si="42"/>
        <v>0.69929210333491054</v>
      </c>
      <c r="GV47" s="150">
        <f t="shared" ca="1" si="43"/>
        <v>0</v>
      </c>
      <c r="GW47" s="150">
        <v>0</v>
      </c>
      <c r="GX47" s="151">
        <f t="shared" ca="1" si="44"/>
        <v>0</v>
      </c>
      <c r="GY47" s="100"/>
    </row>
    <row r="48" spans="1:207" s="125" customFormat="1" ht="15" hidden="1" customHeight="1">
      <c r="A48" s="102"/>
      <c r="B48" s="103"/>
      <c r="C48" s="103"/>
      <c r="D48" s="104"/>
      <c r="E48" s="104" t="s">
        <v>256</v>
      </c>
      <c r="F48" s="104" t="s">
        <v>256</v>
      </c>
      <c r="G48" s="104" t="s">
        <v>226</v>
      </c>
      <c r="H48" s="105" t="s">
        <v>334</v>
      </c>
      <c r="I48" s="106" t="s">
        <v>335</v>
      </c>
      <c r="J48" s="104" t="s">
        <v>212</v>
      </c>
      <c r="K48" s="104" t="s">
        <v>208</v>
      </c>
      <c r="L48" s="104" t="s">
        <v>223</v>
      </c>
      <c r="M48" s="104" t="s">
        <v>256</v>
      </c>
      <c r="N48" s="107"/>
      <c r="O48" s="108">
        <v>42737</v>
      </c>
      <c r="P48" s="108">
        <v>42737</v>
      </c>
      <c r="Q48" s="322">
        <f t="shared" si="0"/>
        <v>0</v>
      </c>
      <c r="R48" s="109">
        <f>IF((P48-VLOOKUP(Q48,month!$A$1:$C$13,3,0))&lt;0,Q48,Q48+1)</f>
        <v>0</v>
      </c>
      <c r="S48" s="108"/>
      <c r="T48" s="127" t="str">
        <f t="shared" si="67"/>
        <v/>
      </c>
      <c r="U48" s="107"/>
      <c r="V48" s="107"/>
      <c r="W48" s="107"/>
      <c r="X48" s="107"/>
      <c r="Y48" s="386"/>
      <c r="Z48" s="386" t="s">
        <v>545</v>
      </c>
      <c r="AA48" s="387">
        <v>1000</v>
      </c>
      <c r="AB48" s="387">
        <v>1000</v>
      </c>
      <c r="AC48" s="387">
        <v>1000</v>
      </c>
      <c r="AD48" s="387">
        <v>1000</v>
      </c>
      <c r="AE48" s="387">
        <v>1000</v>
      </c>
      <c r="AF48" s="387">
        <v>1000</v>
      </c>
      <c r="AG48" s="387">
        <v>1000</v>
      </c>
      <c r="AH48" s="387">
        <v>1000</v>
      </c>
      <c r="AI48" s="387">
        <v>1000</v>
      </c>
      <c r="AJ48" s="387">
        <v>1000</v>
      </c>
      <c r="AK48" s="387">
        <v>1000</v>
      </c>
      <c r="AL48" s="387">
        <v>1000</v>
      </c>
      <c r="AM48" s="388">
        <f t="shared" si="74"/>
        <v>12000</v>
      </c>
      <c r="AN48" s="388">
        <f t="shared" si="3"/>
        <v>12000</v>
      </c>
      <c r="AO48" s="389">
        <f t="shared" si="86"/>
        <v>1000</v>
      </c>
      <c r="AP48" s="498" t="s">
        <v>676</v>
      </c>
      <c r="AQ48" s="159">
        <v>0.6</v>
      </c>
      <c r="AR48" s="160" t="s">
        <v>211</v>
      </c>
      <c r="AS48" s="119" t="s">
        <v>210</v>
      </c>
      <c r="AT48" s="111">
        <v>1429700</v>
      </c>
      <c r="AU48" s="111">
        <v>1766500</v>
      </c>
      <c r="AV48" s="111">
        <v>1628400</v>
      </c>
      <c r="AW48" s="111">
        <v>1954100</v>
      </c>
      <c r="AX48" s="113">
        <v>1731934.5723000003</v>
      </c>
      <c r="AY48" s="113">
        <v>1961011.0872000034</v>
      </c>
      <c r="AZ48" s="113">
        <v>1786147.4393999951</v>
      </c>
      <c r="BA48" s="113"/>
      <c r="BB48" s="113"/>
      <c r="BC48" s="113"/>
      <c r="BD48" s="113"/>
      <c r="BE48" s="113"/>
      <c r="BF48" s="114">
        <f t="shared" si="46"/>
        <v>1731934.5723000003</v>
      </c>
      <c r="BG48" s="114">
        <f t="shared" si="46"/>
        <v>1961011.0872000034</v>
      </c>
      <c r="BH48" s="114">
        <f t="shared" si="46"/>
        <v>1786147.4393999951</v>
      </c>
      <c r="BI48" s="114">
        <f t="shared" si="46"/>
        <v>0</v>
      </c>
      <c r="BJ48" s="114">
        <f t="shared" si="83"/>
        <v>5479093.0988999987</v>
      </c>
      <c r="BK48" s="115">
        <f t="shared" si="75"/>
        <v>6778700</v>
      </c>
      <c r="BL48" s="115">
        <f t="shared" si="47"/>
        <v>6778700</v>
      </c>
      <c r="BM48" s="116">
        <f t="shared" si="48"/>
        <v>0.80830000000000002</v>
      </c>
      <c r="BN48" s="126">
        <f t="shared" ca="1" si="6"/>
        <v>0</v>
      </c>
      <c r="BO48" s="117">
        <f t="shared" ca="1" si="7"/>
        <v>0</v>
      </c>
      <c r="BP48" s="118" t="str">
        <f t="shared" si="8"/>
        <v>Uncapped</v>
      </c>
      <c r="BQ48" s="115">
        <f t="shared" ca="1" si="9"/>
        <v>0</v>
      </c>
      <c r="BR48" s="113" t="s">
        <v>688</v>
      </c>
      <c r="BS48" s="161">
        <v>0.2</v>
      </c>
      <c r="BT48" s="113" t="s">
        <v>211</v>
      </c>
      <c r="BU48" s="160" t="s">
        <v>210</v>
      </c>
      <c r="BV48" s="113">
        <v>19653413.080999997</v>
      </c>
      <c r="BW48" s="113">
        <v>22848780.235100001</v>
      </c>
      <c r="BX48" s="113">
        <v>22618799.574099999</v>
      </c>
      <c r="BY48" s="113">
        <v>27098464.121500004</v>
      </c>
      <c r="BZ48" s="113">
        <v>19427532.107000571</v>
      </c>
      <c r="CA48" s="113">
        <v>22270538.357580002</v>
      </c>
      <c r="CB48" s="113">
        <v>22879083.486580007</v>
      </c>
      <c r="CC48" s="113"/>
      <c r="CD48" s="113"/>
      <c r="CE48" s="113"/>
      <c r="CF48" s="113"/>
      <c r="CG48" s="113"/>
      <c r="CH48" s="114">
        <f t="shared" si="49"/>
        <v>19427532.107000571</v>
      </c>
      <c r="CI48" s="114">
        <f t="shared" si="49"/>
        <v>22270538.357580002</v>
      </c>
      <c r="CJ48" s="120">
        <f t="shared" si="49"/>
        <v>22879083.486580007</v>
      </c>
      <c r="CK48" s="114">
        <f t="shared" si="49"/>
        <v>0</v>
      </c>
      <c r="CL48" s="114">
        <f t="shared" si="10"/>
        <v>64577153.95116058</v>
      </c>
      <c r="CM48" s="114">
        <f t="shared" si="76"/>
        <v>92219457.011700004</v>
      </c>
      <c r="CN48" s="114">
        <f t="shared" si="50"/>
        <v>92219457.011700004</v>
      </c>
      <c r="CO48" s="116">
        <f t="shared" si="51"/>
        <v>0.70030000000000003</v>
      </c>
      <c r="CP48" s="126">
        <f t="shared" ca="1" si="52"/>
        <v>0</v>
      </c>
      <c r="CQ48" s="115">
        <f t="shared" ca="1" si="12"/>
        <v>0</v>
      </c>
      <c r="CR48" s="118" t="str">
        <f t="shared" si="53"/>
        <v>Uncapped</v>
      </c>
      <c r="CS48" s="115">
        <f t="shared" ca="1" si="13"/>
        <v>0</v>
      </c>
      <c r="CT48" s="113" t="s">
        <v>696</v>
      </c>
      <c r="CU48" s="119">
        <v>0.2</v>
      </c>
      <c r="CV48" s="113" t="s">
        <v>217</v>
      </c>
      <c r="CW48" s="113" t="s">
        <v>210</v>
      </c>
      <c r="CX48" s="113">
        <v>61881722.047854595</v>
      </c>
      <c r="CY48" s="113">
        <v>72180793.063260496</v>
      </c>
      <c r="CZ48" s="113">
        <v>69179032.514420599</v>
      </c>
      <c r="DA48" s="113">
        <v>76323964.015026003</v>
      </c>
      <c r="DB48" s="113">
        <v>63657388.730680585</v>
      </c>
      <c r="DC48" s="113">
        <v>65995192.891159989</v>
      </c>
      <c r="DD48" s="113">
        <v>66410604.684560001</v>
      </c>
      <c r="DE48" s="113"/>
      <c r="DF48" s="113"/>
      <c r="DG48" s="113"/>
      <c r="DH48" s="113"/>
      <c r="DI48" s="113"/>
      <c r="DJ48" s="114">
        <f t="shared" si="54"/>
        <v>63657388.730680585</v>
      </c>
      <c r="DK48" s="114">
        <f t="shared" si="54"/>
        <v>65995192.891159989</v>
      </c>
      <c r="DL48" s="114">
        <f t="shared" si="54"/>
        <v>66410604.684560001</v>
      </c>
      <c r="DM48" s="114">
        <f t="shared" si="54"/>
        <v>0</v>
      </c>
      <c r="DN48" s="114">
        <f t="shared" si="84"/>
        <v>196063186.30640057</v>
      </c>
      <c r="DO48" s="114">
        <f t="shared" si="77"/>
        <v>279565511.6405617</v>
      </c>
      <c r="DP48" s="114">
        <f t="shared" si="56"/>
        <v>279565511.6405617</v>
      </c>
      <c r="DQ48" s="116">
        <f t="shared" si="57"/>
        <v>0.70130000000000003</v>
      </c>
      <c r="DR48" s="126">
        <f t="shared" ca="1" si="15"/>
        <v>0</v>
      </c>
      <c r="DS48" s="115">
        <f t="shared" ca="1" si="16"/>
        <v>0</v>
      </c>
      <c r="DT48" s="118" t="str">
        <f t="shared" si="58"/>
        <v>Uncapped</v>
      </c>
      <c r="DU48" s="115">
        <f t="shared" ca="1" si="17"/>
        <v>0</v>
      </c>
      <c r="DV48" s="113"/>
      <c r="DW48" s="119">
        <v>0</v>
      </c>
      <c r="DX48" s="113"/>
      <c r="DY48" s="113"/>
      <c r="DZ48" s="113">
        <v>0</v>
      </c>
      <c r="EA48" s="113">
        <v>0</v>
      </c>
      <c r="EB48" s="113">
        <v>0</v>
      </c>
      <c r="EC48" s="113">
        <v>0</v>
      </c>
      <c r="ED48" s="113">
        <v>0</v>
      </c>
      <c r="EE48" s="113">
        <v>0</v>
      </c>
      <c r="EF48" s="113"/>
      <c r="EG48" s="113"/>
      <c r="EH48" s="113"/>
      <c r="EI48" s="113"/>
      <c r="EJ48" s="113"/>
      <c r="EK48" s="113"/>
      <c r="EL48" s="114">
        <f t="shared" si="59"/>
        <v>0</v>
      </c>
      <c r="EM48" s="114">
        <f t="shared" si="59"/>
        <v>0</v>
      </c>
      <c r="EN48" s="114">
        <f t="shared" si="59"/>
        <v>0</v>
      </c>
      <c r="EO48" s="114">
        <f t="shared" si="59"/>
        <v>0</v>
      </c>
      <c r="EP48" s="114">
        <f t="shared" si="18"/>
        <v>0</v>
      </c>
      <c r="EQ48" s="114">
        <f t="shared" si="78"/>
        <v>0</v>
      </c>
      <c r="ER48" s="114">
        <f t="shared" si="60"/>
        <v>0</v>
      </c>
      <c r="ES48" s="116">
        <f t="shared" si="61"/>
        <v>0</v>
      </c>
      <c r="ET48" s="126">
        <f t="shared" ca="1" si="62"/>
        <v>0</v>
      </c>
      <c r="EU48" s="115">
        <f t="shared" ca="1" si="20"/>
        <v>0</v>
      </c>
      <c r="EV48" s="118" t="str">
        <f t="shared" si="21"/>
        <v>Uncapped</v>
      </c>
      <c r="EW48" s="115">
        <f t="shared" ca="1" si="22"/>
        <v>0</v>
      </c>
      <c r="EX48" s="112">
        <f t="shared" ca="1" si="23"/>
        <v>0</v>
      </c>
      <c r="EY48" s="114">
        <f t="shared" ca="1" si="63"/>
        <v>0</v>
      </c>
      <c r="EZ48" s="115">
        <v>0</v>
      </c>
      <c r="FA48" s="115"/>
      <c r="FB48" s="115"/>
      <c r="FC48" s="115">
        <v>0</v>
      </c>
      <c r="FD48" s="115">
        <f t="shared" si="79"/>
        <v>0</v>
      </c>
      <c r="FE48" s="114">
        <f t="shared" si="87"/>
        <v>0</v>
      </c>
      <c r="FF48" s="115">
        <v>0</v>
      </c>
      <c r="FG48" s="115">
        <v>0</v>
      </c>
      <c r="FH48" s="115">
        <v>0</v>
      </c>
      <c r="FI48" s="115">
        <v>0</v>
      </c>
      <c r="FJ48" s="115">
        <f t="shared" si="80"/>
        <v>0</v>
      </c>
      <c r="FK48" s="114">
        <f t="shared" si="88"/>
        <v>0</v>
      </c>
      <c r="FL48" s="113"/>
      <c r="FM48" s="111"/>
      <c r="FN48" s="111"/>
      <c r="FO48" s="111"/>
      <c r="FP48" s="115">
        <f t="shared" si="28"/>
        <v>0</v>
      </c>
      <c r="FQ48" s="115"/>
      <c r="FR48" s="115"/>
      <c r="FS48" s="115"/>
      <c r="FT48" s="114">
        <f t="shared" si="64"/>
        <v>0</v>
      </c>
      <c r="FU48" s="366">
        <f t="shared" ca="1" si="66"/>
        <v>0</v>
      </c>
      <c r="FV48" s="121">
        <f t="shared" ca="1" si="65"/>
        <v>0</v>
      </c>
      <c r="FW48" s="114">
        <f t="shared" si="70"/>
        <v>0</v>
      </c>
      <c r="FX48" s="114">
        <f t="shared" si="70"/>
        <v>0</v>
      </c>
      <c r="FY48" s="114">
        <f t="shared" si="70"/>
        <v>0</v>
      </c>
      <c r="FZ48" s="114">
        <f t="shared" si="70"/>
        <v>0</v>
      </c>
      <c r="GA48" s="114">
        <f t="shared" si="30"/>
        <v>0</v>
      </c>
      <c r="GB48" s="114">
        <f t="shared" si="71"/>
        <v>0</v>
      </c>
      <c r="GC48" s="114">
        <f t="shared" si="71"/>
        <v>0</v>
      </c>
      <c r="GD48" s="114">
        <f t="shared" si="71"/>
        <v>0</v>
      </c>
      <c r="GE48" s="114">
        <f t="shared" si="71"/>
        <v>0</v>
      </c>
      <c r="GF48" s="114">
        <f t="shared" si="72"/>
        <v>0</v>
      </c>
      <c r="GG48" s="114">
        <f t="shared" si="72"/>
        <v>0</v>
      </c>
      <c r="GH48" s="114">
        <f t="shared" si="72"/>
        <v>0</v>
      </c>
      <c r="GI48" s="114">
        <f t="shared" si="72"/>
        <v>0</v>
      </c>
      <c r="GJ48" s="115">
        <f t="shared" si="81"/>
        <v>0</v>
      </c>
      <c r="GK48" s="114">
        <f t="shared" si="34"/>
        <v>0</v>
      </c>
      <c r="GL48" s="114">
        <f t="shared" si="35"/>
        <v>0</v>
      </c>
      <c r="GM48" s="114">
        <f t="shared" si="36"/>
        <v>0</v>
      </c>
      <c r="GN48" s="114">
        <f t="shared" si="37"/>
        <v>0</v>
      </c>
      <c r="GO48" s="114">
        <f t="shared" si="38"/>
        <v>0</v>
      </c>
      <c r="GP48" s="114">
        <f t="shared" si="39"/>
        <v>0</v>
      </c>
      <c r="GQ48" s="114">
        <f t="shared" si="40"/>
        <v>0</v>
      </c>
      <c r="GR48" s="193"/>
      <c r="GS48" s="122">
        <f t="shared" si="85"/>
        <v>266119433.35646117</v>
      </c>
      <c r="GT48" s="122">
        <f t="shared" si="85"/>
        <v>378563668.65226173</v>
      </c>
      <c r="GU48" s="123">
        <f t="shared" si="42"/>
        <v>0.70297140320908935</v>
      </c>
      <c r="GV48" s="124">
        <f t="shared" ca="1" si="43"/>
        <v>0</v>
      </c>
      <c r="GW48" s="124">
        <v>0</v>
      </c>
      <c r="GX48" s="32">
        <f t="shared" ca="1" si="44"/>
        <v>0</v>
      </c>
      <c r="GY48" s="100"/>
    </row>
    <row r="49" spans="1:207" s="125" customFormat="1" ht="15" hidden="1" customHeight="1">
      <c r="A49" s="102"/>
      <c r="B49" s="103"/>
      <c r="C49" s="103"/>
      <c r="D49" s="104"/>
      <c r="E49" s="104" t="s">
        <v>256</v>
      </c>
      <c r="F49" s="104" t="s">
        <v>256</v>
      </c>
      <c r="G49" s="104" t="s">
        <v>226</v>
      </c>
      <c r="H49" s="105" t="s">
        <v>336</v>
      </c>
      <c r="I49" s="106" t="s">
        <v>337</v>
      </c>
      <c r="J49" s="104" t="s">
        <v>212</v>
      </c>
      <c r="K49" s="104" t="s">
        <v>208</v>
      </c>
      <c r="L49" s="104" t="s">
        <v>223</v>
      </c>
      <c r="M49" s="104" t="s">
        <v>256</v>
      </c>
      <c r="N49" s="107"/>
      <c r="O49" s="108">
        <v>42737</v>
      </c>
      <c r="P49" s="108">
        <v>42737</v>
      </c>
      <c r="Q49" s="322">
        <f t="shared" si="0"/>
        <v>0</v>
      </c>
      <c r="R49" s="109">
        <f>IF((P49-VLOOKUP(Q49,month!$A$1:$C$13,3,0))&lt;0,Q49,Q49+1)</f>
        <v>0</v>
      </c>
      <c r="S49" s="108"/>
      <c r="T49" s="127" t="str">
        <f t="shared" si="67"/>
        <v/>
      </c>
      <c r="U49" s="107"/>
      <c r="V49" s="107"/>
      <c r="W49" s="107"/>
      <c r="X49" s="107"/>
      <c r="Y49" s="386"/>
      <c r="Z49" s="386" t="s">
        <v>545</v>
      </c>
      <c r="AA49" s="387">
        <v>1000</v>
      </c>
      <c r="AB49" s="387">
        <v>1000</v>
      </c>
      <c r="AC49" s="387">
        <v>1000</v>
      </c>
      <c r="AD49" s="387">
        <v>1000</v>
      </c>
      <c r="AE49" s="387">
        <v>1000</v>
      </c>
      <c r="AF49" s="387">
        <v>1000</v>
      </c>
      <c r="AG49" s="387">
        <v>1000</v>
      </c>
      <c r="AH49" s="387">
        <v>1000</v>
      </c>
      <c r="AI49" s="387">
        <v>1000</v>
      </c>
      <c r="AJ49" s="387">
        <v>1000</v>
      </c>
      <c r="AK49" s="387">
        <v>1000</v>
      </c>
      <c r="AL49" s="387">
        <v>1000</v>
      </c>
      <c r="AM49" s="388">
        <f t="shared" si="74"/>
        <v>12000</v>
      </c>
      <c r="AN49" s="388">
        <f t="shared" si="3"/>
        <v>12000</v>
      </c>
      <c r="AO49" s="389">
        <f t="shared" si="86"/>
        <v>1000</v>
      </c>
      <c r="AP49" s="498" t="s">
        <v>676</v>
      </c>
      <c r="AQ49" s="159">
        <v>0.6</v>
      </c>
      <c r="AR49" s="160" t="s">
        <v>211</v>
      </c>
      <c r="AS49" s="119" t="s">
        <v>210</v>
      </c>
      <c r="AT49" s="111">
        <v>3073100</v>
      </c>
      <c r="AU49" s="111">
        <v>3748400</v>
      </c>
      <c r="AV49" s="111">
        <v>3524300</v>
      </c>
      <c r="AW49" s="111">
        <v>4448100</v>
      </c>
      <c r="AX49" s="113">
        <v>3191079.17970001</v>
      </c>
      <c r="AY49" s="113">
        <v>3628733.7114000255</v>
      </c>
      <c r="AZ49" s="113">
        <v>3575801.9949030578</v>
      </c>
      <c r="BA49" s="113"/>
      <c r="BB49" s="113"/>
      <c r="BC49" s="113"/>
      <c r="BD49" s="113"/>
      <c r="BE49" s="113"/>
      <c r="BF49" s="114">
        <f t="shared" si="46"/>
        <v>3191079.17970001</v>
      </c>
      <c r="BG49" s="114">
        <f t="shared" si="46"/>
        <v>3628733.7114000255</v>
      </c>
      <c r="BH49" s="114">
        <f t="shared" si="46"/>
        <v>3575801.9949030578</v>
      </c>
      <c r="BI49" s="114">
        <f t="shared" si="46"/>
        <v>0</v>
      </c>
      <c r="BJ49" s="114">
        <f t="shared" si="83"/>
        <v>10395614.886003094</v>
      </c>
      <c r="BK49" s="115">
        <f t="shared" si="75"/>
        <v>14793900</v>
      </c>
      <c r="BL49" s="115">
        <f t="shared" si="47"/>
        <v>14793900</v>
      </c>
      <c r="BM49" s="116">
        <f t="shared" si="48"/>
        <v>0.70269999999999999</v>
      </c>
      <c r="BN49" s="126">
        <f t="shared" ca="1" si="6"/>
        <v>0</v>
      </c>
      <c r="BO49" s="117">
        <f t="shared" ca="1" si="7"/>
        <v>0</v>
      </c>
      <c r="BP49" s="118" t="str">
        <f t="shared" si="8"/>
        <v>Uncapped</v>
      </c>
      <c r="BQ49" s="115">
        <f t="shared" ca="1" si="9"/>
        <v>0</v>
      </c>
      <c r="BR49" s="113" t="s">
        <v>688</v>
      </c>
      <c r="BS49" s="161">
        <v>0.2</v>
      </c>
      <c r="BT49" s="113" t="s">
        <v>211</v>
      </c>
      <c r="BU49" s="160" t="s">
        <v>210</v>
      </c>
      <c r="BV49" s="113">
        <v>19653413.080999997</v>
      </c>
      <c r="BW49" s="113">
        <v>22848780.235100001</v>
      </c>
      <c r="BX49" s="113">
        <v>22618799.574099999</v>
      </c>
      <c r="BY49" s="113">
        <v>27098464.121500004</v>
      </c>
      <c r="BZ49" s="113">
        <v>19427532.107000571</v>
      </c>
      <c r="CA49" s="113">
        <v>22270538.357580002</v>
      </c>
      <c r="CB49" s="113">
        <v>22879083.486580007</v>
      </c>
      <c r="CC49" s="113"/>
      <c r="CD49" s="113"/>
      <c r="CE49" s="113"/>
      <c r="CF49" s="113"/>
      <c r="CG49" s="113"/>
      <c r="CH49" s="114">
        <f t="shared" si="49"/>
        <v>19427532.107000571</v>
      </c>
      <c r="CI49" s="114">
        <f t="shared" si="49"/>
        <v>22270538.357580002</v>
      </c>
      <c r="CJ49" s="120">
        <f t="shared" si="49"/>
        <v>22879083.486580007</v>
      </c>
      <c r="CK49" s="114">
        <f t="shared" si="49"/>
        <v>0</v>
      </c>
      <c r="CL49" s="114">
        <f t="shared" si="10"/>
        <v>64577153.95116058</v>
      </c>
      <c r="CM49" s="114">
        <f t="shared" si="76"/>
        <v>92219457.011700004</v>
      </c>
      <c r="CN49" s="114">
        <f t="shared" si="50"/>
        <v>92219457.011700004</v>
      </c>
      <c r="CO49" s="116">
        <f t="shared" si="51"/>
        <v>0.70030000000000003</v>
      </c>
      <c r="CP49" s="126">
        <f t="shared" ca="1" si="52"/>
        <v>0</v>
      </c>
      <c r="CQ49" s="115">
        <f t="shared" ca="1" si="12"/>
        <v>0</v>
      </c>
      <c r="CR49" s="118" t="str">
        <f t="shared" si="53"/>
        <v>Uncapped</v>
      </c>
      <c r="CS49" s="115">
        <f t="shared" ca="1" si="13"/>
        <v>0</v>
      </c>
      <c r="CT49" s="113" t="s">
        <v>696</v>
      </c>
      <c r="CU49" s="119">
        <v>0.2</v>
      </c>
      <c r="CV49" s="113" t="s">
        <v>217</v>
      </c>
      <c r="CW49" s="113" t="s">
        <v>210</v>
      </c>
      <c r="CX49" s="113">
        <v>61881722.047854595</v>
      </c>
      <c r="CY49" s="113">
        <v>72180793.063260496</v>
      </c>
      <c r="CZ49" s="113">
        <v>69179032.514420599</v>
      </c>
      <c r="DA49" s="113">
        <v>76323964.015026003</v>
      </c>
      <c r="DB49" s="113">
        <v>63657388.730680585</v>
      </c>
      <c r="DC49" s="113">
        <v>65995192.891159989</v>
      </c>
      <c r="DD49" s="113">
        <v>66410604.684560001</v>
      </c>
      <c r="DE49" s="113"/>
      <c r="DF49" s="113"/>
      <c r="DG49" s="113"/>
      <c r="DH49" s="113"/>
      <c r="DI49" s="113"/>
      <c r="DJ49" s="114">
        <f t="shared" si="54"/>
        <v>63657388.730680585</v>
      </c>
      <c r="DK49" s="114">
        <f t="shared" si="54"/>
        <v>65995192.891159989</v>
      </c>
      <c r="DL49" s="114">
        <f t="shared" si="54"/>
        <v>66410604.684560001</v>
      </c>
      <c r="DM49" s="114">
        <f t="shared" si="54"/>
        <v>0</v>
      </c>
      <c r="DN49" s="114">
        <f t="shared" si="84"/>
        <v>196063186.30640057</v>
      </c>
      <c r="DO49" s="114">
        <f t="shared" si="77"/>
        <v>279565511.6405617</v>
      </c>
      <c r="DP49" s="114">
        <f t="shared" si="56"/>
        <v>279565511.6405617</v>
      </c>
      <c r="DQ49" s="116">
        <f t="shared" si="57"/>
        <v>0.70130000000000003</v>
      </c>
      <c r="DR49" s="126">
        <f t="shared" ca="1" si="15"/>
        <v>0</v>
      </c>
      <c r="DS49" s="115">
        <f t="shared" ca="1" si="16"/>
        <v>0</v>
      </c>
      <c r="DT49" s="118" t="str">
        <f t="shared" si="58"/>
        <v>Uncapped</v>
      </c>
      <c r="DU49" s="115">
        <f t="shared" ca="1" si="17"/>
        <v>0</v>
      </c>
      <c r="DV49" s="113"/>
      <c r="DW49" s="119">
        <v>0</v>
      </c>
      <c r="DX49" s="113"/>
      <c r="DY49" s="113"/>
      <c r="DZ49" s="113">
        <v>0</v>
      </c>
      <c r="EA49" s="113">
        <v>0</v>
      </c>
      <c r="EB49" s="113">
        <v>0</v>
      </c>
      <c r="EC49" s="113">
        <v>0</v>
      </c>
      <c r="ED49" s="113">
        <v>0</v>
      </c>
      <c r="EE49" s="113">
        <v>0</v>
      </c>
      <c r="EF49" s="113"/>
      <c r="EG49" s="113"/>
      <c r="EH49" s="113"/>
      <c r="EI49" s="113"/>
      <c r="EJ49" s="113"/>
      <c r="EK49" s="113"/>
      <c r="EL49" s="114">
        <f t="shared" si="59"/>
        <v>0</v>
      </c>
      <c r="EM49" s="114">
        <f t="shared" si="59"/>
        <v>0</v>
      </c>
      <c r="EN49" s="114">
        <f t="shared" si="59"/>
        <v>0</v>
      </c>
      <c r="EO49" s="114">
        <f t="shared" si="59"/>
        <v>0</v>
      </c>
      <c r="EP49" s="114">
        <f t="shared" si="18"/>
        <v>0</v>
      </c>
      <c r="EQ49" s="114">
        <f t="shared" si="78"/>
        <v>0</v>
      </c>
      <c r="ER49" s="114">
        <f t="shared" si="60"/>
        <v>0</v>
      </c>
      <c r="ES49" s="116">
        <f t="shared" si="61"/>
        <v>0</v>
      </c>
      <c r="ET49" s="126">
        <f t="shared" ca="1" si="62"/>
        <v>0</v>
      </c>
      <c r="EU49" s="115">
        <f t="shared" ca="1" si="20"/>
        <v>0</v>
      </c>
      <c r="EV49" s="118" t="str">
        <f t="shared" si="21"/>
        <v>Uncapped</v>
      </c>
      <c r="EW49" s="115">
        <f t="shared" ca="1" si="22"/>
        <v>0</v>
      </c>
      <c r="EX49" s="112">
        <f t="shared" ca="1" si="23"/>
        <v>0</v>
      </c>
      <c r="EY49" s="114">
        <f t="shared" ca="1" si="63"/>
        <v>0</v>
      </c>
      <c r="EZ49" s="115">
        <v>0</v>
      </c>
      <c r="FA49" s="115">
        <v>807500</v>
      </c>
      <c r="FB49" s="115"/>
      <c r="FC49" s="115">
        <v>0</v>
      </c>
      <c r="FD49" s="115">
        <f t="shared" si="79"/>
        <v>807500</v>
      </c>
      <c r="FE49" s="114">
        <f t="shared" si="87"/>
        <v>0</v>
      </c>
      <c r="FF49" s="115">
        <v>0</v>
      </c>
      <c r="FG49" s="115">
        <v>0</v>
      </c>
      <c r="FH49" s="115">
        <v>0</v>
      </c>
      <c r="FI49" s="115">
        <v>0</v>
      </c>
      <c r="FJ49" s="115">
        <f t="shared" si="80"/>
        <v>0</v>
      </c>
      <c r="FK49" s="114">
        <f t="shared" si="88"/>
        <v>0</v>
      </c>
      <c r="FL49" s="113"/>
      <c r="FM49" s="111"/>
      <c r="FN49" s="111"/>
      <c r="FO49" s="111"/>
      <c r="FP49" s="115">
        <f t="shared" si="28"/>
        <v>0</v>
      </c>
      <c r="FQ49" s="115"/>
      <c r="FR49" s="115"/>
      <c r="FS49" s="115"/>
      <c r="FT49" s="114">
        <f t="shared" si="64"/>
        <v>0</v>
      </c>
      <c r="FU49" s="366">
        <f t="shared" ca="1" si="66"/>
        <v>807500</v>
      </c>
      <c r="FV49" s="121">
        <f t="shared" ca="1" si="65"/>
        <v>807500</v>
      </c>
      <c r="FW49" s="114">
        <f t="shared" si="70"/>
        <v>0</v>
      </c>
      <c r="FX49" s="114">
        <f t="shared" si="70"/>
        <v>0</v>
      </c>
      <c r="FY49" s="114">
        <f t="shared" si="70"/>
        <v>0</v>
      </c>
      <c r="FZ49" s="114">
        <f t="shared" si="70"/>
        <v>0</v>
      </c>
      <c r="GA49" s="114">
        <f t="shared" si="30"/>
        <v>0</v>
      </c>
      <c r="GB49" s="114">
        <f t="shared" si="71"/>
        <v>0</v>
      </c>
      <c r="GC49" s="114">
        <f t="shared" si="71"/>
        <v>807500</v>
      </c>
      <c r="GD49" s="114">
        <f t="shared" si="71"/>
        <v>0</v>
      </c>
      <c r="GE49" s="114">
        <f t="shared" si="71"/>
        <v>0</v>
      </c>
      <c r="GF49" s="114">
        <f t="shared" si="72"/>
        <v>0</v>
      </c>
      <c r="GG49" s="114">
        <f t="shared" si="72"/>
        <v>807500</v>
      </c>
      <c r="GH49" s="114">
        <f t="shared" si="72"/>
        <v>0</v>
      </c>
      <c r="GI49" s="114">
        <f t="shared" si="72"/>
        <v>0</v>
      </c>
      <c r="GJ49" s="115">
        <f t="shared" si="81"/>
        <v>807500</v>
      </c>
      <c r="GK49" s="114">
        <f t="shared" si="34"/>
        <v>807500</v>
      </c>
      <c r="GL49" s="114">
        <f t="shared" si="35"/>
        <v>0</v>
      </c>
      <c r="GM49" s="114">
        <f t="shared" si="36"/>
        <v>0</v>
      </c>
      <c r="GN49" s="114">
        <f t="shared" si="37"/>
        <v>0</v>
      </c>
      <c r="GO49" s="114">
        <f t="shared" si="38"/>
        <v>0</v>
      </c>
      <c r="GP49" s="114">
        <f t="shared" si="39"/>
        <v>0</v>
      </c>
      <c r="GQ49" s="114">
        <f t="shared" si="40"/>
        <v>0</v>
      </c>
      <c r="GR49" s="193"/>
      <c r="GS49" s="122">
        <f t="shared" si="85"/>
        <v>271035955.14356422</v>
      </c>
      <c r="GT49" s="122">
        <f t="shared" si="85"/>
        <v>386578868.65226173</v>
      </c>
      <c r="GU49" s="123">
        <f t="shared" si="42"/>
        <v>0.70111425409382244</v>
      </c>
      <c r="GV49" s="124">
        <f t="shared" ca="1" si="43"/>
        <v>0</v>
      </c>
      <c r="GW49" s="124">
        <v>0</v>
      </c>
      <c r="GX49" s="32">
        <f t="shared" ca="1" si="44"/>
        <v>0</v>
      </c>
      <c r="GY49" s="100"/>
    </row>
    <row r="50" spans="1:207" s="125" customFormat="1" ht="15" hidden="1" customHeight="1">
      <c r="A50" s="102"/>
      <c r="B50" s="103"/>
      <c r="C50" s="103"/>
      <c r="D50" s="104"/>
      <c r="E50" s="104"/>
      <c r="F50" s="104" t="s">
        <v>256</v>
      </c>
      <c r="G50" s="104" t="s">
        <v>226</v>
      </c>
      <c r="H50" s="154" t="s">
        <v>338</v>
      </c>
      <c r="I50" s="106" t="s">
        <v>339</v>
      </c>
      <c r="J50" s="104" t="s">
        <v>212</v>
      </c>
      <c r="K50" s="104" t="s">
        <v>208</v>
      </c>
      <c r="L50" s="104" t="s">
        <v>223</v>
      </c>
      <c r="M50" s="104" t="s">
        <v>256</v>
      </c>
      <c r="N50" s="107"/>
      <c r="O50" s="108">
        <v>43460</v>
      </c>
      <c r="P50" s="108">
        <v>43460</v>
      </c>
      <c r="Q50" s="322">
        <f t="shared" si="0"/>
        <v>0</v>
      </c>
      <c r="R50" s="109">
        <f>IF((P50-VLOOKUP(Q50,month!$A$1:$C$13,3,0))&lt;0,Q50,Q50+1)</f>
        <v>0</v>
      </c>
      <c r="S50" s="108"/>
      <c r="T50" s="127" t="str">
        <f>IF(S50&gt;0,"Y","")</f>
        <v/>
      </c>
      <c r="U50" s="320" t="s">
        <v>652</v>
      </c>
      <c r="V50" s="320">
        <v>3</v>
      </c>
      <c r="W50" s="107"/>
      <c r="X50" s="107"/>
      <c r="Y50" s="386"/>
      <c r="Z50" s="386" t="s">
        <v>545</v>
      </c>
      <c r="AA50" s="387">
        <v>1000</v>
      </c>
      <c r="AB50" s="387">
        <v>1000</v>
      </c>
      <c r="AC50" s="387">
        <v>1000</v>
      </c>
      <c r="AD50" s="387">
        <v>1000</v>
      </c>
      <c r="AE50" s="387">
        <v>1000</v>
      </c>
      <c r="AF50" s="387">
        <v>1000</v>
      </c>
      <c r="AG50" s="387">
        <v>1000</v>
      </c>
      <c r="AH50" s="387">
        <v>1000</v>
      </c>
      <c r="AI50" s="387">
        <v>1000</v>
      </c>
      <c r="AJ50" s="387">
        <v>1000</v>
      </c>
      <c r="AK50" s="387">
        <v>1000</v>
      </c>
      <c r="AL50" s="387">
        <v>1000</v>
      </c>
      <c r="AM50" s="388">
        <f t="shared" si="74"/>
        <v>12000</v>
      </c>
      <c r="AN50" s="388">
        <f t="shared" si="3"/>
        <v>12000</v>
      </c>
      <c r="AO50" s="389">
        <f>AA50</f>
        <v>1000</v>
      </c>
      <c r="AP50" s="498" t="s">
        <v>676</v>
      </c>
      <c r="AQ50" s="159">
        <v>0.6</v>
      </c>
      <c r="AR50" s="160" t="s">
        <v>211</v>
      </c>
      <c r="AS50" s="119" t="s">
        <v>210</v>
      </c>
      <c r="AT50" s="111">
        <v>2496900</v>
      </c>
      <c r="AU50" s="111">
        <v>3095600</v>
      </c>
      <c r="AV50" s="111">
        <v>3345500</v>
      </c>
      <c r="AW50" s="111">
        <v>4206500</v>
      </c>
      <c r="AX50" s="113">
        <v>2320537.4603999974</v>
      </c>
      <c r="AY50" s="113">
        <v>2947478.1957000238</v>
      </c>
      <c r="AZ50" s="113">
        <v>3426499.5741000576</v>
      </c>
      <c r="BA50" s="113"/>
      <c r="BB50" s="113"/>
      <c r="BC50" s="113"/>
      <c r="BD50" s="113"/>
      <c r="BE50" s="113"/>
      <c r="BF50" s="114">
        <f t="shared" si="46"/>
        <v>2320537.4603999974</v>
      </c>
      <c r="BG50" s="114">
        <f t="shared" si="46"/>
        <v>2947478.1957000238</v>
      </c>
      <c r="BH50" s="114">
        <f t="shared" si="46"/>
        <v>3426499.5741000576</v>
      </c>
      <c r="BI50" s="114">
        <f t="shared" si="46"/>
        <v>0</v>
      </c>
      <c r="BJ50" s="114">
        <f t="shared" si="83"/>
        <v>8694515.2302000783</v>
      </c>
      <c r="BK50" s="115">
        <f t="shared" si="75"/>
        <v>13144500</v>
      </c>
      <c r="BL50" s="115">
        <f t="shared" si="47"/>
        <v>13144500</v>
      </c>
      <c r="BM50" s="116">
        <f t="shared" si="48"/>
        <v>0.66149999999999998</v>
      </c>
      <c r="BN50" s="126">
        <f t="shared" ca="1" si="6"/>
        <v>0</v>
      </c>
      <c r="BO50" s="117">
        <f t="shared" ca="1" si="7"/>
        <v>0</v>
      </c>
      <c r="BP50" s="118" t="str">
        <f t="shared" si="8"/>
        <v>Uncapped</v>
      </c>
      <c r="BQ50" s="115">
        <f t="shared" ca="1" si="9"/>
        <v>0</v>
      </c>
      <c r="BR50" s="113" t="s">
        <v>688</v>
      </c>
      <c r="BS50" s="161">
        <v>0.2</v>
      </c>
      <c r="BT50" s="113" t="s">
        <v>211</v>
      </c>
      <c r="BU50" s="160" t="s">
        <v>210</v>
      </c>
      <c r="BV50" s="113">
        <v>19653413.080999997</v>
      </c>
      <c r="BW50" s="113">
        <v>22848780.235100001</v>
      </c>
      <c r="BX50" s="113">
        <v>22618799.574099999</v>
      </c>
      <c r="BY50" s="113">
        <v>27098464.121500004</v>
      </c>
      <c r="BZ50" s="113">
        <v>19427532.107000571</v>
      </c>
      <c r="CA50" s="113">
        <v>22270538.357580002</v>
      </c>
      <c r="CB50" s="113">
        <v>22879083.486580007</v>
      </c>
      <c r="CC50" s="113"/>
      <c r="CD50" s="113"/>
      <c r="CE50" s="113"/>
      <c r="CF50" s="113"/>
      <c r="CG50" s="113"/>
      <c r="CH50" s="114">
        <f t="shared" si="49"/>
        <v>19427532.107000571</v>
      </c>
      <c r="CI50" s="114">
        <f t="shared" si="49"/>
        <v>22270538.357580002</v>
      </c>
      <c r="CJ50" s="120">
        <f t="shared" si="49"/>
        <v>22879083.486580007</v>
      </c>
      <c r="CK50" s="114">
        <f t="shared" si="49"/>
        <v>0</v>
      </c>
      <c r="CL50" s="114">
        <f t="shared" si="10"/>
        <v>64577153.95116058</v>
      </c>
      <c r="CM50" s="114">
        <f t="shared" si="76"/>
        <v>92219457.011700004</v>
      </c>
      <c r="CN50" s="114">
        <f t="shared" si="50"/>
        <v>92219457.011700004</v>
      </c>
      <c r="CO50" s="116">
        <f t="shared" si="51"/>
        <v>0.70030000000000003</v>
      </c>
      <c r="CP50" s="126">
        <f t="shared" ca="1" si="52"/>
        <v>0</v>
      </c>
      <c r="CQ50" s="115">
        <f t="shared" ca="1" si="12"/>
        <v>0</v>
      </c>
      <c r="CR50" s="118" t="str">
        <f t="shared" si="53"/>
        <v>Uncapped</v>
      </c>
      <c r="CS50" s="115">
        <f t="shared" ca="1" si="13"/>
        <v>0</v>
      </c>
      <c r="CT50" s="113" t="s">
        <v>696</v>
      </c>
      <c r="CU50" s="119">
        <v>0.2</v>
      </c>
      <c r="CV50" s="113" t="s">
        <v>217</v>
      </c>
      <c r="CW50" s="113" t="s">
        <v>210</v>
      </c>
      <c r="CX50" s="113">
        <v>61881722.047854595</v>
      </c>
      <c r="CY50" s="113">
        <v>72180793.063260496</v>
      </c>
      <c r="CZ50" s="113">
        <v>69179032.514420599</v>
      </c>
      <c r="DA50" s="113">
        <v>76323964.015026003</v>
      </c>
      <c r="DB50" s="113">
        <v>63657388.730680585</v>
      </c>
      <c r="DC50" s="113">
        <v>65995192.891159989</v>
      </c>
      <c r="DD50" s="113">
        <v>66410604.684560001</v>
      </c>
      <c r="DE50" s="113"/>
      <c r="DF50" s="113"/>
      <c r="DG50" s="113"/>
      <c r="DH50" s="113"/>
      <c r="DI50" s="113"/>
      <c r="DJ50" s="114">
        <f t="shared" si="54"/>
        <v>63657388.730680585</v>
      </c>
      <c r="DK50" s="114">
        <f t="shared" si="54"/>
        <v>65995192.891159989</v>
      </c>
      <c r="DL50" s="114">
        <f t="shared" si="54"/>
        <v>66410604.684560001</v>
      </c>
      <c r="DM50" s="114">
        <f t="shared" si="54"/>
        <v>0</v>
      </c>
      <c r="DN50" s="114">
        <f t="shared" si="84"/>
        <v>196063186.30640057</v>
      </c>
      <c r="DO50" s="114">
        <f t="shared" si="77"/>
        <v>279565511.6405617</v>
      </c>
      <c r="DP50" s="114">
        <f t="shared" si="56"/>
        <v>279565511.6405617</v>
      </c>
      <c r="DQ50" s="116">
        <f t="shared" si="57"/>
        <v>0.70130000000000003</v>
      </c>
      <c r="DR50" s="126">
        <f t="shared" ca="1" si="15"/>
        <v>0</v>
      </c>
      <c r="DS50" s="115">
        <f t="shared" ca="1" si="16"/>
        <v>0</v>
      </c>
      <c r="DT50" s="118" t="str">
        <f t="shared" si="58"/>
        <v>Uncapped</v>
      </c>
      <c r="DU50" s="115">
        <f t="shared" ca="1" si="17"/>
        <v>0</v>
      </c>
      <c r="DV50" s="113"/>
      <c r="DW50" s="119">
        <v>0</v>
      </c>
      <c r="DX50" s="113"/>
      <c r="DY50" s="113"/>
      <c r="DZ50" s="113">
        <v>0</v>
      </c>
      <c r="EA50" s="113">
        <v>0</v>
      </c>
      <c r="EB50" s="113">
        <v>0</v>
      </c>
      <c r="EC50" s="113">
        <v>0</v>
      </c>
      <c r="ED50" s="113">
        <v>0</v>
      </c>
      <c r="EE50" s="113">
        <v>0</v>
      </c>
      <c r="EF50" s="113"/>
      <c r="EG50" s="113"/>
      <c r="EH50" s="113"/>
      <c r="EI50" s="113"/>
      <c r="EJ50" s="113"/>
      <c r="EK50" s="113"/>
      <c r="EL50" s="114">
        <f t="shared" si="59"/>
        <v>0</v>
      </c>
      <c r="EM50" s="114">
        <f t="shared" si="59"/>
        <v>0</v>
      </c>
      <c r="EN50" s="114">
        <f t="shared" si="59"/>
        <v>0</v>
      </c>
      <c r="EO50" s="114">
        <f t="shared" si="59"/>
        <v>0</v>
      </c>
      <c r="EP50" s="114">
        <f t="shared" si="18"/>
        <v>0</v>
      </c>
      <c r="EQ50" s="114">
        <f t="shared" si="78"/>
        <v>0</v>
      </c>
      <c r="ER50" s="114">
        <f t="shared" si="60"/>
        <v>0</v>
      </c>
      <c r="ES50" s="116">
        <f t="shared" si="61"/>
        <v>0</v>
      </c>
      <c r="ET50" s="126">
        <f t="shared" ca="1" si="62"/>
        <v>0</v>
      </c>
      <c r="EU50" s="115">
        <f t="shared" ca="1" si="20"/>
        <v>0</v>
      </c>
      <c r="EV50" s="118" t="str">
        <f t="shared" si="21"/>
        <v>Uncapped</v>
      </c>
      <c r="EW50" s="115">
        <f t="shared" ca="1" si="22"/>
        <v>0</v>
      </c>
      <c r="EX50" s="112">
        <f t="shared" ca="1" si="23"/>
        <v>0</v>
      </c>
      <c r="EY50" s="114">
        <f t="shared" ca="1" si="63"/>
        <v>3000</v>
      </c>
      <c r="EZ50" s="115">
        <v>0</v>
      </c>
      <c r="FA50" s="115"/>
      <c r="FB50" s="115"/>
      <c r="FC50" s="115">
        <v>0</v>
      </c>
      <c r="FD50" s="115">
        <f t="shared" si="79"/>
        <v>0</v>
      </c>
      <c r="FE50" s="114">
        <f t="shared" si="87"/>
        <v>0</v>
      </c>
      <c r="FF50" s="115">
        <v>0</v>
      </c>
      <c r="FG50" s="115">
        <v>0</v>
      </c>
      <c r="FH50" s="115">
        <v>0</v>
      </c>
      <c r="FI50" s="115">
        <v>0</v>
      </c>
      <c r="FJ50" s="115">
        <f t="shared" si="80"/>
        <v>0</v>
      </c>
      <c r="FK50" s="114">
        <f t="shared" si="88"/>
        <v>0</v>
      </c>
      <c r="FL50" s="113"/>
      <c r="FM50" s="111"/>
      <c r="FN50" s="111"/>
      <c r="FO50" s="111"/>
      <c r="FP50" s="115">
        <f>SUM(FL50:FO50)</f>
        <v>0</v>
      </c>
      <c r="FQ50" s="488"/>
      <c r="FR50" s="115"/>
      <c r="FS50" s="115"/>
      <c r="FT50" s="114">
        <f t="shared" si="64"/>
        <v>0</v>
      </c>
      <c r="FU50" s="366">
        <f t="shared" ca="1" si="66"/>
        <v>3000</v>
      </c>
      <c r="FV50" s="121">
        <f t="shared" ca="1" si="65"/>
        <v>3000</v>
      </c>
      <c r="FW50" s="114">
        <f>FF50</f>
        <v>0</v>
      </c>
      <c r="FX50" s="114">
        <f>FG50</f>
        <v>0</v>
      </c>
      <c r="FY50" s="114">
        <f>FH50</f>
        <v>0</v>
      </c>
      <c r="FZ50" s="114">
        <f>FI50</f>
        <v>0</v>
      </c>
      <c r="GA50" s="114">
        <f>SUM(FW50:FZ50)</f>
        <v>0</v>
      </c>
      <c r="GB50" s="114">
        <f>EZ50</f>
        <v>0</v>
      </c>
      <c r="GC50" s="114">
        <f>FA50</f>
        <v>0</v>
      </c>
      <c r="GD50" s="114">
        <f>FB50</f>
        <v>0</v>
      </c>
      <c r="GE50" s="114">
        <f>FC50</f>
        <v>0</v>
      </c>
      <c r="GF50" s="114">
        <f>GB50+FW50</f>
        <v>0</v>
      </c>
      <c r="GG50" s="114">
        <f>GC50+FX50</f>
        <v>0</v>
      </c>
      <c r="GH50" s="114">
        <f>GD50+FY50</f>
        <v>0</v>
      </c>
      <c r="GI50" s="114">
        <f>GE50+FZ50</f>
        <v>0</v>
      </c>
      <c r="GJ50" s="115">
        <f t="shared" si="81"/>
        <v>0</v>
      </c>
      <c r="GK50" s="114">
        <f>SUM(GF50:GI50)</f>
        <v>0</v>
      </c>
      <c r="GL50" s="114">
        <f t="shared" si="35"/>
        <v>3000</v>
      </c>
      <c r="GM50" s="114">
        <f t="shared" si="36"/>
        <v>0</v>
      </c>
      <c r="GN50" s="114">
        <f t="shared" si="37"/>
        <v>0</v>
      </c>
      <c r="GO50" s="114">
        <f t="shared" si="38"/>
        <v>0</v>
      </c>
      <c r="GP50" s="114">
        <f t="shared" si="39"/>
        <v>3000</v>
      </c>
      <c r="GQ50" s="114">
        <f>SUM(GL50:GO50)</f>
        <v>3000</v>
      </c>
      <c r="GR50" s="216"/>
      <c r="GS50" s="122">
        <f t="shared" si="85"/>
        <v>269334855.48776126</v>
      </c>
      <c r="GT50" s="122">
        <f t="shared" si="85"/>
        <v>384929468.65226173</v>
      </c>
      <c r="GU50" s="123">
        <f>IFERROR(GS50/GT50,"")</f>
        <v>0.699699236929749</v>
      </c>
      <c r="GV50" s="124">
        <f t="shared" ca="1" si="43"/>
        <v>0</v>
      </c>
      <c r="GW50" s="124">
        <v>0</v>
      </c>
      <c r="GX50" s="32">
        <f t="shared" ca="1" si="44"/>
        <v>0</v>
      </c>
      <c r="GY50" s="100"/>
    </row>
    <row r="51" spans="1:207" s="125" customFormat="1" ht="15" hidden="1" customHeight="1">
      <c r="A51" s="102"/>
      <c r="B51" s="103"/>
      <c r="C51" s="103"/>
      <c r="D51" s="104"/>
      <c r="E51" s="104" t="s">
        <v>256</v>
      </c>
      <c r="F51" s="104" t="s">
        <v>256</v>
      </c>
      <c r="G51" s="104" t="s">
        <v>226</v>
      </c>
      <c r="H51" s="105" t="s">
        <v>340</v>
      </c>
      <c r="I51" s="106" t="s">
        <v>341</v>
      </c>
      <c r="J51" s="104" t="s">
        <v>212</v>
      </c>
      <c r="K51" s="104" t="s">
        <v>208</v>
      </c>
      <c r="L51" s="104" t="s">
        <v>223</v>
      </c>
      <c r="M51" s="104" t="s">
        <v>256</v>
      </c>
      <c r="N51" s="107"/>
      <c r="O51" s="108">
        <v>42954</v>
      </c>
      <c r="P51" s="108">
        <v>42954</v>
      </c>
      <c r="Q51" s="322">
        <f t="shared" si="0"/>
        <v>0</v>
      </c>
      <c r="R51" s="109">
        <f>IF((P51-VLOOKUP(Q51,month!$A$1:$C$13,3,0))&lt;0,Q51,Q51+1)</f>
        <v>0</v>
      </c>
      <c r="S51" s="108"/>
      <c r="T51" s="127" t="str">
        <f t="shared" si="67"/>
        <v/>
      </c>
      <c r="U51" s="107"/>
      <c r="V51" s="107"/>
      <c r="W51" s="107"/>
      <c r="X51" s="107"/>
      <c r="Y51" s="386"/>
      <c r="Z51" s="386" t="s">
        <v>545</v>
      </c>
      <c r="AA51" s="387">
        <v>1000</v>
      </c>
      <c r="AB51" s="387">
        <v>1000</v>
      </c>
      <c r="AC51" s="387">
        <v>1000</v>
      </c>
      <c r="AD51" s="387">
        <v>1000</v>
      </c>
      <c r="AE51" s="387">
        <v>1000</v>
      </c>
      <c r="AF51" s="387">
        <v>1000</v>
      </c>
      <c r="AG51" s="387">
        <v>1000</v>
      </c>
      <c r="AH51" s="387">
        <v>1000</v>
      </c>
      <c r="AI51" s="387">
        <v>1000</v>
      </c>
      <c r="AJ51" s="387">
        <v>1000</v>
      </c>
      <c r="AK51" s="387">
        <v>1000</v>
      </c>
      <c r="AL51" s="387">
        <v>1000</v>
      </c>
      <c r="AM51" s="388">
        <f t="shared" si="74"/>
        <v>12000</v>
      </c>
      <c r="AN51" s="388">
        <f t="shared" si="3"/>
        <v>12000</v>
      </c>
      <c r="AO51" s="389">
        <f>AI51</f>
        <v>1000</v>
      </c>
      <c r="AP51" s="498" t="s">
        <v>676</v>
      </c>
      <c r="AQ51" s="159">
        <v>0.6</v>
      </c>
      <c r="AR51" s="160" t="s">
        <v>211</v>
      </c>
      <c r="AS51" s="119" t="s">
        <v>210</v>
      </c>
      <c r="AT51" s="111">
        <v>1111500</v>
      </c>
      <c r="AU51" s="111">
        <v>1317400</v>
      </c>
      <c r="AV51" s="111">
        <v>1580800</v>
      </c>
      <c r="AW51" s="111">
        <v>1979100</v>
      </c>
      <c r="AX51" s="113">
        <v>1064686.301099997</v>
      </c>
      <c r="AY51" s="113">
        <v>1238302.0899000012</v>
      </c>
      <c r="AZ51" s="113">
        <v>1287952.4492999986</v>
      </c>
      <c r="BA51" s="113"/>
      <c r="BB51" s="113"/>
      <c r="BC51" s="113"/>
      <c r="BD51" s="113"/>
      <c r="BE51" s="113"/>
      <c r="BF51" s="114">
        <f t="shared" si="46"/>
        <v>1064686.301099997</v>
      </c>
      <c r="BG51" s="114">
        <f t="shared" si="46"/>
        <v>1238302.0899000012</v>
      </c>
      <c r="BH51" s="114">
        <f t="shared" si="46"/>
        <v>1287952.4492999986</v>
      </c>
      <c r="BI51" s="114">
        <f t="shared" si="46"/>
        <v>0</v>
      </c>
      <c r="BJ51" s="114">
        <f t="shared" si="83"/>
        <v>3590940.8402999965</v>
      </c>
      <c r="BK51" s="115">
        <f t="shared" si="75"/>
        <v>5988800</v>
      </c>
      <c r="BL51" s="115">
        <f t="shared" si="47"/>
        <v>5988800</v>
      </c>
      <c r="BM51" s="116">
        <f t="shared" si="48"/>
        <v>0.59960000000000002</v>
      </c>
      <c r="BN51" s="126">
        <f t="shared" ca="1" si="6"/>
        <v>0</v>
      </c>
      <c r="BO51" s="117">
        <f t="shared" ca="1" si="7"/>
        <v>0</v>
      </c>
      <c r="BP51" s="118" t="str">
        <f t="shared" si="8"/>
        <v>Uncapped</v>
      </c>
      <c r="BQ51" s="115">
        <f t="shared" ca="1" si="9"/>
        <v>0</v>
      </c>
      <c r="BR51" s="113" t="s">
        <v>688</v>
      </c>
      <c r="BS51" s="161">
        <v>0.2</v>
      </c>
      <c r="BT51" s="113" t="s">
        <v>211</v>
      </c>
      <c r="BU51" s="160" t="s">
        <v>210</v>
      </c>
      <c r="BV51" s="113">
        <v>19653413.080999997</v>
      </c>
      <c r="BW51" s="113">
        <v>22848780.235100001</v>
      </c>
      <c r="BX51" s="113">
        <v>22618799.574099999</v>
      </c>
      <c r="BY51" s="113">
        <v>27098464.121500004</v>
      </c>
      <c r="BZ51" s="113">
        <v>19427532.107000571</v>
      </c>
      <c r="CA51" s="113">
        <v>22270538.357580002</v>
      </c>
      <c r="CB51" s="113">
        <v>22879083.486580007</v>
      </c>
      <c r="CC51" s="113"/>
      <c r="CD51" s="113"/>
      <c r="CE51" s="113"/>
      <c r="CF51" s="113"/>
      <c r="CG51" s="113"/>
      <c r="CH51" s="114">
        <f t="shared" si="49"/>
        <v>19427532.107000571</v>
      </c>
      <c r="CI51" s="114">
        <f t="shared" si="49"/>
        <v>22270538.357580002</v>
      </c>
      <c r="CJ51" s="120">
        <f t="shared" si="49"/>
        <v>22879083.486580007</v>
      </c>
      <c r="CK51" s="114">
        <f t="shared" si="49"/>
        <v>0</v>
      </c>
      <c r="CL51" s="114">
        <f t="shared" si="10"/>
        <v>64577153.95116058</v>
      </c>
      <c r="CM51" s="114">
        <f t="shared" si="76"/>
        <v>92219457.011700004</v>
      </c>
      <c r="CN51" s="114">
        <f t="shared" si="50"/>
        <v>92219457.011700004</v>
      </c>
      <c r="CO51" s="116">
        <f t="shared" si="51"/>
        <v>0.70030000000000003</v>
      </c>
      <c r="CP51" s="126">
        <f t="shared" ca="1" si="52"/>
        <v>0</v>
      </c>
      <c r="CQ51" s="115">
        <f t="shared" ca="1" si="12"/>
        <v>0</v>
      </c>
      <c r="CR51" s="118" t="str">
        <f t="shared" si="53"/>
        <v>Uncapped</v>
      </c>
      <c r="CS51" s="115">
        <f t="shared" ca="1" si="13"/>
        <v>0</v>
      </c>
      <c r="CT51" s="113" t="s">
        <v>696</v>
      </c>
      <c r="CU51" s="119">
        <v>0.2</v>
      </c>
      <c r="CV51" s="113" t="s">
        <v>217</v>
      </c>
      <c r="CW51" s="113" t="s">
        <v>210</v>
      </c>
      <c r="CX51" s="113">
        <v>61881722.047854595</v>
      </c>
      <c r="CY51" s="113">
        <v>72180793.063260496</v>
      </c>
      <c r="CZ51" s="113">
        <v>69179032.514420599</v>
      </c>
      <c r="DA51" s="113">
        <v>76323964.015026003</v>
      </c>
      <c r="DB51" s="113">
        <v>63657388.730680585</v>
      </c>
      <c r="DC51" s="113">
        <v>65995192.891159989</v>
      </c>
      <c r="DD51" s="113">
        <v>66410604.684560001</v>
      </c>
      <c r="DE51" s="113"/>
      <c r="DF51" s="113"/>
      <c r="DG51" s="113"/>
      <c r="DH51" s="113"/>
      <c r="DI51" s="113"/>
      <c r="DJ51" s="114">
        <f t="shared" si="54"/>
        <v>63657388.730680585</v>
      </c>
      <c r="DK51" s="114">
        <f t="shared" si="54"/>
        <v>65995192.891159989</v>
      </c>
      <c r="DL51" s="114">
        <f t="shared" si="54"/>
        <v>66410604.684560001</v>
      </c>
      <c r="DM51" s="114">
        <f t="shared" si="54"/>
        <v>0</v>
      </c>
      <c r="DN51" s="114">
        <f t="shared" si="84"/>
        <v>196063186.30640057</v>
      </c>
      <c r="DO51" s="114">
        <f t="shared" si="77"/>
        <v>279565511.6405617</v>
      </c>
      <c r="DP51" s="114">
        <f t="shared" si="56"/>
        <v>279565511.6405617</v>
      </c>
      <c r="DQ51" s="116">
        <f t="shared" si="57"/>
        <v>0.70130000000000003</v>
      </c>
      <c r="DR51" s="126">
        <f t="shared" ca="1" si="15"/>
        <v>0</v>
      </c>
      <c r="DS51" s="115">
        <f t="shared" ca="1" si="16"/>
        <v>0</v>
      </c>
      <c r="DT51" s="118" t="str">
        <f t="shared" si="58"/>
        <v>Uncapped</v>
      </c>
      <c r="DU51" s="115">
        <f t="shared" ca="1" si="17"/>
        <v>0</v>
      </c>
      <c r="DV51" s="113"/>
      <c r="DW51" s="119">
        <v>0</v>
      </c>
      <c r="DX51" s="113"/>
      <c r="DY51" s="113"/>
      <c r="DZ51" s="113">
        <v>0</v>
      </c>
      <c r="EA51" s="113">
        <v>0</v>
      </c>
      <c r="EB51" s="113">
        <v>0</v>
      </c>
      <c r="EC51" s="113">
        <v>0</v>
      </c>
      <c r="ED51" s="113">
        <v>0</v>
      </c>
      <c r="EE51" s="113">
        <v>0</v>
      </c>
      <c r="EF51" s="113"/>
      <c r="EG51" s="113"/>
      <c r="EH51" s="113"/>
      <c r="EI51" s="113"/>
      <c r="EJ51" s="113"/>
      <c r="EK51" s="113"/>
      <c r="EL51" s="114">
        <f t="shared" si="59"/>
        <v>0</v>
      </c>
      <c r="EM51" s="114">
        <f t="shared" si="59"/>
        <v>0</v>
      </c>
      <c r="EN51" s="114">
        <f t="shared" si="59"/>
        <v>0</v>
      </c>
      <c r="EO51" s="114">
        <f t="shared" si="59"/>
        <v>0</v>
      </c>
      <c r="EP51" s="114">
        <f t="shared" si="18"/>
        <v>0</v>
      </c>
      <c r="EQ51" s="114">
        <f t="shared" si="78"/>
        <v>0</v>
      </c>
      <c r="ER51" s="114">
        <f t="shared" si="60"/>
        <v>0</v>
      </c>
      <c r="ES51" s="116">
        <f t="shared" si="61"/>
        <v>0</v>
      </c>
      <c r="ET51" s="126">
        <f t="shared" ca="1" si="62"/>
        <v>0</v>
      </c>
      <c r="EU51" s="115">
        <f t="shared" ca="1" si="20"/>
        <v>0</v>
      </c>
      <c r="EV51" s="118" t="str">
        <f t="shared" si="21"/>
        <v>Uncapped</v>
      </c>
      <c r="EW51" s="115">
        <f t="shared" ca="1" si="22"/>
        <v>0</v>
      </c>
      <c r="EX51" s="112">
        <f t="shared" ca="1" si="23"/>
        <v>0</v>
      </c>
      <c r="EY51" s="114">
        <f t="shared" ca="1" si="63"/>
        <v>0</v>
      </c>
      <c r="EZ51" s="115">
        <v>0</v>
      </c>
      <c r="FA51" s="115"/>
      <c r="FB51" s="115"/>
      <c r="FC51" s="115">
        <v>0</v>
      </c>
      <c r="FD51" s="115">
        <f t="shared" si="79"/>
        <v>0</v>
      </c>
      <c r="FE51" s="114">
        <f t="shared" si="87"/>
        <v>0</v>
      </c>
      <c r="FF51" s="115">
        <v>0</v>
      </c>
      <c r="FG51" s="115">
        <v>0</v>
      </c>
      <c r="FH51" s="115">
        <v>0</v>
      </c>
      <c r="FI51" s="115">
        <v>0</v>
      </c>
      <c r="FJ51" s="115">
        <f t="shared" si="80"/>
        <v>0</v>
      </c>
      <c r="FK51" s="114">
        <f t="shared" si="88"/>
        <v>0</v>
      </c>
      <c r="FL51" s="113"/>
      <c r="FM51" s="111"/>
      <c r="FN51" s="111"/>
      <c r="FO51" s="111"/>
      <c r="FP51" s="115">
        <f t="shared" si="28"/>
        <v>0</v>
      </c>
      <c r="FQ51" s="115"/>
      <c r="FR51" s="115"/>
      <c r="FS51" s="115"/>
      <c r="FT51" s="114">
        <f t="shared" si="64"/>
        <v>0</v>
      </c>
      <c r="FU51" s="366">
        <f t="shared" ca="1" si="66"/>
        <v>0</v>
      </c>
      <c r="FV51" s="121">
        <f t="shared" ca="1" si="65"/>
        <v>0</v>
      </c>
      <c r="FW51" s="114">
        <f t="shared" si="70"/>
        <v>0</v>
      </c>
      <c r="FX51" s="114">
        <f t="shared" si="70"/>
        <v>0</v>
      </c>
      <c r="FY51" s="114">
        <f t="shared" si="70"/>
        <v>0</v>
      </c>
      <c r="FZ51" s="114">
        <f t="shared" si="70"/>
        <v>0</v>
      </c>
      <c r="GA51" s="114">
        <f t="shared" si="30"/>
        <v>0</v>
      </c>
      <c r="GB51" s="114">
        <f t="shared" si="71"/>
        <v>0</v>
      </c>
      <c r="GC51" s="114">
        <f t="shared" si="71"/>
        <v>0</v>
      </c>
      <c r="GD51" s="114">
        <f t="shared" si="71"/>
        <v>0</v>
      </c>
      <c r="GE51" s="114">
        <f t="shared" si="71"/>
        <v>0</v>
      </c>
      <c r="GF51" s="114">
        <f t="shared" si="72"/>
        <v>0</v>
      </c>
      <c r="GG51" s="114">
        <f t="shared" si="72"/>
        <v>0</v>
      </c>
      <c r="GH51" s="114">
        <f t="shared" si="72"/>
        <v>0</v>
      </c>
      <c r="GI51" s="114">
        <f t="shared" si="72"/>
        <v>0</v>
      </c>
      <c r="GJ51" s="115">
        <f t="shared" si="81"/>
        <v>0</v>
      </c>
      <c r="GK51" s="114">
        <f t="shared" si="34"/>
        <v>0</v>
      </c>
      <c r="GL51" s="114">
        <f t="shared" si="35"/>
        <v>0</v>
      </c>
      <c r="GM51" s="114">
        <f t="shared" si="36"/>
        <v>0</v>
      </c>
      <c r="GN51" s="114">
        <f t="shared" si="37"/>
        <v>0</v>
      </c>
      <c r="GO51" s="114">
        <f t="shared" si="38"/>
        <v>0</v>
      </c>
      <c r="GP51" s="114">
        <f t="shared" si="39"/>
        <v>0</v>
      </c>
      <c r="GQ51" s="114">
        <f t="shared" si="40"/>
        <v>0</v>
      </c>
      <c r="GR51" s="193"/>
      <c r="GS51" s="122">
        <f t="shared" si="85"/>
        <v>264231281.09786114</v>
      </c>
      <c r="GT51" s="122">
        <f t="shared" si="85"/>
        <v>377773768.65226173</v>
      </c>
      <c r="GU51" s="123">
        <f t="shared" si="42"/>
        <v>0.6994431668469927</v>
      </c>
      <c r="GV51" s="124">
        <f t="shared" ca="1" si="43"/>
        <v>0</v>
      </c>
      <c r="GW51" s="124">
        <v>0</v>
      </c>
      <c r="GX51" s="32">
        <f t="shared" ca="1" si="44"/>
        <v>0</v>
      </c>
      <c r="GY51" s="100"/>
    </row>
    <row r="52" spans="1:207" s="481" customFormat="1" ht="15" hidden="1" customHeight="1">
      <c r="A52" s="447"/>
      <c r="B52" s="448"/>
      <c r="C52" s="448"/>
      <c r="D52" s="449"/>
      <c r="E52" s="449" t="s">
        <v>256</v>
      </c>
      <c r="F52" s="449" t="s">
        <v>256</v>
      </c>
      <c r="G52" s="449" t="s">
        <v>226</v>
      </c>
      <c r="H52" s="450" t="s">
        <v>342</v>
      </c>
      <c r="I52" s="451" t="s">
        <v>343</v>
      </c>
      <c r="J52" s="449" t="s">
        <v>212</v>
      </c>
      <c r="K52" s="449" t="s">
        <v>208</v>
      </c>
      <c r="L52" s="449" t="s">
        <v>223</v>
      </c>
      <c r="M52" s="449" t="s">
        <v>256</v>
      </c>
      <c r="N52" s="452"/>
      <c r="O52" s="420">
        <v>43444</v>
      </c>
      <c r="P52" s="420">
        <v>43444</v>
      </c>
      <c r="Q52" s="453">
        <f t="shared" si="0"/>
        <v>0</v>
      </c>
      <c r="R52" s="419">
        <f>IF((P52-VLOOKUP(Q52,month!$A$1:$C$13,3,0))&lt;0,Q52,Q52+1)</f>
        <v>0</v>
      </c>
      <c r="S52" s="420"/>
      <c r="T52" s="454" t="str">
        <f t="shared" si="67"/>
        <v/>
      </c>
      <c r="U52" s="455" t="s">
        <v>214</v>
      </c>
      <c r="V52" s="455">
        <v>2</v>
      </c>
      <c r="W52" s="452"/>
      <c r="X52" s="452"/>
      <c r="Y52" s="456"/>
      <c r="Z52" s="456" t="s">
        <v>545</v>
      </c>
      <c r="AA52" s="457">
        <v>1000</v>
      </c>
      <c r="AB52" s="457">
        <v>1000</v>
      </c>
      <c r="AC52" s="457">
        <v>1000</v>
      </c>
      <c r="AD52" s="457">
        <v>1000</v>
      </c>
      <c r="AE52" s="457">
        <v>1000</v>
      </c>
      <c r="AF52" s="457">
        <v>1000</v>
      </c>
      <c r="AG52" s="457">
        <v>1000</v>
      </c>
      <c r="AH52" s="457">
        <v>1000</v>
      </c>
      <c r="AI52" s="457">
        <v>1000</v>
      </c>
      <c r="AJ52" s="457">
        <v>1000</v>
      </c>
      <c r="AK52" s="457">
        <v>1000</v>
      </c>
      <c r="AL52" s="457">
        <v>1000</v>
      </c>
      <c r="AM52" s="458">
        <f t="shared" si="74"/>
        <v>12000</v>
      </c>
      <c r="AN52" s="458">
        <f t="shared" si="3"/>
        <v>12000</v>
      </c>
      <c r="AO52" s="459">
        <f t="shared" ref="AO52:AO53" si="89">AA52</f>
        <v>1000</v>
      </c>
      <c r="AP52" s="500" t="s">
        <v>676</v>
      </c>
      <c r="AQ52" s="461">
        <v>0.6</v>
      </c>
      <c r="AR52" s="462" t="s">
        <v>211</v>
      </c>
      <c r="AS52" s="463" t="s">
        <v>210</v>
      </c>
      <c r="AT52" s="464">
        <v>4118500</v>
      </c>
      <c r="AU52" s="464">
        <v>4989900</v>
      </c>
      <c r="AV52" s="464">
        <v>5155000</v>
      </c>
      <c r="AW52" s="464">
        <v>6186000</v>
      </c>
      <c r="AX52" s="460">
        <v>4251074.9426999986</v>
      </c>
      <c r="AY52" s="460">
        <v>4886162.9081999864</v>
      </c>
      <c r="AZ52" s="460">
        <v>5730789.0032999786</v>
      </c>
      <c r="BA52" s="460"/>
      <c r="BB52" s="460"/>
      <c r="BC52" s="460"/>
      <c r="BD52" s="460"/>
      <c r="BE52" s="460"/>
      <c r="BF52" s="465">
        <f t="shared" si="46"/>
        <v>4251074.9426999986</v>
      </c>
      <c r="BG52" s="465">
        <f t="shared" si="46"/>
        <v>4886162.9081999864</v>
      </c>
      <c r="BH52" s="465">
        <f t="shared" si="46"/>
        <v>5730789.0032999786</v>
      </c>
      <c r="BI52" s="465">
        <f t="shared" si="46"/>
        <v>0</v>
      </c>
      <c r="BJ52" s="465">
        <f t="shared" si="83"/>
        <v>14868026.854199965</v>
      </c>
      <c r="BK52" s="466">
        <f t="shared" si="75"/>
        <v>20449400</v>
      </c>
      <c r="BL52" s="466">
        <f t="shared" si="47"/>
        <v>20449400</v>
      </c>
      <c r="BM52" s="467">
        <f t="shared" si="48"/>
        <v>0.72709999999999997</v>
      </c>
      <c r="BN52" s="468">
        <f t="shared" ca="1" si="6"/>
        <v>0</v>
      </c>
      <c r="BO52" s="469">
        <f t="shared" ca="1" si="7"/>
        <v>0</v>
      </c>
      <c r="BP52" s="470" t="str">
        <f t="shared" si="8"/>
        <v>Uncapped</v>
      </c>
      <c r="BQ52" s="466">
        <f t="shared" ca="1" si="9"/>
        <v>0</v>
      </c>
      <c r="BR52" s="460" t="s">
        <v>688</v>
      </c>
      <c r="BS52" s="471">
        <v>0.2</v>
      </c>
      <c r="BT52" s="460" t="s">
        <v>211</v>
      </c>
      <c r="BU52" s="462" t="s">
        <v>210</v>
      </c>
      <c r="BV52" s="460">
        <v>19653413.080999997</v>
      </c>
      <c r="BW52" s="460">
        <v>22848780.235100001</v>
      </c>
      <c r="BX52" s="460">
        <v>22618799.574099999</v>
      </c>
      <c r="BY52" s="460">
        <v>27098464.121500004</v>
      </c>
      <c r="BZ52" s="460">
        <v>19427532.107000571</v>
      </c>
      <c r="CA52" s="460">
        <v>22270538.357580002</v>
      </c>
      <c r="CB52" s="460">
        <v>22879083.486580007</v>
      </c>
      <c r="CC52" s="460"/>
      <c r="CD52" s="460"/>
      <c r="CE52" s="460"/>
      <c r="CF52" s="460"/>
      <c r="CG52" s="460"/>
      <c r="CH52" s="465">
        <f t="shared" si="49"/>
        <v>19427532.107000571</v>
      </c>
      <c r="CI52" s="465">
        <f t="shared" si="49"/>
        <v>22270538.357580002</v>
      </c>
      <c r="CJ52" s="472">
        <f t="shared" si="49"/>
        <v>22879083.486580007</v>
      </c>
      <c r="CK52" s="465">
        <f t="shared" si="49"/>
        <v>0</v>
      </c>
      <c r="CL52" s="465">
        <f t="shared" si="10"/>
        <v>64577153.95116058</v>
      </c>
      <c r="CM52" s="465">
        <f t="shared" si="76"/>
        <v>92219457.011700004</v>
      </c>
      <c r="CN52" s="465">
        <f t="shared" si="50"/>
        <v>92219457.011700004</v>
      </c>
      <c r="CO52" s="467">
        <f t="shared" si="51"/>
        <v>0.70030000000000003</v>
      </c>
      <c r="CP52" s="468">
        <f t="shared" ca="1" si="52"/>
        <v>0</v>
      </c>
      <c r="CQ52" s="466">
        <f t="shared" ca="1" si="12"/>
        <v>0</v>
      </c>
      <c r="CR52" s="470" t="str">
        <f t="shared" si="53"/>
        <v>Uncapped</v>
      </c>
      <c r="CS52" s="466">
        <f t="shared" ca="1" si="13"/>
        <v>0</v>
      </c>
      <c r="CT52" s="460" t="s">
        <v>696</v>
      </c>
      <c r="CU52" s="463">
        <v>0.2</v>
      </c>
      <c r="CV52" s="460" t="s">
        <v>217</v>
      </c>
      <c r="CW52" s="460" t="s">
        <v>210</v>
      </c>
      <c r="CX52" s="460">
        <v>61881722.047854595</v>
      </c>
      <c r="CY52" s="460">
        <v>72180793.063260496</v>
      </c>
      <c r="CZ52" s="460">
        <v>69179032.514420599</v>
      </c>
      <c r="DA52" s="460">
        <v>76323964.015026003</v>
      </c>
      <c r="DB52" s="460">
        <v>63657388.730680585</v>
      </c>
      <c r="DC52" s="460">
        <v>65995192.891159989</v>
      </c>
      <c r="DD52" s="460">
        <v>66410604.684560001</v>
      </c>
      <c r="DE52" s="460"/>
      <c r="DF52" s="460"/>
      <c r="DG52" s="460"/>
      <c r="DH52" s="460"/>
      <c r="DI52" s="460"/>
      <c r="DJ52" s="465">
        <f t="shared" si="54"/>
        <v>63657388.730680585</v>
      </c>
      <c r="DK52" s="465">
        <f t="shared" si="54"/>
        <v>65995192.891159989</v>
      </c>
      <c r="DL52" s="465">
        <f t="shared" si="54"/>
        <v>66410604.684560001</v>
      </c>
      <c r="DM52" s="465">
        <f t="shared" si="54"/>
        <v>0</v>
      </c>
      <c r="DN52" s="465">
        <f t="shared" si="84"/>
        <v>196063186.30640057</v>
      </c>
      <c r="DO52" s="465">
        <f t="shared" si="77"/>
        <v>279565511.6405617</v>
      </c>
      <c r="DP52" s="465">
        <f t="shared" si="56"/>
        <v>279565511.6405617</v>
      </c>
      <c r="DQ52" s="467">
        <f t="shared" si="57"/>
        <v>0.70130000000000003</v>
      </c>
      <c r="DR52" s="468">
        <f t="shared" ca="1" si="15"/>
        <v>0</v>
      </c>
      <c r="DS52" s="466">
        <f t="shared" ca="1" si="16"/>
        <v>0</v>
      </c>
      <c r="DT52" s="470" t="str">
        <f t="shared" si="58"/>
        <v>Uncapped</v>
      </c>
      <c r="DU52" s="466">
        <f t="shared" ca="1" si="17"/>
        <v>0</v>
      </c>
      <c r="DV52" s="460"/>
      <c r="DW52" s="463">
        <v>0</v>
      </c>
      <c r="DX52" s="460"/>
      <c r="DY52" s="460"/>
      <c r="DZ52" s="460">
        <v>0</v>
      </c>
      <c r="EA52" s="460">
        <v>0</v>
      </c>
      <c r="EB52" s="460">
        <v>0</v>
      </c>
      <c r="EC52" s="460">
        <v>0</v>
      </c>
      <c r="ED52" s="460">
        <v>0</v>
      </c>
      <c r="EE52" s="460">
        <v>0</v>
      </c>
      <c r="EF52" s="460"/>
      <c r="EG52" s="460"/>
      <c r="EH52" s="460"/>
      <c r="EI52" s="460"/>
      <c r="EJ52" s="460"/>
      <c r="EK52" s="460"/>
      <c r="EL52" s="465">
        <f t="shared" si="59"/>
        <v>0</v>
      </c>
      <c r="EM52" s="465">
        <f t="shared" si="59"/>
        <v>0</v>
      </c>
      <c r="EN52" s="465">
        <f t="shared" si="59"/>
        <v>0</v>
      </c>
      <c r="EO52" s="465">
        <f t="shared" si="59"/>
        <v>0</v>
      </c>
      <c r="EP52" s="465">
        <f t="shared" si="18"/>
        <v>0</v>
      </c>
      <c r="EQ52" s="465">
        <f t="shared" si="78"/>
        <v>0</v>
      </c>
      <c r="ER52" s="465">
        <f t="shared" si="60"/>
        <v>0</v>
      </c>
      <c r="ES52" s="467">
        <f t="shared" si="61"/>
        <v>0</v>
      </c>
      <c r="ET52" s="468">
        <f t="shared" ca="1" si="62"/>
        <v>0</v>
      </c>
      <c r="EU52" s="466">
        <f t="shared" ca="1" si="20"/>
        <v>0</v>
      </c>
      <c r="EV52" s="470" t="str">
        <f t="shared" si="21"/>
        <v>Uncapped</v>
      </c>
      <c r="EW52" s="466">
        <f t="shared" ca="1" si="22"/>
        <v>0</v>
      </c>
      <c r="EX52" s="473">
        <f t="shared" ca="1" si="23"/>
        <v>0</v>
      </c>
      <c r="EY52" s="465">
        <f t="shared" ca="1" si="63"/>
        <v>2000</v>
      </c>
      <c r="EZ52" s="466">
        <v>0</v>
      </c>
      <c r="FA52" s="466"/>
      <c r="FB52" s="466"/>
      <c r="FC52" s="466">
        <v>0</v>
      </c>
      <c r="FD52" s="466">
        <f t="shared" si="79"/>
        <v>0</v>
      </c>
      <c r="FE52" s="465">
        <f t="shared" si="87"/>
        <v>0</v>
      </c>
      <c r="FF52" s="466">
        <v>0</v>
      </c>
      <c r="FG52" s="466">
        <v>0</v>
      </c>
      <c r="FH52" s="466">
        <v>0</v>
      </c>
      <c r="FI52" s="466">
        <v>0</v>
      </c>
      <c r="FJ52" s="466">
        <f t="shared" si="80"/>
        <v>0</v>
      </c>
      <c r="FK52" s="465">
        <f t="shared" si="88"/>
        <v>0</v>
      </c>
      <c r="FL52" s="460"/>
      <c r="FM52" s="464"/>
      <c r="FN52" s="464"/>
      <c r="FO52" s="464"/>
      <c r="FP52" s="466">
        <f t="shared" si="28"/>
        <v>0</v>
      </c>
      <c r="FQ52" s="466"/>
      <c r="FR52" s="466"/>
      <c r="FS52" s="466"/>
      <c r="FT52" s="465">
        <f t="shared" si="64"/>
        <v>0</v>
      </c>
      <c r="FU52" s="474">
        <f t="shared" ca="1" si="66"/>
        <v>2000</v>
      </c>
      <c r="FV52" s="475">
        <f t="shared" ca="1" si="65"/>
        <v>2000</v>
      </c>
      <c r="FW52" s="465">
        <f t="shared" si="70"/>
        <v>0</v>
      </c>
      <c r="FX52" s="465">
        <f t="shared" si="70"/>
        <v>0</v>
      </c>
      <c r="FY52" s="465">
        <f t="shared" si="70"/>
        <v>0</v>
      </c>
      <c r="FZ52" s="465">
        <f t="shared" si="70"/>
        <v>0</v>
      </c>
      <c r="GA52" s="465">
        <f t="shared" si="30"/>
        <v>0</v>
      </c>
      <c r="GB52" s="465">
        <f t="shared" si="71"/>
        <v>0</v>
      </c>
      <c r="GC52" s="465">
        <f t="shared" si="71"/>
        <v>0</v>
      </c>
      <c r="GD52" s="465">
        <f t="shared" si="71"/>
        <v>0</v>
      </c>
      <c r="GE52" s="465">
        <f t="shared" si="71"/>
        <v>0</v>
      </c>
      <c r="GF52" s="465">
        <f t="shared" si="72"/>
        <v>0</v>
      </c>
      <c r="GG52" s="465">
        <f t="shared" si="72"/>
        <v>0</v>
      </c>
      <c r="GH52" s="465">
        <f t="shared" si="72"/>
        <v>0</v>
      </c>
      <c r="GI52" s="465">
        <f t="shared" si="72"/>
        <v>0</v>
      </c>
      <c r="GJ52" s="466">
        <f t="shared" si="81"/>
        <v>0</v>
      </c>
      <c r="GK52" s="465">
        <f t="shared" si="34"/>
        <v>0</v>
      </c>
      <c r="GL52" s="465">
        <f t="shared" si="35"/>
        <v>2000</v>
      </c>
      <c r="GM52" s="465">
        <f t="shared" si="36"/>
        <v>0</v>
      </c>
      <c r="GN52" s="465">
        <f t="shared" si="37"/>
        <v>0</v>
      </c>
      <c r="GO52" s="465">
        <f t="shared" si="38"/>
        <v>0</v>
      </c>
      <c r="GP52" s="465">
        <f t="shared" si="39"/>
        <v>2000</v>
      </c>
      <c r="GQ52" s="465">
        <f t="shared" si="40"/>
        <v>2000</v>
      </c>
      <c r="GR52" s="476"/>
      <c r="GS52" s="477">
        <f t="shared" si="85"/>
        <v>275508367.11176109</v>
      </c>
      <c r="GT52" s="477">
        <f t="shared" si="85"/>
        <v>392234368.65226173</v>
      </c>
      <c r="GU52" s="478">
        <f t="shared" si="42"/>
        <v>0.70240751226982623</v>
      </c>
      <c r="GV52" s="479">
        <f t="shared" ca="1" si="43"/>
        <v>0</v>
      </c>
      <c r="GW52" s="479">
        <v>0</v>
      </c>
      <c r="GX52" s="480">
        <f t="shared" ca="1" si="44"/>
        <v>0</v>
      </c>
      <c r="GY52" s="100"/>
    </row>
    <row r="53" spans="1:207" s="125" customFormat="1" ht="15" hidden="1" customHeight="1">
      <c r="A53" s="102"/>
      <c r="B53" s="103"/>
      <c r="C53" s="103"/>
      <c r="D53" s="104"/>
      <c r="E53" s="104"/>
      <c r="F53" s="104" t="s">
        <v>256</v>
      </c>
      <c r="G53" s="104" t="s">
        <v>226</v>
      </c>
      <c r="H53" s="105" t="s">
        <v>344</v>
      </c>
      <c r="I53" s="106" t="s">
        <v>345</v>
      </c>
      <c r="J53" s="104" t="s">
        <v>212</v>
      </c>
      <c r="K53" s="325" t="s">
        <v>208</v>
      </c>
      <c r="L53" s="104" t="s">
        <v>223</v>
      </c>
      <c r="M53" s="104" t="s">
        <v>256</v>
      </c>
      <c r="N53" s="107"/>
      <c r="O53" s="537">
        <v>43435</v>
      </c>
      <c r="P53" s="108">
        <v>43435</v>
      </c>
      <c r="Q53" s="322">
        <f t="shared" si="0"/>
        <v>0</v>
      </c>
      <c r="R53" s="109">
        <f>IF((P53-VLOOKUP(Q53,month!$A$1:$C$13,3,0))&lt;0,Q53,Q53+1)</f>
        <v>0</v>
      </c>
      <c r="S53" s="108"/>
      <c r="T53" s="110" t="str">
        <f t="shared" si="67"/>
        <v/>
      </c>
      <c r="U53" s="320" t="s">
        <v>214</v>
      </c>
      <c r="V53" s="320">
        <v>2</v>
      </c>
      <c r="W53" s="107"/>
      <c r="X53" s="107"/>
      <c r="Y53" s="386"/>
      <c r="Z53" s="386" t="s">
        <v>545</v>
      </c>
      <c r="AA53" s="387">
        <v>1000</v>
      </c>
      <c r="AB53" s="387">
        <v>1000</v>
      </c>
      <c r="AC53" s="387">
        <v>1000</v>
      </c>
      <c r="AD53" s="387">
        <v>1000</v>
      </c>
      <c r="AE53" s="387">
        <v>1000</v>
      </c>
      <c r="AF53" s="387">
        <v>1000</v>
      </c>
      <c r="AG53" s="387">
        <v>1000</v>
      </c>
      <c r="AH53" s="387">
        <v>1000</v>
      </c>
      <c r="AI53" s="387">
        <v>1000</v>
      </c>
      <c r="AJ53" s="387">
        <v>1000</v>
      </c>
      <c r="AK53" s="387">
        <v>1000</v>
      </c>
      <c r="AL53" s="387">
        <v>1000</v>
      </c>
      <c r="AM53" s="388">
        <f t="shared" si="74"/>
        <v>12000</v>
      </c>
      <c r="AN53" s="388">
        <f t="shared" si="3"/>
        <v>12000</v>
      </c>
      <c r="AO53" s="389">
        <f t="shared" si="89"/>
        <v>1000</v>
      </c>
      <c r="AP53" s="498" t="s">
        <v>676</v>
      </c>
      <c r="AQ53" s="159">
        <v>0.6</v>
      </c>
      <c r="AR53" s="160" t="s">
        <v>211</v>
      </c>
      <c r="AS53" s="119" t="s">
        <v>210</v>
      </c>
      <c r="AT53" s="111">
        <v>693200</v>
      </c>
      <c r="AU53" s="111">
        <v>900900</v>
      </c>
      <c r="AV53" s="111">
        <v>2860000</v>
      </c>
      <c r="AW53" s="111">
        <v>3117000</v>
      </c>
      <c r="AX53" s="113">
        <v>729261.88023617992</v>
      </c>
      <c r="AY53" s="113">
        <v>819595.76583581918</v>
      </c>
      <c r="AZ53" s="113"/>
      <c r="BA53" s="581"/>
      <c r="BB53" s="113"/>
      <c r="BC53" s="113"/>
      <c r="BD53" s="113"/>
      <c r="BE53" s="113"/>
      <c r="BF53" s="114">
        <f t="shared" si="46"/>
        <v>729261.88023617992</v>
      </c>
      <c r="BG53" s="114">
        <f t="shared" si="46"/>
        <v>819595.76583581918</v>
      </c>
      <c r="BH53" s="114">
        <f t="shared" si="46"/>
        <v>0</v>
      </c>
      <c r="BI53" s="114">
        <f t="shared" si="46"/>
        <v>0</v>
      </c>
      <c r="BJ53" s="114">
        <f t="shared" si="83"/>
        <v>1548857.6460719991</v>
      </c>
      <c r="BK53" s="115">
        <f t="shared" si="75"/>
        <v>7571100</v>
      </c>
      <c r="BL53" s="115">
        <f t="shared" si="47"/>
        <v>7571100</v>
      </c>
      <c r="BM53" s="116">
        <f t="shared" si="48"/>
        <v>0.2046</v>
      </c>
      <c r="BN53" s="126">
        <f t="shared" ca="1" si="6"/>
        <v>0</v>
      </c>
      <c r="BO53" s="117">
        <f t="shared" ca="1" si="7"/>
        <v>0</v>
      </c>
      <c r="BP53" s="118" t="str">
        <f t="shared" si="8"/>
        <v>Uncapped</v>
      </c>
      <c r="BQ53" s="115">
        <f t="shared" ca="1" si="9"/>
        <v>0</v>
      </c>
      <c r="BR53" s="113" t="s">
        <v>688</v>
      </c>
      <c r="BS53" s="161">
        <v>0.2</v>
      </c>
      <c r="BT53" s="113" t="s">
        <v>211</v>
      </c>
      <c r="BU53" s="160" t="s">
        <v>210</v>
      </c>
      <c r="BV53" s="113">
        <v>19653413.080999997</v>
      </c>
      <c r="BW53" s="113">
        <v>22848780.235100001</v>
      </c>
      <c r="BX53" s="113"/>
      <c r="BY53" s="113"/>
      <c r="BZ53" s="113">
        <v>19427532.107000571</v>
      </c>
      <c r="CA53" s="113">
        <v>22270538.357580002</v>
      </c>
      <c r="CB53" s="113"/>
      <c r="CC53" s="113"/>
      <c r="CD53" s="113"/>
      <c r="CE53" s="113"/>
      <c r="CF53" s="113"/>
      <c r="CG53" s="113"/>
      <c r="CH53" s="114">
        <f t="shared" si="49"/>
        <v>19427532.107000571</v>
      </c>
      <c r="CI53" s="114">
        <f t="shared" si="49"/>
        <v>22270538.357580002</v>
      </c>
      <c r="CJ53" s="120">
        <f t="shared" si="49"/>
        <v>0</v>
      </c>
      <c r="CK53" s="114">
        <f t="shared" si="49"/>
        <v>0</v>
      </c>
      <c r="CL53" s="114">
        <f t="shared" si="10"/>
        <v>41698070.464580573</v>
      </c>
      <c r="CM53" s="114">
        <f t="shared" si="76"/>
        <v>42502193.316100001</v>
      </c>
      <c r="CN53" s="114">
        <f t="shared" si="50"/>
        <v>42502193.316100001</v>
      </c>
      <c r="CO53" s="116">
        <f t="shared" si="51"/>
        <v>0.98109999999999997</v>
      </c>
      <c r="CP53" s="126">
        <f t="shared" ca="1" si="52"/>
        <v>0</v>
      </c>
      <c r="CQ53" s="115">
        <f t="shared" ca="1" si="12"/>
        <v>0</v>
      </c>
      <c r="CR53" s="118" t="str">
        <f t="shared" si="53"/>
        <v>Uncapped</v>
      </c>
      <c r="CS53" s="115">
        <f t="shared" ca="1" si="13"/>
        <v>0</v>
      </c>
      <c r="CT53" s="113" t="s">
        <v>696</v>
      </c>
      <c r="CU53" s="119">
        <v>0.2</v>
      </c>
      <c r="CV53" s="113" t="s">
        <v>217</v>
      </c>
      <c r="CW53" s="113" t="s">
        <v>210</v>
      </c>
      <c r="CX53" s="113">
        <v>61881722.047854595</v>
      </c>
      <c r="CY53" s="113">
        <v>72180793.063260496</v>
      </c>
      <c r="CZ53" s="113"/>
      <c r="DA53" s="113"/>
      <c r="DB53" s="113">
        <v>63657388.730680585</v>
      </c>
      <c r="DC53" s="113">
        <v>65995192.891159989</v>
      </c>
      <c r="DD53" s="113"/>
      <c r="DE53" s="113"/>
      <c r="DF53" s="113"/>
      <c r="DG53" s="113"/>
      <c r="DH53" s="113"/>
      <c r="DI53" s="113"/>
      <c r="DJ53" s="114">
        <f t="shared" si="54"/>
        <v>63657388.730680585</v>
      </c>
      <c r="DK53" s="114">
        <f t="shared" si="54"/>
        <v>65995192.891159989</v>
      </c>
      <c r="DL53" s="114">
        <f t="shared" si="54"/>
        <v>0</v>
      </c>
      <c r="DM53" s="114">
        <f t="shared" si="54"/>
        <v>0</v>
      </c>
      <c r="DN53" s="114">
        <f t="shared" si="84"/>
        <v>129652581.62184057</v>
      </c>
      <c r="DO53" s="114">
        <f t="shared" si="77"/>
        <v>134062515.1111151</v>
      </c>
      <c r="DP53" s="114">
        <f t="shared" si="56"/>
        <v>134062515.1111151</v>
      </c>
      <c r="DQ53" s="116">
        <f t="shared" si="57"/>
        <v>0.96709999999999996</v>
      </c>
      <c r="DR53" s="126">
        <f t="shared" ca="1" si="15"/>
        <v>0</v>
      </c>
      <c r="DS53" s="115">
        <f t="shared" ca="1" si="16"/>
        <v>0</v>
      </c>
      <c r="DT53" s="118" t="str">
        <f t="shared" si="58"/>
        <v>Uncapped</v>
      </c>
      <c r="DU53" s="115">
        <f t="shared" ca="1" si="17"/>
        <v>0</v>
      </c>
      <c r="DV53" s="113"/>
      <c r="DW53" s="119">
        <v>0</v>
      </c>
      <c r="DX53" s="113"/>
      <c r="DY53" s="113"/>
      <c r="DZ53" s="113">
        <v>0</v>
      </c>
      <c r="EA53" s="113">
        <v>0</v>
      </c>
      <c r="EB53" s="113">
        <v>0</v>
      </c>
      <c r="EC53" s="113">
        <v>0</v>
      </c>
      <c r="ED53" s="113">
        <v>0</v>
      </c>
      <c r="EE53" s="113">
        <v>0</v>
      </c>
      <c r="EF53" s="113"/>
      <c r="EG53" s="113"/>
      <c r="EH53" s="113"/>
      <c r="EI53" s="113"/>
      <c r="EJ53" s="113"/>
      <c r="EK53" s="113"/>
      <c r="EL53" s="114">
        <f t="shared" si="59"/>
        <v>0</v>
      </c>
      <c r="EM53" s="114">
        <f t="shared" si="59"/>
        <v>0</v>
      </c>
      <c r="EN53" s="114">
        <f t="shared" si="59"/>
        <v>0</v>
      </c>
      <c r="EO53" s="114">
        <f t="shared" si="59"/>
        <v>0</v>
      </c>
      <c r="EP53" s="114">
        <f t="shared" si="18"/>
        <v>0</v>
      </c>
      <c r="EQ53" s="114">
        <f t="shared" si="78"/>
        <v>0</v>
      </c>
      <c r="ER53" s="114">
        <f t="shared" si="60"/>
        <v>0</v>
      </c>
      <c r="ES53" s="116">
        <f t="shared" si="61"/>
        <v>0</v>
      </c>
      <c r="ET53" s="126">
        <f t="shared" ca="1" si="62"/>
        <v>0</v>
      </c>
      <c r="EU53" s="115">
        <f t="shared" ca="1" si="20"/>
        <v>0</v>
      </c>
      <c r="EV53" s="118" t="str">
        <f t="shared" si="21"/>
        <v>Uncapped</v>
      </c>
      <c r="EW53" s="115">
        <f t="shared" ca="1" si="22"/>
        <v>0</v>
      </c>
      <c r="EX53" s="112">
        <f t="shared" ca="1" si="23"/>
        <v>0</v>
      </c>
      <c r="EY53" s="114">
        <f t="shared" ca="1" si="63"/>
        <v>2000</v>
      </c>
      <c r="EZ53" s="115">
        <v>0</v>
      </c>
      <c r="FA53" s="115"/>
      <c r="FB53" s="115"/>
      <c r="FC53" s="115">
        <v>0</v>
      </c>
      <c r="FD53" s="115">
        <f t="shared" si="79"/>
        <v>0</v>
      </c>
      <c r="FE53" s="114">
        <f t="shared" si="87"/>
        <v>0</v>
      </c>
      <c r="FF53" s="115">
        <v>0</v>
      </c>
      <c r="FG53" s="115">
        <v>0</v>
      </c>
      <c r="FH53" s="115">
        <v>0</v>
      </c>
      <c r="FI53" s="115">
        <v>0</v>
      </c>
      <c r="FJ53" s="115">
        <f t="shared" si="80"/>
        <v>0</v>
      </c>
      <c r="FK53" s="114">
        <f t="shared" si="88"/>
        <v>0</v>
      </c>
      <c r="FL53" s="113"/>
      <c r="FM53" s="111"/>
      <c r="FN53" s="111"/>
      <c r="FO53" s="111"/>
      <c r="FP53" s="115">
        <f t="shared" si="28"/>
        <v>0</v>
      </c>
      <c r="FQ53" s="115"/>
      <c r="FR53" s="115"/>
      <c r="FS53" s="115"/>
      <c r="FT53" s="114">
        <f t="shared" si="64"/>
        <v>0</v>
      </c>
      <c r="FU53" s="366">
        <f t="shared" ca="1" si="66"/>
        <v>2000</v>
      </c>
      <c r="FV53" s="121">
        <f t="shared" ca="1" si="65"/>
        <v>2000</v>
      </c>
      <c r="FW53" s="114">
        <f t="shared" si="70"/>
        <v>0</v>
      </c>
      <c r="FX53" s="114">
        <f t="shared" si="70"/>
        <v>0</v>
      </c>
      <c r="FY53" s="114">
        <f t="shared" si="70"/>
        <v>0</v>
      </c>
      <c r="FZ53" s="114">
        <f t="shared" si="70"/>
        <v>0</v>
      </c>
      <c r="GA53" s="114">
        <f t="shared" si="30"/>
        <v>0</v>
      </c>
      <c r="GB53" s="114">
        <f t="shared" si="71"/>
        <v>0</v>
      </c>
      <c r="GC53" s="114">
        <f t="shared" si="71"/>
        <v>0</v>
      </c>
      <c r="GD53" s="114">
        <f t="shared" si="71"/>
        <v>0</v>
      </c>
      <c r="GE53" s="114">
        <f t="shared" si="71"/>
        <v>0</v>
      </c>
      <c r="GF53" s="114">
        <f t="shared" si="72"/>
        <v>0</v>
      </c>
      <c r="GG53" s="114">
        <f t="shared" si="72"/>
        <v>0</v>
      </c>
      <c r="GH53" s="114">
        <f t="shared" si="72"/>
        <v>0</v>
      </c>
      <c r="GI53" s="114">
        <f t="shared" si="72"/>
        <v>0</v>
      </c>
      <c r="GJ53" s="115">
        <f t="shared" si="81"/>
        <v>0</v>
      </c>
      <c r="GK53" s="114">
        <f t="shared" si="34"/>
        <v>0</v>
      </c>
      <c r="GL53" s="114">
        <f t="shared" si="35"/>
        <v>2000</v>
      </c>
      <c r="GM53" s="114">
        <f t="shared" si="36"/>
        <v>0</v>
      </c>
      <c r="GN53" s="114">
        <f t="shared" si="37"/>
        <v>0</v>
      </c>
      <c r="GO53" s="114">
        <f t="shared" si="38"/>
        <v>0</v>
      </c>
      <c r="GP53" s="114">
        <f t="shared" si="39"/>
        <v>2000</v>
      </c>
      <c r="GQ53" s="114">
        <f t="shared" si="40"/>
        <v>2000</v>
      </c>
      <c r="GR53" s="193"/>
      <c r="GS53" s="122">
        <f t="shared" si="85"/>
        <v>172899509.73249313</v>
      </c>
      <c r="GT53" s="122">
        <f t="shared" si="85"/>
        <v>184135808.4272151</v>
      </c>
      <c r="GU53" s="123">
        <f t="shared" si="42"/>
        <v>0.93897819880502253</v>
      </c>
      <c r="GV53" s="124">
        <f t="shared" ca="1" si="43"/>
        <v>0</v>
      </c>
      <c r="GW53" s="124">
        <v>0</v>
      </c>
      <c r="GX53" s="32">
        <f t="shared" ca="1" si="44"/>
        <v>0</v>
      </c>
      <c r="GY53" s="100"/>
    </row>
    <row r="54" spans="1:207" s="152" customFormat="1" ht="15" hidden="1" customHeight="1">
      <c r="A54" s="129"/>
      <c r="B54" s="130"/>
      <c r="C54" s="130"/>
      <c r="D54" s="131"/>
      <c r="E54" s="131" t="s">
        <v>346</v>
      </c>
      <c r="F54" s="169" t="s">
        <v>347</v>
      </c>
      <c r="G54" s="131" t="s">
        <v>226</v>
      </c>
      <c r="H54" s="132" t="s">
        <v>348</v>
      </c>
      <c r="I54" s="133" t="s">
        <v>349</v>
      </c>
      <c r="J54" s="131" t="s">
        <v>207</v>
      </c>
      <c r="K54" s="131" t="s">
        <v>208</v>
      </c>
      <c r="L54" s="131" t="s">
        <v>350</v>
      </c>
      <c r="M54" s="131" t="s">
        <v>350</v>
      </c>
      <c r="N54" s="134"/>
      <c r="O54" s="540">
        <v>41376</v>
      </c>
      <c r="P54" s="155">
        <v>43313</v>
      </c>
      <c r="Q54" s="321">
        <f t="shared" si="0"/>
        <v>0</v>
      </c>
      <c r="R54" s="109">
        <f>IF((P54-VLOOKUP(Q54,month!$A$1:$C$13,3,0))&lt;0,Q54,Q54+1)</f>
        <v>0</v>
      </c>
      <c r="S54" s="108"/>
      <c r="T54" s="135" t="str">
        <f t="shared" si="67"/>
        <v/>
      </c>
      <c r="U54" s="134"/>
      <c r="V54" s="134"/>
      <c r="W54" s="134"/>
      <c r="X54" s="134"/>
      <c r="Y54" s="383"/>
      <c r="Z54" s="383" t="s">
        <v>545</v>
      </c>
      <c r="AA54" s="371">
        <v>1000</v>
      </c>
      <c r="AB54" s="371">
        <v>1000</v>
      </c>
      <c r="AC54" s="371">
        <v>1000</v>
      </c>
      <c r="AD54" s="371">
        <v>1000</v>
      </c>
      <c r="AE54" s="371">
        <v>1000</v>
      </c>
      <c r="AF54" s="371">
        <v>1000</v>
      </c>
      <c r="AG54" s="371">
        <v>1000</v>
      </c>
      <c r="AH54" s="371">
        <v>1000</v>
      </c>
      <c r="AI54" s="371">
        <v>1000</v>
      </c>
      <c r="AJ54" s="371">
        <v>1000</v>
      </c>
      <c r="AK54" s="371">
        <v>1000</v>
      </c>
      <c r="AL54" s="371">
        <v>1000</v>
      </c>
      <c r="AM54" s="384">
        <f t="shared" si="74"/>
        <v>12000</v>
      </c>
      <c r="AN54" s="384">
        <f t="shared" si="3"/>
        <v>12000</v>
      </c>
      <c r="AO54" s="385">
        <f t="shared" ref="AO54:AO55" si="90">AI54</f>
        <v>1000</v>
      </c>
      <c r="AP54" s="497" t="s">
        <v>682</v>
      </c>
      <c r="AQ54" s="156">
        <v>0.5</v>
      </c>
      <c r="AR54" s="157" t="s">
        <v>211</v>
      </c>
      <c r="AS54" s="146" t="s">
        <v>210</v>
      </c>
      <c r="AT54" s="136">
        <v>6104383.3436000003</v>
      </c>
      <c r="AU54" s="136">
        <v>7051094.8471999997</v>
      </c>
      <c r="AV54" s="136"/>
      <c r="AW54" s="136"/>
      <c r="AX54" s="138">
        <v>6508204.4988539666</v>
      </c>
      <c r="AY54" s="138">
        <v>7144767.9219283722</v>
      </c>
      <c r="AZ54" s="138"/>
      <c r="BA54" s="138"/>
      <c r="BB54" s="138"/>
      <c r="BC54" s="138"/>
      <c r="BD54" s="138"/>
      <c r="BE54" s="138"/>
      <c r="BF54" s="139">
        <f t="shared" si="46"/>
        <v>6508204.4988539666</v>
      </c>
      <c r="BG54" s="139">
        <f t="shared" si="46"/>
        <v>7144767.9219283722</v>
      </c>
      <c r="BH54" s="139">
        <f t="shared" si="46"/>
        <v>0</v>
      </c>
      <c r="BI54" s="139">
        <f t="shared" si="46"/>
        <v>0</v>
      </c>
      <c r="BJ54" s="139">
        <f t="shared" si="83"/>
        <v>13652972.420782339</v>
      </c>
      <c r="BK54" s="140">
        <f t="shared" si="75"/>
        <v>13155478.1908</v>
      </c>
      <c r="BL54" s="140">
        <f t="shared" si="47"/>
        <v>13155478.1908</v>
      </c>
      <c r="BM54" s="141">
        <f t="shared" si="48"/>
        <v>1.0378000000000001</v>
      </c>
      <c r="BN54" s="142">
        <f t="shared" ca="1" si="6"/>
        <v>0</v>
      </c>
      <c r="BO54" s="143">
        <f t="shared" ca="1" si="7"/>
        <v>0</v>
      </c>
      <c r="BP54" s="144" t="str">
        <f t="shared" si="8"/>
        <v>Uncapped</v>
      </c>
      <c r="BQ54" s="140">
        <f t="shared" ca="1" si="9"/>
        <v>0</v>
      </c>
      <c r="BR54" s="138" t="s">
        <v>700</v>
      </c>
      <c r="BS54" s="158">
        <v>0.3</v>
      </c>
      <c r="BT54" s="138" t="s">
        <v>211</v>
      </c>
      <c r="BU54" s="157" t="s">
        <v>210</v>
      </c>
      <c r="BV54" s="138">
        <v>247422.25999999998</v>
      </c>
      <c r="BW54" s="138">
        <v>297845.20999999996</v>
      </c>
      <c r="BX54" s="138"/>
      <c r="BY54" s="138"/>
      <c r="BZ54" s="138">
        <v>217113.5484</v>
      </c>
      <c r="CA54" s="138">
        <v>351034.32779999997</v>
      </c>
      <c r="CB54" s="138"/>
      <c r="CC54" s="138"/>
      <c r="CD54" s="138"/>
      <c r="CE54" s="138"/>
      <c r="CF54" s="138"/>
      <c r="CG54" s="138"/>
      <c r="CH54" s="139">
        <f t="shared" si="49"/>
        <v>217113.5484</v>
      </c>
      <c r="CI54" s="139">
        <f t="shared" si="49"/>
        <v>351034.32779999997</v>
      </c>
      <c r="CJ54" s="145">
        <f t="shared" si="49"/>
        <v>0</v>
      </c>
      <c r="CK54" s="139">
        <f t="shared" si="49"/>
        <v>0</v>
      </c>
      <c r="CL54" s="139">
        <f t="shared" si="10"/>
        <v>568147.87619999994</v>
      </c>
      <c r="CM54" s="139">
        <f t="shared" si="76"/>
        <v>545267.47</v>
      </c>
      <c r="CN54" s="139">
        <f t="shared" si="50"/>
        <v>545267.47</v>
      </c>
      <c r="CO54" s="141">
        <f t="shared" si="51"/>
        <v>1.042</v>
      </c>
      <c r="CP54" s="142">
        <f t="shared" ca="1" si="52"/>
        <v>0</v>
      </c>
      <c r="CQ54" s="140">
        <f t="shared" ca="1" si="12"/>
        <v>0</v>
      </c>
      <c r="CR54" s="144" t="str">
        <f t="shared" si="53"/>
        <v>Uncapped</v>
      </c>
      <c r="CS54" s="140">
        <f t="shared" ca="1" si="13"/>
        <v>0</v>
      </c>
      <c r="CT54" s="138" t="s">
        <v>702</v>
      </c>
      <c r="CU54" s="146">
        <v>0.2</v>
      </c>
      <c r="CV54" s="138" t="s">
        <v>217</v>
      </c>
      <c r="CW54" s="138" t="s">
        <v>210</v>
      </c>
      <c r="CX54" s="138">
        <v>19653413.080999997</v>
      </c>
      <c r="CY54" s="138">
        <v>22848780.235100001</v>
      </c>
      <c r="CZ54" s="138"/>
      <c r="DA54" s="138"/>
      <c r="DB54" s="138">
        <v>19427532.107000571</v>
      </c>
      <c r="DC54" s="138">
        <v>22270538.357580002</v>
      </c>
      <c r="DD54" s="138"/>
      <c r="DE54" s="138"/>
      <c r="DF54" s="138"/>
      <c r="DG54" s="138"/>
      <c r="DH54" s="138"/>
      <c r="DI54" s="138"/>
      <c r="DJ54" s="139">
        <f t="shared" si="54"/>
        <v>19427532.107000571</v>
      </c>
      <c r="DK54" s="139">
        <f t="shared" si="54"/>
        <v>22270538.357580002</v>
      </c>
      <c r="DL54" s="139">
        <f t="shared" si="54"/>
        <v>0</v>
      </c>
      <c r="DM54" s="139">
        <f t="shared" si="54"/>
        <v>0</v>
      </c>
      <c r="DN54" s="139">
        <f t="shared" si="84"/>
        <v>41698070.464580573</v>
      </c>
      <c r="DO54" s="139">
        <f t="shared" si="77"/>
        <v>42502193.316100001</v>
      </c>
      <c r="DP54" s="139">
        <f t="shared" si="56"/>
        <v>42502193.316100001</v>
      </c>
      <c r="DQ54" s="141">
        <f t="shared" si="57"/>
        <v>0.98109999999999997</v>
      </c>
      <c r="DR54" s="142">
        <f t="shared" ca="1" si="15"/>
        <v>0</v>
      </c>
      <c r="DS54" s="140">
        <f t="shared" ca="1" si="16"/>
        <v>0</v>
      </c>
      <c r="DT54" s="144" t="str">
        <f t="shared" si="58"/>
        <v>Uncapped</v>
      </c>
      <c r="DU54" s="140">
        <f t="shared" ca="1" si="17"/>
        <v>0</v>
      </c>
      <c r="DV54" s="138"/>
      <c r="DW54" s="146">
        <v>0</v>
      </c>
      <c r="DX54" s="138"/>
      <c r="DY54" s="138"/>
      <c r="DZ54" s="138">
        <v>0</v>
      </c>
      <c r="EA54" s="138">
        <v>0</v>
      </c>
      <c r="EB54" s="138">
        <v>0</v>
      </c>
      <c r="EC54" s="138">
        <v>0</v>
      </c>
      <c r="ED54" s="138">
        <v>0</v>
      </c>
      <c r="EE54" s="138">
        <v>0</v>
      </c>
      <c r="EF54" s="138"/>
      <c r="EG54" s="138"/>
      <c r="EH54" s="138"/>
      <c r="EI54" s="138"/>
      <c r="EJ54" s="138"/>
      <c r="EK54" s="138"/>
      <c r="EL54" s="139">
        <f t="shared" si="59"/>
        <v>0</v>
      </c>
      <c r="EM54" s="139">
        <f t="shared" si="59"/>
        <v>0</v>
      </c>
      <c r="EN54" s="139">
        <f t="shared" si="59"/>
        <v>0</v>
      </c>
      <c r="EO54" s="139">
        <f t="shared" si="59"/>
        <v>0</v>
      </c>
      <c r="EP54" s="139">
        <f t="shared" si="18"/>
        <v>0</v>
      </c>
      <c r="EQ54" s="139">
        <f t="shared" si="78"/>
        <v>0</v>
      </c>
      <c r="ER54" s="139">
        <f t="shared" si="60"/>
        <v>0</v>
      </c>
      <c r="ES54" s="141">
        <f t="shared" si="61"/>
        <v>0</v>
      </c>
      <c r="ET54" s="142">
        <f t="shared" ca="1" si="62"/>
        <v>0</v>
      </c>
      <c r="EU54" s="140">
        <f t="shared" ca="1" si="20"/>
        <v>0</v>
      </c>
      <c r="EV54" s="144" t="str">
        <f t="shared" si="21"/>
        <v>Uncapped</v>
      </c>
      <c r="EW54" s="140">
        <f t="shared" ca="1" si="22"/>
        <v>0</v>
      </c>
      <c r="EX54" s="137">
        <f t="shared" ca="1" si="23"/>
        <v>0</v>
      </c>
      <c r="EY54" s="139">
        <f t="shared" ca="1" si="63"/>
        <v>0</v>
      </c>
      <c r="EZ54" s="140">
        <v>0</v>
      </c>
      <c r="FA54" s="140"/>
      <c r="FB54" s="140"/>
      <c r="FC54" s="140">
        <v>0</v>
      </c>
      <c r="FD54" s="140">
        <f t="shared" si="79"/>
        <v>0</v>
      </c>
      <c r="FE54" s="139">
        <f t="shared" si="87"/>
        <v>0</v>
      </c>
      <c r="FF54" s="140">
        <v>0</v>
      </c>
      <c r="FG54" s="140">
        <v>0</v>
      </c>
      <c r="FH54" s="140">
        <v>0</v>
      </c>
      <c r="FI54" s="140">
        <v>0</v>
      </c>
      <c r="FJ54" s="140">
        <f t="shared" si="80"/>
        <v>0</v>
      </c>
      <c r="FK54" s="139">
        <f t="shared" si="88"/>
        <v>0</v>
      </c>
      <c r="FL54" s="138"/>
      <c r="FM54" s="136"/>
      <c r="FN54" s="136"/>
      <c r="FO54" s="136"/>
      <c r="FP54" s="140">
        <f t="shared" si="28"/>
        <v>0</v>
      </c>
      <c r="FQ54" s="140"/>
      <c r="FR54" s="140"/>
      <c r="FS54" s="140"/>
      <c r="FT54" s="139">
        <f t="shared" si="64"/>
        <v>0</v>
      </c>
      <c r="FU54" s="365">
        <f t="shared" ca="1" si="66"/>
        <v>0</v>
      </c>
      <c r="FV54" s="147">
        <f t="shared" ca="1" si="65"/>
        <v>0</v>
      </c>
      <c r="FW54" s="139">
        <f t="shared" si="70"/>
        <v>0</v>
      </c>
      <c r="FX54" s="139">
        <f t="shared" si="70"/>
        <v>0</v>
      </c>
      <c r="FY54" s="139">
        <f t="shared" si="70"/>
        <v>0</v>
      </c>
      <c r="FZ54" s="139">
        <f t="shared" si="70"/>
        <v>0</v>
      </c>
      <c r="GA54" s="139">
        <f t="shared" si="30"/>
        <v>0</v>
      </c>
      <c r="GB54" s="139">
        <f t="shared" si="71"/>
        <v>0</v>
      </c>
      <c r="GC54" s="139">
        <f t="shared" si="71"/>
        <v>0</v>
      </c>
      <c r="GD54" s="139">
        <f t="shared" si="71"/>
        <v>0</v>
      </c>
      <c r="GE54" s="139">
        <f t="shared" si="71"/>
        <v>0</v>
      </c>
      <c r="GF54" s="139">
        <f t="shared" si="72"/>
        <v>0</v>
      </c>
      <c r="GG54" s="139">
        <f t="shared" si="72"/>
        <v>0</v>
      </c>
      <c r="GH54" s="139">
        <f t="shared" si="72"/>
        <v>0</v>
      </c>
      <c r="GI54" s="139">
        <f t="shared" si="72"/>
        <v>0</v>
      </c>
      <c r="GJ54" s="140">
        <f t="shared" si="81"/>
        <v>0</v>
      </c>
      <c r="GK54" s="139">
        <f t="shared" si="34"/>
        <v>0</v>
      </c>
      <c r="GL54" s="139">
        <f t="shared" si="35"/>
        <v>0</v>
      </c>
      <c r="GM54" s="139">
        <f t="shared" si="36"/>
        <v>0</v>
      </c>
      <c r="GN54" s="139">
        <f t="shared" si="37"/>
        <v>0</v>
      </c>
      <c r="GO54" s="139">
        <f t="shared" si="38"/>
        <v>0</v>
      </c>
      <c r="GP54" s="139">
        <f t="shared" si="39"/>
        <v>0</v>
      </c>
      <c r="GQ54" s="139">
        <f t="shared" si="40"/>
        <v>0</v>
      </c>
      <c r="GR54" s="409"/>
      <c r="GS54" s="148">
        <f t="shared" si="85"/>
        <v>55919190.761562914</v>
      </c>
      <c r="GT54" s="148">
        <f t="shared" si="85"/>
        <v>56202938.976900004</v>
      </c>
      <c r="GU54" s="149">
        <f t="shared" si="42"/>
        <v>0.99495136338948909</v>
      </c>
      <c r="GV54" s="150">
        <f t="shared" ca="1" si="43"/>
        <v>0</v>
      </c>
      <c r="GW54" s="150">
        <v>0</v>
      </c>
      <c r="GX54" s="151">
        <f t="shared" ca="1" si="44"/>
        <v>0</v>
      </c>
      <c r="GY54" s="100"/>
    </row>
    <row r="55" spans="1:207" s="125" customFormat="1" ht="15" hidden="1" customHeight="1">
      <c r="A55" s="102"/>
      <c r="B55" s="103"/>
      <c r="C55" s="103"/>
      <c r="D55" s="104"/>
      <c r="E55" s="104" t="s">
        <v>346</v>
      </c>
      <c r="F55" s="104" t="s">
        <v>347</v>
      </c>
      <c r="G55" s="104" t="s">
        <v>226</v>
      </c>
      <c r="H55" s="105" t="s">
        <v>351</v>
      </c>
      <c r="I55" s="106" t="s">
        <v>352</v>
      </c>
      <c r="J55" s="104" t="s">
        <v>212</v>
      </c>
      <c r="K55" s="325" t="s">
        <v>208</v>
      </c>
      <c r="L55" s="104" t="s">
        <v>350</v>
      </c>
      <c r="M55" s="104" t="s">
        <v>350</v>
      </c>
      <c r="N55" s="107"/>
      <c r="O55" s="537">
        <v>41376</v>
      </c>
      <c r="P55" s="108">
        <v>43313</v>
      </c>
      <c r="Q55" s="322">
        <f t="shared" si="0"/>
        <v>0</v>
      </c>
      <c r="R55" s="109">
        <f>IF((P55-VLOOKUP(Q55,month!$A$1:$C$13,3,0))&lt;0,Q55,Q55+1)</f>
        <v>0</v>
      </c>
      <c r="S55" s="108"/>
      <c r="T55" s="127" t="str">
        <f t="shared" si="67"/>
        <v/>
      </c>
      <c r="U55" s="107"/>
      <c r="V55" s="107"/>
      <c r="W55" s="107"/>
      <c r="X55" s="107"/>
      <c r="Y55" s="386"/>
      <c r="Z55" s="386" t="s">
        <v>545</v>
      </c>
      <c r="AA55" s="387">
        <v>1000</v>
      </c>
      <c r="AB55" s="387">
        <v>1000</v>
      </c>
      <c r="AC55" s="387">
        <v>1000</v>
      </c>
      <c r="AD55" s="387">
        <v>1000</v>
      </c>
      <c r="AE55" s="387">
        <v>1000</v>
      </c>
      <c r="AF55" s="387">
        <v>1000</v>
      </c>
      <c r="AG55" s="387">
        <v>1000</v>
      </c>
      <c r="AH55" s="387">
        <v>1000</v>
      </c>
      <c r="AI55" s="387">
        <v>1000</v>
      </c>
      <c r="AJ55" s="387">
        <v>1000</v>
      </c>
      <c r="AK55" s="387">
        <v>1000</v>
      </c>
      <c r="AL55" s="387">
        <v>1000</v>
      </c>
      <c r="AM55" s="388">
        <f t="shared" si="74"/>
        <v>12000</v>
      </c>
      <c r="AN55" s="388">
        <f t="shared" si="3"/>
        <v>12000</v>
      </c>
      <c r="AO55" s="389">
        <f t="shared" si="90"/>
        <v>1000</v>
      </c>
      <c r="AP55" s="498" t="s">
        <v>682</v>
      </c>
      <c r="AQ55" s="159">
        <v>0.5</v>
      </c>
      <c r="AR55" s="160" t="s">
        <v>211</v>
      </c>
      <c r="AS55" s="119" t="s">
        <v>210</v>
      </c>
      <c r="AT55" s="111">
        <v>6104383.3436000003</v>
      </c>
      <c r="AU55" s="111">
        <v>7051094.8471999997</v>
      </c>
      <c r="AV55" s="111"/>
      <c r="AW55" s="111"/>
      <c r="AX55" s="113">
        <v>6508204.4988539666</v>
      </c>
      <c r="AY55" s="113">
        <v>7144767.9219283722</v>
      </c>
      <c r="AZ55" s="113"/>
      <c r="BA55" s="113"/>
      <c r="BB55" s="113"/>
      <c r="BC55" s="113"/>
      <c r="BD55" s="113"/>
      <c r="BE55" s="113"/>
      <c r="BF55" s="114">
        <f t="shared" si="46"/>
        <v>6508204.4988539666</v>
      </c>
      <c r="BG55" s="114">
        <f t="shared" si="46"/>
        <v>7144767.9219283722</v>
      </c>
      <c r="BH55" s="114">
        <f t="shared" si="46"/>
        <v>0</v>
      </c>
      <c r="BI55" s="114">
        <f t="shared" si="46"/>
        <v>0</v>
      </c>
      <c r="BJ55" s="114">
        <f t="shared" si="83"/>
        <v>13652972.420782339</v>
      </c>
      <c r="BK55" s="115">
        <f t="shared" si="75"/>
        <v>13155478.1908</v>
      </c>
      <c r="BL55" s="115">
        <f t="shared" si="47"/>
        <v>13155478.1908</v>
      </c>
      <c r="BM55" s="116">
        <f t="shared" si="48"/>
        <v>1.0378000000000001</v>
      </c>
      <c r="BN55" s="126">
        <f t="shared" ca="1" si="6"/>
        <v>0</v>
      </c>
      <c r="BO55" s="117">
        <f t="shared" ca="1" si="7"/>
        <v>0</v>
      </c>
      <c r="BP55" s="118" t="str">
        <f t="shared" si="8"/>
        <v>Uncapped</v>
      </c>
      <c r="BQ55" s="115">
        <f t="shared" ca="1" si="9"/>
        <v>0</v>
      </c>
      <c r="BR55" s="113" t="s">
        <v>700</v>
      </c>
      <c r="BS55" s="161">
        <v>0.3</v>
      </c>
      <c r="BT55" s="113" t="s">
        <v>211</v>
      </c>
      <c r="BU55" s="160" t="s">
        <v>210</v>
      </c>
      <c r="BV55" s="113">
        <v>247422.25999999998</v>
      </c>
      <c r="BW55" s="113">
        <v>297845.20999999996</v>
      </c>
      <c r="BX55" s="113"/>
      <c r="BY55" s="113"/>
      <c r="BZ55" s="113">
        <v>217113.5484</v>
      </c>
      <c r="CA55" s="113">
        <v>351034.32779999997</v>
      </c>
      <c r="CB55" s="113"/>
      <c r="CC55" s="113"/>
      <c r="CD55" s="113"/>
      <c r="CE55" s="113"/>
      <c r="CF55" s="113"/>
      <c r="CG55" s="113"/>
      <c r="CH55" s="114">
        <f t="shared" si="49"/>
        <v>217113.5484</v>
      </c>
      <c r="CI55" s="114">
        <f t="shared" si="49"/>
        <v>351034.32779999997</v>
      </c>
      <c r="CJ55" s="120">
        <f t="shared" si="49"/>
        <v>0</v>
      </c>
      <c r="CK55" s="114">
        <f t="shared" si="49"/>
        <v>0</v>
      </c>
      <c r="CL55" s="114">
        <f t="shared" si="10"/>
        <v>568147.87619999994</v>
      </c>
      <c r="CM55" s="114">
        <f t="shared" si="76"/>
        <v>545267.47</v>
      </c>
      <c r="CN55" s="114">
        <f t="shared" si="50"/>
        <v>545267.47</v>
      </c>
      <c r="CO55" s="116">
        <f t="shared" si="51"/>
        <v>1.042</v>
      </c>
      <c r="CP55" s="126">
        <f t="shared" ca="1" si="52"/>
        <v>0</v>
      </c>
      <c r="CQ55" s="115">
        <f t="shared" ca="1" si="12"/>
        <v>0</v>
      </c>
      <c r="CR55" s="118" t="str">
        <f t="shared" si="53"/>
        <v>Uncapped</v>
      </c>
      <c r="CS55" s="115">
        <f t="shared" ca="1" si="13"/>
        <v>0</v>
      </c>
      <c r="CT55" s="113" t="s">
        <v>702</v>
      </c>
      <c r="CU55" s="119">
        <v>0.2</v>
      </c>
      <c r="CV55" s="113" t="s">
        <v>217</v>
      </c>
      <c r="CW55" s="113" t="s">
        <v>210</v>
      </c>
      <c r="CX55" s="113">
        <v>19653413.080999997</v>
      </c>
      <c r="CY55" s="113">
        <v>22848780.235100001</v>
      </c>
      <c r="CZ55" s="113"/>
      <c r="DA55" s="113"/>
      <c r="DB55" s="113">
        <v>19427532.107000571</v>
      </c>
      <c r="DC55" s="113">
        <v>22270538.357580002</v>
      </c>
      <c r="DD55" s="113"/>
      <c r="DE55" s="113"/>
      <c r="DF55" s="113"/>
      <c r="DG55" s="113"/>
      <c r="DH55" s="113"/>
      <c r="DI55" s="113"/>
      <c r="DJ55" s="114">
        <f t="shared" si="54"/>
        <v>19427532.107000571</v>
      </c>
      <c r="DK55" s="114">
        <f t="shared" si="54"/>
        <v>22270538.357580002</v>
      </c>
      <c r="DL55" s="114">
        <f t="shared" si="54"/>
        <v>0</v>
      </c>
      <c r="DM55" s="114">
        <f t="shared" si="54"/>
        <v>0</v>
      </c>
      <c r="DN55" s="114">
        <f t="shared" si="84"/>
        <v>41698070.464580573</v>
      </c>
      <c r="DO55" s="114">
        <f t="shared" si="77"/>
        <v>42502193.316100001</v>
      </c>
      <c r="DP55" s="114">
        <f t="shared" si="56"/>
        <v>42502193.316100001</v>
      </c>
      <c r="DQ55" s="116">
        <f t="shared" si="57"/>
        <v>0.98109999999999997</v>
      </c>
      <c r="DR55" s="126">
        <f t="shared" ca="1" si="15"/>
        <v>0</v>
      </c>
      <c r="DS55" s="115">
        <f t="shared" ca="1" si="16"/>
        <v>0</v>
      </c>
      <c r="DT55" s="118" t="str">
        <f t="shared" si="58"/>
        <v>Uncapped</v>
      </c>
      <c r="DU55" s="115">
        <f t="shared" ca="1" si="17"/>
        <v>0</v>
      </c>
      <c r="DV55" s="113"/>
      <c r="DW55" s="119">
        <v>0</v>
      </c>
      <c r="DX55" s="113"/>
      <c r="DY55" s="113"/>
      <c r="DZ55" s="113">
        <v>0</v>
      </c>
      <c r="EA55" s="113">
        <v>0</v>
      </c>
      <c r="EB55" s="113">
        <v>0</v>
      </c>
      <c r="EC55" s="113">
        <v>0</v>
      </c>
      <c r="ED55" s="113">
        <v>0</v>
      </c>
      <c r="EE55" s="113">
        <v>0</v>
      </c>
      <c r="EF55" s="113"/>
      <c r="EG55" s="113"/>
      <c r="EH55" s="113"/>
      <c r="EI55" s="113"/>
      <c r="EJ55" s="113"/>
      <c r="EK55" s="113"/>
      <c r="EL55" s="114">
        <f t="shared" si="59"/>
        <v>0</v>
      </c>
      <c r="EM55" s="114">
        <f t="shared" si="59"/>
        <v>0</v>
      </c>
      <c r="EN55" s="114">
        <f t="shared" si="59"/>
        <v>0</v>
      </c>
      <c r="EO55" s="114">
        <f t="shared" si="59"/>
        <v>0</v>
      </c>
      <c r="EP55" s="114">
        <f t="shared" si="18"/>
        <v>0</v>
      </c>
      <c r="EQ55" s="114">
        <f t="shared" si="78"/>
        <v>0</v>
      </c>
      <c r="ER55" s="114">
        <f t="shared" si="60"/>
        <v>0</v>
      </c>
      <c r="ES55" s="116">
        <f t="shared" si="61"/>
        <v>0</v>
      </c>
      <c r="ET55" s="126">
        <f t="shared" ca="1" si="62"/>
        <v>0</v>
      </c>
      <c r="EU55" s="115">
        <f t="shared" ca="1" si="20"/>
        <v>0</v>
      </c>
      <c r="EV55" s="118" t="str">
        <f t="shared" si="21"/>
        <v>Uncapped</v>
      </c>
      <c r="EW55" s="115">
        <f t="shared" ca="1" si="22"/>
        <v>0</v>
      </c>
      <c r="EX55" s="112">
        <f t="shared" ca="1" si="23"/>
        <v>0</v>
      </c>
      <c r="EY55" s="114">
        <f t="shared" ca="1" si="63"/>
        <v>0</v>
      </c>
      <c r="EZ55" s="115">
        <v>0</v>
      </c>
      <c r="FA55" s="115"/>
      <c r="FB55" s="115"/>
      <c r="FC55" s="115">
        <v>0</v>
      </c>
      <c r="FD55" s="115">
        <f t="shared" si="79"/>
        <v>0</v>
      </c>
      <c r="FE55" s="114">
        <f t="shared" si="87"/>
        <v>0</v>
      </c>
      <c r="FF55" s="115">
        <v>0</v>
      </c>
      <c r="FG55" s="115">
        <v>0</v>
      </c>
      <c r="FH55" s="115">
        <v>0</v>
      </c>
      <c r="FI55" s="115">
        <v>0</v>
      </c>
      <c r="FJ55" s="115">
        <f t="shared" si="80"/>
        <v>0</v>
      </c>
      <c r="FK55" s="114">
        <f t="shared" si="88"/>
        <v>0</v>
      </c>
      <c r="FL55" s="113"/>
      <c r="FM55" s="111"/>
      <c r="FN55" s="111"/>
      <c r="FO55" s="111"/>
      <c r="FP55" s="115">
        <f t="shared" si="28"/>
        <v>0</v>
      </c>
      <c r="FQ55" s="115"/>
      <c r="FR55" s="115"/>
      <c r="FS55" s="115"/>
      <c r="FT55" s="114">
        <f t="shared" si="64"/>
        <v>0</v>
      </c>
      <c r="FU55" s="366">
        <f t="shared" ca="1" si="66"/>
        <v>0</v>
      </c>
      <c r="FV55" s="121">
        <f t="shared" ca="1" si="65"/>
        <v>0</v>
      </c>
      <c r="FW55" s="114">
        <f t="shared" si="70"/>
        <v>0</v>
      </c>
      <c r="FX55" s="114">
        <f t="shared" si="70"/>
        <v>0</v>
      </c>
      <c r="FY55" s="114">
        <f t="shared" si="70"/>
        <v>0</v>
      </c>
      <c r="FZ55" s="114">
        <f t="shared" si="70"/>
        <v>0</v>
      </c>
      <c r="GA55" s="114">
        <f t="shared" si="30"/>
        <v>0</v>
      </c>
      <c r="GB55" s="114">
        <f t="shared" si="71"/>
        <v>0</v>
      </c>
      <c r="GC55" s="114">
        <f t="shared" si="71"/>
        <v>0</v>
      </c>
      <c r="GD55" s="114">
        <f t="shared" si="71"/>
        <v>0</v>
      </c>
      <c r="GE55" s="114">
        <f t="shared" si="71"/>
        <v>0</v>
      </c>
      <c r="GF55" s="114">
        <f t="shared" si="72"/>
        <v>0</v>
      </c>
      <c r="GG55" s="114">
        <f t="shared" si="72"/>
        <v>0</v>
      </c>
      <c r="GH55" s="114">
        <f t="shared" si="72"/>
        <v>0</v>
      </c>
      <c r="GI55" s="114">
        <f t="shared" si="72"/>
        <v>0</v>
      </c>
      <c r="GJ55" s="115">
        <f t="shared" si="81"/>
        <v>0</v>
      </c>
      <c r="GK55" s="114">
        <f t="shared" si="34"/>
        <v>0</v>
      </c>
      <c r="GL55" s="114">
        <f t="shared" si="35"/>
        <v>0</v>
      </c>
      <c r="GM55" s="114">
        <f t="shared" si="36"/>
        <v>0</v>
      </c>
      <c r="GN55" s="114">
        <f t="shared" si="37"/>
        <v>0</v>
      </c>
      <c r="GO55" s="114">
        <f t="shared" si="38"/>
        <v>0</v>
      </c>
      <c r="GP55" s="114">
        <f t="shared" si="39"/>
        <v>0</v>
      </c>
      <c r="GQ55" s="114">
        <f t="shared" si="40"/>
        <v>0</v>
      </c>
      <c r="GR55" s="193"/>
      <c r="GS55" s="122">
        <f t="shared" si="85"/>
        <v>55919190.761562914</v>
      </c>
      <c r="GT55" s="122">
        <f t="shared" si="85"/>
        <v>56202938.976900004</v>
      </c>
      <c r="GU55" s="123">
        <f t="shared" si="42"/>
        <v>0.99495136338948909</v>
      </c>
      <c r="GV55" s="124">
        <f t="shared" ca="1" si="43"/>
        <v>0</v>
      </c>
      <c r="GW55" s="124">
        <v>0</v>
      </c>
      <c r="GX55" s="32">
        <f t="shared" ca="1" si="44"/>
        <v>0</v>
      </c>
      <c r="GY55" s="100"/>
    </row>
    <row r="56" spans="1:207" s="125" customFormat="1" ht="15" hidden="1" customHeight="1">
      <c r="A56" s="102"/>
      <c r="B56" s="103"/>
      <c r="C56" s="103" t="s">
        <v>74</v>
      </c>
      <c r="D56" s="104"/>
      <c r="E56" s="104"/>
      <c r="F56" s="168" t="s">
        <v>347</v>
      </c>
      <c r="G56" s="104" t="s">
        <v>226</v>
      </c>
      <c r="H56" s="105" t="s">
        <v>353</v>
      </c>
      <c r="I56" s="547" t="s">
        <v>644</v>
      </c>
      <c r="J56" s="104" t="s">
        <v>212</v>
      </c>
      <c r="K56" s="543" t="s">
        <v>208</v>
      </c>
      <c r="L56" s="104" t="s">
        <v>350</v>
      </c>
      <c r="M56" s="104" t="s">
        <v>350</v>
      </c>
      <c r="N56" s="107"/>
      <c r="O56" s="537">
        <v>43530</v>
      </c>
      <c r="P56" s="359">
        <v>43530</v>
      </c>
      <c r="Q56" s="322">
        <f t="shared" si="0"/>
        <v>3</v>
      </c>
      <c r="R56" s="109">
        <f>IF((P56-VLOOKUP(Q56,month!$A$1:$C$13,3,0))&lt;0,Q56,Q56+1)</f>
        <v>3</v>
      </c>
      <c r="S56" s="108"/>
      <c r="T56" s="127" t="str">
        <f t="shared" si="67"/>
        <v/>
      </c>
      <c r="U56" s="320" t="s">
        <v>214</v>
      </c>
      <c r="V56" s="320">
        <v>1</v>
      </c>
      <c r="W56" s="320">
        <v>2</v>
      </c>
      <c r="X56" s="107"/>
      <c r="Y56" s="386"/>
      <c r="Z56" s="386" t="s">
        <v>545</v>
      </c>
      <c r="AA56" s="387">
        <v>1000</v>
      </c>
      <c r="AB56" s="387">
        <v>1000</v>
      </c>
      <c r="AC56" s="387">
        <v>1000</v>
      </c>
      <c r="AD56" s="387">
        <v>1000</v>
      </c>
      <c r="AE56" s="387">
        <v>1000</v>
      </c>
      <c r="AF56" s="387">
        <v>1000</v>
      </c>
      <c r="AG56" s="387">
        <v>1000</v>
      </c>
      <c r="AH56" s="387">
        <v>1000</v>
      </c>
      <c r="AI56" s="387">
        <v>1000</v>
      </c>
      <c r="AJ56" s="387">
        <v>1000</v>
      </c>
      <c r="AK56" s="387">
        <v>1000</v>
      </c>
      <c r="AL56" s="387">
        <v>1000</v>
      </c>
      <c r="AM56" s="388">
        <f t="shared" si="74"/>
        <v>12000</v>
      </c>
      <c r="AN56" s="388">
        <f t="shared" si="3"/>
        <v>12000</v>
      </c>
      <c r="AO56" s="389">
        <f>AC56</f>
        <v>1000</v>
      </c>
      <c r="AP56" s="498" t="s">
        <v>682</v>
      </c>
      <c r="AQ56" s="159">
        <v>0.5</v>
      </c>
      <c r="AR56" s="160" t="s">
        <v>211</v>
      </c>
      <c r="AS56" s="119" t="s">
        <v>210</v>
      </c>
      <c r="AT56" s="111">
        <v>2930104.0049279998</v>
      </c>
      <c r="AU56" s="111">
        <v>7051094.8471999997</v>
      </c>
      <c r="AV56" s="111"/>
      <c r="AW56" s="111"/>
      <c r="AX56" s="113">
        <v>3732200.1666000187</v>
      </c>
      <c r="AY56" s="113">
        <v>7144767.9219283722</v>
      </c>
      <c r="AZ56" s="113"/>
      <c r="BA56" s="113"/>
      <c r="BB56" s="113"/>
      <c r="BC56" s="113"/>
      <c r="BD56" s="113"/>
      <c r="BE56" s="113"/>
      <c r="BF56" s="114">
        <f t="shared" si="46"/>
        <v>3732200.1666000187</v>
      </c>
      <c r="BG56" s="114">
        <f t="shared" si="46"/>
        <v>7144767.9219283722</v>
      </c>
      <c r="BH56" s="114">
        <f t="shared" si="46"/>
        <v>0</v>
      </c>
      <c r="BI56" s="114">
        <f t="shared" si="46"/>
        <v>0</v>
      </c>
      <c r="BJ56" s="114">
        <f t="shared" si="83"/>
        <v>10876968.088528391</v>
      </c>
      <c r="BK56" s="115">
        <f t="shared" si="75"/>
        <v>9981198.8521279991</v>
      </c>
      <c r="BL56" s="115">
        <f t="shared" si="47"/>
        <v>9981198.8521279991</v>
      </c>
      <c r="BM56" s="116">
        <f t="shared" si="48"/>
        <v>1.0896999999999999</v>
      </c>
      <c r="BN56" s="126">
        <f t="shared" ca="1" si="6"/>
        <v>0</v>
      </c>
      <c r="BO56" s="117">
        <f t="shared" ca="1" si="7"/>
        <v>0</v>
      </c>
      <c r="BP56" s="118" t="str">
        <f t="shared" si="8"/>
        <v>Uncapped</v>
      </c>
      <c r="BQ56" s="115">
        <f t="shared" ca="1" si="9"/>
        <v>0</v>
      </c>
      <c r="BR56" s="113" t="s">
        <v>700</v>
      </c>
      <c r="BS56" s="161">
        <v>0.3</v>
      </c>
      <c r="BT56" s="113" t="s">
        <v>211</v>
      </c>
      <c r="BU56" s="160" t="s">
        <v>210</v>
      </c>
      <c r="BV56" s="113">
        <v>118762.6848</v>
      </c>
      <c r="BW56" s="113">
        <v>297845.20999999996</v>
      </c>
      <c r="BX56" s="113"/>
      <c r="BY56" s="113"/>
      <c r="BZ56" s="113">
        <v>78329.259000000035</v>
      </c>
      <c r="CA56" s="113">
        <v>351034.32779999997</v>
      </c>
      <c r="CB56" s="113"/>
      <c r="CC56" s="113"/>
      <c r="CD56" s="113"/>
      <c r="CE56" s="113"/>
      <c r="CF56" s="113"/>
      <c r="CG56" s="113"/>
      <c r="CH56" s="114">
        <f t="shared" si="49"/>
        <v>78329.259000000035</v>
      </c>
      <c r="CI56" s="114">
        <f t="shared" si="49"/>
        <v>351034.32779999997</v>
      </c>
      <c r="CJ56" s="120">
        <f t="shared" si="49"/>
        <v>0</v>
      </c>
      <c r="CK56" s="114">
        <f t="shared" si="49"/>
        <v>0</v>
      </c>
      <c r="CL56" s="114">
        <f t="shared" si="10"/>
        <v>429363.58679999999</v>
      </c>
      <c r="CM56" s="114">
        <f t="shared" si="76"/>
        <v>416607.89479999995</v>
      </c>
      <c r="CN56" s="114">
        <f t="shared" si="50"/>
        <v>416607.89479999995</v>
      </c>
      <c r="CO56" s="116">
        <f t="shared" si="51"/>
        <v>1.0306</v>
      </c>
      <c r="CP56" s="126">
        <f t="shared" ca="1" si="52"/>
        <v>0</v>
      </c>
      <c r="CQ56" s="115">
        <f t="shared" ca="1" si="12"/>
        <v>0</v>
      </c>
      <c r="CR56" s="118" t="str">
        <f t="shared" si="53"/>
        <v>Uncapped</v>
      </c>
      <c r="CS56" s="115">
        <f t="shared" ca="1" si="13"/>
        <v>0</v>
      </c>
      <c r="CT56" s="113" t="s">
        <v>702</v>
      </c>
      <c r="CU56" s="119">
        <v>0.2</v>
      </c>
      <c r="CV56" s="113" t="s">
        <v>217</v>
      </c>
      <c r="CW56" s="113" t="s">
        <v>210</v>
      </c>
      <c r="CX56" s="113">
        <v>9433638.2788800001</v>
      </c>
      <c r="CY56" s="113">
        <v>22848780.235100001</v>
      </c>
      <c r="CZ56" s="113"/>
      <c r="DA56" s="113"/>
      <c r="DB56" s="113">
        <v>10439170.410689997</v>
      </c>
      <c r="DC56" s="113">
        <v>22270538.357580002</v>
      </c>
      <c r="DD56" s="113"/>
      <c r="DE56" s="113"/>
      <c r="DF56" s="113"/>
      <c r="DG56" s="113"/>
      <c r="DH56" s="113"/>
      <c r="DI56" s="113"/>
      <c r="DJ56" s="114">
        <f t="shared" si="54"/>
        <v>10439170.410689997</v>
      </c>
      <c r="DK56" s="114">
        <f t="shared" si="54"/>
        <v>22270538.357580002</v>
      </c>
      <c r="DL56" s="114">
        <f t="shared" si="54"/>
        <v>0</v>
      </c>
      <c r="DM56" s="114">
        <f t="shared" si="54"/>
        <v>0</v>
      </c>
      <c r="DN56" s="114">
        <f t="shared" si="84"/>
        <v>32709708.768270001</v>
      </c>
      <c r="DO56" s="114">
        <f t="shared" si="77"/>
        <v>32282418.513980001</v>
      </c>
      <c r="DP56" s="114">
        <f t="shared" si="56"/>
        <v>32282418.513980001</v>
      </c>
      <c r="DQ56" s="116">
        <f t="shared" si="57"/>
        <v>1.0132000000000001</v>
      </c>
      <c r="DR56" s="126">
        <f t="shared" ca="1" si="15"/>
        <v>0</v>
      </c>
      <c r="DS56" s="115">
        <f t="shared" ca="1" si="16"/>
        <v>0</v>
      </c>
      <c r="DT56" s="118" t="str">
        <f t="shared" si="58"/>
        <v>Uncapped</v>
      </c>
      <c r="DU56" s="115">
        <f t="shared" ca="1" si="17"/>
        <v>0</v>
      </c>
      <c r="DV56" s="113"/>
      <c r="DW56" s="119">
        <v>0</v>
      </c>
      <c r="DX56" s="113"/>
      <c r="DY56" s="113"/>
      <c r="DZ56" s="113">
        <v>0</v>
      </c>
      <c r="EA56" s="113">
        <v>0</v>
      </c>
      <c r="EB56" s="113">
        <v>0</v>
      </c>
      <c r="EC56" s="113">
        <v>0</v>
      </c>
      <c r="ED56" s="113">
        <v>0</v>
      </c>
      <c r="EE56" s="113">
        <v>0</v>
      </c>
      <c r="EF56" s="113"/>
      <c r="EG56" s="113"/>
      <c r="EH56" s="113"/>
      <c r="EI56" s="113"/>
      <c r="EJ56" s="113"/>
      <c r="EK56" s="113"/>
      <c r="EL56" s="114">
        <f t="shared" si="59"/>
        <v>0</v>
      </c>
      <c r="EM56" s="114">
        <f t="shared" si="59"/>
        <v>0</v>
      </c>
      <c r="EN56" s="114">
        <f t="shared" si="59"/>
        <v>0</v>
      </c>
      <c r="EO56" s="114">
        <f t="shared" si="59"/>
        <v>0</v>
      </c>
      <c r="EP56" s="114">
        <f t="shared" si="18"/>
        <v>0</v>
      </c>
      <c r="EQ56" s="114">
        <f t="shared" si="78"/>
        <v>0</v>
      </c>
      <c r="ER56" s="114">
        <f t="shared" si="60"/>
        <v>0</v>
      </c>
      <c r="ES56" s="116">
        <f t="shared" si="61"/>
        <v>0</v>
      </c>
      <c r="ET56" s="126">
        <f t="shared" ca="1" si="62"/>
        <v>0</v>
      </c>
      <c r="EU56" s="115">
        <f t="shared" ca="1" si="20"/>
        <v>0</v>
      </c>
      <c r="EV56" s="118" t="str">
        <f t="shared" si="21"/>
        <v>Uncapped</v>
      </c>
      <c r="EW56" s="115">
        <f t="shared" ca="1" si="22"/>
        <v>0</v>
      </c>
      <c r="EX56" s="112">
        <f t="shared" ca="1" si="23"/>
        <v>0</v>
      </c>
      <c r="EY56" s="114">
        <f t="shared" ca="1" si="63"/>
        <v>3000</v>
      </c>
      <c r="EZ56" s="115">
        <v>0</v>
      </c>
      <c r="FA56" s="115"/>
      <c r="FB56" s="115"/>
      <c r="FC56" s="115">
        <v>0</v>
      </c>
      <c r="FD56" s="115">
        <f t="shared" si="79"/>
        <v>0</v>
      </c>
      <c r="FE56" s="114">
        <f t="shared" si="87"/>
        <v>0</v>
      </c>
      <c r="FF56" s="115">
        <v>0</v>
      </c>
      <c r="FG56" s="115">
        <v>0</v>
      </c>
      <c r="FH56" s="115">
        <v>0</v>
      </c>
      <c r="FI56" s="115">
        <v>0</v>
      </c>
      <c r="FJ56" s="115">
        <f t="shared" si="80"/>
        <v>0</v>
      </c>
      <c r="FK56" s="114">
        <f t="shared" si="88"/>
        <v>0</v>
      </c>
      <c r="FL56" s="113"/>
      <c r="FM56" s="111"/>
      <c r="FN56" s="111"/>
      <c r="FO56" s="111"/>
      <c r="FP56" s="115">
        <f t="shared" si="28"/>
        <v>0</v>
      </c>
      <c r="FQ56" s="115"/>
      <c r="FR56" s="115"/>
      <c r="FS56" s="115"/>
      <c r="FT56" s="114">
        <f t="shared" si="64"/>
        <v>0</v>
      </c>
      <c r="FU56" s="366">
        <f t="shared" ca="1" si="66"/>
        <v>3000</v>
      </c>
      <c r="FV56" s="121">
        <f t="shared" ca="1" si="65"/>
        <v>3000</v>
      </c>
      <c r="FW56" s="114">
        <f t="shared" si="70"/>
        <v>0</v>
      </c>
      <c r="FX56" s="114">
        <f t="shared" si="70"/>
        <v>0</v>
      </c>
      <c r="FY56" s="114">
        <f t="shared" si="70"/>
        <v>0</v>
      </c>
      <c r="FZ56" s="114">
        <f t="shared" si="70"/>
        <v>0</v>
      </c>
      <c r="GA56" s="114">
        <f>SUM(FW56:FZ56)</f>
        <v>0</v>
      </c>
      <c r="GB56" s="114">
        <f t="shared" si="71"/>
        <v>0</v>
      </c>
      <c r="GC56" s="114">
        <f t="shared" si="71"/>
        <v>0</v>
      </c>
      <c r="GD56" s="114">
        <f t="shared" si="71"/>
        <v>0</v>
      </c>
      <c r="GE56" s="114">
        <f t="shared" si="71"/>
        <v>0</v>
      </c>
      <c r="GF56" s="114">
        <f>GB56+FW56</f>
        <v>0</v>
      </c>
      <c r="GG56" s="114">
        <f>GC56+FX56</f>
        <v>0</v>
      </c>
      <c r="GH56" s="114">
        <f>GD56+FY56</f>
        <v>0</v>
      </c>
      <c r="GI56" s="114">
        <f>GE56+FZ56</f>
        <v>0</v>
      </c>
      <c r="GJ56" s="115">
        <f t="shared" si="81"/>
        <v>0</v>
      </c>
      <c r="GK56" s="114">
        <f>SUM(GF56:GI56)</f>
        <v>0</v>
      </c>
      <c r="GL56" s="114">
        <f t="shared" si="35"/>
        <v>1000</v>
      </c>
      <c r="GM56" s="114">
        <f t="shared" si="36"/>
        <v>2000</v>
      </c>
      <c r="GN56" s="114">
        <f t="shared" si="37"/>
        <v>0</v>
      </c>
      <c r="GO56" s="114">
        <f t="shared" si="38"/>
        <v>0</v>
      </c>
      <c r="GP56" s="114">
        <f t="shared" si="39"/>
        <v>3000</v>
      </c>
      <c r="GQ56" s="114">
        <f>SUM(GL56:GO56)</f>
        <v>3000</v>
      </c>
      <c r="GR56" s="216"/>
      <c r="GS56" s="122">
        <f t="shared" si="85"/>
        <v>44016040.44359839</v>
      </c>
      <c r="GT56" s="122">
        <f t="shared" si="85"/>
        <v>42680225.260908</v>
      </c>
      <c r="GU56" s="123">
        <f>IFERROR(GS56/GT56,"")</f>
        <v>1.0312982224091938</v>
      </c>
      <c r="GV56" s="124">
        <f t="shared" ca="1" si="43"/>
        <v>0</v>
      </c>
      <c r="GW56" s="124">
        <v>0</v>
      </c>
      <c r="GX56" s="32">
        <f t="shared" ca="1" si="44"/>
        <v>0</v>
      </c>
      <c r="GY56" s="100"/>
    </row>
    <row r="57" spans="1:207" s="171" customFormat="1" ht="15" hidden="1" customHeight="1">
      <c r="A57" s="129"/>
      <c r="B57" s="130"/>
      <c r="C57" s="130"/>
      <c r="D57" s="131" t="s">
        <v>215</v>
      </c>
      <c r="E57" s="131" t="s">
        <v>354</v>
      </c>
      <c r="F57" s="131" t="s">
        <v>355</v>
      </c>
      <c r="G57" s="131" t="s">
        <v>226</v>
      </c>
      <c r="H57" s="132" t="s">
        <v>356</v>
      </c>
      <c r="I57" s="133" t="s">
        <v>357</v>
      </c>
      <c r="J57" s="131" t="s">
        <v>238</v>
      </c>
      <c r="K57" s="131" t="s">
        <v>790</v>
      </c>
      <c r="L57" s="131" t="s">
        <v>209</v>
      </c>
      <c r="M57" s="131" t="s">
        <v>209</v>
      </c>
      <c r="N57" s="134"/>
      <c r="O57" s="155">
        <v>41376</v>
      </c>
      <c r="P57" s="155">
        <v>43252</v>
      </c>
      <c r="Q57" s="321">
        <f t="shared" si="0"/>
        <v>0</v>
      </c>
      <c r="R57" s="109">
        <f>IF((P57-VLOOKUP(Q57,month!$A$1:$C$13,3,0))&lt;0,Q57,Q57+1)</f>
        <v>0</v>
      </c>
      <c r="S57" s="108"/>
      <c r="T57" s="135" t="str">
        <f t="shared" si="67"/>
        <v/>
      </c>
      <c r="U57" s="134"/>
      <c r="V57" s="134"/>
      <c r="W57" s="134"/>
      <c r="X57" s="134"/>
      <c r="Y57" s="383"/>
      <c r="Z57" s="383" t="s">
        <v>545</v>
      </c>
      <c r="AA57" s="371">
        <v>1000</v>
      </c>
      <c r="AB57" s="371">
        <v>1000</v>
      </c>
      <c r="AC57" s="371">
        <v>1000</v>
      </c>
      <c r="AD57" s="371">
        <v>1000</v>
      </c>
      <c r="AE57" s="371">
        <v>1000</v>
      </c>
      <c r="AF57" s="371">
        <v>1000</v>
      </c>
      <c r="AG57" s="371">
        <v>1000</v>
      </c>
      <c r="AH57" s="371">
        <v>1000</v>
      </c>
      <c r="AI57" s="371">
        <v>1000</v>
      </c>
      <c r="AJ57" s="371">
        <v>1000</v>
      </c>
      <c r="AK57" s="371">
        <v>1000</v>
      </c>
      <c r="AL57" s="371">
        <v>1000</v>
      </c>
      <c r="AM57" s="384">
        <f t="shared" si="74"/>
        <v>12000</v>
      </c>
      <c r="AN57" s="384">
        <f t="shared" si="3"/>
        <v>12000</v>
      </c>
      <c r="AO57" s="385">
        <f t="shared" ref="AO57:AO59" si="91">AI57</f>
        <v>1000</v>
      </c>
      <c r="AP57" s="497" t="s">
        <v>686</v>
      </c>
      <c r="AQ57" s="156">
        <v>0.8</v>
      </c>
      <c r="AR57" s="157" t="s">
        <v>358</v>
      </c>
      <c r="AS57" s="146" t="s">
        <v>210</v>
      </c>
      <c r="AT57" s="136">
        <v>17713882.649344876</v>
      </c>
      <c r="AU57" s="136">
        <v>18487356.905825045</v>
      </c>
      <c r="AV57" s="136">
        <v>17304625.738273855</v>
      </c>
      <c r="AW57" s="136">
        <v>17964923.715506107</v>
      </c>
      <c r="AX57" s="138">
        <v>19461508.225609995</v>
      </c>
      <c r="AY57" s="138">
        <v>15811473.79847</v>
      </c>
      <c r="AZ57" s="138">
        <v>15265383.805520002</v>
      </c>
      <c r="BA57" s="138"/>
      <c r="BB57" s="138"/>
      <c r="BC57" s="138"/>
      <c r="BD57" s="138"/>
      <c r="BE57" s="138"/>
      <c r="BF57" s="139">
        <f t="shared" si="46"/>
        <v>19461508.225609995</v>
      </c>
      <c r="BG57" s="139">
        <f t="shared" si="46"/>
        <v>15811473.79847</v>
      </c>
      <c r="BH57" s="139">
        <f t="shared" si="46"/>
        <v>15265383.805520002</v>
      </c>
      <c r="BI57" s="139">
        <f t="shared" si="46"/>
        <v>0</v>
      </c>
      <c r="BJ57" s="139">
        <f t="shared" si="83"/>
        <v>50538365.829599991</v>
      </c>
      <c r="BK57" s="140">
        <f t="shared" si="75"/>
        <v>71470789.008949891</v>
      </c>
      <c r="BL57" s="140">
        <f t="shared" si="47"/>
        <v>71470789.008949891</v>
      </c>
      <c r="BM57" s="141">
        <f t="shared" si="48"/>
        <v>0.70709999999999995</v>
      </c>
      <c r="BN57" s="142">
        <f t="shared" ca="1" si="6"/>
        <v>0</v>
      </c>
      <c r="BO57" s="143">
        <f t="shared" ca="1" si="7"/>
        <v>0</v>
      </c>
      <c r="BP57" s="144" t="str">
        <f t="shared" si="8"/>
        <v>Uncapped</v>
      </c>
      <c r="BQ57" s="140">
        <f t="shared" ca="1" si="9"/>
        <v>0</v>
      </c>
      <c r="BR57" s="138" t="s">
        <v>696</v>
      </c>
      <c r="BS57" s="158">
        <v>0.2</v>
      </c>
      <c r="BT57" s="138" t="s">
        <v>217</v>
      </c>
      <c r="BU57" s="157" t="s">
        <v>210</v>
      </c>
      <c r="BV57" s="138">
        <v>61881722.047854595</v>
      </c>
      <c r="BW57" s="138">
        <v>72180793.063260496</v>
      </c>
      <c r="BX57" s="138">
        <v>69179032.514420599</v>
      </c>
      <c r="BY57" s="138">
        <v>76323964.015026003</v>
      </c>
      <c r="BZ57" s="138">
        <v>63657388.730680585</v>
      </c>
      <c r="CA57" s="138">
        <v>65995192.891159974</v>
      </c>
      <c r="CB57" s="138">
        <v>66410604.684560001</v>
      </c>
      <c r="CC57" s="138"/>
      <c r="CD57" s="138"/>
      <c r="CE57" s="138"/>
      <c r="CF57" s="138"/>
      <c r="CG57" s="138"/>
      <c r="CH57" s="139">
        <f t="shared" si="49"/>
        <v>63657388.730680585</v>
      </c>
      <c r="CI57" s="139">
        <f t="shared" si="49"/>
        <v>65995192.891159974</v>
      </c>
      <c r="CJ57" s="145">
        <f t="shared" si="49"/>
        <v>66410604.684560001</v>
      </c>
      <c r="CK57" s="139">
        <f t="shared" si="49"/>
        <v>0</v>
      </c>
      <c r="CL57" s="139">
        <f t="shared" si="10"/>
        <v>196063186.30640057</v>
      </c>
      <c r="CM57" s="139">
        <f t="shared" si="76"/>
        <v>279565511.6405617</v>
      </c>
      <c r="CN57" s="139">
        <f t="shared" si="50"/>
        <v>279565511.6405617</v>
      </c>
      <c r="CO57" s="141">
        <f t="shared" si="51"/>
        <v>0.70130000000000003</v>
      </c>
      <c r="CP57" s="142">
        <f t="shared" ca="1" si="52"/>
        <v>0</v>
      </c>
      <c r="CQ57" s="140">
        <f t="shared" ca="1" si="12"/>
        <v>0</v>
      </c>
      <c r="CR57" s="144" t="str">
        <f t="shared" si="53"/>
        <v>Uncapped</v>
      </c>
      <c r="CS57" s="140">
        <f t="shared" ca="1" si="13"/>
        <v>0</v>
      </c>
      <c r="CT57" s="138"/>
      <c r="CU57" s="146">
        <v>0</v>
      </c>
      <c r="CV57" s="138"/>
      <c r="CW57" s="138"/>
      <c r="CX57" s="138">
        <v>0</v>
      </c>
      <c r="CY57" s="138">
        <v>0</v>
      </c>
      <c r="CZ57" s="138">
        <v>0</v>
      </c>
      <c r="DA57" s="138">
        <v>0</v>
      </c>
      <c r="DB57" s="138">
        <v>0</v>
      </c>
      <c r="DC57" s="138">
        <v>0</v>
      </c>
      <c r="DD57" s="138">
        <v>0</v>
      </c>
      <c r="DE57" s="138"/>
      <c r="DF57" s="138"/>
      <c r="DG57" s="138"/>
      <c r="DH57" s="138"/>
      <c r="DI57" s="138"/>
      <c r="DJ57" s="139">
        <f t="shared" si="54"/>
        <v>0</v>
      </c>
      <c r="DK57" s="139">
        <f t="shared" si="54"/>
        <v>0</v>
      </c>
      <c r="DL57" s="139">
        <f t="shared" si="54"/>
        <v>0</v>
      </c>
      <c r="DM57" s="139">
        <f t="shared" si="54"/>
        <v>0</v>
      </c>
      <c r="DN57" s="139">
        <f t="shared" si="84"/>
        <v>0</v>
      </c>
      <c r="DO57" s="139">
        <f t="shared" si="77"/>
        <v>0</v>
      </c>
      <c r="DP57" s="139">
        <f t="shared" si="56"/>
        <v>0</v>
      </c>
      <c r="DQ57" s="141">
        <f t="shared" si="57"/>
        <v>0</v>
      </c>
      <c r="DR57" s="142">
        <f t="shared" ca="1" si="15"/>
        <v>0</v>
      </c>
      <c r="DS57" s="140">
        <f t="shared" ca="1" si="16"/>
        <v>0</v>
      </c>
      <c r="DT57" s="144" t="str">
        <f t="shared" si="58"/>
        <v>Uncapped</v>
      </c>
      <c r="DU57" s="140">
        <f t="shared" ca="1" si="17"/>
        <v>0</v>
      </c>
      <c r="DV57" s="138"/>
      <c r="DW57" s="146">
        <v>0</v>
      </c>
      <c r="DX57" s="138"/>
      <c r="DY57" s="138"/>
      <c r="DZ57" s="138">
        <v>0</v>
      </c>
      <c r="EA57" s="138">
        <v>0</v>
      </c>
      <c r="EB57" s="138">
        <v>0</v>
      </c>
      <c r="EC57" s="138">
        <v>0</v>
      </c>
      <c r="ED57" s="138">
        <v>0</v>
      </c>
      <c r="EE57" s="138">
        <v>0</v>
      </c>
      <c r="EF57" s="138"/>
      <c r="EG57" s="138"/>
      <c r="EH57" s="138"/>
      <c r="EI57" s="138"/>
      <c r="EJ57" s="138"/>
      <c r="EK57" s="138"/>
      <c r="EL57" s="139">
        <f t="shared" si="59"/>
        <v>0</v>
      </c>
      <c r="EM57" s="139">
        <f t="shared" si="59"/>
        <v>0</v>
      </c>
      <c r="EN57" s="139">
        <f t="shared" si="59"/>
        <v>0</v>
      </c>
      <c r="EO57" s="139">
        <f t="shared" si="59"/>
        <v>0</v>
      </c>
      <c r="EP57" s="139">
        <f t="shared" si="18"/>
        <v>0</v>
      </c>
      <c r="EQ57" s="139">
        <f t="shared" si="78"/>
        <v>0</v>
      </c>
      <c r="ER57" s="139">
        <f t="shared" si="60"/>
        <v>0</v>
      </c>
      <c r="ES57" s="141">
        <f t="shared" si="61"/>
        <v>0</v>
      </c>
      <c r="ET57" s="142">
        <f t="shared" ca="1" si="62"/>
        <v>0</v>
      </c>
      <c r="EU57" s="140">
        <f t="shared" ca="1" si="20"/>
        <v>0</v>
      </c>
      <c r="EV57" s="144" t="str">
        <f t="shared" si="21"/>
        <v>Uncapped</v>
      </c>
      <c r="EW57" s="140">
        <f t="shared" ca="1" si="22"/>
        <v>0</v>
      </c>
      <c r="EX57" s="137">
        <f t="shared" ca="1" si="23"/>
        <v>0</v>
      </c>
      <c r="EY57" s="139">
        <f t="shared" ca="1" si="63"/>
        <v>0</v>
      </c>
      <c r="EZ57" s="140">
        <v>0</v>
      </c>
      <c r="FA57" s="140"/>
      <c r="FB57" s="140"/>
      <c r="FC57" s="140">
        <v>0</v>
      </c>
      <c r="FD57" s="140">
        <f t="shared" si="79"/>
        <v>0</v>
      </c>
      <c r="FE57" s="139">
        <f t="shared" si="87"/>
        <v>0</v>
      </c>
      <c r="FF57" s="140">
        <v>0</v>
      </c>
      <c r="FG57" s="140">
        <v>0</v>
      </c>
      <c r="FH57" s="140">
        <v>0</v>
      </c>
      <c r="FI57" s="140">
        <v>0</v>
      </c>
      <c r="FJ57" s="140">
        <f t="shared" si="80"/>
        <v>0</v>
      </c>
      <c r="FK57" s="139">
        <f t="shared" si="88"/>
        <v>0</v>
      </c>
      <c r="FL57" s="138"/>
      <c r="FM57" s="136"/>
      <c r="FN57" s="136"/>
      <c r="FO57" s="136"/>
      <c r="FP57" s="140">
        <f t="shared" si="28"/>
        <v>0</v>
      </c>
      <c r="FQ57" s="140"/>
      <c r="FR57" s="140"/>
      <c r="FS57" s="140"/>
      <c r="FT57" s="139">
        <f t="shared" si="64"/>
        <v>0</v>
      </c>
      <c r="FU57" s="365">
        <f t="shared" ca="1" si="66"/>
        <v>0</v>
      </c>
      <c r="FV57" s="147">
        <f t="shared" ca="1" si="65"/>
        <v>0</v>
      </c>
      <c r="FW57" s="139">
        <f t="shared" si="70"/>
        <v>0</v>
      </c>
      <c r="FX57" s="139">
        <f t="shared" si="70"/>
        <v>0</v>
      </c>
      <c r="FY57" s="139">
        <f t="shared" si="70"/>
        <v>0</v>
      </c>
      <c r="FZ57" s="139">
        <f t="shared" si="70"/>
        <v>0</v>
      </c>
      <c r="GA57" s="139">
        <f t="shared" si="30"/>
        <v>0</v>
      </c>
      <c r="GB57" s="139">
        <f t="shared" si="71"/>
        <v>0</v>
      </c>
      <c r="GC57" s="139">
        <f t="shared" si="71"/>
        <v>0</v>
      </c>
      <c r="GD57" s="139">
        <f t="shared" si="71"/>
        <v>0</v>
      </c>
      <c r="GE57" s="139">
        <f t="shared" si="71"/>
        <v>0</v>
      </c>
      <c r="GF57" s="139">
        <f t="shared" si="72"/>
        <v>0</v>
      </c>
      <c r="GG57" s="139">
        <f t="shared" si="72"/>
        <v>0</v>
      </c>
      <c r="GH57" s="139">
        <f t="shared" si="72"/>
        <v>0</v>
      </c>
      <c r="GI57" s="139">
        <f t="shared" si="72"/>
        <v>0</v>
      </c>
      <c r="GJ57" s="140">
        <f t="shared" si="81"/>
        <v>0</v>
      </c>
      <c r="GK57" s="139">
        <f t="shared" si="34"/>
        <v>0</v>
      </c>
      <c r="GL57" s="139">
        <f t="shared" si="35"/>
        <v>0</v>
      </c>
      <c r="GM57" s="139">
        <f t="shared" si="36"/>
        <v>0</v>
      </c>
      <c r="GN57" s="139">
        <f t="shared" si="37"/>
        <v>0</v>
      </c>
      <c r="GO57" s="139">
        <f t="shared" si="38"/>
        <v>0</v>
      </c>
      <c r="GP57" s="139">
        <f t="shared" si="39"/>
        <v>0</v>
      </c>
      <c r="GQ57" s="139">
        <f t="shared" si="40"/>
        <v>0</v>
      </c>
      <c r="GR57" s="409"/>
      <c r="GS57" s="148">
        <f t="shared" si="85"/>
        <v>246601552.13600057</v>
      </c>
      <c r="GT57" s="148">
        <f t="shared" si="85"/>
        <v>351036300.64951158</v>
      </c>
      <c r="GU57" s="149">
        <f t="shared" si="42"/>
        <v>0.70249587202155839</v>
      </c>
      <c r="GV57" s="150">
        <f t="shared" ca="1" si="43"/>
        <v>0</v>
      </c>
      <c r="GW57" s="150">
        <v>0</v>
      </c>
      <c r="GX57" s="151">
        <f t="shared" ca="1" si="44"/>
        <v>0</v>
      </c>
      <c r="GY57" s="100"/>
    </row>
    <row r="58" spans="1:207" s="481" customFormat="1" ht="15" hidden="1" customHeight="1">
      <c r="A58" s="447"/>
      <c r="B58" s="448"/>
      <c r="C58" s="448"/>
      <c r="D58" s="449" t="s">
        <v>215</v>
      </c>
      <c r="E58" s="460" t="s">
        <v>216</v>
      </c>
      <c r="F58" s="460" t="s">
        <v>359</v>
      </c>
      <c r="G58" s="449" t="s">
        <v>226</v>
      </c>
      <c r="H58" s="450" t="s">
        <v>360</v>
      </c>
      <c r="I58" s="451" t="s">
        <v>361</v>
      </c>
      <c r="J58" s="449" t="s">
        <v>212</v>
      </c>
      <c r="K58" s="449" t="s">
        <v>215</v>
      </c>
      <c r="L58" s="449" t="s">
        <v>213</v>
      </c>
      <c r="M58" s="449" t="s">
        <v>362</v>
      </c>
      <c r="N58" s="452"/>
      <c r="O58" s="420">
        <v>41376</v>
      </c>
      <c r="P58" s="420">
        <v>43344</v>
      </c>
      <c r="Q58" s="453">
        <f t="shared" si="0"/>
        <v>0</v>
      </c>
      <c r="R58" s="419">
        <f>IF((P58-VLOOKUP(Q58,month!$A$1:$C$13,3,0))&lt;0,Q58,Q58+1)</f>
        <v>0</v>
      </c>
      <c r="S58" s="420"/>
      <c r="T58" s="482" t="str">
        <f t="shared" si="67"/>
        <v/>
      </c>
      <c r="U58" s="452"/>
      <c r="V58" s="452"/>
      <c r="W58" s="452"/>
      <c r="X58" s="452"/>
      <c r="Y58" s="456"/>
      <c r="Z58" s="456" t="s">
        <v>545</v>
      </c>
      <c r="AA58" s="457">
        <v>1000</v>
      </c>
      <c r="AB58" s="457">
        <v>1000</v>
      </c>
      <c r="AC58" s="457">
        <v>1000</v>
      </c>
      <c r="AD58" s="457">
        <v>1000</v>
      </c>
      <c r="AE58" s="457">
        <v>1000</v>
      </c>
      <c r="AF58" s="457">
        <v>1000</v>
      </c>
      <c r="AG58" s="457">
        <v>1000</v>
      </c>
      <c r="AH58" s="457">
        <v>1000</v>
      </c>
      <c r="AI58" s="457">
        <v>1000</v>
      </c>
      <c r="AJ58" s="457">
        <v>1000</v>
      </c>
      <c r="AK58" s="457">
        <v>1000</v>
      </c>
      <c r="AL58" s="457">
        <v>1000</v>
      </c>
      <c r="AM58" s="458">
        <f t="shared" si="74"/>
        <v>12000</v>
      </c>
      <c r="AN58" s="458">
        <f t="shared" si="3"/>
        <v>12000</v>
      </c>
      <c r="AO58" s="459">
        <f t="shared" si="91"/>
        <v>1000</v>
      </c>
      <c r="AP58" s="500" t="s">
        <v>677</v>
      </c>
      <c r="AQ58" s="461">
        <v>0.5</v>
      </c>
      <c r="AR58" s="462" t="s">
        <v>358</v>
      </c>
      <c r="AS58" s="463" t="s">
        <v>210</v>
      </c>
      <c r="AT58" s="464">
        <v>8906000</v>
      </c>
      <c r="AU58" s="464">
        <v>1761000</v>
      </c>
      <c r="AV58" s="464">
        <v>3935000</v>
      </c>
      <c r="AW58" s="464">
        <v>2778000</v>
      </c>
      <c r="AX58" s="460">
        <v>10470157.922</v>
      </c>
      <c r="AY58" s="460">
        <v>3169805.6150000021</v>
      </c>
      <c r="AZ58" s="460">
        <v>3592160.6609999994</v>
      </c>
      <c r="BA58" s="460"/>
      <c r="BB58" s="460"/>
      <c r="BC58" s="460"/>
      <c r="BD58" s="460"/>
      <c r="BE58" s="460"/>
      <c r="BF58" s="465">
        <f t="shared" si="46"/>
        <v>10470157.922</v>
      </c>
      <c r="BG58" s="465">
        <f t="shared" si="46"/>
        <v>3169805.6150000021</v>
      </c>
      <c r="BH58" s="465">
        <f t="shared" si="46"/>
        <v>3592160.6609999994</v>
      </c>
      <c r="BI58" s="465">
        <f t="shared" si="46"/>
        <v>0</v>
      </c>
      <c r="BJ58" s="465">
        <f t="shared" si="83"/>
        <v>17232124.198000003</v>
      </c>
      <c r="BK58" s="466">
        <f t="shared" si="75"/>
        <v>17380000</v>
      </c>
      <c r="BL58" s="466">
        <f t="shared" si="47"/>
        <v>17380000</v>
      </c>
      <c r="BM58" s="467">
        <f t="shared" si="48"/>
        <v>0.99150000000000005</v>
      </c>
      <c r="BN58" s="468">
        <f t="shared" ca="1" si="6"/>
        <v>0</v>
      </c>
      <c r="BO58" s="469">
        <f t="shared" ca="1" si="7"/>
        <v>0</v>
      </c>
      <c r="BP58" s="470" t="str">
        <f t="shared" si="8"/>
        <v>Uncapped</v>
      </c>
      <c r="BQ58" s="466">
        <f t="shared" ca="1" si="9"/>
        <v>0</v>
      </c>
      <c r="BR58" s="460" t="s">
        <v>697</v>
      </c>
      <c r="BS58" s="471">
        <v>0.3</v>
      </c>
      <c r="BT58" s="460" t="s">
        <v>217</v>
      </c>
      <c r="BU58" s="462" t="s">
        <v>210</v>
      </c>
      <c r="BV58" s="460">
        <v>10644900</v>
      </c>
      <c r="BW58" s="460">
        <v>4062900</v>
      </c>
      <c r="BX58" s="460">
        <v>5528700</v>
      </c>
      <c r="BY58" s="460">
        <v>5481500</v>
      </c>
      <c r="BZ58" s="460">
        <v>12422663.023</v>
      </c>
      <c r="CA58" s="460">
        <v>5718243.1750000017</v>
      </c>
      <c r="CB58" s="460">
        <v>4503181.8509999998</v>
      </c>
      <c r="CC58" s="460"/>
      <c r="CD58" s="460"/>
      <c r="CE58" s="460"/>
      <c r="CF58" s="460"/>
      <c r="CG58" s="460"/>
      <c r="CH58" s="465">
        <f t="shared" si="49"/>
        <v>12422663.023</v>
      </c>
      <c r="CI58" s="465">
        <f t="shared" si="49"/>
        <v>5718243.1750000017</v>
      </c>
      <c r="CJ58" s="472">
        <f t="shared" si="49"/>
        <v>4503181.8509999998</v>
      </c>
      <c r="CK58" s="465">
        <f t="shared" si="49"/>
        <v>0</v>
      </c>
      <c r="CL58" s="465">
        <f t="shared" si="10"/>
        <v>22644088.049000002</v>
      </c>
      <c r="CM58" s="465">
        <f t="shared" si="76"/>
        <v>25718000</v>
      </c>
      <c r="CN58" s="465">
        <f t="shared" si="50"/>
        <v>25718000</v>
      </c>
      <c r="CO58" s="467">
        <f t="shared" si="51"/>
        <v>0.88049999999999995</v>
      </c>
      <c r="CP58" s="468">
        <f t="shared" ca="1" si="52"/>
        <v>0</v>
      </c>
      <c r="CQ58" s="466">
        <f t="shared" ca="1" si="12"/>
        <v>0</v>
      </c>
      <c r="CR58" s="470" t="str">
        <f t="shared" si="53"/>
        <v>Uncapped</v>
      </c>
      <c r="CS58" s="466">
        <f t="shared" ca="1" si="13"/>
        <v>0</v>
      </c>
      <c r="CT58" s="460" t="s">
        <v>681</v>
      </c>
      <c r="CU58" s="463">
        <v>0.1</v>
      </c>
      <c r="CV58" s="460" t="s">
        <v>217</v>
      </c>
      <c r="CW58" s="460" t="s">
        <v>210</v>
      </c>
      <c r="CX58" s="460">
        <v>12667084.918482166</v>
      </c>
      <c r="CY58" s="460">
        <v>13178645.488737401</v>
      </c>
      <c r="CZ58" s="460">
        <v>12190341.596061932</v>
      </c>
      <c r="DA58" s="460">
        <v>12342000.7336083</v>
      </c>
      <c r="DB58" s="460">
        <v>14536882.36749677</v>
      </c>
      <c r="DC58" s="460">
        <v>10749156.798470002</v>
      </c>
      <c r="DD58" s="460">
        <v>10536844.709400002</v>
      </c>
      <c r="DE58" s="460"/>
      <c r="DF58" s="460"/>
      <c r="DG58" s="460"/>
      <c r="DH58" s="460"/>
      <c r="DI58" s="460"/>
      <c r="DJ58" s="465">
        <f t="shared" si="54"/>
        <v>14536882.36749677</v>
      </c>
      <c r="DK58" s="465">
        <f t="shared" si="54"/>
        <v>10749156.798470002</v>
      </c>
      <c r="DL58" s="465">
        <f t="shared" si="54"/>
        <v>10536844.709400002</v>
      </c>
      <c r="DM58" s="465">
        <f t="shared" si="54"/>
        <v>0</v>
      </c>
      <c r="DN58" s="465">
        <f t="shared" si="84"/>
        <v>35822883.875366777</v>
      </c>
      <c r="DO58" s="465">
        <f t="shared" si="77"/>
        <v>50378072.736889794</v>
      </c>
      <c r="DP58" s="465">
        <f t="shared" si="56"/>
        <v>50378072.736889794</v>
      </c>
      <c r="DQ58" s="467">
        <f t="shared" si="57"/>
        <v>0.71109999999999995</v>
      </c>
      <c r="DR58" s="468">
        <f t="shared" ca="1" si="15"/>
        <v>0</v>
      </c>
      <c r="DS58" s="466">
        <f t="shared" ca="1" si="16"/>
        <v>0</v>
      </c>
      <c r="DT58" s="470" t="str">
        <f t="shared" si="58"/>
        <v>Uncapped</v>
      </c>
      <c r="DU58" s="466">
        <f t="shared" ca="1" si="17"/>
        <v>0</v>
      </c>
      <c r="DV58" s="460" t="s">
        <v>363</v>
      </c>
      <c r="DW58" s="463">
        <v>0.1</v>
      </c>
      <c r="DX58" s="460"/>
      <c r="DY58" s="460" t="s">
        <v>219</v>
      </c>
      <c r="DZ58" s="460">
        <v>0</v>
      </c>
      <c r="EA58" s="460">
        <v>0</v>
      </c>
      <c r="EB58" s="460">
        <v>0</v>
      </c>
      <c r="EC58" s="460">
        <v>0</v>
      </c>
      <c r="ED58" s="460">
        <v>0</v>
      </c>
      <c r="EE58" s="460">
        <v>0</v>
      </c>
      <c r="EF58" s="460"/>
      <c r="EG58" s="460"/>
      <c r="EH58" s="460"/>
      <c r="EI58" s="460"/>
      <c r="EJ58" s="460"/>
      <c r="EK58" s="460"/>
      <c r="EL58" s="465">
        <f t="shared" si="59"/>
        <v>0</v>
      </c>
      <c r="EM58" s="465">
        <f t="shared" si="59"/>
        <v>0</v>
      </c>
      <c r="EN58" s="465">
        <f t="shared" si="59"/>
        <v>0</v>
      </c>
      <c r="EO58" s="465">
        <f t="shared" si="59"/>
        <v>0</v>
      </c>
      <c r="EP58" s="465">
        <f t="shared" si="18"/>
        <v>0</v>
      </c>
      <c r="EQ58" s="465">
        <f t="shared" si="78"/>
        <v>0</v>
      </c>
      <c r="ER58" s="465">
        <f t="shared" si="60"/>
        <v>0</v>
      </c>
      <c r="ES58" s="467">
        <f t="shared" si="61"/>
        <v>0</v>
      </c>
      <c r="ET58" s="468">
        <f t="shared" si="62"/>
        <v>0</v>
      </c>
      <c r="EU58" s="466">
        <f t="shared" si="20"/>
        <v>0</v>
      </c>
      <c r="EV58" s="470" t="str">
        <f t="shared" si="21"/>
        <v>Uncapped</v>
      </c>
      <c r="EW58" s="466">
        <f t="shared" si="22"/>
        <v>0</v>
      </c>
      <c r="EX58" s="473">
        <f t="shared" ca="1" si="23"/>
        <v>0</v>
      </c>
      <c r="EY58" s="465">
        <f t="shared" ca="1" si="63"/>
        <v>0</v>
      </c>
      <c r="EZ58" s="466">
        <v>614333</v>
      </c>
      <c r="FA58" s="466"/>
      <c r="FB58" s="466"/>
      <c r="FC58" s="466">
        <v>0</v>
      </c>
      <c r="FD58" s="466">
        <f t="shared" si="79"/>
        <v>614333</v>
      </c>
      <c r="FE58" s="465">
        <f t="shared" si="87"/>
        <v>0</v>
      </c>
      <c r="FF58" s="466">
        <v>0</v>
      </c>
      <c r="FG58" s="466">
        <v>0</v>
      </c>
      <c r="FH58" s="466">
        <v>0</v>
      </c>
      <c r="FI58" s="466">
        <v>0</v>
      </c>
      <c r="FJ58" s="466">
        <f t="shared" si="80"/>
        <v>0</v>
      </c>
      <c r="FK58" s="465">
        <f t="shared" si="88"/>
        <v>0</v>
      </c>
      <c r="FL58" s="460"/>
      <c r="FM58" s="464"/>
      <c r="FN58" s="464"/>
      <c r="FO58" s="464"/>
      <c r="FP58" s="466">
        <f t="shared" si="28"/>
        <v>0</v>
      </c>
      <c r="FQ58" s="466"/>
      <c r="FR58" s="466"/>
      <c r="FS58" s="466"/>
      <c r="FT58" s="465">
        <f t="shared" si="64"/>
        <v>0</v>
      </c>
      <c r="FU58" s="474">
        <f t="shared" ca="1" si="66"/>
        <v>614333</v>
      </c>
      <c r="FV58" s="475">
        <f t="shared" ca="1" si="65"/>
        <v>614333</v>
      </c>
      <c r="FW58" s="465">
        <f t="shared" si="70"/>
        <v>0</v>
      </c>
      <c r="FX58" s="465">
        <f t="shared" si="70"/>
        <v>0</v>
      </c>
      <c r="FY58" s="465">
        <f t="shared" si="70"/>
        <v>0</v>
      </c>
      <c r="FZ58" s="465">
        <f t="shared" si="70"/>
        <v>0</v>
      </c>
      <c r="GA58" s="465">
        <f t="shared" si="30"/>
        <v>0</v>
      </c>
      <c r="GB58" s="465">
        <f t="shared" si="71"/>
        <v>614333</v>
      </c>
      <c r="GC58" s="465">
        <f t="shared" si="71"/>
        <v>0</v>
      </c>
      <c r="GD58" s="465">
        <f t="shared" si="71"/>
        <v>0</v>
      </c>
      <c r="GE58" s="465">
        <f t="shared" si="71"/>
        <v>0</v>
      </c>
      <c r="GF58" s="465">
        <f t="shared" si="72"/>
        <v>614333</v>
      </c>
      <c r="GG58" s="465">
        <f t="shared" si="72"/>
        <v>0</v>
      </c>
      <c r="GH58" s="465">
        <f t="shared" si="72"/>
        <v>0</v>
      </c>
      <c r="GI58" s="465">
        <f t="shared" si="72"/>
        <v>0</v>
      </c>
      <c r="GJ58" s="466">
        <f t="shared" si="81"/>
        <v>614333</v>
      </c>
      <c r="GK58" s="465">
        <f t="shared" si="34"/>
        <v>614333</v>
      </c>
      <c r="GL58" s="465">
        <f t="shared" si="35"/>
        <v>0</v>
      </c>
      <c r="GM58" s="465">
        <f t="shared" si="36"/>
        <v>0</v>
      </c>
      <c r="GN58" s="465">
        <f t="shared" si="37"/>
        <v>0</v>
      </c>
      <c r="GO58" s="465">
        <f t="shared" si="38"/>
        <v>0</v>
      </c>
      <c r="GP58" s="465">
        <f t="shared" si="39"/>
        <v>0</v>
      </c>
      <c r="GQ58" s="465">
        <f t="shared" si="40"/>
        <v>0</v>
      </c>
      <c r="GR58" s="476"/>
      <c r="GS58" s="477">
        <f t="shared" si="85"/>
        <v>75699096.122366786</v>
      </c>
      <c r="GT58" s="477">
        <f t="shared" si="85"/>
        <v>93476072.736889794</v>
      </c>
      <c r="GU58" s="478">
        <f t="shared" si="42"/>
        <v>0.80982324038622744</v>
      </c>
      <c r="GV58" s="479">
        <f t="shared" ca="1" si="43"/>
        <v>0</v>
      </c>
      <c r="GW58" s="479">
        <v>0</v>
      </c>
      <c r="GX58" s="480">
        <f t="shared" ca="1" si="44"/>
        <v>0</v>
      </c>
      <c r="GY58" s="100"/>
    </row>
    <row r="59" spans="1:207" s="165" customFormat="1" ht="15" hidden="1" customHeight="1">
      <c r="A59" s="102"/>
      <c r="B59" s="103"/>
      <c r="C59" s="103"/>
      <c r="D59" s="104" t="s">
        <v>215</v>
      </c>
      <c r="E59" s="113" t="s">
        <v>216</v>
      </c>
      <c r="F59" s="113" t="s">
        <v>216</v>
      </c>
      <c r="G59" s="104" t="s">
        <v>226</v>
      </c>
      <c r="H59" s="105" t="s">
        <v>364</v>
      </c>
      <c r="I59" s="106" t="s">
        <v>365</v>
      </c>
      <c r="J59" s="104" t="s">
        <v>212</v>
      </c>
      <c r="K59" s="104" t="s">
        <v>215</v>
      </c>
      <c r="L59" s="104" t="s">
        <v>213</v>
      </c>
      <c r="M59" s="104" t="s">
        <v>362</v>
      </c>
      <c r="N59" s="107"/>
      <c r="O59" s="108">
        <v>42058</v>
      </c>
      <c r="P59" s="108">
        <v>43344</v>
      </c>
      <c r="Q59" s="322">
        <f t="shared" si="0"/>
        <v>0</v>
      </c>
      <c r="R59" s="109">
        <f>IF((P59-VLOOKUP(Q59,month!$A$1:$C$13,3,0))&lt;0,Q59,Q59+1)</f>
        <v>0</v>
      </c>
      <c r="S59" s="108"/>
      <c r="T59" s="127" t="str">
        <f t="shared" si="67"/>
        <v/>
      </c>
      <c r="U59" s="107"/>
      <c r="V59" s="107"/>
      <c r="W59" s="107"/>
      <c r="X59" s="107"/>
      <c r="Y59" s="386"/>
      <c r="Z59" s="386" t="s">
        <v>545</v>
      </c>
      <c r="AA59" s="387">
        <v>1000</v>
      </c>
      <c r="AB59" s="387">
        <v>1000</v>
      </c>
      <c r="AC59" s="387">
        <v>1000</v>
      </c>
      <c r="AD59" s="387">
        <v>1000</v>
      </c>
      <c r="AE59" s="387">
        <v>1000</v>
      </c>
      <c r="AF59" s="387">
        <v>1000</v>
      </c>
      <c r="AG59" s="387">
        <v>1000</v>
      </c>
      <c r="AH59" s="387">
        <v>1000</v>
      </c>
      <c r="AI59" s="387">
        <v>1000</v>
      </c>
      <c r="AJ59" s="387">
        <v>1000</v>
      </c>
      <c r="AK59" s="387">
        <v>1000</v>
      </c>
      <c r="AL59" s="387">
        <v>1000</v>
      </c>
      <c r="AM59" s="388">
        <f t="shared" si="74"/>
        <v>12000</v>
      </c>
      <c r="AN59" s="388">
        <f t="shared" si="3"/>
        <v>12000</v>
      </c>
      <c r="AO59" s="389">
        <f t="shared" si="91"/>
        <v>1000</v>
      </c>
      <c r="AP59" s="498" t="s">
        <v>677</v>
      </c>
      <c r="AQ59" s="159">
        <v>0.6</v>
      </c>
      <c r="AR59" s="160" t="s">
        <v>358</v>
      </c>
      <c r="AS59" s="119" t="s">
        <v>210</v>
      </c>
      <c r="AT59" s="111">
        <v>573000</v>
      </c>
      <c r="AU59" s="111">
        <v>1552000</v>
      </c>
      <c r="AV59" s="111">
        <v>3098000</v>
      </c>
      <c r="AW59" s="111">
        <v>2988000</v>
      </c>
      <c r="AX59" s="113">
        <v>804993.64300000004</v>
      </c>
      <c r="AY59" s="113">
        <v>1609463.6130000001</v>
      </c>
      <c r="AZ59" s="113">
        <v>2852243.1809999985</v>
      </c>
      <c r="BA59" s="113"/>
      <c r="BB59" s="113"/>
      <c r="BC59" s="113"/>
      <c r="BD59" s="113"/>
      <c r="BE59" s="113"/>
      <c r="BF59" s="114">
        <f t="shared" si="46"/>
        <v>804993.64300000004</v>
      </c>
      <c r="BG59" s="114">
        <f t="shared" si="46"/>
        <v>1609463.6130000001</v>
      </c>
      <c r="BH59" s="114">
        <f t="shared" si="46"/>
        <v>2852243.1809999985</v>
      </c>
      <c r="BI59" s="114">
        <f t="shared" si="46"/>
        <v>0</v>
      </c>
      <c r="BJ59" s="114">
        <f t="shared" si="83"/>
        <v>5266700.436999999</v>
      </c>
      <c r="BK59" s="115">
        <f t="shared" si="75"/>
        <v>8211000</v>
      </c>
      <c r="BL59" s="115">
        <f t="shared" si="47"/>
        <v>8211000</v>
      </c>
      <c r="BM59" s="116">
        <f t="shared" si="48"/>
        <v>0.64139999999999997</v>
      </c>
      <c r="BN59" s="126">
        <f t="shared" ca="1" si="6"/>
        <v>0</v>
      </c>
      <c r="BO59" s="117">
        <f t="shared" ca="1" si="7"/>
        <v>0</v>
      </c>
      <c r="BP59" s="118" t="str">
        <f t="shared" si="8"/>
        <v>Uncapped</v>
      </c>
      <c r="BQ59" s="115">
        <f t="shared" ca="1" si="9"/>
        <v>0</v>
      </c>
      <c r="BR59" s="113" t="s">
        <v>697</v>
      </c>
      <c r="BS59" s="161">
        <v>0.2</v>
      </c>
      <c r="BT59" s="113" t="s">
        <v>217</v>
      </c>
      <c r="BU59" s="160" t="s">
        <v>210</v>
      </c>
      <c r="BV59" s="113">
        <v>2452000</v>
      </c>
      <c r="BW59" s="113">
        <v>6642000</v>
      </c>
      <c r="BX59" s="113">
        <v>6797000</v>
      </c>
      <c r="BY59" s="113">
        <v>7570000</v>
      </c>
      <c r="BZ59" s="113">
        <v>2577032.4903000006</v>
      </c>
      <c r="CA59" s="113">
        <v>4639159.7078</v>
      </c>
      <c r="CB59" s="113">
        <v>5570288.800999999</v>
      </c>
      <c r="CC59" s="113"/>
      <c r="CD59" s="113"/>
      <c r="CE59" s="113"/>
      <c r="CF59" s="113"/>
      <c r="CG59" s="113"/>
      <c r="CH59" s="114">
        <f t="shared" si="49"/>
        <v>2577032.4903000006</v>
      </c>
      <c r="CI59" s="114">
        <f t="shared" si="49"/>
        <v>4639159.7078</v>
      </c>
      <c r="CJ59" s="120">
        <f t="shared" si="49"/>
        <v>5570288.800999999</v>
      </c>
      <c r="CK59" s="114">
        <f t="shared" si="49"/>
        <v>0</v>
      </c>
      <c r="CL59" s="114">
        <f t="shared" si="10"/>
        <v>12786480.9991</v>
      </c>
      <c r="CM59" s="114">
        <f t="shared" si="76"/>
        <v>23461000</v>
      </c>
      <c r="CN59" s="114">
        <f t="shared" si="50"/>
        <v>23461000</v>
      </c>
      <c r="CO59" s="116">
        <f t="shared" si="51"/>
        <v>0.54500000000000004</v>
      </c>
      <c r="CP59" s="126">
        <f t="shared" ca="1" si="52"/>
        <v>0</v>
      </c>
      <c r="CQ59" s="115">
        <f t="shared" ca="1" si="12"/>
        <v>0</v>
      </c>
      <c r="CR59" s="118" t="str">
        <f t="shared" si="53"/>
        <v>Uncapped</v>
      </c>
      <c r="CS59" s="115">
        <f t="shared" ca="1" si="13"/>
        <v>0</v>
      </c>
      <c r="CT59" s="113" t="s">
        <v>681</v>
      </c>
      <c r="CU59" s="119">
        <v>0.1</v>
      </c>
      <c r="CV59" s="113" t="s">
        <v>217</v>
      </c>
      <c r="CW59" s="113" t="s">
        <v>210</v>
      </c>
      <c r="CX59" s="113">
        <v>12667084.918482166</v>
      </c>
      <c r="CY59" s="113">
        <v>13178645.488737401</v>
      </c>
      <c r="CZ59" s="113">
        <v>12190341.596061932</v>
      </c>
      <c r="DA59" s="113">
        <v>12342000.7336083</v>
      </c>
      <c r="DB59" s="113">
        <v>14536882.36749677</v>
      </c>
      <c r="DC59" s="113">
        <v>10749156.798470002</v>
      </c>
      <c r="DD59" s="113">
        <v>10536844.709400002</v>
      </c>
      <c r="DE59" s="113"/>
      <c r="DF59" s="113"/>
      <c r="DG59" s="113"/>
      <c r="DH59" s="113"/>
      <c r="DI59" s="113"/>
      <c r="DJ59" s="114">
        <f t="shared" si="54"/>
        <v>14536882.36749677</v>
      </c>
      <c r="DK59" s="114">
        <f t="shared" si="54"/>
        <v>10749156.798470002</v>
      </c>
      <c r="DL59" s="114">
        <f t="shared" si="54"/>
        <v>10536844.709400002</v>
      </c>
      <c r="DM59" s="114">
        <f t="shared" si="54"/>
        <v>0</v>
      </c>
      <c r="DN59" s="114">
        <f t="shared" si="84"/>
        <v>35822883.875366777</v>
      </c>
      <c r="DO59" s="114">
        <f t="shared" si="77"/>
        <v>50378072.736889794</v>
      </c>
      <c r="DP59" s="114">
        <f t="shared" si="56"/>
        <v>50378072.736889794</v>
      </c>
      <c r="DQ59" s="116">
        <f t="shared" si="57"/>
        <v>0.71109999999999995</v>
      </c>
      <c r="DR59" s="126">
        <f t="shared" ca="1" si="15"/>
        <v>0</v>
      </c>
      <c r="DS59" s="115">
        <f t="shared" ca="1" si="16"/>
        <v>0</v>
      </c>
      <c r="DT59" s="118" t="str">
        <f t="shared" si="58"/>
        <v>Uncapped</v>
      </c>
      <c r="DU59" s="115">
        <f t="shared" ca="1" si="17"/>
        <v>0</v>
      </c>
      <c r="DV59" s="113" t="s">
        <v>363</v>
      </c>
      <c r="DW59" s="119">
        <v>0.1</v>
      </c>
      <c r="DX59" s="113"/>
      <c r="DY59" s="113" t="s">
        <v>219</v>
      </c>
      <c r="DZ59" s="113">
        <v>0</v>
      </c>
      <c r="EA59" s="113">
        <v>0</v>
      </c>
      <c r="EB59" s="113">
        <v>0</v>
      </c>
      <c r="EC59" s="113">
        <v>0</v>
      </c>
      <c r="ED59" s="113">
        <v>0</v>
      </c>
      <c r="EE59" s="113">
        <v>0</v>
      </c>
      <c r="EF59" s="113"/>
      <c r="EG59" s="113"/>
      <c r="EH59" s="113"/>
      <c r="EI59" s="113"/>
      <c r="EJ59" s="113"/>
      <c r="EK59" s="113"/>
      <c r="EL59" s="114">
        <f t="shared" si="59"/>
        <v>0</v>
      </c>
      <c r="EM59" s="114">
        <f t="shared" si="59"/>
        <v>0</v>
      </c>
      <c r="EN59" s="114">
        <f t="shared" si="59"/>
        <v>0</v>
      </c>
      <c r="EO59" s="114">
        <f t="shared" si="59"/>
        <v>0</v>
      </c>
      <c r="EP59" s="114">
        <f t="shared" si="18"/>
        <v>0</v>
      </c>
      <c r="EQ59" s="114">
        <f t="shared" si="78"/>
        <v>0</v>
      </c>
      <c r="ER59" s="114">
        <f t="shared" si="60"/>
        <v>0</v>
      </c>
      <c r="ES59" s="116">
        <f t="shared" si="61"/>
        <v>0</v>
      </c>
      <c r="ET59" s="126">
        <f t="shared" si="62"/>
        <v>0</v>
      </c>
      <c r="EU59" s="115">
        <f t="shared" si="20"/>
        <v>0</v>
      </c>
      <c r="EV59" s="118" t="str">
        <f t="shared" si="21"/>
        <v>Uncapped</v>
      </c>
      <c r="EW59" s="115">
        <f t="shared" si="22"/>
        <v>0</v>
      </c>
      <c r="EX59" s="112">
        <f t="shared" ca="1" si="23"/>
        <v>0</v>
      </c>
      <c r="EY59" s="114">
        <f t="shared" ca="1" si="63"/>
        <v>0</v>
      </c>
      <c r="EZ59" s="115">
        <v>0</v>
      </c>
      <c r="FA59" s="115"/>
      <c r="FB59" s="115"/>
      <c r="FC59" s="115">
        <v>0</v>
      </c>
      <c r="FD59" s="115">
        <f t="shared" si="79"/>
        <v>0</v>
      </c>
      <c r="FE59" s="114">
        <f t="shared" si="87"/>
        <v>0</v>
      </c>
      <c r="FF59" s="115">
        <v>0</v>
      </c>
      <c r="FG59" s="115">
        <v>0</v>
      </c>
      <c r="FH59" s="115">
        <v>0</v>
      </c>
      <c r="FI59" s="115">
        <v>0</v>
      </c>
      <c r="FJ59" s="115">
        <f t="shared" si="80"/>
        <v>0</v>
      </c>
      <c r="FK59" s="114">
        <f t="shared" si="88"/>
        <v>0</v>
      </c>
      <c r="FL59" s="113"/>
      <c r="FM59" s="111"/>
      <c r="FN59" s="111"/>
      <c r="FO59" s="111"/>
      <c r="FP59" s="115">
        <f t="shared" si="28"/>
        <v>0</v>
      </c>
      <c r="FQ59" s="115"/>
      <c r="FR59" s="115"/>
      <c r="FS59" s="115"/>
      <c r="FT59" s="114">
        <f t="shared" si="64"/>
        <v>0</v>
      </c>
      <c r="FU59" s="366">
        <f t="shared" ca="1" si="66"/>
        <v>0</v>
      </c>
      <c r="FV59" s="121">
        <f t="shared" ca="1" si="65"/>
        <v>0</v>
      </c>
      <c r="FW59" s="114">
        <f t="shared" si="70"/>
        <v>0</v>
      </c>
      <c r="FX59" s="114">
        <f t="shared" si="70"/>
        <v>0</v>
      </c>
      <c r="FY59" s="114">
        <f t="shared" si="70"/>
        <v>0</v>
      </c>
      <c r="FZ59" s="114">
        <f t="shared" si="70"/>
        <v>0</v>
      </c>
      <c r="GA59" s="114">
        <f t="shared" si="30"/>
        <v>0</v>
      </c>
      <c r="GB59" s="114">
        <f t="shared" si="71"/>
        <v>0</v>
      </c>
      <c r="GC59" s="114">
        <f t="shared" si="71"/>
        <v>0</v>
      </c>
      <c r="GD59" s="114">
        <f t="shared" si="71"/>
        <v>0</v>
      </c>
      <c r="GE59" s="114">
        <f t="shared" si="71"/>
        <v>0</v>
      </c>
      <c r="GF59" s="114">
        <f t="shared" si="72"/>
        <v>0</v>
      </c>
      <c r="GG59" s="114">
        <f t="shared" si="72"/>
        <v>0</v>
      </c>
      <c r="GH59" s="114">
        <f t="shared" si="72"/>
        <v>0</v>
      </c>
      <c r="GI59" s="114">
        <f t="shared" si="72"/>
        <v>0</v>
      </c>
      <c r="GJ59" s="115">
        <f t="shared" si="81"/>
        <v>0</v>
      </c>
      <c r="GK59" s="114">
        <f t="shared" si="34"/>
        <v>0</v>
      </c>
      <c r="GL59" s="114">
        <f t="shared" si="35"/>
        <v>0</v>
      </c>
      <c r="GM59" s="114">
        <f t="shared" si="36"/>
        <v>0</v>
      </c>
      <c r="GN59" s="114">
        <f t="shared" si="37"/>
        <v>0</v>
      </c>
      <c r="GO59" s="114">
        <f t="shared" si="38"/>
        <v>0</v>
      </c>
      <c r="GP59" s="114">
        <f t="shared" si="39"/>
        <v>0</v>
      </c>
      <c r="GQ59" s="114">
        <f t="shared" si="40"/>
        <v>0</v>
      </c>
      <c r="GR59" s="193"/>
      <c r="GS59" s="122">
        <f t="shared" si="85"/>
        <v>53876065.311466776</v>
      </c>
      <c r="GT59" s="122">
        <f t="shared" si="85"/>
        <v>82050072.736889794</v>
      </c>
      <c r="GU59" s="123">
        <f t="shared" si="42"/>
        <v>0.65662422365219963</v>
      </c>
      <c r="GV59" s="124">
        <f t="shared" ca="1" si="43"/>
        <v>0</v>
      </c>
      <c r="GW59" s="124">
        <v>0</v>
      </c>
      <c r="GX59" s="32">
        <f t="shared" ca="1" si="44"/>
        <v>0</v>
      </c>
      <c r="GY59" s="100"/>
    </row>
    <row r="60" spans="1:207" s="165" customFormat="1" ht="15" hidden="1" customHeight="1">
      <c r="A60" s="102"/>
      <c r="B60" s="103"/>
      <c r="C60" s="103"/>
      <c r="D60" s="104" t="s">
        <v>215</v>
      </c>
      <c r="E60" s="113" t="s">
        <v>216</v>
      </c>
      <c r="F60" s="113" t="s">
        <v>216</v>
      </c>
      <c r="G60" s="104" t="s">
        <v>226</v>
      </c>
      <c r="H60" s="105" t="s">
        <v>745</v>
      </c>
      <c r="I60" s="547" t="s">
        <v>746</v>
      </c>
      <c r="J60" s="104" t="s">
        <v>212</v>
      </c>
      <c r="K60" s="544" t="s">
        <v>215</v>
      </c>
      <c r="L60" s="104" t="s">
        <v>213</v>
      </c>
      <c r="M60" s="104" t="s">
        <v>362</v>
      </c>
      <c r="N60" s="107"/>
      <c r="O60" s="537">
        <v>43617</v>
      </c>
      <c r="P60" s="359">
        <v>43617</v>
      </c>
      <c r="Q60" s="322">
        <f t="shared" si="0"/>
        <v>6</v>
      </c>
      <c r="R60" s="109">
        <f>IF((P60-VLOOKUP(Q60,month!$A$1:$C$13,3,0))&lt;0,Q60,Q60+1)</f>
        <v>6</v>
      </c>
      <c r="S60" s="108"/>
      <c r="T60" s="127" t="str">
        <f>IF(S60&gt;0,"Y","")</f>
        <v/>
      </c>
      <c r="U60" s="483" t="s">
        <v>652</v>
      </c>
      <c r="V60" s="483"/>
      <c r="W60" s="484">
        <v>1</v>
      </c>
      <c r="X60" s="484">
        <v>2</v>
      </c>
      <c r="Y60" s="386"/>
      <c r="Z60" s="386" t="s">
        <v>545</v>
      </c>
      <c r="AA60" s="387">
        <v>1000</v>
      </c>
      <c r="AB60" s="387">
        <v>1000</v>
      </c>
      <c r="AC60" s="387">
        <v>1000</v>
      </c>
      <c r="AD60" s="387">
        <v>1000</v>
      </c>
      <c r="AE60" s="387">
        <v>1000</v>
      </c>
      <c r="AF60" s="387">
        <v>1000</v>
      </c>
      <c r="AG60" s="387">
        <v>1000</v>
      </c>
      <c r="AH60" s="387">
        <v>1000</v>
      </c>
      <c r="AI60" s="387">
        <v>1000</v>
      </c>
      <c r="AJ60" s="387">
        <v>1000</v>
      </c>
      <c r="AK60" s="387">
        <v>1000</v>
      </c>
      <c r="AL60" s="387">
        <v>1000</v>
      </c>
      <c r="AM60" s="388">
        <f>IF($H$2=1,SUM(AA60:AC60),IF($H$2=2,SUM(AA60:AF60),IF($H$2=3,SUM(AA60:AI60),SUM(AA60:AL60))))</f>
        <v>12000</v>
      </c>
      <c r="AN60" s="388">
        <f t="shared" si="3"/>
        <v>12000</v>
      </c>
      <c r="AO60" s="389">
        <f>AF60</f>
        <v>1000</v>
      </c>
      <c r="AP60" s="498" t="s">
        <v>677</v>
      </c>
      <c r="AQ60" s="159">
        <v>0.6</v>
      </c>
      <c r="AR60" s="160" t="s">
        <v>358</v>
      </c>
      <c r="AS60" s="119" t="s">
        <v>210</v>
      </c>
      <c r="AT60" s="111"/>
      <c r="AU60" s="111">
        <v>523000</v>
      </c>
      <c r="AV60" s="111">
        <v>2721000</v>
      </c>
      <c r="AW60" s="111">
        <v>1218000</v>
      </c>
      <c r="AX60" s="113"/>
      <c r="AY60" s="113">
        <v>135471.64499999993</v>
      </c>
      <c r="AZ60" s="113">
        <v>2240783.62</v>
      </c>
      <c r="BA60" s="581"/>
      <c r="BB60" s="113"/>
      <c r="BC60" s="113"/>
      <c r="BD60" s="113"/>
      <c r="BE60" s="113"/>
      <c r="BF60" s="114">
        <f>AX60+BB60</f>
        <v>0</v>
      </c>
      <c r="BG60" s="114">
        <f>AY60+BC60</f>
        <v>135471.64499999993</v>
      </c>
      <c r="BH60" s="114">
        <f>AZ60+BD60</f>
        <v>2240783.62</v>
      </c>
      <c r="BI60" s="114">
        <f>BA60+BE60</f>
        <v>0</v>
      </c>
      <c r="BJ60" s="114">
        <f t="shared" si="83"/>
        <v>2376255.2650000001</v>
      </c>
      <c r="BK60" s="115">
        <f>IF($H$2=1,AT60,IF($H$2=2,SUM(AT60:AU60),IF($H$2=3,SUM(AT60:AV60),SUM(AT60:AW60))))</f>
        <v>4462000</v>
      </c>
      <c r="BL60" s="115">
        <f>SUM(AT60:AW60)</f>
        <v>4462000</v>
      </c>
      <c r="BM60" s="116">
        <f>IFERROR(ROUND(BJ60/BK60,4),0)</f>
        <v>0.53259999999999996</v>
      </c>
      <c r="BN60" s="126">
        <f ca="1">IF(OR(AP60="MBO",AP60="10% Realized Price"),BM60,SUMPRODUCT(Lower_Payout*(Curve=AR60)*(Lower_Attain&lt;=BM60)*(Upper_Attain&gt;BM60))+(BM60-SUMPRODUCT(Lower_Attain*(Curve=AR60)*(Lower_Attain&lt;=BM60)*(Upper_Attain&gt;BM60)))*SUMPRODUCT(Slope*(Curve=AR60)*(Lower_Attain&lt;=BM60)*(Upper_Attain&gt;BM60)))</f>
        <v>0</v>
      </c>
      <c r="BO60" s="117">
        <f ca="1">IFERROR(AM60*AQ60*BN60,0)</f>
        <v>0</v>
      </c>
      <c r="BP60" s="118" t="str">
        <f t="shared" si="8"/>
        <v>Uncapped</v>
      </c>
      <c r="BQ60" s="115">
        <f ca="1">IF(BP60="Uncapped",BO60,IFERROR(AM60*AQ60*BP60,0))</f>
        <v>0</v>
      </c>
      <c r="BR60" s="113" t="s">
        <v>697</v>
      </c>
      <c r="BS60" s="161">
        <v>0.2</v>
      </c>
      <c r="BT60" s="113" t="s">
        <v>217</v>
      </c>
      <c r="BU60" s="160" t="s">
        <v>210</v>
      </c>
      <c r="BV60" s="113"/>
      <c r="BW60" s="113">
        <v>3321000</v>
      </c>
      <c r="BX60" s="113">
        <v>6797000</v>
      </c>
      <c r="BY60" s="113">
        <v>7570000</v>
      </c>
      <c r="BZ60" s="113"/>
      <c r="CA60" s="113">
        <v>1771326.0926999999</v>
      </c>
      <c r="CB60" s="113">
        <v>5570288.800999999</v>
      </c>
      <c r="CC60" s="581"/>
      <c r="CD60" s="113"/>
      <c r="CE60" s="113"/>
      <c r="CF60" s="113"/>
      <c r="CG60" s="113"/>
      <c r="CH60" s="114">
        <f>BZ60+CD60</f>
        <v>0</v>
      </c>
      <c r="CI60" s="114">
        <f>CA60+CE60</f>
        <v>1771326.0926999999</v>
      </c>
      <c r="CJ60" s="120">
        <f>CB60+CF60</f>
        <v>5570288.800999999</v>
      </c>
      <c r="CK60" s="114">
        <f>CC60+CG60</f>
        <v>0</v>
      </c>
      <c r="CL60" s="114">
        <f t="shared" si="10"/>
        <v>7341614.893699999</v>
      </c>
      <c r="CM60" s="114">
        <f>IF($H$2=1,BV60,IF($H$2=2,SUM(BV60:BW60),IF($H$2=3,SUM(BV60:BX60),SUM(BV60:BY60))))</f>
        <v>17688000</v>
      </c>
      <c r="CN60" s="114">
        <f>SUM(BV60:BY60)</f>
        <v>17688000</v>
      </c>
      <c r="CO60" s="116">
        <f>IFERROR(ROUND(CL60/CM60,4),0)</f>
        <v>0.41510000000000002</v>
      </c>
      <c r="CP60" s="126">
        <f ca="1">IF(OR(BR60="MBO",BR60="10% Realized Price"),CO60,SUMPRODUCT(Lower_Payout*(Curve=BT60)*(Lower_Attain&lt;=CO60)*(Upper_Attain&gt;CO60))+(CO60-SUMPRODUCT(Lower_Attain*(Curve=BT60)*(Lower_Attain&lt;=CO60)*(Upper_Attain&gt;CO60)))*SUMPRODUCT(Slope*(Curve=BT60)*(Lower_Attain&lt;=CO60)*(Upper_Attain&gt;CO60)))</f>
        <v>0</v>
      </c>
      <c r="CQ60" s="115">
        <f ca="1">AM60*BS60*CP60</f>
        <v>0</v>
      </c>
      <c r="CR60" s="118" t="str">
        <f t="shared" si="53"/>
        <v>Uncapped</v>
      </c>
      <c r="CS60" s="115">
        <f ca="1">IF(CR60="Uncapped",CQ60,IFERROR(AM60*BS60*CR60,0))</f>
        <v>0</v>
      </c>
      <c r="CT60" s="113" t="s">
        <v>681</v>
      </c>
      <c r="CU60" s="119">
        <v>0.1</v>
      </c>
      <c r="CV60" s="113" t="s">
        <v>217</v>
      </c>
      <c r="CW60" s="113" t="s">
        <v>210</v>
      </c>
      <c r="CX60" s="113"/>
      <c r="CY60" s="113">
        <v>6589322.7443687003</v>
      </c>
      <c r="CZ60" s="113">
        <v>12190341.596061932</v>
      </c>
      <c r="DA60" s="113">
        <v>12342000.7336083</v>
      </c>
      <c r="DB60" s="113"/>
      <c r="DC60" s="113">
        <v>3427646.8579499996</v>
      </c>
      <c r="DD60" s="113">
        <v>10536844.709400002</v>
      </c>
      <c r="DE60" s="581"/>
      <c r="DF60" s="113"/>
      <c r="DG60" s="113"/>
      <c r="DH60" s="113"/>
      <c r="DI60" s="113"/>
      <c r="DJ60" s="114">
        <f>DB60+DF60</f>
        <v>0</v>
      </c>
      <c r="DK60" s="114">
        <f>DC60+DG60</f>
        <v>3427646.8579499996</v>
      </c>
      <c r="DL60" s="114">
        <f>DD60+DH60</f>
        <v>10536844.709400002</v>
      </c>
      <c r="DM60" s="114">
        <f>DE60+DI60</f>
        <v>0</v>
      </c>
      <c r="DN60" s="114">
        <f t="shared" si="84"/>
        <v>13964491.567350002</v>
      </c>
      <c r="DO60" s="114">
        <f>IF($H$2=1,CX60,IF($H$2=2,SUM(CX60:CY60),IF($H$2=3,SUM(CX60:CZ60),SUM(CX60:DA60))))</f>
        <v>31121665.07403893</v>
      </c>
      <c r="DP60" s="114">
        <f>SUM(CX60:DA60)</f>
        <v>31121665.07403893</v>
      </c>
      <c r="DQ60" s="116">
        <f>IFERROR(ROUND(DN60/DO60,4),0)</f>
        <v>0.44869999999999999</v>
      </c>
      <c r="DR60" s="126">
        <f ca="1">IF(OR(CT60="MBO",CT60="10% Realized Price"),DQ60,SUMPRODUCT(Lower_Payout*(Curve=CV60)*(Lower_Attain&lt;=DQ60)*(Upper_Attain&gt;DQ60))+(DQ60-SUMPRODUCT(Lower_Attain*(Curve=CV60)*(Lower_Attain&lt;=DQ60)*(Upper_Attain&gt;DQ60)))*SUMPRODUCT(Slope*(Curve=CV60)*(Lower_Attain&lt;=DQ60)*(Upper_Attain&gt;DQ60)))</f>
        <v>0</v>
      </c>
      <c r="DS60" s="115">
        <f ca="1">AM60*CU60*DR60</f>
        <v>0</v>
      </c>
      <c r="DT60" s="118" t="str">
        <f t="shared" si="58"/>
        <v>Uncapped</v>
      </c>
      <c r="DU60" s="115">
        <f ca="1">IF(DT60="Uncapped",DS60,IFERROR(AM60*CU60*DT60,0))</f>
        <v>0</v>
      </c>
      <c r="DV60" s="113" t="s">
        <v>363</v>
      </c>
      <c r="DW60" s="119">
        <v>0.1</v>
      </c>
      <c r="DX60" s="113"/>
      <c r="DY60" s="113" t="s">
        <v>219</v>
      </c>
      <c r="DZ60" s="113">
        <v>0</v>
      </c>
      <c r="EA60" s="113">
        <v>0</v>
      </c>
      <c r="EB60" s="113">
        <v>0</v>
      </c>
      <c r="EC60" s="113">
        <v>0</v>
      </c>
      <c r="ED60" s="113">
        <v>0</v>
      </c>
      <c r="EE60" s="113">
        <v>0</v>
      </c>
      <c r="EF60" s="113"/>
      <c r="EG60" s="113"/>
      <c r="EH60" s="113"/>
      <c r="EI60" s="113"/>
      <c r="EJ60" s="113"/>
      <c r="EK60" s="113"/>
      <c r="EL60" s="114">
        <f>ED60+EH60</f>
        <v>0</v>
      </c>
      <c r="EM60" s="114">
        <f>EE60+EI60</f>
        <v>0</v>
      </c>
      <c r="EN60" s="114">
        <f>EF60+EJ60</f>
        <v>0</v>
      </c>
      <c r="EO60" s="114">
        <f>EG60+EK60</f>
        <v>0</v>
      </c>
      <c r="EP60" s="114">
        <f t="shared" si="18"/>
        <v>0</v>
      </c>
      <c r="EQ60" s="114">
        <f>IF($H$2=1,DZ60,IF($H$2=2,SUM(DZ60:EA60),IF($H$2=3,SUM(DZ60:EB60),SUM(DZ60:EC60))))</f>
        <v>0</v>
      </c>
      <c r="ER60" s="114">
        <f>SUM(DZ60:EC60)</f>
        <v>0</v>
      </c>
      <c r="ES60" s="116">
        <f>IFERROR(ROUND(EP60/EQ60,4),0)</f>
        <v>0</v>
      </c>
      <c r="ET60" s="126">
        <f>IF(OR(DV60="MBO",DV60="10% Realized Price"),ES60,SUMPRODUCT(Lower_Payout*(Curve=DX60)*(Lower_Attain&lt;=ES60)*(Upper_Attain&gt;ES60))+(ES60-SUMPRODUCT(Lower_Attain*(Curve=DX60)*(Lower_Attain&lt;=ES60)*(Upper_Attain&gt;ES60)))*SUMPRODUCT(Slope*(Curve=DX60)*(Lower_Attain&lt;=ES60)*(Upper_Attain&gt;ES60)))</f>
        <v>0</v>
      </c>
      <c r="EU60" s="115">
        <f>AM60*DW60*ET60</f>
        <v>0</v>
      </c>
      <c r="EV60" s="118" t="str">
        <f t="shared" si="21"/>
        <v>Uncapped</v>
      </c>
      <c r="EW60" s="115">
        <f>IF(EV60="Uncapped",EU60,IFERROR(AM60*DW60*EV60,0))</f>
        <v>0</v>
      </c>
      <c r="EX60" s="112">
        <f ca="1">MIN(BO60,BQ60)+MIN(CQ60,CS60)+MIN(DS60,DU60)+MIN(EU60,EW60)</f>
        <v>0</v>
      </c>
      <c r="EY60" s="114">
        <f ca="1">MAX(EX60,GP60)</f>
        <v>3000</v>
      </c>
      <c r="EZ60" s="115">
        <v>0</v>
      </c>
      <c r="FA60" s="115"/>
      <c r="FB60" s="115"/>
      <c r="FC60" s="115">
        <v>0</v>
      </c>
      <c r="FD60" s="115">
        <f>IF($H$2=1,EZ60,IF($H$2=2,SUM(EZ60:FA60),IF($H$2=3,SUM(EZ60:FB60),SUM(EZ60:FC60))))</f>
        <v>0</v>
      </c>
      <c r="FE60" s="114">
        <f t="shared" si="87"/>
        <v>0</v>
      </c>
      <c r="FF60" s="115">
        <v>0</v>
      </c>
      <c r="FG60" s="115">
        <v>0</v>
      </c>
      <c r="FH60" s="115">
        <v>0</v>
      </c>
      <c r="FI60" s="115">
        <v>0</v>
      </c>
      <c r="FJ60" s="115">
        <f>IF($H$2=1,FF60,IF($H$2=2,SUM(FF60:FG60),IF($H$2=3,SUM(FF60:FH60),SUM(FF60:FI60))))</f>
        <v>0</v>
      </c>
      <c r="FK60" s="114">
        <f t="shared" si="88"/>
        <v>0</v>
      </c>
      <c r="FL60" s="113"/>
      <c r="FM60" s="111"/>
      <c r="FN60" s="111"/>
      <c r="FO60" s="111"/>
      <c r="FP60" s="115">
        <f>SUM(FL60:FO60)</f>
        <v>0</v>
      </c>
      <c r="FQ60" s="115"/>
      <c r="FR60" s="115"/>
      <c r="FS60" s="115"/>
      <c r="FT60" s="114">
        <f>SUM(FQ60:FS60)</f>
        <v>0</v>
      </c>
      <c r="FU60" s="366">
        <f ca="1">ROUND(MAX(FV60-FT60,0),2)</f>
        <v>3000</v>
      </c>
      <c r="FV60" s="121">
        <f ca="1">SUM(EY60,FD60,FJ60,FP60)</f>
        <v>3000</v>
      </c>
      <c r="FW60" s="114">
        <f>FF60</f>
        <v>0</v>
      </c>
      <c r="FX60" s="114">
        <f>FG60</f>
        <v>0</v>
      </c>
      <c r="FY60" s="114">
        <f>FH60</f>
        <v>0</v>
      </c>
      <c r="FZ60" s="114">
        <f>FI60</f>
        <v>0</v>
      </c>
      <c r="GA60" s="114">
        <f>SUM(FW60:FZ60)</f>
        <v>0</v>
      </c>
      <c r="GB60" s="114">
        <f>EZ60</f>
        <v>0</v>
      </c>
      <c r="GC60" s="114">
        <f>FA60</f>
        <v>0</v>
      </c>
      <c r="GD60" s="114">
        <f>FB60</f>
        <v>0</v>
      </c>
      <c r="GE60" s="114">
        <f>FC60</f>
        <v>0</v>
      </c>
      <c r="GF60" s="114">
        <f>GB60+FW60</f>
        <v>0</v>
      </c>
      <c r="GG60" s="114">
        <f>GC60+FX60</f>
        <v>0</v>
      </c>
      <c r="GH60" s="114">
        <f>GD60+FY60</f>
        <v>0</v>
      </c>
      <c r="GI60" s="114">
        <f>GE60+FZ60</f>
        <v>0</v>
      </c>
      <c r="GJ60" s="115">
        <f>IF($H$2=1,GF60,IF($H$2=2,SUM(GF60:GG60),IF($H$2=3,SUM(GF60:GH60),SUM(GF60:GI60))))</f>
        <v>0</v>
      </c>
      <c r="GK60" s="114">
        <f>SUM(GF60:GI60)</f>
        <v>0</v>
      </c>
      <c r="GL60" s="114">
        <f>IF(U60="Y",V60*AO60,0)</f>
        <v>0</v>
      </c>
      <c r="GM60" s="114">
        <f>IF(U60="Y",W60*AO60,0)</f>
        <v>1000</v>
      </c>
      <c r="GN60" s="114">
        <f>IF(U60="Y",X60*AO60,0)</f>
        <v>2000</v>
      </c>
      <c r="GO60" s="114">
        <f>IF(U60="Y",Y60*AO60,0)</f>
        <v>0</v>
      </c>
      <c r="GP60" s="114">
        <f>IF($H$2=1,GL60,IF($H$2=2,SUM(GL60:GM60),IF($H$2=3,SUM(GL60:GN60),IF($H$2=4,SUM(GL60:GO60)))))</f>
        <v>3000</v>
      </c>
      <c r="GQ60" s="114">
        <f>SUM(GL60:GO60)</f>
        <v>3000</v>
      </c>
      <c r="GR60" s="193"/>
      <c r="GS60" s="122">
        <f>IFERROR(BJ60+CL60+DN60+EP60,0)</f>
        <v>23682361.726050001</v>
      </c>
      <c r="GT60" s="122">
        <f>IFERROR(BK60+CM60+DO60+EQ60,0)</f>
        <v>53271665.07403893</v>
      </c>
      <c r="GU60" s="123">
        <f>IFERROR(GS60/GT60,"")</f>
        <v>0.44455831619183256</v>
      </c>
      <c r="GV60" s="124">
        <f ca="1">BO60+CQ60+DS60+EU60</f>
        <v>0</v>
      </c>
      <c r="GW60" s="124">
        <v>0</v>
      </c>
      <c r="GX60" s="32">
        <f ca="1">IFERROR(GV60/AM60,0)</f>
        <v>0</v>
      </c>
      <c r="GY60" s="100"/>
    </row>
    <row r="61" spans="1:207" s="165" customFormat="1" ht="15" hidden="1" customHeight="1">
      <c r="A61" s="102"/>
      <c r="B61" s="103"/>
      <c r="C61" s="103"/>
      <c r="D61" s="104" t="s">
        <v>215</v>
      </c>
      <c r="E61" s="113" t="s">
        <v>216</v>
      </c>
      <c r="F61" s="113" t="s">
        <v>216</v>
      </c>
      <c r="G61" s="104" t="s">
        <v>226</v>
      </c>
      <c r="H61" s="105" t="s">
        <v>366</v>
      </c>
      <c r="I61" s="164" t="s">
        <v>367</v>
      </c>
      <c r="J61" s="104" t="s">
        <v>212</v>
      </c>
      <c r="K61" s="104" t="s">
        <v>215</v>
      </c>
      <c r="L61" s="104" t="s">
        <v>213</v>
      </c>
      <c r="M61" s="104" t="s">
        <v>362</v>
      </c>
      <c r="N61" s="107"/>
      <c r="O61" s="108">
        <v>43167</v>
      </c>
      <c r="P61" s="108">
        <v>43167</v>
      </c>
      <c r="Q61" s="322">
        <f t="shared" si="0"/>
        <v>0</v>
      </c>
      <c r="R61" s="109">
        <f>IF((P61-VLOOKUP(Q61,month!$A$1:$C$13,3,0))&lt;0,Q61,Q61+1)</f>
        <v>0</v>
      </c>
      <c r="S61" s="108"/>
      <c r="T61" s="127" t="str">
        <f t="shared" si="67"/>
        <v/>
      </c>
      <c r="U61" s="107"/>
      <c r="V61" s="107"/>
      <c r="W61" s="107"/>
      <c r="X61" s="107"/>
      <c r="Y61" s="386"/>
      <c r="Z61" s="386" t="s">
        <v>545</v>
      </c>
      <c r="AA61" s="387">
        <v>1000</v>
      </c>
      <c r="AB61" s="387">
        <v>1000</v>
      </c>
      <c r="AC61" s="387">
        <v>1000</v>
      </c>
      <c r="AD61" s="387">
        <v>1000</v>
      </c>
      <c r="AE61" s="387">
        <v>1000</v>
      </c>
      <c r="AF61" s="387">
        <v>1000</v>
      </c>
      <c r="AG61" s="387">
        <v>1000</v>
      </c>
      <c r="AH61" s="387">
        <v>1000</v>
      </c>
      <c r="AI61" s="387">
        <v>1000</v>
      </c>
      <c r="AJ61" s="387">
        <v>1000</v>
      </c>
      <c r="AK61" s="387">
        <v>1000</v>
      </c>
      <c r="AL61" s="387">
        <v>1000</v>
      </c>
      <c r="AM61" s="388">
        <f t="shared" ref="AM61:AM94" si="92">IF($H$2=1,SUM(AA61:AC61),IF($H$2=2,SUM(AA61:AF61),IF($H$2=3,SUM(AA61:AI61),SUM(AA61:AL61))))</f>
        <v>12000</v>
      </c>
      <c r="AN61" s="388">
        <f t="shared" si="3"/>
        <v>12000</v>
      </c>
      <c r="AO61" s="389">
        <f t="shared" ref="AO61:AO62" si="93">AI61</f>
        <v>1000</v>
      </c>
      <c r="AP61" s="498" t="s">
        <v>677</v>
      </c>
      <c r="AQ61" s="159">
        <v>0.6</v>
      </c>
      <c r="AR61" s="160" t="s">
        <v>358</v>
      </c>
      <c r="AS61" s="119" t="s">
        <v>210</v>
      </c>
      <c r="AT61" s="111">
        <v>1738900</v>
      </c>
      <c r="AU61" s="111">
        <v>2301900</v>
      </c>
      <c r="AV61" s="111">
        <v>1593699.9999999998</v>
      </c>
      <c r="AW61" s="111">
        <v>2703500</v>
      </c>
      <c r="AX61" s="113">
        <v>1952505.1009999996</v>
      </c>
      <c r="AY61" s="113">
        <v>2548437.5599999996</v>
      </c>
      <c r="AZ61" s="113">
        <v>911021.19000000018</v>
      </c>
      <c r="BA61" s="113"/>
      <c r="BB61" s="113"/>
      <c r="BC61" s="113"/>
      <c r="BD61" s="113"/>
      <c r="BE61" s="113"/>
      <c r="BF61" s="114">
        <f t="shared" si="46"/>
        <v>1952505.1009999996</v>
      </c>
      <c r="BG61" s="114">
        <f t="shared" si="46"/>
        <v>2548437.5599999996</v>
      </c>
      <c r="BH61" s="114">
        <f t="shared" si="46"/>
        <v>911021.19000000018</v>
      </c>
      <c r="BI61" s="114">
        <f t="shared" si="46"/>
        <v>0</v>
      </c>
      <c r="BJ61" s="114">
        <f t="shared" si="83"/>
        <v>5411963.8509999998</v>
      </c>
      <c r="BK61" s="115">
        <f t="shared" ref="BK61:BK103" si="94">IF($H$2=1,AT61,IF($H$2=2,SUM(AT61:AU61),IF($H$2=3,SUM(AT61:AV61),SUM(AT61:AW61))))</f>
        <v>8338000</v>
      </c>
      <c r="BL61" s="115">
        <f t="shared" si="47"/>
        <v>8338000</v>
      </c>
      <c r="BM61" s="116">
        <f t="shared" si="48"/>
        <v>0.64910000000000001</v>
      </c>
      <c r="BN61" s="126">
        <f t="shared" ca="1" si="6"/>
        <v>0</v>
      </c>
      <c r="BO61" s="117">
        <f t="shared" ca="1" si="7"/>
        <v>0</v>
      </c>
      <c r="BP61" s="118" t="str">
        <f t="shared" si="8"/>
        <v>Uncapped</v>
      </c>
      <c r="BQ61" s="115">
        <f t="shared" ca="1" si="9"/>
        <v>0</v>
      </c>
      <c r="BR61" s="113" t="s">
        <v>697</v>
      </c>
      <c r="BS61" s="161">
        <v>0.2</v>
      </c>
      <c r="BT61" s="113" t="s">
        <v>217</v>
      </c>
      <c r="BU61" s="160" t="s">
        <v>210</v>
      </c>
      <c r="BV61" s="113">
        <v>10644900</v>
      </c>
      <c r="BW61" s="113">
        <v>4062900</v>
      </c>
      <c r="BX61" s="113">
        <v>5528700</v>
      </c>
      <c r="BY61" s="113">
        <v>5481500</v>
      </c>
      <c r="BZ61" s="113">
        <v>12422663.023</v>
      </c>
      <c r="CA61" s="113">
        <v>5718243.1750000017</v>
      </c>
      <c r="CB61" s="113">
        <v>4503181.8509999998</v>
      </c>
      <c r="CC61" s="113"/>
      <c r="CD61" s="113"/>
      <c r="CE61" s="113"/>
      <c r="CF61" s="113"/>
      <c r="CG61" s="113"/>
      <c r="CH61" s="114">
        <f t="shared" si="49"/>
        <v>12422663.023</v>
      </c>
      <c r="CI61" s="114">
        <f t="shared" si="49"/>
        <v>5718243.1750000017</v>
      </c>
      <c r="CJ61" s="120">
        <f t="shared" si="49"/>
        <v>4503181.8509999998</v>
      </c>
      <c r="CK61" s="114">
        <f t="shared" si="49"/>
        <v>0</v>
      </c>
      <c r="CL61" s="114">
        <f t="shared" si="10"/>
        <v>22644088.049000002</v>
      </c>
      <c r="CM61" s="114">
        <f t="shared" ref="CM61:CM122" si="95">IF($H$2=1,BV61,IF($H$2=2,SUM(BV61:BW61),IF($H$2=3,SUM(BV61:BX61),SUM(BV61:BY61))))</f>
        <v>25718000</v>
      </c>
      <c r="CN61" s="114">
        <f t="shared" si="50"/>
        <v>25718000</v>
      </c>
      <c r="CO61" s="116">
        <f t="shared" si="51"/>
        <v>0.88049999999999995</v>
      </c>
      <c r="CP61" s="126">
        <f t="shared" ca="1" si="52"/>
        <v>0</v>
      </c>
      <c r="CQ61" s="115">
        <f t="shared" ca="1" si="12"/>
        <v>0</v>
      </c>
      <c r="CR61" s="118" t="str">
        <f t="shared" si="53"/>
        <v>Uncapped</v>
      </c>
      <c r="CS61" s="115">
        <f t="shared" ca="1" si="13"/>
        <v>0</v>
      </c>
      <c r="CT61" s="113" t="s">
        <v>681</v>
      </c>
      <c r="CU61" s="119">
        <v>0.1</v>
      </c>
      <c r="CV61" s="113" t="s">
        <v>217</v>
      </c>
      <c r="CW61" s="113" t="s">
        <v>210</v>
      </c>
      <c r="CX61" s="113">
        <v>12667084.918482166</v>
      </c>
      <c r="CY61" s="113">
        <v>13178645.488737401</v>
      </c>
      <c r="CZ61" s="113">
        <v>12190341.596061932</v>
      </c>
      <c r="DA61" s="113">
        <v>12342000.7336083</v>
      </c>
      <c r="DB61" s="113">
        <v>14536882.36749677</v>
      </c>
      <c r="DC61" s="113">
        <v>10749156.798470002</v>
      </c>
      <c r="DD61" s="113">
        <v>10536844.709400002</v>
      </c>
      <c r="DE61" s="113"/>
      <c r="DF61" s="113"/>
      <c r="DG61" s="113"/>
      <c r="DH61" s="113"/>
      <c r="DI61" s="113"/>
      <c r="DJ61" s="114">
        <f t="shared" si="54"/>
        <v>14536882.36749677</v>
      </c>
      <c r="DK61" s="114">
        <f t="shared" si="54"/>
        <v>10749156.798470002</v>
      </c>
      <c r="DL61" s="114">
        <f t="shared" si="54"/>
        <v>10536844.709400002</v>
      </c>
      <c r="DM61" s="114">
        <f t="shared" si="54"/>
        <v>0</v>
      </c>
      <c r="DN61" s="114">
        <f t="shared" si="84"/>
        <v>35822883.875366777</v>
      </c>
      <c r="DO61" s="114">
        <f t="shared" ref="DO61:DO124" si="96">IF($H$2=1,CX61,IF($H$2=2,SUM(CX61:CY61),IF($H$2=3,SUM(CX61:CZ61),SUM(CX61:DA61))))</f>
        <v>50378072.736889794</v>
      </c>
      <c r="DP61" s="114">
        <f t="shared" si="56"/>
        <v>50378072.736889794</v>
      </c>
      <c r="DQ61" s="116">
        <f t="shared" si="57"/>
        <v>0.71109999999999995</v>
      </c>
      <c r="DR61" s="126">
        <f t="shared" ca="1" si="15"/>
        <v>0</v>
      </c>
      <c r="DS61" s="115">
        <f t="shared" ca="1" si="16"/>
        <v>0</v>
      </c>
      <c r="DT61" s="118" t="str">
        <f t="shared" si="58"/>
        <v>Uncapped</v>
      </c>
      <c r="DU61" s="115">
        <f t="shared" ca="1" si="17"/>
        <v>0</v>
      </c>
      <c r="DV61" s="113" t="s">
        <v>363</v>
      </c>
      <c r="DW61" s="119">
        <v>0.1</v>
      </c>
      <c r="DX61" s="113"/>
      <c r="DY61" s="113" t="s">
        <v>219</v>
      </c>
      <c r="DZ61" s="113">
        <v>0</v>
      </c>
      <c r="EA61" s="113">
        <v>0</v>
      </c>
      <c r="EB61" s="113">
        <v>0</v>
      </c>
      <c r="EC61" s="113">
        <v>0</v>
      </c>
      <c r="ED61" s="113">
        <v>0</v>
      </c>
      <c r="EE61" s="113">
        <v>0</v>
      </c>
      <c r="EF61" s="113"/>
      <c r="EG61" s="113"/>
      <c r="EH61" s="113"/>
      <c r="EI61" s="113"/>
      <c r="EJ61" s="113"/>
      <c r="EK61" s="113"/>
      <c r="EL61" s="114">
        <f t="shared" si="59"/>
        <v>0</v>
      </c>
      <c r="EM61" s="114">
        <f t="shared" si="59"/>
        <v>0</v>
      </c>
      <c r="EN61" s="114">
        <f t="shared" si="59"/>
        <v>0</v>
      </c>
      <c r="EO61" s="114">
        <f t="shared" si="59"/>
        <v>0</v>
      </c>
      <c r="EP61" s="114">
        <f t="shared" si="18"/>
        <v>0</v>
      </c>
      <c r="EQ61" s="114">
        <f t="shared" ref="EQ61:EQ124" si="97">IF($H$2=1,DZ61,IF($H$2=2,SUM(DZ61:EA61),IF($H$2=3,SUM(DZ61:EB61),SUM(DZ61:EC61))))</f>
        <v>0</v>
      </c>
      <c r="ER61" s="114">
        <f t="shared" si="60"/>
        <v>0</v>
      </c>
      <c r="ES61" s="116">
        <f t="shared" si="61"/>
        <v>0</v>
      </c>
      <c r="ET61" s="126">
        <f t="shared" si="62"/>
        <v>0</v>
      </c>
      <c r="EU61" s="115">
        <f t="shared" si="20"/>
        <v>0</v>
      </c>
      <c r="EV61" s="118" t="str">
        <f t="shared" si="21"/>
        <v>Uncapped</v>
      </c>
      <c r="EW61" s="115">
        <f t="shared" si="22"/>
        <v>0</v>
      </c>
      <c r="EX61" s="112">
        <f t="shared" ca="1" si="23"/>
        <v>0</v>
      </c>
      <c r="EY61" s="114">
        <f t="shared" ca="1" si="63"/>
        <v>0</v>
      </c>
      <c r="EZ61" s="115">
        <v>0</v>
      </c>
      <c r="FA61" s="115"/>
      <c r="FB61" s="115"/>
      <c r="FC61" s="115">
        <v>0</v>
      </c>
      <c r="FD61" s="115">
        <f t="shared" ref="FD61:FD124" si="98">IF($H$2=1,EZ61,IF($H$2=2,SUM(EZ61:FA61),IF($H$2=3,SUM(EZ61:FB61),SUM(EZ61:FC61))))</f>
        <v>0</v>
      </c>
      <c r="FE61" s="114">
        <f t="shared" si="87"/>
        <v>0</v>
      </c>
      <c r="FF61" s="115">
        <v>0</v>
      </c>
      <c r="FG61" s="115">
        <v>0</v>
      </c>
      <c r="FH61" s="115">
        <v>0</v>
      </c>
      <c r="FI61" s="115">
        <v>0</v>
      </c>
      <c r="FJ61" s="115">
        <f t="shared" ref="FJ61:FJ124" si="99">IF($H$2=1,FF61,IF($H$2=2,SUM(FF61:FG61),IF($H$2=3,SUM(FF61:FH61),SUM(FF61:FI61))))</f>
        <v>0</v>
      </c>
      <c r="FK61" s="114">
        <f t="shared" si="88"/>
        <v>0</v>
      </c>
      <c r="FL61" s="113"/>
      <c r="FM61" s="111"/>
      <c r="FN61" s="111"/>
      <c r="FO61" s="111"/>
      <c r="FP61" s="115">
        <f t="shared" si="28"/>
        <v>0</v>
      </c>
      <c r="FQ61" s="115"/>
      <c r="FR61" s="115"/>
      <c r="FS61" s="115"/>
      <c r="FT61" s="114">
        <f t="shared" si="64"/>
        <v>0</v>
      </c>
      <c r="FU61" s="366">
        <f t="shared" ca="1" si="66"/>
        <v>0</v>
      </c>
      <c r="FV61" s="121">
        <f t="shared" ca="1" si="65"/>
        <v>0</v>
      </c>
      <c r="FW61" s="114">
        <f t="shared" si="70"/>
        <v>0</v>
      </c>
      <c r="FX61" s="114">
        <f t="shared" si="70"/>
        <v>0</v>
      </c>
      <c r="FY61" s="114">
        <f t="shared" si="70"/>
        <v>0</v>
      </c>
      <c r="FZ61" s="114">
        <f t="shared" si="70"/>
        <v>0</v>
      </c>
      <c r="GA61" s="114">
        <f t="shared" si="30"/>
        <v>0</v>
      </c>
      <c r="GB61" s="114">
        <f t="shared" si="71"/>
        <v>0</v>
      </c>
      <c r="GC61" s="114">
        <f t="shared" si="71"/>
        <v>0</v>
      </c>
      <c r="GD61" s="114">
        <f t="shared" si="71"/>
        <v>0</v>
      </c>
      <c r="GE61" s="114">
        <f t="shared" si="71"/>
        <v>0</v>
      </c>
      <c r="GF61" s="114">
        <f t="shared" si="72"/>
        <v>0</v>
      </c>
      <c r="GG61" s="114">
        <f t="shared" si="72"/>
        <v>0</v>
      </c>
      <c r="GH61" s="114">
        <f t="shared" si="72"/>
        <v>0</v>
      </c>
      <c r="GI61" s="114">
        <f t="shared" si="72"/>
        <v>0</v>
      </c>
      <c r="GJ61" s="115">
        <f t="shared" ref="GJ61:GJ124" si="100">IF($H$2=1,GF61,IF($H$2=2,SUM(GF61:GG61),IF($H$2=3,SUM(GF61:GH61),SUM(GF61:GI61))))</f>
        <v>0</v>
      </c>
      <c r="GK61" s="114">
        <f t="shared" si="34"/>
        <v>0</v>
      </c>
      <c r="GL61" s="114">
        <f t="shared" si="35"/>
        <v>0</v>
      </c>
      <c r="GM61" s="114">
        <f t="shared" si="36"/>
        <v>0</v>
      </c>
      <c r="GN61" s="114">
        <f t="shared" si="37"/>
        <v>0</v>
      </c>
      <c r="GO61" s="114">
        <f t="shared" si="38"/>
        <v>0</v>
      </c>
      <c r="GP61" s="114">
        <f t="shared" ref="GP61:GP124" si="101">IF($H$2=1,GL61,IF($H$2=2,SUM(GL61:GM61),IF($H$2=3,SUM(GL61:GN61),IF($H$2=4,SUM(GL61:GO61)))))</f>
        <v>0</v>
      </c>
      <c r="GQ61" s="114">
        <f t="shared" si="40"/>
        <v>0</v>
      </c>
      <c r="GR61" s="193"/>
      <c r="GS61" s="122">
        <f t="shared" si="85"/>
        <v>63878935.775366783</v>
      </c>
      <c r="GT61" s="122">
        <f t="shared" si="85"/>
        <v>84434072.736889794</v>
      </c>
      <c r="GU61" s="123">
        <f t="shared" si="42"/>
        <v>0.75655400367128878</v>
      </c>
      <c r="GV61" s="124">
        <f t="shared" ca="1" si="43"/>
        <v>0</v>
      </c>
      <c r="GW61" s="124">
        <v>0</v>
      </c>
      <c r="GX61" s="32">
        <f t="shared" ca="1" si="44"/>
        <v>0</v>
      </c>
      <c r="GY61" s="100"/>
    </row>
    <row r="62" spans="1:207" s="165" customFormat="1" ht="15" hidden="1" customHeight="1">
      <c r="A62" s="102"/>
      <c r="B62" s="103"/>
      <c r="C62" s="103"/>
      <c r="D62" s="104" t="s">
        <v>215</v>
      </c>
      <c r="E62" s="113" t="s">
        <v>368</v>
      </c>
      <c r="F62" s="113" t="s">
        <v>369</v>
      </c>
      <c r="G62" s="104" t="s">
        <v>226</v>
      </c>
      <c r="H62" s="105" t="s">
        <v>370</v>
      </c>
      <c r="I62" s="106" t="s">
        <v>371</v>
      </c>
      <c r="J62" s="104" t="s">
        <v>212</v>
      </c>
      <c r="K62" s="104" t="s">
        <v>215</v>
      </c>
      <c r="L62" s="104" t="s">
        <v>372</v>
      </c>
      <c r="M62" s="104" t="s">
        <v>372</v>
      </c>
      <c r="N62" s="107"/>
      <c r="O62" s="108">
        <v>42072</v>
      </c>
      <c r="P62" s="108">
        <v>43344</v>
      </c>
      <c r="Q62" s="322">
        <f t="shared" si="0"/>
        <v>0</v>
      </c>
      <c r="R62" s="109">
        <f>IF((P62-VLOOKUP(Q62,month!$A$1:$C$13,3,0))&lt;0,Q62,Q62+1)</f>
        <v>0</v>
      </c>
      <c r="S62" s="108"/>
      <c r="T62" s="127" t="str">
        <f t="shared" si="67"/>
        <v/>
      </c>
      <c r="U62" s="107"/>
      <c r="V62" s="107"/>
      <c r="W62" s="107"/>
      <c r="X62" s="107"/>
      <c r="Y62" s="386"/>
      <c r="Z62" s="386" t="s">
        <v>545</v>
      </c>
      <c r="AA62" s="387">
        <v>1000</v>
      </c>
      <c r="AB62" s="387">
        <v>1000</v>
      </c>
      <c r="AC62" s="387">
        <v>1000</v>
      </c>
      <c r="AD62" s="387">
        <v>1000</v>
      </c>
      <c r="AE62" s="387">
        <v>1000</v>
      </c>
      <c r="AF62" s="387">
        <v>1000</v>
      </c>
      <c r="AG62" s="387">
        <v>1000</v>
      </c>
      <c r="AH62" s="387">
        <v>1000</v>
      </c>
      <c r="AI62" s="387">
        <v>1000</v>
      </c>
      <c r="AJ62" s="387">
        <v>1000</v>
      </c>
      <c r="AK62" s="387">
        <v>1000</v>
      </c>
      <c r="AL62" s="387">
        <v>1000</v>
      </c>
      <c r="AM62" s="388">
        <f t="shared" si="92"/>
        <v>12000</v>
      </c>
      <c r="AN62" s="388">
        <f t="shared" si="3"/>
        <v>12000</v>
      </c>
      <c r="AO62" s="389">
        <f t="shared" si="93"/>
        <v>1000</v>
      </c>
      <c r="AP62" s="498" t="s">
        <v>669</v>
      </c>
      <c r="AQ62" s="159">
        <v>0.4</v>
      </c>
      <c r="AR62" s="160" t="s">
        <v>358</v>
      </c>
      <c r="AS62" s="119" t="s">
        <v>210</v>
      </c>
      <c r="AT62" s="111">
        <v>897000</v>
      </c>
      <c r="AU62" s="111">
        <v>1535000</v>
      </c>
      <c r="AV62" s="111">
        <v>2400000</v>
      </c>
      <c r="AW62" s="111">
        <v>1873000</v>
      </c>
      <c r="AX62" s="113">
        <v>973389.14999999979</v>
      </c>
      <c r="AY62" s="113">
        <v>1929145.638</v>
      </c>
      <c r="AZ62" s="113">
        <v>1724766.6600000004</v>
      </c>
      <c r="BA62" s="113"/>
      <c r="BB62" s="113"/>
      <c r="BC62" s="113"/>
      <c r="BD62" s="113"/>
      <c r="BE62" s="113"/>
      <c r="BF62" s="114">
        <f t="shared" ref="BF62:BI122" si="102">AX62+BB62</f>
        <v>973389.14999999979</v>
      </c>
      <c r="BG62" s="114">
        <f t="shared" si="102"/>
        <v>1929145.638</v>
      </c>
      <c r="BH62" s="114">
        <f t="shared" si="102"/>
        <v>1724766.6600000004</v>
      </c>
      <c r="BI62" s="114">
        <f t="shared" si="102"/>
        <v>0</v>
      </c>
      <c r="BJ62" s="114">
        <f t="shared" si="83"/>
        <v>4627301.4479999999</v>
      </c>
      <c r="BK62" s="115">
        <f t="shared" si="94"/>
        <v>6705000</v>
      </c>
      <c r="BL62" s="115">
        <f t="shared" si="47"/>
        <v>6705000</v>
      </c>
      <c r="BM62" s="116">
        <f t="shared" si="48"/>
        <v>0.69010000000000005</v>
      </c>
      <c r="BN62" s="126">
        <f t="shared" ca="1" si="6"/>
        <v>0</v>
      </c>
      <c r="BO62" s="117">
        <f t="shared" ca="1" si="7"/>
        <v>0</v>
      </c>
      <c r="BP62" s="118" t="str">
        <f t="shared" si="8"/>
        <v>Uncapped</v>
      </c>
      <c r="BQ62" s="115">
        <f t="shared" ca="1" si="9"/>
        <v>0</v>
      </c>
      <c r="BR62" s="113" t="s">
        <v>698</v>
      </c>
      <c r="BS62" s="161">
        <v>0.3</v>
      </c>
      <c r="BT62" s="113" t="s">
        <v>217</v>
      </c>
      <c r="BU62" s="160" t="s">
        <v>210</v>
      </c>
      <c r="BV62" s="113">
        <v>2290500</v>
      </c>
      <c r="BW62" s="113">
        <v>6357500</v>
      </c>
      <c r="BX62" s="113">
        <v>6414100</v>
      </c>
      <c r="BY62" s="113">
        <v>5480500</v>
      </c>
      <c r="BZ62" s="113">
        <v>2107692.6592999995</v>
      </c>
      <c r="CA62" s="113">
        <v>6356372.2520000022</v>
      </c>
      <c r="CB62" s="113">
        <v>5350669.9079999989</v>
      </c>
      <c r="CC62" s="113"/>
      <c r="CD62" s="113"/>
      <c r="CE62" s="113"/>
      <c r="CF62" s="113"/>
      <c r="CG62" s="113"/>
      <c r="CH62" s="114">
        <f t="shared" ref="CH62:CK122" si="103">BZ62+CD62</f>
        <v>2107692.6592999995</v>
      </c>
      <c r="CI62" s="114">
        <f t="shared" si="103"/>
        <v>6356372.2520000022</v>
      </c>
      <c r="CJ62" s="120">
        <f t="shared" si="103"/>
        <v>5350669.9079999989</v>
      </c>
      <c r="CK62" s="114">
        <f t="shared" si="103"/>
        <v>0</v>
      </c>
      <c r="CL62" s="114">
        <f t="shared" si="10"/>
        <v>13814734.8193</v>
      </c>
      <c r="CM62" s="114">
        <f t="shared" si="95"/>
        <v>20542600</v>
      </c>
      <c r="CN62" s="114">
        <f t="shared" si="50"/>
        <v>20542600</v>
      </c>
      <c r="CO62" s="116">
        <f t="shared" si="51"/>
        <v>0.67249999999999999</v>
      </c>
      <c r="CP62" s="126">
        <f t="shared" ca="1" si="52"/>
        <v>0</v>
      </c>
      <c r="CQ62" s="115">
        <f t="shared" ca="1" si="12"/>
        <v>0</v>
      </c>
      <c r="CR62" s="118" t="str">
        <f t="shared" si="53"/>
        <v>Uncapped</v>
      </c>
      <c r="CS62" s="115">
        <f t="shared" ca="1" si="13"/>
        <v>0</v>
      </c>
      <c r="CT62" s="113" t="s">
        <v>681</v>
      </c>
      <c r="CU62" s="119">
        <v>0.1</v>
      </c>
      <c r="CV62" s="113" t="s">
        <v>217</v>
      </c>
      <c r="CW62" s="113" t="s">
        <v>210</v>
      </c>
      <c r="CX62" s="113">
        <v>12667084.918482166</v>
      </c>
      <c r="CY62" s="113">
        <v>13178645.488737401</v>
      </c>
      <c r="CZ62" s="113">
        <v>12190341.596061932</v>
      </c>
      <c r="DA62" s="113">
        <v>12342000.7336083</v>
      </c>
      <c r="DB62" s="113">
        <v>14536882.36749677</v>
      </c>
      <c r="DC62" s="113">
        <v>10749156.798470002</v>
      </c>
      <c r="DD62" s="113">
        <v>10536844.709400002</v>
      </c>
      <c r="DE62" s="113"/>
      <c r="DF62" s="113"/>
      <c r="DG62" s="113"/>
      <c r="DH62" s="113"/>
      <c r="DI62" s="113"/>
      <c r="DJ62" s="114">
        <f t="shared" ref="DJ62:DM122" si="104">DB62+DF62</f>
        <v>14536882.36749677</v>
      </c>
      <c r="DK62" s="114">
        <f t="shared" si="104"/>
        <v>10749156.798470002</v>
      </c>
      <c r="DL62" s="114">
        <f t="shared" si="104"/>
        <v>10536844.709400002</v>
      </c>
      <c r="DM62" s="114">
        <f t="shared" si="104"/>
        <v>0</v>
      </c>
      <c r="DN62" s="114">
        <f t="shared" si="84"/>
        <v>35822883.875366777</v>
      </c>
      <c r="DO62" s="114">
        <f t="shared" si="96"/>
        <v>50378072.736889794</v>
      </c>
      <c r="DP62" s="114">
        <f t="shared" ref="DP62:DP125" si="105">SUM(CX62:DA62)</f>
        <v>50378072.736889794</v>
      </c>
      <c r="DQ62" s="116">
        <f t="shared" si="57"/>
        <v>0.71109999999999995</v>
      </c>
      <c r="DR62" s="126">
        <f t="shared" ca="1" si="15"/>
        <v>0</v>
      </c>
      <c r="DS62" s="115">
        <f t="shared" ca="1" si="16"/>
        <v>0</v>
      </c>
      <c r="DT62" s="118" t="str">
        <f t="shared" si="58"/>
        <v>Uncapped</v>
      </c>
      <c r="DU62" s="115">
        <f t="shared" ca="1" si="17"/>
        <v>0</v>
      </c>
      <c r="DV62" s="113" t="s">
        <v>363</v>
      </c>
      <c r="DW62" s="119">
        <v>0.2</v>
      </c>
      <c r="DX62" s="113"/>
      <c r="DY62" s="113" t="s">
        <v>219</v>
      </c>
      <c r="DZ62" s="113">
        <v>0</v>
      </c>
      <c r="EA62" s="113">
        <v>0</v>
      </c>
      <c r="EB62" s="113">
        <v>0</v>
      </c>
      <c r="EC62" s="113">
        <v>0</v>
      </c>
      <c r="ED62" s="113">
        <v>0</v>
      </c>
      <c r="EE62" s="113">
        <v>0</v>
      </c>
      <c r="EF62" s="113"/>
      <c r="EG62" s="113"/>
      <c r="EH62" s="113"/>
      <c r="EI62" s="113"/>
      <c r="EJ62" s="113"/>
      <c r="EK62" s="113"/>
      <c r="EL62" s="114">
        <f t="shared" ref="EL62:EO122" si="106">ED62+EH62</f>
        <v>0</v>
      </c>
      <c r="EM62" s="114">
        <f t="shared" si="106"/>
        <v>0</v>
      </c>
      <c r="EN62" s="114">
        <f t="shared" si="106"/>
        <v>0</v>
      </c>
      <c r="EO62" s="114">
        <f t="shared" si="106"/>
        <v>0</v>
      </c>
      <c r="EP62" s="114">
        <f t="shared" si="18"/>
        <v>0</v>
      </c>
      <c r="EQ62" s="114">
        <f t="shared" si="97"/>
        <v>0</v>
      </c>
      <c r="ER62" s="114">
        <f t="shared" si="60"/>
        <v>0</v>
      </c>
      <c r="ES62" s="116">
        <f t="shared" si="61"/>
        <v>0</v>
      </c>
      <c r="ET62" s="126">
        <f t="shared" si="62"/>
        <v>0</v>
      </c>
      <c r="EU62" s="115">
        <f t="shared" si="20"/>
        <v>0</v>
      </c>
      <c r="EV62" s="118" t="str">
        <f t="shared" si="21"/>
        <v>Uncapped</v>
      </c>
      <c r="EW62" s="115">
        <f t="shared" si="22"/>
        <v>0</v>
      </c>
      <c r="EX62" s="112">
        <f t="shared" ca="1" si="23"/>
        <v>0</v>
      </c>
      <c r="EY62" s="114">
        <f t="shared" ca="1" si="63"/>
        <v>0</v>
      </c>
      <c r="EZ62" s="115">
        <v>0</v>
      </c>
      <c r="FA62" s="115"/>
      <c r="FB62" s="115"/>
      <c r="FC62" s="115">
        <v>0</v>
      </c>
      <c r="FD62" s="115">
        <f t="shared" si="98"/>
        <v>0</v>
      </c>
      <c r="FE62" s="114">
        <f t="shared" si="87"/>
        <v>0</v>
      </c>
      <c r="FF62" s="115">
        <v>0</v>
      </c>
      <c r="FG62" s="115">
        <v>0</v>
      </c>
      <c r="FH62" s="115">
        <v>0</v>
      </c>
      <c r="FI62" s="115">
        <v>0</v>
      </c>
      <c r="FJ62" s="115">
        <f t="shared" si="99"/>
        <v>0</v>
      </c>
      <c r="FK62" s="114">
        <f t="shared" si="88"/>
        <v>0</v>
      </c>
      <c r="FL62" s="113"/>
      <c r="FM62" s="111"/>
      <c r="FN62" s="111"/>
      <c r="FO62" s="111"/>
      <c r="FP62" s="115">
        <f t="shared" si="28"/>
        <v>0</v>
      </c>
      <c r="FQ62" s="115"/>
      <c r="FR62" s="115"/>
      <c r="FS62" s="115"/>
      <c r="FT62" s="114">
        <f t="shared" si="64"/>
        <v>0</v>
      </c>
      <c r="FU62" s="366">
        <f t="shared" ca="1" si="66"/>
        <v>0</v>
      </c>
      <c r="FV62" s="121">
        <f t="shared" ca="1" si="65"/>
        <v>0</v>
      </c>
      <c r="FW62" s="114">
        <f t="shared" si="70"/>
        <v>0</v>
      </c>
      <c r="FX62" s="114">
        <f t="shared" si="70"/>
        <v>0</v>
      </c>
      <c r="FY62" s="114">
        <f t="shared" si="70"/>
        <v>0</v>
      </c>
      <c r="FZ62" s="114">
        <f t="shared" si="70"/>
        <v>0</v>
      </c>
      <c r="GA62" s="114">
        <f t="shared" si="30"/>
        <v>0</v>
      </c>
      <c r="GB62" s="114">
        <f t="shared" si="71"/>
        <v>0</v>
      </c>
      <c r="GC62" s="114">
        <f t="shared" si="71"/>
        <v>0</v>
      </c>
      <c r="GD62" s="114">
        <f t="shared" si="71"/>
        <v>0</v>
      </c>
      <c r="GE62" s="114">
        <f t="shared" si="71"/>
        <v>0</v>
      </c>
      <c r="GF62" s="114">
        <f t="shared" si="72"/>
        <v>0</v>
      </c>
      <c r="GG62" s="114">
        <f t="shared" si="72"/>
        <v>0</v>
      </c>
      <c r="GH62" s="114">
        <f t="shared" si="72"/>
        <v>0</v>
      </c>
      <c r="GI62" s="114">
        <f t="shared" si="72"/>
        <v>0</v>
      </c>
      <c r="GJ62" s="115">
        <f t="shared" si="100"/>
        <v>0</v>
      </c>
      <c r="GK62" s="114">
        <f t="shared" si="34"/>
        <v>0</v>
      </c>
      <c r="GL62" s="114">
        <f t="shared" si="35"/>
        <v>0</v>
      </c>
      <c r="GM62" s="114">
        <f t="shared" si="36"/>
        <v>0</v>
      </c>
      <c r="GN62" s="114">
        <f t="shared" si="37"/>
        <v>0</v>
      </c>
      <c r="GO62" s="114">
        <f t="shared" si="38"/>
        <v>0</v>
      </c>
      <c r="GP62" s="114">
        <f t="shared" si="101"/>
        <v>0</v>
      </c>
      <c r="GQ62" s="114">
        <f t="shared" si="40"/>
        <v>0</v>
      </c>
      <c r="GR62" s="193"/>
      <c r="GS62" s="122">
        <f t="shared" si="85"/>
        <v>54264920.142666772</v>
      </c>
      <c r="GT62" s="122">
        <f t="shared" si="85"/>
        <v>77625672.736889794</v>
      </c>
      <c r="GU62" s="123">
        <f t="shared" si="42"/>
        <v>0.69905893539365915</v>
      </c>
      <c r="GV62" s="124">
        <f t="shared" ca="1" si="43"/>
        <v>0</v>
      </c>
      <c r="GW62" s="124">
        <v>0</v>
      </c>
      <c r="GX62" s="32">
        <f t="shared" ca="1" si="44"/>
        <v>0</v>
      </c>
      <c r="GY62" s="100"/>
    </row>
    <row r="63" spans="1:207" s="397" customFormat="1" ht="15" hidden="1" customHeight="1">
      <c r="A63" s="102"/>
      <c r="B63" s="103"/>
      <c r="C63" s="103"/>
      <c r="D63" s="104" t="s">
        <v>215</v>
      </c>
      <c r="E63" s="113" t="s">
        <v>368</v>
      </c>
      <c r="F63" s="326" t="s">
        <v>662</v>
      </c>
      <c r="G63" s="325" t="s">
        <v>226</v>
      </c>
      <c r="H63" s="327" t="s">
        <v>663</v>
      </c>
      <c r="I63" s="328" t="s">
        <v>664</v>
      </c>
      <c r="J63" s="325" t="s">
        <v>212</v>
      </c>
      <c r="K63" s="510" t="s">
        <v>215</v>
      </c>
      <c r="L63" s="325" t="s">
        <v>372</v>
      </c>
      <c r="M63" s="325" t="s">
        <v>372</v>
      </c>
      <c r="N63" s="320"/>
      <c r="O63" s="329">
        <v>43101</v>
      </c>
      <c r="P63" s="395">
        <v>43466</v>
      </c>
      <c r="Q63" s="330">
        <f t="shared" si="0"/>
        <v>0</v>
      </c>
      <c r="R63" s="331">
        <f>IF((P63-VLOOKUP(Q63,month!$A$1:$C$13,3,0))&lt;0,Q63,Q63+1)</f>
        <v>0</v>
      </c>
      <c r="S63" s="329"/>
      <c r="T63" s="396" t="str">
        <f>IF(S63&gt;0,"Y","")</f>
        <v/>
      </c>
      <c r="U63" s="320" t="s">
        <v>214</v>
      </c>
      <c r="V63" s="320">
        <v>3</v>
      </c>
      <c r="W63" s="320"/>
      <c r="X63" s="320"/>
      <c r="Y63" s="391"/>
      <c r="Z63" s="391" t="s">
        <v>545</v>
      </c>
      <c r="AA63" s="392">
        <v>1000</v>
      </c>
      <c r="AB63" s="392">
        <v>1000</v>
      </c>
      <c r="AC63" s="392">
        <v>1000</v>
      </c>
      <c r="AD63" s="392">
        <v>1000</v>
      </c>
      <c r="AE63" s="392">
        <v>1000</v>
      </c>
      <c r="AF63" s="392">
        <v>1000</v>
      </c>
      <c r="AG63" s="392">
        <v>1000</v>
      </c>
      <c r="AH63" s="392">
        <v>1000</v>
      </c>
      <c r="AI63" s="392">
        <v>1000</v>
      </c>
      <c r="AJ63" s="392">
        <v>1000</v>
      </c>
      <c r="AK63" s="392">
        <v>1000</v>
      </c>
      <c r="AL63" s="392">
        <v>1000</v>
      </c>
      <c r="AM63" s="393">
        <f>IF($H$2=1,SUM(AA63:AC63),IF($H$2=2,SUM(AA63:AF63),IF($H$2=3,SUM(AA63:AI63),SUM(AA63:AL63))))</f>
        <v>12000</v>
      </c>
      <c r="AN63" s="393">
        <f t="shared" si="3"/>
        <v>12000</v>
      </c>
      <c r="AO63" s="393">
        <f>AA63</f>
        <v>1000</v>
      </c>
      <c r="AP63" s="501" t="s">
        <v>669</v>
      </c>
      <c r="AQ63" s="334">
        <v>0.4</v>
      </c>
      <c r="AR63" s="335" t="s">
        <v>358</v>
      </c>
      <c r="AS63" s="336" t="s">
        <v>210</v>
      </c>
      <c r="AT63" s="333">
        <v>0</v>
      </c>
      <c r="AU63" s="333">
        <v>1608000</v>
      </c>
      <c r="AV63" s="333">
        <v>2600000</v>
      </c>
      <c r="AW63" s="333">
        <v>2123000</v>
      </c>
      <c r="AX63" s="326">
        <v>0</v>
      </c>
      <c r="AY63" s="326">
        <v>1929583.638</v>
      </c>
      <c r="AZ63" s="326">
        <v>1739372.7600000005</v>
      </c>
      <c r="BA63" s="326"/>
      <c r="BB63" s="326"/>
      <c r="BC63" s="326"/>
      <c r="BD63" s="326"/>
      <c r="BE63" s="326"/>
      <c r="BF63" s="326">
        <f>AX63+BB63</f>
        <v>0</v>
      </c>
      <c r="BG63" s="326">
        <f>AY63+BC63</f>
        <v>1929583.638</v>
      </c>
      <c r="BH63" s="326">
        <f>AZ63+BD63</f>
        <v>1739372.7600000005</v>
      </c>
      <c r="BI63" s="326">
        <f>BA63+BE63</f>
        <v>0</v>
      </c>
      <c r="BJ63" s="326">
        <f t="shared" si="83"/>
        <v>3668956.3980000005</v>
      </c>
      <c r="BK63" s="337">
        <f>IF($H$2=1,AT63,IF($H$2=2,SUM(AT63:AU63),IF($H$2=3,SUM(AT63:AV63),SUM(AT63:AW63))))</f>
        <v>6331000</v>
      </c>
      <c r="BL63" s="337">
        <f>SUM(AT63:AW63)</f>
        <v>6331000</v>
      </c>
      <c r="BM63" s="338">
        <f>IFERROR(ROUND(BJ63/BK63,4),0)</f>
        <v>0.57950000000000002</v>
      </c>
      <c r="BN63" s="336">
        <f t="shared" ca="1" si="6"/>
        <v>0</v>
      </c>
      <c r="BO63" s="339">
        <f t="shared" ca="1" si="7"/>
        <v>0</v>
      </c>
      <c r="BP63" s="340" t="str">
        <f t="shared" si="8"/>
        <v>Uncapped</v>
      </c>
      <c r="BQ63" s="337">
        <f t="shared" ca="1" si="9"/>
        <v>0</v>
      </c>
      <c r="BR63" s="326" t="s">
        <v>698</v>
      </c>
      <c r="BS63" s="341">
        <v>0.3</v>
      </c>
      <c r="BT63" s="326" t="s">
        <v>217</v>
      </c>
      <c r="BU63" s="335" t="s">
        <v>210</v>
      </c>
      <c r="BV63" s="326">
        <v>0</v>
      </c>
      <c r="BW63" s="326">
        <v>6357500</v>
      </c>
      <c r="BX63" s="326">
        <v>6414100</v>
      </c>
      <c r="BY63" s="326">
        <v>5480500</v>
      </c>
      <c r="BZ63" s="326">
        <v>0</v>
      </c>
      <c r="CA63" s="326">
        <v>6356372.2520000022</v>
      </c>
      <c r="CB63" s="326">
        <v>5350669.9079999989</v>
      </c>
      <c r="CC63" s="326"/>
      <c r="CD63" s="113"/>
      <c r="CE63" s="113"/>
      <c r="CF63" s="113"/>
      <c r="CG63" s="113"/>
      <c r="CH63" s="326">
        <f>BZ63+CD63</f>
        <v>0</v>
      </c>
      <c r="CI63" s="326">
        <f>CA63+CE63</f>
        <v>6356372.2520000022</v>
      </c>
      <c r="CJ63" s="342">
        <f>CB63+CF63</f>
        <v>5350669.9079999989</v>
      </c>
      <c r="CK63" s="326">
        <f>CC63+CG63</f>
        <v>0</v>
      </c>
      <c r="CL63" s="326">
        <f t="shared" si="10"/>
        <v>11707042.16</v>
      </c>
      <c r="CM63" s="326">
        <f>IF($H$2=1,BV63,IF($H$2=2,SUM(BV63:BW63),IF($H$2=3,SUM(BV63:BX63),SUM(BV63:BY63))))</f>
        <v>18252100</v>
      </c>
      <c r="CN63" s="326">
        <f>SUM(BV63:BY63)</f>
        <v>18252100</v>
      </c>
      <c r="CO63" s="338">
        <f>IFERROR(ROUND(CL63/CM63,4),0)</f>
        <v>0.64139999999999997</v>
      </c>
      <c r="CP63" s="336">
        <f ca="1">IF(OR(BR63="MBO",BR63="10% Realized Price"),CO63,SUMPRODUCT(Lower_Payout*(Curve=BT63)*(Lower_Attain&lt;=CO63)*(Upper_Attain&gt;CO63))+(CO63-SUMPRODUCT(Lower_Attain*(Curve=BT63)*(Lower_Attain&lt;=CO63)*(Upper_Attain&gt;CO63)))*SUMPRODUCT(Slope*(Curve=BT63)*(Lower_Attain&lt;=CO63)*(Upper_Attain&gt;CO63)))</f>
        <v>0</v>
      </c>
      <c r="CQ63" s="337">
        <f t="shared" ca="1" si="12"/>
        <v>0</v>
      </c>
      <c r="CR63" s="340" t="str">
        <f t="shared" si="53"/>
        <v>Uncapped</v>
      </c>
      <c r="CS63" s="337">
        <f t="shared" ca="1" si="13"/>
        <v>0</v>
      </c>
      <c r="CT63" s="326" t="s">
        <v>681</v>
      </c>
      <c r="CU63" s="336">
        <v>0.1</v>
      </c>
      <c r="CV63" s="326" t="s">
        <v>703</v>
      </c>
      <c r="CW63" s="326" t="s">
        <v>210</v>
      </c>
      <c r="CX63" s="326">
        <v>0</v>
      </c>
      <c r="CY63" s="326">
        <v>13178645.488737401</v>
      </c>
      <c r="CZ63" s="326">
        <v>12190341.596061932</v>
      </c>
      <c r="DA63" s="326">
        <v>12342000.7336083</v>
      </c>
      <c r="DB63" s="326">
        <v>0</v>
      </c>
      <c r="DC63" s="326">
        <v>10749156.798470002</v>
      </c>
      <c r="DD63" s="326">
        <v>10536844.709400002</v>
      </c>
      <c r="DE63" s="326"/>
      <c r="DF63" s="326"/>
      <c r="DG63" s="326"/>
      <c r="DH63" s="326"/>
      <c r="DI63" s="326"/>
      <c r="DJ63" s="326">
        <f>DB63+DF63</f>
        <v>0</v>
      </c>
      <c r="DK63" s="326">
        <f>DC63+DG63</f>
        <v>10749156.798470002</v>
      </c>
      <c r="DL63" s="326">
        <f>DD63+DH63</f>
        <v>10536844.709400002</v>
      </c>
      <c r="DM63" s="326">
        <f>DE63+DI63</f>
        <v>0</v>
      </c>
      <c r="DN63" s="326">
        <f t="shared" si="84"/>
        <v>21286001.507870004</v>
      </c>
      <c r="DO63" s="326">
        <f>IF($H$2=1,CX63,IF($H$2=2,SUM(CX63:CY63),IF($H$2=3,SUM(CX63:CZ63),SUM(CX63:DA63))))</f>
        <v>37710987.818407632</v>
      </c>
      <c r="DP63" s="326">
        <f>SUM(CX63:DA63)</f>
        <v>37710987.818407632</v>
      </c>
      <c r="DQ63" s="338">
        <f>IFERROR(ROUND(DN63/DO63,4),0)</f>
        <v>0.5645</v>
      </c>
      <c r="DR63" s="336">
        <f t="shared" ca="1" si="15"/>
        <v>0</v>
      </c>
      <c r="DS63" s="337">
        <f t="shared" ca="1" si="16"/>
        <v>0</v>
      </c>
      <c r="DT63" s="340" t="str">
        <f t="shared" si="58"/>
        <v>Uncapped</v>
      </c>
      <c r="DU63" s="337">
        <f t="shared" ca="1" si="17"/>
        <v>0</v>
      </c>
      <c r="DV63" s="326" t="s">
        <v>363</v>
      </c>
      <c r="DW63" s="336">
        <v>0.2</v>
      </c>
      <c r="DX63" s="326"/>
      <c r="DY63" s="326" t="s">
        <v>219</v>
      </c>
      <c r="DZ63" s="326">
        <v>0</v>
      </c>
      <c r="EA63" s="326">
        <v>0</v>
      </c>
      <c r="EB63" s="326">
        <v>0</v>
      </c>
      <c r="EC63" s="326">
        <v>0</v>
      </c>
      <c r="ED63" s="326">
        <v>0</v>
      </c>
      <c r="EE63" s="326">
        <v>0</v>
      </c>
      <c r="EF63" s="326"/>
      <c r="EG63" s="326"/>
      <c r="EH63" s="326"/>
      <c r="EI63" s="326"/>
      <c r="EJ63" s="326"/>
      <c r="EK63" s="326"/>
      <c r="EL63" s="326">
        <f>ED63+EH63</f>
        <v>0</v>
      </c>
      <c r="EM63" s="326">
        <f>EE63+EI63</f>
        <v>0</v>
      </c>
      <c r="EN63" s="326">
        <f>EF63+EJ63</f>
        <v>0</v>
      </c>
      <c r="EO63" s="326">
        <f>EG63+EK63</f>
        <v>0</v>
      </c>
      <c r="EP63" s="326">
        <f t="shared" si="18"/>
        <v>0</v>
      </c>
      <c r="EQ63" s="326">
        <f>IF($H$2=1,DZ63,IF($H$2=2,SUM(DZ63:EA63),IF($H$2=3,SUM(DZ63:EB63),SUM(DZ63:EC63))))</f>
        <v>0</v>
      </c>
      <c r="ER63" s="326">
        <f>SUM(DZ63:EC63)</f>
        <v>0</v>
      </c>
      <c r="ES63" s="338">
        <f>IFERROR(ROUND(EP63/EQ63,4),0)</f>
        <v>0</v>
      </c>
      <c r="ET63" s="336">
        <f>IF(OR(DV63="MBO",DV63="10% Realized Price"),ES63,SUMPRODUCT(Lower_Payout*(Curve=DX63)*(Lower_Attain&lt;=ES63)*(Upper_Attain&gt;ES63))+(ES63-SUMPRODUCT(Lower_Attain*(Curve=DX63)*(Lower_Attain&lt;=ES63)*(Upper_Attain&gt;ES63)))*SUMPRODUCT(Slope*(Curve=DX63)*(Lower_Attain&lt;=ES63)*(Upper_Attain&gt;ES63)))</f>
        <v>0</v>
      </c>
      <c r="EU63" s="337">
        <f t="shared" si="20"/>
        <v>0</v>
      </c>
      <c r="EV63" s="340" t="str">
        <f t="shared" si="21"/>
        <v>Uncapped</v>
      </c>
      <c r="EW63" s="337">
        <f t="shared" si="22"/>
        <v>0</v>
      </c>
      <c r="EX63" s="333">
        <f t="shared" ca="1" si="23"/>
        <v>0</v>
      </c>
      <c r="EY63" s="326">
        <f ca="1">MAX(EX63,GP63)</f>
        <v>3000</v>
      </c>
      <c r="EZ63" s="337"/>
      <c r="FA63" s="337"/>
      <c r="FB63" s="337"/>
      <c r="FC63" s="337">
        <v>0</v>
      </c>
      <c r="FD63" s="337">
        <f>IF($H$2=1,EZ63,IF($H$2=2,SUM(EZ63:FA63),IF($H$2=3,SUM(EZ63:FB63),SUM(EZ63:FC63))))</f>
        <v>0</v>
      </c>
      <c r="FE63" s="326">
        <f t="shared" si="87"/>
        <v>0</v>
      </c>
      <c r="FF63" s="337">
        <v>0</v>
      </c>
      <c r="FG63" s="337">
        <v>0</v>
      </c>
      <c r="FH63" s="337">
        <v>0</v>
      </c>
      <c r="FI63" s="337">
        <v>0</v>
      </c>
      <c r="FJ63" s="337">
        <f>IF($H$2=1,FF63,IF($H$2=2,SUM(FF63:FG63),IF($H$2=3,SUM(FF63:FH63),SUM(FF63:FI63))))</f>
        <v>0</v>
      </c>
      <c r="FK63" s="326">
        <f t="shared" si="88"/>
        <v>0</v>
      </c>
      <c r="FL63" s="326"/>
      <c r="FM63" s="333"/>
      <c r="FN63" s="333"/>
      <c r="FO63" s="333"/>
      <c r="FP63" s="337">
        <f>SUM(FL63:FO63)</f>
        <v>0</v>
      </c>
      <c r="FQ63" s="337"/>
      <c r="FR63" s="337"/>
      <c r="FS63" s="337"/>
      <c r="FT63" s="326">
        <f t="shared" si="64"/>
        <v>0</v>
      </c>
      <c r="FU63" s="366">
        <f t="shared" ca="1" si="66"/>
        <v>3000</v>
      </c>
      <c r="FV63" s="343">
        <f t="shared" ca="1" si="65"/>
        <v>3000</v>
      </c>
      <c r="FW63" s="326">
        <f>FF63</f>
        <v>0</v>
      </c>
      <c r="FX63" s="326">
        <f>FG63</f>
        <v>0</v>
      </c>
      <c r="FY63" s="326">
        <f>FH63</f>
        <v>0</v>
      </c>
      <c r="FZ63" s="326">
        <f>FI63</f>
        <v>0</v>
      </c>
      <c r="GA63" s="326">
        <f>SUM(FW63:FZ63)</f>
        <v>0</v>
      </c>
      <c r="GB63" s="326">
        <f>EZ63</f>
        <v>0</v>
      </c>
      <c r="GC63" s="326">
        <f>FA63</f>
        <v>0</v>
      </c>
      <c r="GD63" s="326">
        <f>FB63</f>
        <v>0</v>
      </c>
      <c r="GE63" s="326">
        <f>FC63</f>
        <v>0</v>
      </c>
      <c r="GF63" s="326">
        <f>GB63+FW63</f>
        <v>0</v>
      </c>
      <c r="GG63" s="326">
        <f>GC63+FX63</f>
        <v>0</v>
      </c>
      <c r="GH63" s="326">
        <f>GD63+FY63</f>
        <v>0</v>
      </c>
      <c r="GI63" s="326">
        <f>GE63+FZ63</f>
        <v>0</v>
      </c>
      <c r="GJ63" s="337">
        <f>IF($H$2=1,GF63,IF($H$2=2,SUM(GF63:GG63),IF($H$2=3,SUM(GF63:GH63),SUM(GF63:GI63))))</f>
        <v>0</v>
      </c>
      <c r="GK63" s="326">
        <f>SUM(GF63:GI63)</f>
        <v>0</v>
      </c>
      <c r="GL63" s="326">
        <f t="shared" si="35"/>
        <v>3000</v>
      </c>
      <c r="GM63" s="326">
        <f t="shared" si="36"/>
        <v>0</v>
      </c>
      <c r="GN63" s="326">
        <f t="shared" si="37"/>
        <v>0</v>
      </c>
      <c r="GO63" s="326">
        <f t="shared" si="38"/>
        <v>0</v>
      </c>
      <c r="GP63" s="326">
        <f>IF($H$2=1,GL63,IF($H$2=2,SUM(GL63:GM63),IF($H$2=3,SUM(GL63:GN63),IF($H$2=4,SUM(GL63:GO63)))))</f>
        <v>3000</v>
      </c>
      <c r="GQ63" s="326">
        <f>SUM(GL63:GO63)</f>
        <v>3000</v>
      </c>
      <c r="GR63" s="485"/>
      <c r="GS63" s="344">
        <f t="shared" si="85"/>
        <v>36662000.065870002</v>
      </c>
      <c r="GT63" s="344">
        <f t="shared" si="85"/>
        <v>62294087.818407632</v>
      </c>
      <c r="GU63" s="345">
        <f>IFERROR(GS63/GT63,"")</f>
        <v>0.58853097219663497</v>
      </c>
      <c r="GV63" s="346">
        <f t="shared" ca="1" si="43"/>
        <v>0</v>
      </c>
      <c r="GW63" s="346">
        <v>0</v>
      </c>
      <c r="GX63" s="347">
        <f t="shared" ca="1" si="44"/>
        <v>0</v>
      </c>
      <c r="GY63" s="100"/>
    </row>
    <row r="64" spans="1:207" s="165" customFormat="1" ht="15" hidden="1" customHeight="1">
      <c r="A64" s="102"/>
      <c r="B64" s="103"/>
      <c r="C64" s="103"/>
      <c r="D64" s="104" t="s">
        <v>215</v>
      </c>
      <c r="E64" s="113" t="s">
        <v>368</v>
      </c>
      <c r="F64" s="113" t="s">
        <v>369</v>
      </c>
      <c r="G64" s="104" t="s">
        <v>226</v>
      </c>
      <c r="H64" s="105" t="s">
        <v>373</v>
      </c>
      <c r="I64" s="106" t="s">
        <v>374</v>
      </c>
      <c r="J64" s="104" t="s">
        <v>212</v>
      </c>
      <c r="K64" s="104" t="s">
        <v>215</v>
      </c>
      <c r="L64" s="104" t="s">
        <v>372</v>
      </c>
      <c r="M64" s="104" t="s">
        <v>372</v>
      </c>
      <c r="N64" s="107"/>
      <c r="O64" s="108">
        <v>41106</v>
      </c>
      <c r="P64" s="108">
        <v>43344</v>
      </c>
      <c r="Q64" s="322">
        <f t="shared" si="0"/>
        <v>0</v>
      </c>
      <c r="R64" s="109">
        <f>IF((P64-VLOOKUP(Q64,month!$A$1:$C$13,3,0))&lt;0,Q64,Q64+1)</f>
        <v>0</v>
      </c>
      <c r="S64" s="108"/>
      <c r="T64" s="127" t="str">
        <f t="shared" si="67"/>
        <v/>
      </c>
      <c r="U64" s="107"/>
      <c r="V64" s="107"/>
      <c r="W64" s="107"/>
      <c r="X64" s="107"/>
      <c r="Y64" s="386"/>
      <c r="Z64" s="386" t="s">
        <v>545</v>
      </c>
      <c r="AA64" s="387">
        <v>1000</v>
      </c>
      <c r="AB64" s="387">
        <v>1000</v>
      </c>
      <c r="AC64" s="387">
        <v>1000</v>
      </c>
      <c r="AD64" s="387">
        <v>1000</v>
      </c>
      <c r="AE64" s="387">
        <v>1000</v>
      </c>
      <c r="AF64" s="387">
        <v>1000</v>
      </c>
      <c r="AG64" s="387">
        <v>1000</v>
      </c>
      <c r="AH64" s="387">
        <v>1000</v>
      </c>
      <c r="AI64" s="387">
        <v>1000</v>
      </c>
      <c r="AJ64" s="387">
        <v>1000</v>
      </c>
      <c r="AK64" s="387">
        <v>1000</v>
      </c>
      <c r="AL64" s="387">
        <v>1000</v>
      </c>
      <c r="AM64" s="388">
        <f t="shared" si="92"/>
        <v>12000</v>
      </c>
      <c r="AN64" s="388">
        <f t="shared" si="3"/>
        <v>12000</v>
      </c>
      <c r="AO64" s="389">
        <f t="shared" ref="AO64:AO66" si="107">AI64</f>
        <v>1000</v>
      </c>
      <c r="AP64" s="498" t="s">
        <v>669</v>
      </c>
      <c r="AQ64" s="159">
        <v>0.4</v>
      </c>
      <c r="AR64" s="160" t="s">
        <v>358</v>
      </c>
      <c r="AS64" s="119" t="s">
        <v>210</v>
      </c>
      <c r="AT64" s="111">
        <v>1095000</v>
      </c>
      <c r="AU64" s="111">
        <v>2822000</v>
      </c>
      <c r="AV64" s="111">
        <v>5280000</v>
      </c>
      <c r="AW64" s="111">
        <v>4816000</v>
      </c>
      <c r="AX64" s="113">
        <v>1066805.4069999985</v>
      </c>
      <c r="AY64" s="113">
        <v>2191380.2954999995</v>
      </c>
      <c r="AZ64" s="113">
        <v>3534293.8930000011</v>
      </c>
      <c r="BA64" s="113"/>
      <c r="BB64" s="113"/>
      <c r="BC64" s="113"/>
      <c r="BD64" s="113"/>
      <c r="BE64" s="113"/>
      <c r="BF64" s="114">
        <f t="shared" si="102"/>
        <v>1066805.4069999985</v>
      </c>
      <c r="BG64" s="114">
        <f t="shared" si="102"/>
        <v>2191380.2954999995</v>
      </c>
      <c r="BH64" s="114">
        <f t="shared" si="102"/>
        <v>3534293.8930000011</v>
      </c>
      <c r="BI64" s="114">
        <f t="shared" si="102"/>
        <v>0</v>
      </c>
      <c r="BJ64" s="114">
        <f t="shared" ref="BJ64:BJ95" si="108">IF($BB$3="After AR Adjustment",IF($H$2=1,BF64,IF($H$2=2,SUM(BF64:BG64),IF($H$2=3,SUM(BF64:BH64),SUM(BF64:BI64)))),IF($H$2=1,AX64,IF($H$2=2,SUM(AX64:AY64),IF($H$2=3,SUM(AX64:AZ64),SUM(AX64:BA64)))))</f>
        <v>6792479.5954999989</v>
      </c>
      <c r="BK64" s="115">
        <f t="shared" si="94"/>
        <v>14013000</v>
      </c>
      <c r="BL64" s="115">
        <f t="shared" si="47"/>
        <v>14013000</v>
      </c>
      <c r="BM64" s="116">
        <f t="shared" si="48"/>
        <v>0.48470000000000002</v>
      </c>
      <c r="BN64" s="126">
        <f t="shared" ca="1" si="6"/>
        <v>0</v>
      </c>
      <c r="BO64" s="117">
        <f t="shared" ca="1" si="7"/>
        <v>0</v>
      </c>
      <c r="BP64" s="118" t="str">
        <f t="shared" si="8"/>
        <v>Uncapped</v>
      </c>
      <c r="BQ64" s="115">
        <f t="shared" ca="1" si="9"/>
        <v>0</v>
      </c>
      <c r="BR64" s="113" t="s">
        <v>698</v>
      </c>
      <c r="BS64" s="161">
        <v>0.3</v>
      </c>
      <c r="BT64" s="113" t="s">
        <v>217</v>
      </c>
      <c r="BU64" s="160" t="s">
        <v>210</v>
      </c>
      <c r="BV64" s="113">
        <v>1907400</v>
      </c>
      <c r="BW64" s="113">
        <v>4190400</v>
      </c>
      <c r="BX64" s="113">
        <v>7051600</v>
      </c>
      <c r="BY64" s="113">
        <v>7169000</v>
      </c>
      <c r="BZ64" s="113">
        <v>2261859.504999998</v>
      </c>
      <c r="CA64" s="113">
        <v>3724680.676500001</v>
      </c>
      <c r="CB64" s="113">
        <v>5305747.5720000016</v>
      </c>
      <c r="CC64" s="113"/>
      <c r="CD64" s="113"/>
      <c r="CE64" s="113"/>
      <c r="CF64" s="113"/>
      <c r="CG64" s="113"/>
      <c r="CH64" s="114">
        <f t="shared" si="103"/>
        <v>2261859.504999998</v>
      </c>
      <c r="CI64" s="114">
        <f t="shared" si="103"/>
        <v>3724680.676500001</v>
      </c>
      <c r="CJ64" s="120">
        <f t="shared" si="103"/>
        <v>5305747.5720000016</v>
      </c>
      <c r="CK64" s="114">
        <f t="shared" si="103"/>
        <v>0</v>
      </c>
      <c r="CL64" s="114">
        <f t="shared" si="10"/>
        <v>11292287.7535</v>
      </c>
      <c r="CM64" s="114">
        <f t="shared" si="95"/>
        <v>20318400</v>
      </c>
      <c r="CN64" s="114">
        <f t="shared" si="50"/>
        <v>20318400</v>
      </c>
      <c r="CO64" s="116">
        <f t="shared" si="51"/>
        <v>0.55579999999999996</v>
      </c>
      <c r="CP64" s="126">
        <f t="shared" ca="1" si="52"/>
        <v>0</v>
      </c>
      <c r="CQ64" s="115">
        <f t="shared" ca="1" si="12"/>
        <v>0</v>
      </c>
      <c r="CR64" s="118" t="str">
        <f t="shared" si="53"/>
        <v>Uncapped</v>
      </c>
      <c r="CS64" s="115">
        <f t="shared" ca="1" si="13"/>
        <v>0</v>
      </c>
      <c r="CT64" s="113" t="s">
        <v>681</v>
      </c>
      <c r="CU64" s="119">
        <v>0.1</v>
      </c>
      <c r="CV64" s="113" t="s">
        <v>217</v>
      </c>
      <c r="CW64" s="113" t="s">
        <v>210</v>
      </c>
      <c r="CX64" s="113">
        <v>12667084.918482166</v>
      </c>
      <c r="CY64" s="113">
        <v>13178645.488737401</v>
      </c>
      <c r="CZ64" s="113">
        <v>12190341.596061932</v>
      </c>
      <c r="DA64" s="113">
        <v>12342000.7336083</v>
      </c>
      <c r="DB64" s="113">
        <v>14536882.36749677</v>
      </c>
      <c r="DC64" s="113">
        <v>10749156.798470002</v>
      </c>
      <c r="DD64" s="113">
        <v>10536844.709400002</v>
      </c>
      <c r="DE64" s="113"/>
      <c r="DF64" s="113"/>
      <c r="DG64" s="113"/>
      <c r="DH64" s="113"/>
      <c r="DI64" s="113"/>
      <c r="DJ64" s="114">
        <f t="shared" si="104"/>
        <v>14536882.36749677</v>
      </c>
      <c r="DK64" s="114">
        <f t="shared" si="104"/>
        <v>10749156.798470002</v>
      </c>
      <c r="DL64" s="114">
        <f t="shared" si="104"/>
        <v>10536844.709400002</v>
      </c>
      <c r="DM64" s="114">
        <f t="shared" si="104"/>
        <v>0</v>
      </c>
      <c r="DN64" s="114">
        <f t="shared" si="84"/>
        <v>35822883.875366777</v>
      </c>
      <c r="DO64" s="114">
        <f t="shared" si="96"/>
        <v>50378072.736889794</v>
      </c>
      <c r="DP64" s="114">
        <f t="shared" si="105"/>
        <v>50378072.736889794</v>
      </c>
      <c r="DQ64" s="116">
        <f t="shared" si="57"/>
        <v>0.71109999999999995</v>
      </c>
      <c r="DR64" s="126">
        <f t="shared" ca="1" si="15"/>
        <v>0</v>
      </c>
      <c r="DS64" s="115">
        <f t="shared" ca="1" si="16"/>
        <v>0</v>
      </c>
      <c r="DT64" s="118" t="str">
        <f t="shared" si="58"/>
        <v>Uncapped</v>
      </c>
      <c r="DU64" s="115">
        <f t="shared" ca="1" si="17"/>
        <v>0</v>
      </c>
      <c r="DV64" s="113" t="s">
        <v>363</v>
      </c>
      <c r="DW64" s="119">
        <v>0.2</v>
      </c>
      <c r="DX64" s="113"/>
      <c r="DY64" s="113" t="s">
        <v>219</v>
      </c>
      <c r="DZ64" s="113">
        <v>0</v>
      </c>
      <c r="EA64" s="113">
        <v>0</v>
      </c>
      <c r="EB64" s="113">
        <v>0</v>
      </c>
      <c r="EC64" s="113">
        <v>0</v>
      </c>
      <c r="ED64" s="113">
        <v>0</v>
      </c>
      <c r="EE64" s="113">
        <v>0</v>
      </c>
      <c r="EF64" s="113"/>
      <c r="EG64" s="113"/>
      <c r="EH64" s="113"/>
      <c r="EI64" s="113"/>
      <c r="EJ64" s="113"/>
      <c r="EK64" s="113"/>
      <c r="EL64" s="114">
        <f t="shared" si="106"/>
        <v>0</v>
      </c>
      <c r="EM64" s="114">
        <f t="shared" si="106"/>
        <v>0</v>
      </c>
      <c r="EN64" s="114">
        <f t="shared" si="106"/>
        <v>0</v>
      </c>
      <c r="EO64" s="114">
        <f t="shared" si="106"/>
        <v>0</v>
      </c>
      <c r="EP64" s="114">
        <f t="shared" si="18"/>
        <v>0</v>
      </c>
      <c r="EQ64" s="114">
        <f t="shared" si="97"/>
        <v>0</v>
      </c>
      <c r="ER64" s="114">
        <f t="shared" si="60"/>
        <v>0</v>
      </c>
      <c r="ES64" s="116">
        <f t="shared" si="61"/>
        <v>0</v>
      </c>
      <c r="ET64" s="126">
        <f t="shared" si="62"/>
        <v>0</v>
      </c>
      <c r="EU64" s="115">
        <f t="shared" si="20"/>
        <v>0</v>
      </c>
      <c r="EV64" s="118" t="str">
        <f t="shared" si="21"/>
        <v>Uncapped</v>
      </c>
      <c r="EW64" s="115">
        <f t="shared" si="22"/>
        <v>0</v>
      </c>
      <c r="EX64" s="112">
        <f t="shared" ca="1" si="23"/>
        <v>0</v>
      </c>
      <c r="EY64" s="114">
        <f t="shared" ca="1" si="63"/>
        <v>0</v>
      </c>
      <c r="EZ64" s="115">
        <v>0</v>
      </c>
      <c r="FA64" s="115"/>
      <c r="FB64" s="115"/>
      <c r="FC64" s="115">
        <v>0</v>
      </c>
      <c r="FD64" s="115">
        <f t="shared" si="98"/>
        <v>0</v>
      </c>
      <c r="FE64" s="114">
        <f t="shared" si="87"/>
        <v>0</v>
      </c>
      <c r="FF64" s="115">
        <v>0</v>
      </c>
      <c r="FG64" s="115">
        <v>0</v>
      </c>
      <c r="FH64" s="115">
        <v>0</v>
      </c>
      <c r="FI64" s="115">
        <v>0</v>
      </c>
      <c r="FJ64" s="115">
        <f t="shared" si="99"/>
        <v>0</v>
      </c>
      <c r="FK64" s="114">
        <f t="shared" si="88"/>
        <v>0</v>
      </c>
      <c r="FL64" s="113"/>
      <c r="FM64" s="111"/>
      <c r="FN64" s="111"/>
      <c r="FO64" s="111"/>
      <c r="FP64" s="115">
        <f t="shared" si="28"/>
        <v>0</v>
      </c>
      <c r="FQ64" s="115"/>
      <c r="FR64" s="115"/>
      <c r="FS64" s="115"/>
      <c r="FT64" s="114">
        <f t="shared" si="64"/>
        <v>0</v>
      </c>
      <c r="FU64" s="366">
        <f t="shared" ca="1" si="66"/>
        <v>0</v>
      </c>
      <c r="FV64" s="121">
        <f t="shared" ca="1" si="65"/>
        <v>0</v>
      </c>
      <c r="FW64" s="114">
        <f t="shared" si="70"/>
        <v>0</v>
      </c>
      <c r="FX64" s="114">
        <f t="shared" si="70"/>
        <v>0</v>
      </c>
      <c r="FY64" s="114">
        <f t="shared" si="70"/>
        <v>0</v>
      </c>
      <c r="FZ64" s="114">
        <f t="shared" si="70"/>
        <v>0</v>
      </c>
      <c r="GA64" s="114">
        <f t="shared" si="30"/>
        <v>0</v>
      </c>
      <c r="GB64" s="114">
        <f t="shared" si="71"/>
        <v>0</v>
      </c>
      <c r="GC64" s="114">
        <f t="shared" si="71"/>
        <v>0</v>
      </c>
      <c r="GD64" s="114">
        <f t="shared" si="71"/>
        <v>0</v>
      </c>
      <c r="GE64" s="114">
        <f t="shared" si="71"/>
        <v>0</v>
      </c>
      <c r="GF64" s="114">
        <f t="shared" si="72"/>
        <v>0</v>
      </c>
      <c r="GG64" s="114">
        <f t="shared" si="72"/>
        <v>0</v>
      </c>
      <c r="GH64" s="114">
        <f t="shared" si="72"/>
        <v>0</v>
      </c>
      <c r="GI64" s="114">
        <f t="shared" si="72"/>
        <v>0</v>
      </c>
      <c r="GJ64" s="115">
        <f t="shared" si="100"/>
        <v>0</v>
      </c>
      <c r="GK64" s="114">
        <f t="shared" si="34"/>
        <v>0</v>
      </c>
      <c r="GL64" s="114">
        <f t="shared" si="35"/>
        <v>0</v>
      </c>
      <c r="GM64" s="114">
        <f t="shared" si="36"/>
        <v>0</v>
      </c>
      <c r="GN64" s="114">
        <f t="shared" si="37"/>
        <v>0</v>
      </c>
      <c r="GO64" s="114">
        <f t="shared" si="38"/>
        <v>0</v>
      </c>
      <c r="GP64" s="114">
        <f t="shared" si="101"/>
        <v>0</v>
      </c>
      <c r="GQ64" s="114">
        <f t="shared" si="40"/>
        <v>0</v>
      </c>
      <c r="GR64" s="193"/>
      <c r="GS64" s="122">
        <f t="shared" si="85"/>
        <v>53907651.224366777</v>
      </c>
      <c r="GT64" s="122">
        <f t="shared" si="85"/>
        <v>84709472.736889794</v>
      </c>
      <c r="GU64" s="123">
        <f t="shared" si="42"/>
        <v>0.63638279737386139</v>
      </c>
      <c r="GV64" s="124">
        <f t="shared" ca="1" si="43"/>
        <v>0</v>
      </c>
      <c r="GW64" s="124">
        <v>0</v>
      </c>
      <c r="GX64" s="32">
        <f t="shared" ca="1" si="44"/>
        <v>0</v>
      </c>
      <c r="GY64" s="100"/>
    </row>
    <row r="65" spans="1:207" s="125" customFormat="1" ht="15" hidden="1" customHeight="1">
      <c r="A65" s="102"/>
      <c r="B65" s="103"/>
      <c r="C65" s="103"/>
      <c r="D65" s="104" t="s">
        <v>215</v>
      </c>
      <c r="E65" s="113" t="s">
        <v>368</v>
      </c>
      <c r="F65" s="113" t="s">
        <v>368</v>
      </c>
      <c r="G65" s="104" t="s">
        <v>226</v>
      </c>
      <c r="H65" s="105" t="s">
        <v>375</v>
      </c>
      <c r="I65" s="106" t="s">
        <v>376</v>
      </c>
      <c r="J65" s="104" t="s">
        <v>212</v>
      </c>
      <c r="K65" s="104" t="s">
        <v>215</v>
      </c>
      <c r="L65" s="104" t="s">
        <v>372</v>
      </c>
      <c r="M65" s="104" t="s">
        <v>372</v>
      </c>
      <c r="N65" s="107"/>
      <c r="O65" s="108">
        <v>42653</v>
      </c>
      <c r="P65" s="108">
        <v>42653</v>
      </c>
      <c r="Q65" s="322">
        <f t="shared" si="0"/>
        <v>0</v>
      </c>
      <c r="R65" s="109">
        <f>IF((P65-VLOOKUP(Q65,month!$A$1:$C$13,3,0))&lt;0,Q65,Q65+1)</f>
        <v>0</v>
      </c>
      <c r="S65" s="108"/>
      <c r="T65" s="110" t="str">
        <f t="shared" si="67"/>
        <v/>
      </c>
      <c r="U65" s="107"/>
      <c r="V65" s="107"/>
      <c r="W65" s="107"/>
      <c r="X65" s="107"/>
      <c r="Y65" s="386"/>
      <c r="Z65" s="386" t="s">
        <v>545</v>
      </c>
      <c r="AA65" s="387">
        <v>1000</v>
      </c>
      <c r="AB65" s="387">
        <v>1000</v>
      </c>
      <c r="AC65" s="387">
        <v>1000</v>
      </c>
      <c r="AD65" s="387">
        <v>1000</v>
      </c>
      <c r="AE65" s="387">
        <v>1000</v>
      </c>
      <c r="AF65" s="387">
        <v>1000</v>
      </c>
      <c r="AG65" s="387">
        <v>1000</v>
      </c>
      <c r="AH65" s="387">
        <v>1000</v>
      </c>
      <c r="AI65" s="387">
        <v>1000</v>
      </c>
      <c r="AJ65" s="387">
        <v>1000</v>
      </c>
      <c r="AK65" s="387">
        <v>1000</v>
      </c>
      <c r="AL65" s="387">
        <v>1000</v>
      </c>
      <c r="AM65" s="388">
        <f t="shared" si="92"/>
        <v>12000</v>
      </c>
      <c r="AN65" s="388">
        <f t="shared" si="3"/>
        <v>12000</v>
      </c>
      <c r="AO65" s="389">
        <f t="shared" si="107"/>
        <v>1000</v>
      </c>
      <c r="AP65" s="498" t="s">
        <v>669</v>
      </c>
      <c r="AQ65" s="159">
        <v>0.5</v>
      </c>
      <c r="AR65" s="160" t="s">
        <v>358</v>
      </c>
      <c r="AS65" s="119" t="s">
        <v>210</v>
      </c>
      <c r="AT65" s="111">
        <v>672000</v>
      </c>
      <c r="AU65" s="111">
        <v>1138000</v>
      </c>
      <c r="AV65" s="111">
        <v>1248000</v>
      </c>
      <c r="AW65" s="111">
        <v>1244000</v>
      </c>
      <c r="AX65" s="113">
        <v>976078.91399999964</v>
      </c>
      <c r="AY65" s="113">
        <v>1202753.1600000018</v>
      </c>
      <c r="AZ65" s="113">
        <v>1383442.1240000005</v>
      </c>
      <c r="BA65" s="113"/>
      <c r="BB65" s="113"/>
      <c r="BC65" s="113"/>
      <c r="BD65" s="113"/>
      <c r="BE65" s="113"/>
      <c r="BF65" s="114">
        <f t="shared" si="102"/>
        <v>976078.91399999964</v>
      </c>
      <c r="BG65" s="114">
        <f t="shared" si="102"/>
        <v>1202753.1600000018</v>
      </c>
      <c r="BH65" s="114">
        <f t="shared" si="102"/>
        <v>1383442.1240000005</v>
      </c>
      <c r="BI65" s="114">
        <f t="shared" si="102"/>
        <v>0</v>
      </c>
      <c r="BJ65" s="114">
        <f t="shared" si="108"/>
        <v>3562274.1980000017</v>
      </c>
      <c r="BK65" s="115">
        <f t="shared" si="94"/>
        <v>4302000</v>
      </c>
      <c r="BL65" s="115">
        <f t="shared" si="47"/>
        <v>4302000</v>
      </c>
      <c r="BM65" s="116">
        <f t="shared" si="48"/>
        <v>0.82809999999999995</v>
      </c>
      <c r="BN65" s="126">
        <f t="shared" ca="1" si="6"/>
        <v>0</v>
      </c>
      <c r="BO65" s="117">
        <f t="shared" ca="1" si="7"/>
        <v>0</v>
      </c>
      <c r="BP65" s="118" t="str">
        <f t="shared" si="8"/>
        <v>Uncapped</v>
      </c>
      <c r="BQ65" s="115">
        <f t="shared" ca="1" si="9"/>
        <v>0</v>
      </c>
      <c r="BR65" s="113" t="s">
        <v>698</v>
      </c>
      <c r="BS65" s="161">
        <v>0.2</v>
      </c>
      <c r="BT65" s="113" t="s">
        <v>217</v>
      </c>
      <c r="BU65" s="160" t="s">
        <v>210</v>
      </c>
      <c r="BV65" s="113">
        <v>1907400</v>
      </c>
      <c r="BW65" s="113">
        <v>4190400</v>
      </c>
      <c r="BX65" s="113">
        <v>7051600</v>
      </c>
      <c r="BY65" s="113">
        <v>7169000</v>
      </c>
      <c r="BZ65" s="113">
        <v>2261859.504999998</v>
      </c>
      <c r="CA65" s="113">
        <v>3724680.676500001</v>
      </c>
      <c r="CB65" s="113">
        <v>5305747.5720000016</v>
      </c>
      <c r="CC65" s="113"/>
      <c r="CD65" s="113"/>
      <c r="CE65" s="113"/>
      <c r="CF65" s="113"/>
      <c r="CG65" s="113"/>
      <c r="CH65" s="114">
        <f t="shared" si="103"/>
        <v>2261859.504999998</v>
      </c>
      <c r="CI65" s="114">
        <f t="shared" si="103"/>
        <v>3724680.676500001</v>
      </c>
      <c r="CJ65" s="120">
        <f t="shared" si="103"/>
        <v>5305747.5720000016</v>
      </c>
      <c r="CK65" s="114">
        <f t="shared" si="103"/>
        <v>0</v>
      </c>
      <c r="CL65" s="114">
        <f t="shared" si="10"/>
        <v>11292287.7535</v>
      </c>
      <c r="CM65" s="114">
        <f t="shared" si="95"/>
        <v>20318400</v>
      </c>
      <c r="CN65" s="114">
        <f t="shared" si="50"/>
        <v>20318400</v>
      </c>
      <c r="CO65" s="116">
        <f t="shared" si="51"/>
        <v>0.55579999999999996</v>
      </c>
      <c r="CP65" s="126">
        <f t="shared" ca="1" si="52"/>
        <v>0</v>
      </c>
      <c r="CQ65" s="115">
        <f t="shared" ca="1" si="12"/>
        <v>0</v>
      </c>
      <c r="CR65" s="118" t="str">
        <f t="shared" si="53"/>
        <v>Uncapped</v>
      </c>
      <c r="CS65" s="115">
        <f t="shared" ca="1" si="13"/>
        <v>0</v>
      </c>
      <c r="CT65" s="113" t="s">
        <v>681</v>
      </c>
      <c r="CU65" s="119">
        <v>0.1</v>
      </c>
      <c r="CV65" s="113" t="s">
        <v>217</v>
      </c>
      <c r="CW65" s="113" t="s">
        <v>210</v>
      </c>
      <c r="CX65" s="113">
        <v>12667084.918482166</v>
      </c>
      <c r="CY65" s="113">
        <v>13178645.488737401</v>
      </c>
      <c r="CZ65" s="113">
        <v>12190341.596061932</v>
      </c>
      <c r="DA65" s="113">
        <v>12342000.7336083</v>
      </c>
      <c r="DB65" s="113">
        <v>14536882.36749677</v>
      </c>
      <c r="DC65" s="113">
        <v>10749156.798470002</v>
      </c>
      <c r="DD65" s="113">
        <v>10536844.709400002</v>
      </c>
      <c r="DE65" s="113"/>
      <c r="DF65" s="113"/>
      <c r="DG65" s="113"/>
      <c r="DH65" s="113"/>
      <c r="DI65" s="113"/>
      <c r="DJ65" s="114">
        <f t="shared" si="104"/>
        <v>14536882.36749677</v>
      </c>
      <c r="DK65" s="114">
        <f t="shared" si="104"/>
        <v>10749156.798470002</v>
      </c>
      <c r="DL65" s="114">
        <f t="shared" si="104"/>
        <v>10536844.709400002</v>
      </c>
      <c r="DM65" s="114">
        <f t="shared" si="104"/>
        <v>0</v>
      </c>
      <c r="DN65" s="114">
        <f t="shared" si="84"/>
        <v>35822883.875366777</v>
      </c>
      <c r="DO65" s="114">
        <f t="shared" si="96"/>
        <v>50378072.736889794</v>
      </c>
      <c r="DP65" s="114">
        <f t="shared" si="105"/>
        <v>50378072.736889794</v>
      </c>
      <c r="DQ65" s="116">
        <f t="shared" si="57"/>
        <v>0.71109999999999995</v>
      </c>
      <c r="DR65" s="126">
        <f t="shared" ca="1" si="15"/>
        <v>0</v>
      </c>
      <c r="DS65" s="115">
        <f t="shared" ca="1" si="16"/>
        <v>0</v>
      </c>
      <c r="DT65" s="118" t="str">
        <f t="shared" si="58"/>
        <v>Uncapped</v>
      </c>
      <c r="DU65" s="115">
        <f t="shared" ca="1" si="17"/>
        <v>0</v>
      </c>
      <c r="DV65" s="113" t="s">
        <v>363</v>
      </c>
      <c r="DW65" s="119">
        <v>0.2</v>
      </c>
      <c r="DX65" s="113"/>
      <c r="DY65" s="113" t="s">
        <v>219</v>
      </c>
      <c r="DZ65" s="113">
        <v>0</v>
      </c>
      <c r="EA65" s="113">
        <v>0</v>
      </c>
      <c r="EB65" s="113">
        <v>0</v>
      </c>
      <c r="EC65" s="113">
        <v>0</v>
      </c>
      <c r="ED65" s="113">
        <v>0</v>
      </c>
      <c r="EE65" s="113">
        <v>0</v>
      </c>
      <c r="EF65" s="113"/>
      <c r="EG65" s="113"/>
      <c r="EH65" s="113"/>
      <c r="EI65" s="113"/>
      <c r="EJ65" s="113"/>
      <c r="EK65" s="113"/>
      <c r="EL65" s="114">
        <f t="shared" si="106"/>
        <v>0</v>
      </c>
      <c r="EM65" s="114">
        <f t="shared" si="106"/>
        <v>0</v>
      </c>
      <c r="EN65" s="114">
        <f t="shared" si="106"/>
        <v>0</v>
      </c>
      <c r="EO65" s="114">
        <f t="shared" si="106"/>
        <v>0</v>
      </c>
      <c r="EP65" s="114">
        <f t="shared" si="18"/>
        <v>0</v>
      </c>
      <c r="EQ65" s="114">
        <f t="shared" si="97"/>
        <v>0</v>
      </c>
      <c r="ER65" s="114">
        <f t="shared" si="60"/>
        <v>0</v>
      </c>
      <c r="ES65" s="116">
        <f t="shared" si="61"/>
        <v>0</v>
      </c>
      <c r="ET65" s="126">
        <f t="shared" si="62"/>
        <v>0</v>
      </c>
      <c r="EU65" s="115">
        <f t="shared" si="20"/>
        <v>0</v>
      </c>
      <c r="EV65" s="118" t="str">
        <f t="shared" si="21"/>
        <v>Uncapped</v>
      </c>
      <c r="EW65" s="115">
        <f t="shared" si="22"/>
        <v>0</v>
      </c>
      <c r="EX65" s="112">
        <f t="shared" ca="1" si="23"/>
        <v>0</v>
      </c>
      <c r="EY65" s="114">
        <f t="shared" ca="1" si="63"/>
        <v>0</v>
      </c>
      <c r="EZ65" s="115">
        <v>0</v>
      </c>
      <c r="FA65" s="115"/>
      <c r="FB65" s="115"/>
      <c r="FC65" s="115">
        <v>0</v>
      </c>
      <c r="FD65" s="115">
        <f t="shared" si="98"/>
        <v>0</v>
      </c>
      <c r="FE65" s="114">
        <f t="shared" si="87"/>
        <v>0</v>
      </c>
      <c r="FF65" s="115">
        <v>0</v>
      </c>
      <c r="FG65" s="115">
        <v>0</v>
      </c>
      <c r="FH65" s="115">
        <v>0</v>
      </c>
      <c r="FI65" s="115">
        <v>0</v>
      </c>
      <c r="FJ65" s="115">
        <f t="shared" si="99"/>
        <v>0</v>
      </c>
      <c r="FK65" s="114">
        <f t="shared" si="88"/>
        <v>0</v>
      </c>
      <c r="FL65" s="113"/>
      <c r="FM65" s="111"/>
      <c r="FN65" s="111"/>
      <c r="FO65" s="111"/>
      <c r="FP65" s="115">
        <f t="shared" si="28"/>
        <v>0</v>
      </c>
      <c r="FQ65" s="115"/>
      <c r="FR65" s="115"/>
      <c r="FS65" s="115"/>
      <c r="FT65" s="114">
        <f t="shared" si="64"/>
        <v>0</v>
      </c>
      <c r="FU65" s="366">
        <f t="shared" ca="1" si="66"/>
        <v>0</v>
      </c>
      <c r="FV65" s="121">
        <f t="shared" ca="1" si="65"/>
        <v>0</v>
      </c>
      <c r="FW65" s="114">
        <f t="shared" si="70"/>
        <v>0</v>
      </c>
      <c r="FX65" s="114">
        <f t="shared" si="70"/>
        <v>0</v>
      </c>
      <c r="FY65" s="114">
        <f t="shared" si="70"/>
        <v>0</v>
      </c>
      <c r="FZ65" s="114">
        <f t="shared" si="70"/>
        <v>0</v>
      </c>
      <c r="GA65" s="114">
        <f t="shared" si="30"/>
        <v>0</v>
      </c>
      <c r="GB65" s="114">
        <f t="shared" si="71"/>
        <v>0</v>
      </c>
      <c r="GC65" s="114">
        <f t="shared" si="71"/>
        <v>0</v>
      </c>
      <c r="GD65" s="114">
        <f t="shared" si="71"/>
        <v>0</v>
      </c>
      <c r="GE65" s="114">
        <f t="shared" si="71"/>
        <v>0</v>
      </c>
      <c r="GF65" s="114">
        <f t="shared" si="72"/>
        <v>0</v>
      </c>
      <c r="GG65" s="114">
        <f t="shared" si="72"/>
        <v>0</v>
      </c>
      <c r="GH65" s="114">
        <f t="shared" si="72"/>
        <v>0</v>
      </c>
      <c r="GI65" s="114">
        <f t="shared" si="72"/>
        <v>0</v>
      </c>
      <c r="GJ65" s="115">
        <f t="shared" si="100"/>
        <v>0</v>
      </c>
      <c r="GK65" s="114">
        <f t="shared" si="34"/>
        <v>0</v>
      </c>
      <c r="GL65" s="114">
        <f t="shared" si="35"/>
        <v>0</v>
      </c>
      <c r="GM65" s="114">
        <f t="shared" si="36"/>
        <v>0</v>
      </c>
      <c r="GN65" s="114">
        <f t="shared" si="37"/>
        <v>0</v>
      </c>
      <c r="GO65" s="114">
        <f t="shared" si="38"/>
        <v>0</v>
      </c>
      <c r="GP65" s="114">
        <f t="shared" si="101"/>
        <v>0</v>
      </c>
      <c r="GQ65" s="114">
        <f t="shared" si="40"/>
        <v>0</v>
      </c>
      <c r="GR65" s="193"/>
      <c r="GS65" s="122">
        <f t="shared" ref="GS65:GT96" si="109">IFERROR(BJ65+CL65+DN65+EP65,0)</f>
        <v>50677445.826866776</v>
      </c>
      <c r="GT65" s="122">
        <f t="shared" si="109"/>
        <v>74998472.736889794</v>
      </c>
      <c r="GU65" s="123">
        <f t="shared" si="42"/>
        <v>0.67571303757949541</v>
      </c>
      <c r="GV65" s="124">
        <f t="shared" ca="1" si="43"/>
        <v>0</v>
      </c>
      <c r="GW65" s="124">
        <v>0</v>
      </c>
      <c r="GX65" s="32">
        <f t="shared" ca="1" si="44"/>
        <v>0</v>
      </c>
      <c r="GY65" s="100"/>
    </row>
    <row r="66" spans="1:207" s="125" customFormat="1" ht="15" hidden="1" customHeight="1">
      <c r="A66" s="102"/>
      <c r="B66" s="103"/>
      <c r="C66" s="103"/>
      <c r="D66" s="104" t="s">
        <v>215</v>
      </c>
      <c r="E66" s="104"/>
      <c r="F66" s="104" t="s">
        <v>368</v>
      </c>
      <c r="G66" s="104" t="s">
        <v>226</v>
      </c>
      <c r="H66" s="154" t="s">
        <v>377</v>
      </c>
      <c r="I66" s="106" t="s">
        <v>378</v>
      </c>
      <c r="J66" s="104" t="s">
        <v>212</v>
      </c>
      <c r="K66" s="104" t="s">
        <v>215</v>
      </c>
      <c r="L66" s="104" t="s">
        <v>372</v>
      </c>
      <c r="M66" s="104" t="s">
        <v>372</v>
      </c>
      <c r="N66" s="107"/>
      <c r="O66" s="108">
        <v>43213</v>
      </c>
      <c r="P66" s="108">
        <v>43213</v>
      </c>
      <c r="Q66" s="322">
        <f t="shared" si="0"/>
        <v>0</v>
      </c>
      <c r="R66" s="109">
        <f>IF((P66-VLOOKUP(Q66,month!$A$1:$C$13,3,0))&lt;0,Q66,Q66+1)</f>
        <v>0</v>
      </c>
      <c r="S66" s="108"/>
      <c r="T66" s="127" t="str">
        <f>IF(S66&gt;0,"Y","")</f>
        <v/>
      </c>
      <c r="U66" s="107"/>
      <c r="V66" s="107"/>
      <c r="W66" s="107"/>
      <c r="X66" s="107"/>
      <c r="Y66" s="386"/>
      <c r="Z66" s="386" t="s">
        <v>545</v>
      </c>
      <c r="AA66" s="387">
        <v>1000</v>
      </c>
      <c r="AB66" s="387">
        <v>1000</v>
      </c>
      <c r="AC66" s="387">
        <v>1000</v>
      </c>
      <c r="AD66" s="387">
        <v>1000</v>
      </c>
      <c r="AE66" s="387">
        <v>1000</v>
      </c>
      <c r="AF66" s="387">
        <v>1000</v>
      </c>
      <c r="AG66" s="387">
        <v>1000</v>
      </c>
      <c r="AH66" s="387">
        <v>1000</v>
      </c>
      <c r="AI66" s="387">
        <v>1000</v>
      </c>
      <c r="AJ66" s="387">
        <v>1000</v>
      </c>
      <c r="AK66" s="387">
        <v>1000</v>
      </c>
      <c r="AL66" s="387">
        <v>1000</v>
      </c>
      <c r="AM66" s="388">
        <f t="shared" si="92"/>
        <v>12000</v>
      </c>
      <c r="AN66" s="388">
        <f t="shared" si="3"/>
        <v>12000</v>
      </c>
      <c r="AO66" s="389">
        <f t="shared" si="107"/>
        <v>1000</v>
      </c>
      <c r="AP66" s="498" t="s">
        <v>669</v>
      </c>
      <c r="AQ66" s="159">
        <v>0.5</v>
      </c>
      <c r="AR66" s="160" t="s">
        <v>358</v>
      </c>
      <c r="AS66" s="119" t="s">
        <v>210</v>
      </c>
      <c r="AT66" s="111">
        <v>140400</v>
      </c>
      <c r="AU66" s="111">
        <v>230400</v>
      </c>
      <c r="AV66" s="111">
        <v>523600</v>
      </c>
      <c r="AW66" s="111">
        <v>1109000</v>
      </c>
      <c r="AX66" s="113">
        <v>218975.18399999998</v>
      </c>
      <c r="AY66" s="113">
        <v>330547.22100000002</v>
      </c>
      <c r="AZ66" s="113">
        <v>388011.55499999988</v>
      </c>
      <c r="BA66" s="113"/>
      <c r="BB66" s="113"/>
      <c r="BC66" s="113"/>
      <c r="BD66" s="113"/>
      <c r="BE66" s="113"/>
      <c r="BF66" s="114">
        <f t="shared" si="102"/>
        <v>218975.18399999998</v>
      </c>
      <c r="BG66" s="114">
        <f t="shared" si="102"/>
        <v>330547.22100000002</v>
      </c>
      <c r="BH66" s="114">
        <f t="shared" si="102"/>
        <v>388011.55499999988</v>
      </c>
      <c r="BI66" s="114">
        <f t="shared" si="102"/>
        <v>0</v>
      </c>
      <c r="BJ66" s="114">
        <f t="shared" si="108"/>
        <v>937533.96</v>
      </c>
      <c r="BK66" s="115">
        <f t="shared" si="94"/>
        <v>2003400</v>
      </c>
      <c r="BL66" s="115">
        <f t="shared" si="47"/>
        <v>2003400</v>
      </c>
      <c r="BM66" s="116">
        <f t="shared" si="48"/>
        <v>0.46800000000000003</v>
      </c>
      <c r="BN66" s="126">
        <f t="shared" ca="1" si="6"/>
        <v>0</v>
      </c>
      <c r="BO66" s="117">
        <f t="shared" ca="1" si="7"/>
        <v>0</v>
      </c>
      <c r="BP66" s="118" t="str">
        <f t="shared" si="8"/>
        <v>Uncapped</v>
      </c>
      <c r="BQ66" s="115">
        <f t="shared" ca="1" si="9"/>
        <v>0</v>
      </c>
      <c r="BR66" s="113" t="s">
        <v>698</v>
      </c>
      <c r="BS66" s="161">
        <v>0.2</v>
      </c>
      <c r="BT66" s="113" t="s">
        <v>217</v>
      </c>
      <c r="BU66" s="160" t="s">
        <v>210</v>
      </c>
      <c r="BV66" s="113">
        <v>1907400</v>
      </c>
      <c r="BW66" s="113">
        <v>4190400</v>
      </c>
      <c r="BX66" s="113">
        <v>7051600</v>
      </c>
      <c r="BY66" s="113">
        <v>7169000</v>
      </c>
      <c r="BZ66" s="113">
        <v>2261859.504999998</v>
      </c>
      <c r="CA66" s="113">
        <v>3724680.676500001</v>
      </c>
      <c r="CB66" s="113">
        <v>5305747.5720000016</v>
      </c>
      <c r="CC66" s="113"/>
      <c r="CD66" s="113"/>
      <c r="CE66" s="113"/>
      <c r="CF66" s="113"/>
      <c r="CG66" s="113"/>
      <c r="CH66" s="114">
        <f t="shared" si="103"/>
        <v>2261859.504999998</v>
      </c>
      <c r="CI66" s="114">
        <f t="shared" si="103"/>
        <v>3724680.676500001</v>
      </c>
      <c r="CJ66" s="120">
        <f t="shared" si="103"/>
        <v>5305747.5720000016</v>
      </c>
      <c r="CK66" s="114">
        <f t="shared" si="103"/>
        <v>0</v>
      </c>
      <c r="CL66" s="114">
        <f t="shared" si="10"/>
        <v>11292287.7535</v>
      </c>
      <c r="CM66" s="114">
        <f t="shared" si="95"/>
        <v>20318400</v>
      </c>
      <c r="CN66" s="114">
        <f t="shared" si="50"/>
        <v>20318400</v>
      </c>
      <c r="CO66" s="116">
        <f t="shared" si="51"/>
        <v>0.55579999999999996</v>
      </c>
      <c r="CP66" s="126">
        <f t="shared" ca="1" si="52"/>
        <v>0</v>
      </c>
      <c r="CQ66" s="115">
        <f t="shared" ca="1" si="12"/>
        <v>0</v>
      </c>
      <c r="CR66" s="118" t="str">
        <f t="shared" si="53"/>
        <v>Uncapped</v>
      </c>
      <c r="CS66" s="115">
        <f t="shared" ca="1" si="13"/>
        <v>0</v>
      </c>
      <c r="CT66" s="113" t="s">
        <v>681</v>
      </c>
      <c r="CU66" s="119">
        <v>0.1</v>
      </c>
      <c r="CV66" s="113" t="s">
        <v>217</v>
      </c>
      <c r="CW66" s="113" t="s">
        <v>210</v>
      </c>
      <c r="CX66" s="113">
        <v>12667084.918482166</v>
      </c>
      <c r="CY66" s="113">
        <v>13178645.488737401</v>
      </c>
      <c r="CZ66" s="113">
        <v>12190341.596061932</v>
      </c>
      <c r="DA66" s="113">
        <v>12342000.7336083</v>
      </c>
      <c r="DB66" s="113">
        <v>14536882.36749677</v>
      </c>
      <c r="DC66" s="113">
        <v>10749156.798470002</v>
      </c>
      <c r="DD66" s="113">
        <v>10536844.709400002</v>
      </c>
      <c r="DE66" s="113"/>
      <c r="DF66" s="113"/>
      <c r="DG66" s="113"/>
      <c r="DH66" s="113"/>
      <c r="DI66" s="113"/>
      <c r="DJ66" s="114">
        <f t="shared" si="104"/>
        <v>14536882.36749677</v>
      </c>
      <c r="DK66" s="114">
        <f t="shared" si="104"/>
        <v>10749156.798470002</v>
      </c>
      <c r="DL66" s="114">
        <f t="shared" si="104"/>
        <v>10536844.709400002</v>
      </c>
      <c r="DM66" s="114">
        <f t="shared" si="104"/>
        <v>0</v>
      </c>
      <c r="DN66" s="114">
        <f t="shared" si="84"/>
        <v>35822883.875366777</v>
      </c>
      <c r="DO66" s="114">
        <f t="shared" si="96"/>
        <v>50378072.736889794</v>
      </c>
      <c r="DP66" s="114">
        <f t="shared" si="105"/>
        <v>50378072.736889794</v>
      </c>
      <c r="DQ66" s="116">
        <f t="shared" si="57"/>
        <v>0.71109999999999995</v>
      </c>
      <c r="DR66" s="126">
        <f t="shared" ca="1" si="15"/>
        <v>0</v>
      </c>
      <c r="DS66" s="115">
        <f t="shared" ca="1" si="16"/>
        <v>0</v>
      </c>
      <c r="DT66" s="118" t="str">
        <f t="shared" si="58"/>
        <v>Uncapped</v>
      </c>
      <c r="DU66" s="115">
        <f t="shared" ca="1" si="17"/>
        <v>0</v>
      </c>
      <c r="DV66" s="113" t="s">
        <v>363</v>
      </c>
      <c r="DW66" s="119">
        <v>0.2</v>
      </c>
      <c r="DX66" s="113"/>
      <c r="DY66" s="113" t="s">
        <v>219</v>
      </c>
      <c r="DZ66" s="113">
        <v>0</v>
      </c>
      <c r="EA66" s="113">
        <v>0</v>
      </c>
      <c r="EB66" s="113">
        <v>0</v>
      </c>
      <c r="EC66" s="113">
        <v>0</v>
      </c>
      <c r="ED66" s="113">
        <v>0</v>
      </c>
      <c r="EE66" s="113">
        <v>0</v>
      </c>
      <c r="EF66" s="113"/>
      <c r="EG66" s="113"/>
      <c r="EH66" s="113"/>
      <c r="EI66" s="113"/>
      <c r="EJ66" s="113"/>
      <c r="EK66" s="113"/>
      <c r="EL66" s="114">
        <f t="shared" si="106"/>
        <v>0</v>
      </c>
      <c r="EM66" s="114">
        <f t="shared" si="106"/>
        <v>0</v>
      </c>
      <c r="EN66" s="114">
        <f t="shared" si="106"/>
        <v>0</v>
      </c>
      <c r="EO66" s="114">
        <f t="shared" si="106"/>
        <v>0</v>
      </c>
      <c r="EP66" s="114">
        <f t="shared" si="18"/>
        <v>0</v>
      </c>
      <c r="EQ66" s="114">
        <f t="shared" si="97"/>
        <v>0</v>
      </c>
      <c r="ER66" s="114">
        <f t="shared" si="60"/>
        <v>0</v>
      </c>
      <c r="ES66" s="116">
        <f t="shared" si="61"/>
        <v>0</v>
      </c>
      <c r="ET66" s="126">
        <f t="shared" si="62"/>
        <v>0</v>
      </c>
      <c r="EU66" s="115">
        <f t="shared" si="20"/>
        <v>0</v>
      </c>
      <c r="EV66" s="118" t="str">
        <f t="shared" si="21"/>
        <v>Uncapped</v>
      </c>
      <c r="EW66" s="115">
        <f t="shared" si="22"/>
        <v>0</v>
      </c>
      <c r="EX66" s="112">
        <f t="shared" ca="1" si="23"/>
        <v>0</v>
      </c>
      <c r="EY66" s="114">
        <f t="shared" ca="1" si="63"/>
        <v>0</v>
      </c>
      <c r="EZ66" s="115">
        <v>0</v>
      </c>
      <c r="FA66" s="115"/>
      <c r="FB66" s="115"/>
      <c r="FC66" s="115">
        <v>0</v>
      </c>
      <c r="FD66" s="115">
        <f t="shared" si="98"/>
        <v>0</v>
      </c>
      <c r="FE66" s="114">
        <f t="shared" si="87"/>
        <v>0</v>
      </c>
      <c r="FF66" s="115">
        <v>0</v>
      </c>
      <c r="FG66" s="115">
        <v>0</v>
      </c>
      <c r="FH66" s="115">
        <v>0</v>
      </c>
      <c r="FI66" s="115">
        <v>0</v>
      </c>
      <c r="FJ66" s="115">
        <f t="shared" si="99"/>
        <v>0</v>
      </c>
      <c r="FK66" s="114">
        <f t="shared" si="88"/>
        <v>0</v>
      </c>
      <c r="FL66" s="113"/>
      <c r="FM66" s="111"/>
      <c r="FN66" s="111"/>
      <c r="FO66" s="111"/>
      <c r="FP66" s="115">
        <f>SUM(FL66:FO66)</f>
        <v>0</v>
      </c>
      <c r="FQ66" s="115"/>
      <c r="FR66" s="115"/>
      <c r="FS66" s="115"/>
      <c r="FT66" s="114">
        <f t="shared" si="64"/>
        <v>0</v>
      </c>
      <c r="FU66" s="366">
        <f t="shared" ca="1" si="66"/>
        <v>0</v>
      </c>
      <c r="FV66" s="121">
        <f t="shared" ca="1" si="65"/>
        <v>0</v>
      </c>
      <c r="FW66" s="114">
        <f>FF66</f>
        <v>0</v>
      </c>
      <c r="FX66" s="114">
        <f>FG66</f>
        <v>0</v>
      </c>
      <c r="FY66" s="114">
        <f>FH66</f>
        <v>0</v>
      </c>
      <c r="FZ66" s="114">
        <f>FI66</f>
        <v>0</v>
      </c>
      <c r="GA66" s="114">
        <f>SUM(FW66:FZ66)</f>
        <v>0</v>
      </c>
      <c r="GB66" s="114">
        <f>EZ66</f>
        <v>0</v>
      </c>
      <c r="GC66" s="114">
        <f>FA66</f>
        <v>0</v>
      </c>
      <c r="GD66" s="114">
        <f>FB66</f>
        <v>0</v>
      </c>
      <c r="GE66" s="114">
        <f>FC66</f>
        <v>0</v>
      </c>
      <c r="GF66" s="114">
        <f t="shared" si="72"/>
        <v>0</v>
      </c>
      <c r="GG66" s="114">
        <f t="shared" si="72"/>
        <v>0</v>
      </c>
      <c r="GH66" s="114">
        <f t="shared" si="72"/>
        <v>0</v>
      </c>
      <c r="GI66" s="114">
        <f t="shared" si="72"/>
        <v>0</v>
      </c>
      <c r="GJ66" s="115">
        <f t="shared" si="100"/>
        <v>0</v>
      </c>
      <c r="GK66" s="114">
        <f>SUM(GF66:GI66)</f>
        <v>0</v>
      </c>
      <c r="GL66" s="114">
        <f t="shared" si="35"/>
        <v>0</v>
      </c>
      <c r="GM66" s="114">
        <f t="shared" si="36"/>
        <v>0</v>
      </c>
      <c r="GN66" s="114">
        <f t="shared" si="37"/>
        <v>0</v>
      </c>
      <c r="GO66" s="114">
        <f t="shared" si="38"/>
        <v>0</v>
      </c>
      <c r="GP66" s="114">
        <f t="shared" si="101"/>
        <v>0</v>
      </c>
      <c r="GQ66" s="114">
        <f>SUM(GL66:GO66)</f>
        <v>0</v>
      </c>
      <c r="GR66" s="216"/>
      <c r="GS66" s="122">
        <f t="shared" si="109"/>
        <v>48052705.588866778</v>
      </c>
      <c r="GT66" s="122">
        <f t="shared" si="109"/>
        <v>72699872.736889794</v>
      </c>
      <c r="GU66" s="123">
        <f>IFERROR(GS66/GT66,"")</f>
        <v>0.6609737236098846</v>
      </c>
      <c r="GV66" s="124">
        <f t="shared" ca="1" si="43"/>
        <v>0</v>
      </c>
      <c r="GW66" s="124">
        <v>0</v>
      </c>
      <c r="GX66" s="32">
        <f t="shared" ca="1" si="44"/>
        <v>0</v>
      </c>
      <c r="GY66" s="100"/>
    </row>
    <row r="67" spans="1:207" s="125" customFormat="1" ht="15" hidden="1" customHeight="1">
      <c r="A67" s="102"/>
      <c r="B67" s="103"/>
      <c r="C67" s="103"/>
      <c r="D67" s="104" t="s">
        <v>215</v>
      </c>
      <c r="E67" s="113"/>
      <c r="F67" s="113" t="s">
        <v>368</v>
      </c>
      <c r="G67" s="104" t="s">
        <v>226</v>
      </c>
      <c r="H67" s="105" t="s">
        <v>379</v>
      </c>
      <c r="I67" s="106" t="s">
        <v>380</v>
      </c>
      <c r="J67" s="104" t="s">
        <v>212</v>
      </c>
      <c r="K67" s="104" t="s">
        <v>215</v>
      </c>
      <c r="L67" s="104" t="s">
        <v>372</v>
      </c>
      <c r="M67" s="104" t="s">
        <v>372</v>
      </c>
      <c r="N67" s="107"/>
      <c r="O67" s="108">
        <v>43444</v>
      </c>
      <c r="P67" s="108">
        <v>43444</v>
      </c>
      <c r="Q67" s="322">
        <f t="shared" si="0"/>
        <v>0</v>
      </c>
      <c r="R67" s="109">
        <f>IF((P67-VLOOKUP(Q67,month!$A$1:$C$13,3,0))&lt;0,Q67,Q67+1)</f>
        <v>0</v>
      </c>
      <c r="S67" s="108"/>
      <c r="T67" s="110" t="str">
        <f t="shared" si="67"/>
        <v/>
      </c>
      <c r="U67" s="320" t="s">
        <v>214</v>
      </c>
      <c r="V67" s="320">
        <v>2</v>
      </c>
      <c r="W67" s="107"/>
      <c r="X67" s="107"/>
      <c r="Y67" s="386"/>
      <c r="Z67" s="386" t="s">
        <v>545</v>
      </c>
      <c r="AA67" s="387">
        <v>1000</v>
      </c>
      <c r="AB67" s="387">
        <v>1000</v>
      </c>
      <c r="AC67" s="387">
        <v>1000</v>
      </c>
      <c r="AD67" s="387">
        <v>1000</v>
      </c>
      <c r="AE67" s="387">
        <v>1000</v>
      </c>
      <c r="AF67" s="387">
        <v>1000</v>
      </c>
      <c r="AG67" s="387">
        <v>1000</v>
      </c>
      <c r="AH67" s="387">
        <v>1000</v>
      </c>
      <c r="AI67" s="387">
        <v>1000</v>
      </c>
      <c r="AJ67" s="387">
        <v>1000</v>
      </c>
      <c r="AK67" s="387">
        <v>1000</v>
      </c>
      <c r="AL67" s="387">
        <v>1000</v>
      </c>
      <c r="AM67" s="388">
        <f t="shared" si="92"/>
        <v>12000</v>
      </c>
      <c r="AN67" s="388">
        <f t="shared" si="3"/>
        <v>12000</v>
      </c>
      <c r="AO67" s="389">
        <f t="shared" ref="AO67:AO68" si="110">AA67</f>
        <v>1000</v>
      </c>
      <c r="AP67" s="498" t="s">
        <v>669</v>
      </c>
      <c r="AQ67" s="159">
        <v>0.5</v>
      </c>
      <c r="AR67" s="160" t="s">
        <v>358</v>
      </c>
      <c r="AS67" s="119" t="s">
        <v>210</v>
      </c>
      <c r="AT67" s="111">
        <v>1393500</v>
      </c>
      <c r="AU67" s="111">
        <v>3214500</v>
      </c>
      <c r="AV67" s="111">
        <v>1414100</v>
      </c>
      <c r="AW67" s="111">
        <v>1484500</v>
      </c>
      <c r="AX67" s="113">
        <v>1134303.5092999996</v>
      </c>
      <c r="AY67" s="113">
        <v>2497642.9760000017</v>
      </c>
      <c r="AZ67" s="113">
        <v>1886530.487999998</v>
      </c>
      <c r="BA67" s="113"/>
      <c r="BB67" s="113"/>
      <c r="BC67" s="113"/>
      <c r="BD67" s="113"/>
      <c r="BE67" s="113"/>
      <c r="BF67" s="114">
        <f t="shared" si="102"/>
        <v>1134303.5092999996</v>
      </c>
      <c r="BG67" s="114">
        <f t="shared" si="102"/>
        <v>2497642.9760000017</v>
      </c>
      <c r="BH67" s="114">
        <f t="shared" si="102"/>
        <v>1886530.487999998</v>
      </c>
      <c r="BI67" s="114">
        <f t="shared" si="102"/>
        <v>0</v>
      </c>
      <c r="BJ67" s="114">
        <f t="shared" si="108"/>
        <v>5518476.9732999988</v>
      </c>
      <c r="BK67" s="115">
        <f t="shared" si="94"/>
        <v>7506600</v>
      </c>
      <c r="BL67" s="115">
        <f t="shared" si="47"/>
        <v>7506600</v>
      </c>
      <c r="BM67" s="116">
        <f t="shared" si="48"/>
        <v>0.73509999999999998</v>
      </c>
      <c r="BN67" s="126">
        <f t="shared" ca="1" si="6"/>
        <v>0</v>
      </c>
      <c r="BO67" s="117">
        <f t="shared" ca="1" si="7"/>
        <v>0</v>
      </c>
      <c r="BP67" s="118" t="str">
        <f t="shared" si="8"/>
        <v>Uncapped</v>
      </c>
      <c r="BQ67" s="115">
        <f t="shared" ca="1" si="9"/>
        <v>0</v>
      </c>
      <c r="BR67" s="113" t="s">
        <v>698</v>
      </c>
      <c r="BS67" s="161">
        <v>0.2</v>
      </c>
      <c r="BT67" s="113" t="s">
        <v>217</v>
      </c>
      <c r="BU67" s="160" t="s">
        <v>210</v>
      </c>
      <c r="BV67" s="113">
        <v>2290500</v>
      </c>
      <c r="BW67" s="113">
        <v>6357500</v>
      </c>
      <c r="BX67" s="113">
        <v>6414100</v>
      </c>
      <c r="BY67" s="113">
        <v>5480500</v>
      </c>
      <c r="BZ67" s="113">
        <v>2107692.6592999995</v>
      </c>
      <c r="CA67" s="113">
        <v>6356372.2520000022</v>
      </c>
      <c r="CB67" s="113">
        <v>5350669.9079999989</v>
      </c>
      <c r="CC67" s="113"/>
      <c r="CD67" s="113"/>
      <c r="CE67" s="113"/>
      <c r="CF67" s="113"/>
      <c r="CG67" s="113"/>
      <c r="CH67" s="114">
        <f t="shared" si="103"/>
        <v>2107692.6592999995</v>
      </c>
      <c r="CI67" s="114">
        <f t="shared" si="103"/>
        <v>6356372.2520000022</v>
      </c>
      <c r="CJ67" s="120">
        <f t="shared" si="103"/>
        <v>5350669.9079999989</v>
      </c>
      <c r="CK67" s="114">
        <f t="shared" si="103"/>
        <v>0</v>
      </c>
      <c r="CL67" s="114">
        <f t="shared" si="10"/>
        <v>13814734.8193</v>
      </c>
      <c r="CM67" s="114">
        <f t="shared" si="95"/>
        <v>20542600</v>
      </c>
      <c r="CN67" s="114">
        <f t="shared" si="50"/>
        <v>20542600</v>
      </c>
      <c r="CO67" s="116">
        <f t="shared" si="51"/>
        <v>0.67249999999999999</v>
      </c>
      <c r="CP67" s="126">
        <f t="shared" ca="1" si="52"/>
        <v>0</v>
      </c>
      <c r="CQ67" s="115">
        <f t="shared" ca="1" si="12"/>
        <v>0</v>
      </c>
      <c r="CR67" s="118" t="str">
        <f t="shared" si="53"/>
        <v>Uncapped</v>
      </c>
      <c r="CS67" s="115">
        <f t="shared" ca="1" si="13"/>
        <v>0</v>
      </c>
      <c r="CT67" s="113" t="s">
        <v>681</v>
      </c>
      <c r="CU67" s="119">
        <v>0.1</v>
      </c>
      <c r="CV67" s="113" t="s">
        <v>217</v>
      </c>
      <c r="CW67" s="113" t="s">
        <v>210</v>
      </c>
      <c r="CX67" s="113">
        <v>12667084.918482166</v>
      </c>
      <c r="CY67" s="113">
        <v>13178645.488737401</v>
      </c>
      <c r="CZ67" s="113">
        <v>12190341.596061932</v>
      </c>
      <c r="DA67" s="113">
        <v>12342000.7336083</v>
      </c>
      <c r="DB67" s="113">
        <v>14536882.36749677</v>
      </c>
      <c r="DC67" s="113">
        <v>10749156.798470002</v>
      </c>
      <c r="DD67" s="113">
        <v>10536844.709400002</v>
      </c>
      <c r="DE67" s="113"/>
      <c r="DF67" s="113"/>
      <c r="DG67" s="113"/>
      <c r="DH67" s="113"/>
      <c r="DI67" s="113"/>
      <c r="DJ67" s="114">
        <f t="shared" si="104"/>
        <v>14536882.36749677</v>
      </c>
      <c r="DK67" s="114">
        <f t="shared" si="104"/>
        <v>10749156.798470002</v>
      </c>
      <c r="DL67" s="114">
        <f t="shared" si="104"/>
        <v>10536844.709400002</v>
      </c>
      <c r="DM67" s="114">
        <f t="shared" si="104"/>
        <v>0</v>
      </c>
      <c r="DN67" s="114">
        <f t="shared" si="84"/>
        <v>35822883.875366777</v>
      </c>
      <c r="DO67" s="114">
        <f t="shared" si="96"/>
        <v>50378072.736889794</v>
      </c>
      <c r="DP67" s="114">
        <f t="shared" si="105"/>
        <v>50378072.736889794</v>
      </c>
      <c r="DQ67" s="116">
        <f t="shared" si="57"/>
        <v>0.71109999999999995</v>
      </c>
      <c r="DR67" s="126">
        <f t="shared" ca="1" si="15"/>
        <v>0</v>
      </c>
      <c r="DS67" s="115">
        <f t="shared" ca="1" si="16"/>
        <v>0</v>
      </c>
      <c r="DT67" s="118" t="str">
        <f t="shared" si="58"/>
        <v>Uncapped</v>
      </c>
      <c r="DU67" s="115">
        <f t="shared" ca="1" si="17"/>
        <v>0</v>
      </c>
      <c r="DV67" s="113" t="s">
        <v>363</v>
      </c>
      <c r="DW67" s="119">
        <v>0.2</v>
      </c>
      <c r="DX67" s="113"/>
      <c r="DY67" s="113" t="s">
        <v>219</v>
      </c>
      <c r="DZ67" s="113">
        <v>0</v>
      </c>
      <c r="EA67" s="113">
        <v>0</v>
      </c>
      <c r="EB67" s="113">
        <v>0</v>
      </c>
      <c r="EC67" s="113">
        <v>0</v>
      </c>
      <c r="ED67" s="113">
        <v>0</v>
      </c>
      <c r="EE67" s="113">
        <v>0</v>
      </c>
      <c r="EF67" s="113"/>
      <c r="EG67" s="113"/>
      <c r="EH67" s="113"/>
      <c r="EI67" s="113"/>
      <c r="EJ67" s="113"/>
      <c r="EK67" s="113"/>
      <c r="EL67" s="114">
        <f t="shared" si="106"/>
        <v>0</v>
      </c>
      <c r="EM67" s="114">
        <f t="shared" si="106"/>
        <v>0</v>
      </c>
      <c r="EN67" s="114">
        <f t="shared" si="106"/>
        <v>0</v>
      </c>
      <c r="EO67" s="114">
        <f t="shared" si="106"/>
        <v>0</v>
      </c>
      <c r="EP67" s="114">
        <f t="shared" si="18"/>
        <v>0</v>
      </c>
      <c r="EQ67" s="114">
        <f t="shared" si="97"/>
        <v>0</v>
      </c>
      <c r="ER67" s="114">
        <f t="shared" si="60"/>
        <v>0</v>
      </c>
      <c r="ES67" s="116">
        <f t="shared" si="61"/>
        <v>0</v>
      </c>
      <c r="ET67" s="126">
        <f t="shared" si="62"/>
        <v>0</v>
      </c>
      <c r="EU67" s="115">
        <f t="shared" si="20"/>
        <v>0</v>
      </c>
      <c r="EV67" s="118" t="str">
        <f t="shared" si="21"/>
        <v>Uncapped</v>
      </c>
      <c r="EW67" s="115">
        <f t="shared" si="22"/>
        <v>0</v>
      </c>
      <c r="EX67" s="112">
        <f t="shared" ca="1" si="23"/>
        <v>0</v>
      </c>
      <c r="EY67" s="114">
        <f t="shared" ca="1" si="63"/>
        <v>2000</v>
      </c>
      <c r="EZ67" s="115">
        <v>0</v>
      </c>
      <c r="FA67" s="115"/>
      <c r="FB67" s="115"/>
      <c r="FC67" s="115">
        <v>0</v>
      </c>
      <c r="FD67" s="115">
        <f t="shared" si="98"/>
        <v>0</v>
      </c>
      <c r="FE67" s="114">
        <f t="shared" si="87"/>
        <v>0</v>
      </c>
      <c r="FF67" s="115">
        <v>0</v>
      </c>
      <c r="FG67" s="115">
        <v>0</v>
      </c>
      <c r="FH67" s="115">
        <v>0</v>
      </c>
      <c r="FI67" s="115">
        <v>0</v>
      </c>
      <c r="FJ67" s="115">
        <f t="shared" si="99"/>
        <v>0</v>
      </c>
      <c r="FK67" s="114">
        <f t="shared" si="88"/>
        <v>0</v>
      </c>
      <c r="FL67" s="113"/>
      <c r="FM67" s="111"/>
      <c r="FN67" s="111"/>
      <c r="FO67" s="111"/>
      <c r="FP67" s="115">
        <f t="shared" si="28"/>
        <v>0</v>
      </c>
      <c r="FQ67" s="115"/>
      <c r="FR67" s="115"/>
      <c r="FS67" s="115"/>
      <c r="FT67" s="114">
        <f t="shared" si="64"/>
        <v>0</v>
      </c>
      <c r="FU67" s="366">
        <f t="shared" ca="1" si="66"/>
        <v>2000</v>
      </c>
      <c r="FV67" s="121">
        <f t="shared" ca="1" si="65"/>
        <v>2000</v>
      </c>
      <c r="FW67" s="114">
        <f t="shared" si="70"/>
        <v>0</v>
      </c>
      <c r="FX67" s="114">
        <f t="shared" si="70"/>
        <v>0</v>
      </c>
      <c r="FY67" s="114">
        <f t="shared" si="70"/>
        <v>0</v>
      </c>
      <c r="FZ67" s="114">
        <f t="shared" si="70"/>
        <v>0</v>
      </c>
      <c r="GA67" s="114">
        <f>SUM(FW67:FZ67)</f>
        <v>0</v>
      </c>
      <c r="GB67" s="114">
        <f t="shared" si="71"/>
        <v>0</v>
      </c>
      <c r="GC67" s="114">
        <f t="shared" si="71"/>
        <v>0</v>
      </c>
      <c r="GD67" s="114">
        <f t="shared" si="71"/>
        <v>0</v>
      </c>
      <c r="GE67" s="114">
        <f t="shared" si="71"/>
        <v>0</v>
      </c>
      <c r="GF67" s="114">
        <f t="shared" si="72"/>
        <v>0</v>
      </c>
      <c r="GG67" s="114">
        <f t="shared" si="72"/>
        <v>0</v>
      </c>
      <c r="GH67" s="114">
        <f t="shared" si="72"/>
        <v>0</v>
      </c>
      <c r="GI67" s="114">
        <f t="shared" si="72"/>
        <v>0</v>
      </c>
      <c r="GJ67" s="115">
        <f t="shared" si="100"/>
        <v>0</v>
      </c>
      <c r="GK67" s="114">
        <f>SUM(GF67:GI67)</f>
        <v>0</v>
      </c>
      <c r="GL67" s="114">
        <f t="shared" si="35"/>
        <v>2000</v>
      </c>
      <c r="GM67" s="114">
        <f t="shared" si="36"/>
        <v>0</v>
      </c>
      <c r="GN67" s="114">
        <f t="shared" si="37"/>
        <v>0</v>
      </c>
      <c r="GO67" s="114">
        <f t="shared" si="38"/>
        <v>0</v>
      </c>
      <c r="GP67" s="114">
        <f t="shared" si="101"/>
        <v>2000</v>
      </c>
      <c r="GQ67" s="114">
        <f>SUM(GL67:GO67)</f>
        <v>2000</v>
      </c>
      <c r="GR67" s="193"/>
      <c r="GS67" s="122">
        <f t="shared" si="109"/>
        <v>55156095.667966776</v>
      </c>
      <c r="GT67" s="122">
        <f t="shared" si="109"/>
        <v>78427272.736889794</v>
      </c>
      <c r="GU67" s="123">
        <f>IFERROR(GS67/GT67,"")</f>
        <v>0.70327698188621357</v>
      </c>
      <c r="GV67" s="124">
        <f t="shared" ca="1" si="43"/>
        <v>0</v>
      </c>
      <c r="GW67" s="124">
        <v>0</v>
      </c>
      <c r="GX67" s="32">
        <f t="shared" ca="1" si="44"/>
        <v>0</v>
      </c>
      <c r="GY67" s="100"/>
    </row>
    <row r="68" spans="1:207" s="324" customFormat="1" ht="15" hidden="1" customHeight="1">
      <c r="D68" s="325" t="s">
        <v>215</v>
      </c>
      <c r="E68" s="326"/>
      <c r="F68" s="326" t="s">
        <v>656</v>
      </c>
      <c r="G68" s="325" t="s">
        <v>226</v>
      </c>
      <c r="H68" s="327" t="s">
        <v>658</v>
      </c>
      <c r="I68" s="328" t="s">
        <v>657</v>
      </c>
      <c r="J68" s="325" t="s">
        <v>212</v>
      </c>
      <c r="K68" s="510" t="s">
        <v>215</v>
      </c>
      <c r="L68" s="325" t="s">
        <v>665</v>
      </c>
      <c r="M68" s="325" t="s">
        <v>665</v>
      </c>
      <c r="N68" s="320"/>
      <c r="O68" s="329">
        <v>43435</v>
      </c>
      <c r="P68" s="329">
        <v>43435</v>
      </c>
      <c r="Q68" s="330">
        <f t="shared" si="0"/>
        <v>0</v>
      </c>
      <c r="R68" s="331">
        <f>IF((P68-VLOOKUP(Q68,month!$A$1:$C$13,3,0))&lt;0,Q68,Q68+1)</f>
        <v>0</v>
      </c>
      <c r="S68" s="108"/>
      <c r="T68" s="332" t="str">
        <f>IF(S68&gt;0,"Y","")</f>
        <v/>
      </c>
      <c r="U68" s="320" t="s">
        <v>652</v>
      </c>
      <c r="V68" s="320">
        <v>2</v>
      </c>
      <c r="W68" s="320"/>
      <c r="X68" s="320"/>
      <c r="Y68" s="391"/>
      <c r="Z68" s="391" t="s">
        <v>545</v>
      </c>
      <c r="AA68" s="392">
        <v>1000</v>
      </c>
      <c r="AB68" s="392">
        <v>1000</v>
      </c>
      <c r="AC68" s="392">
        <v>1000</v>
      </c>
      <c r="AD68" s="392">
        <v>1000</v>
      </c>
      <c r="AE68" s="392">
        <v>1000</v>
      </c>
      <c r="AF68" s="392">
        <v>1000</v>
      </c>
      <c r="AG68" s="392">
        <v>1000</v>
      </c>
      <c r="AH68" s="392">
        <v>1000</v>
      </c>
      <c r="AI68" s="392">
        <v>1000</v>
      </c>
      <c r="AJ68" s="392">
        <v>1000</v>
      </c>
      <c r="AK68" s="392">
        <v>1000</v>
      </c>
      <c r="AL68" s="392">
        <v>1000</v>
      </c>
      <c r="AM68" s="393">
        <f>IF($H$2=1,SUM(AA68:AC68),IF($H$2=2,SUM(AA68:AF68),IF($H$2=3,SUM(AA68:AI68),SUM(AA68:AL68))))</f>
        <v>12000</v>
      </c>
      <c r="AN68" s="393">
        <f t="shared" si="3"/>
        <v>12000</v>
      </c>
      <c r="AO68" s="393">
        <f t="shared" si="110"/>
        <v>1000</v>
      </c>
      <c r="AP68" s="501" t="s">
        <v>683</v>
      </c>
      <c r="AQ68" s="334">
        <v>0.5</v>
      </c>
      <c r="AR68" s="335" t="s">
        <v>358</v>
      </c>
      <c r="AS68" s="336" t="s">
        <v>210</v>
      </c>
      <c r="AT68" s="333">
        <v>913000</v>
      </c>
      <c r="AU68" s="333">
        <v>1608000</v>
      </c>
      <c r="AV68" s="333">
        <v>2600000</v>
      </c>
      <c r="AW68" s="333">
        <v>2123000</v>
      </c>
      <c r="AX68" s="326">
        <v>980225.54999999981</v>
      </c>
      <c r="AY68" s="326">
        <v>1929583.638</v>
      </c>
      <c r="AZ68" s="326">
        <v>1739372.7600000005</v>
      </c>
      <c r="BA68" s="326"/>
      <c r="BB68" s="326"/>
      <c r="BC68" s="326"/>
      <c r="BD68" s="326"/>
      <c r="BE68" s="326"/>
      <c r="BF68" s="326">
        <f>AX68+BB68</f>
        <v>980225.54999999981</v>
      </c>
      <c r="BG68" s="326">
        <f>AY68+BC68</f>
        <v>1929583.638</v>
      </c>
      <c r="BH68" s="326">
        <f>AZ68+BD68</f>
        <v>1739372.7600000005</v>
      </c>
      <c r="BI68" s="326">
        <f>BA68+BE68</f>
        <v>0</v>
      </c>
      <c r="BJ68" s="326">
        <f t="shared" si="108"/>
        <v>4649181.9480000008</v>
      </c>
      <c r="BK68" s="337">
        <f>IF($H$2=1,AT68,IF($H$2=2,SUM(AT68:AU68),IF($H$2=3,SUM(AT68:AV68),SUM(AT68:AW68))))</f>
        <v>7244000</v>
      </c>
      <c r="BL68" s="337">
        <f>SUM(AT68:AW68)</f>
        <v>7244000</v>
      </c>
      <c r="BM68" s="338">
        <f>IFERROR(ROUND(BJ68/BK68,4),0)</f>
        <v>0.64180000000000004</v>
      </c>
      <c r="BN68" s="336">
        <f t="shared" ca="1" si="6"/>
        <v>0</v>
      </c>
      <c r="BO68" s="339">
        <f t="shared" ca="1" si="7"/>
        <v>0</v>
      </c>
      <c r="BP68" s="340" t="str">
        <f t="shared" si="8"/>
        <v>Uncapped</v>
      </c>
      <c r="BQ68" s="337">
        <f t="shared" ca="1" si="9"/>
        <v>0</v>
      </c>
      <c r="BR68" s="326" t="s">
        <v>698</v>
      </c>
      <c r="BS68" s="341">
        <v>0.3</v>
      </c>
      <c r="BT68" s="326" t="s">
        <v>217</v>
      </c>
      <c r="BU68" s="335" t="s">
        <v>210</v>
      </c>
      <c r="BV68" s="326">
        <v>2290500</v>
      </c>
      <c r="BW68" s="326">
        <v>6357500</v>
      </c>
      <c r="BX68" s="326">
        <v>6414100</v>
      </c>
      <c r="BY68" s="326">
        <v>5480500</v>
      </c>
      <c r="BZ68" s="326">
        <v>2107692.6592999995</v>
      </c>
      <c r="CA68" s="326">
        <v>6356372.2520000022</v>
      </c>
      <c r="CB68" s="326">
        <v>5350669.9079999989</v>
      </c>
      <c r="CC68" s="326"/>
      <c r="CD68" s="326"/>
      <c r="CE68" s="326"/>
      <c r="CF68" s="326"/>
      <c r="CG68" s="326"/>
      <c r="CH68" s="326">
        <f>BZ68+CD68</f>
        <v>2107692.6592999995</v>
      </c>
      <c r="CI68" s="326">
        <f>CA68+CE68</f>
        <v>6356372.2520000022</v>
      </c>
      <c r="CJ68" s="342">
        <f>CB68+CF68</f>
        <v>5350669.9079999989</v>
      </c>
      <c r="CK68" s="326">
        <f>CC68+CG68</f>
        <v>0</v>
      </c>
      <c r="CL68" s="326">
        <f t="shared" si="10"/>
        <v>13814734.8193</v>
      </c>
      <c r="CM68" s="326">
        <f>IF($H$2=1,BV68,IF($H$2=2,SUM(BV68:BW68),IF($H$2=3,SUM(BV68:BX68),SUM(BV68:BY68))))</f>
        <v>20542600</v>
      </c>
      <c r="CN68" s="326">
        <f>SUM(BV68:BY68)</f>
        <v>20542600</v>
      </c>
      <c r="CO68" s="338">
        <f>IFERROR(ROUND(CL68/CM68,4),0)</f>
        <v>0.67249999999999999</v>
      </c>
      <c r="CP68" s="336">
        <f ca="1">IF(OR(BR68="MBO",BR68="10% Realized Price"),CO68,SUMPRODUCT(Lower_Payout*(Curve=BT68)*(Lower_Attain&lt;=CO68)*(Upper_Attain&gt;CO68))+(CO68-SUMPRODUCT(Lower_Attain*(Curve=BT68)*(Lower_Attain&lt;=CO68)*(Upper_Attain&gt;CO68)))*SUMPRODUCT(Slope*(Curve=BT68)*(Lower_Attain&lt;=CO68)*(Upper_Attain&gt;CO68)))</f>
        <v>0</v>
      </c>
      <c r="CQ68" s="337">
        <f t="shared" ca="1" si="12"/>
        <v>0</v>
      </c>
      <c r="CR68" s="340" t="str">
        <f t="shared" si="53"/>
        <v>Uncapped</v>
      </c>
      <c r="CS68" s="337">
        <f t="shared" ca="1" si="13"/>
        <v>0</v>
      </c>
      <c r="CT68" s="326" t="s">
        <v>681</v>
      </c>
      <c r="CU68" s="336">
        <v>0.2</v>
      </c>
      <c r="CV68" s="326" t="s">
        <v>703</v>
      </c>
      <c r="CW68" s="326" t="s">
        <v>210</v>
      </c>
      <c r="CX68" s="326">
        <v>12667084.918482166</v>
      </c>
      <c r="CY68" s="326">
        <v>13178645.488737401</v>
      </c>
      <c r="CZ68" s="326">
        <v>12190341.596061932</v>
      </c>
      <c r="DA68" s="326">
        <v>12342000.7336083</v>
      </c>
      <c r="DB68" s="326">
        <v>14536882.36749677</v>
      </c>
      <c r="DC68" s="326">
        <v>10749156.798470002</v>
      </c>
      <c r="DD68" s="326">
        <v>10536844.709400002</v>
      </c>
      <c r="DE68" s="326"/>
      <c r="DF68" s="326"/>
      <c r="DG68" s="326"/>
      <c r="DH68" s="326"/>
      <c r="DI68" s="326"/>
      <c r="DJ68" s="326">
        <f>DB68+DF68</f>
        <v>14536882.36749677</v>
      </c>
      <c r="DK68" s="326">
        <f>DC68+DG68</f>
        <v>10749156.798470002</v>
      </c>
      <c r="DL68" s="326">
        <f>DD68+DH68</f>
        <v>10536844.709400002</v>
      </c>
      <c r="DM68" s="326">
        <f>DE68+DI68</f>
        <v>0</v>
      </c>
      <c r="DN68" s="326">
        <f t="shared" si="84"/>
        <v>35822883.875366777</v>
      </c>
      <c r="DO68" s="326">
        <f>IF($H$2=1,CX68,IF($H$2=2,SUM(CX68:CY68),IF($H$2=3,SUM(CX68:CZ68),SUM(CX68:DA68))))</f>
        <v>50378072.736889794</v>
      </c>
      <c r="DP68" s="326">
        <f>SUM(CX68:DA68)</f>
        <v>50378072.736889794</v>
      </c>
      <c r="DQ68" s="338">
        <f>IFERROR(ROUND(DN68/DO68,4),0)</f>
        <v>0.71109999999999995</v>
      </c>
      <c r="DR68" s="336">
        <f t="shared" ca="1" si="15"/>
        <v>0</v>
      </c>
      <c r="DS68" s="337">
        <f t="shared" ca="1" si="16"/>
        <v>0</v>
      </c>
      <c r="DT68" s="340" t="str">
        <f t="shared" si="58"/>
        <v>Uncapped</v>
      </c>
      <c r="DU68" s="337">
        <f t="shared" ca="1" si="17"/>
        <v>0</v>
      </c>
      <c r="DV68" s="326"/>
      <c r="DW68" s="336">
        <v>0</v>
      </c>
      <c r="DX68" s="326"/>
      <c r="DY68" s="326"/>
      <c r="DZ68" s="326">
        <v>0</v>
      </c>
      <c r="EA68" s="326">
        <v>0</v>
      </c>
      <c r="EB68" s="326">
        <v>0</v>
      </c>
      <c r="EC68" s="326">
        <v>0</v>
      </c>
      <c r="ED68" s="326">
        <v>0</v>
      </c>
      <c r="EE68" s="326">
        <v>0</v>
      </c>
      <c r="EF68" s="326"/>
      <c r="EG68" s="326"/>
      <c r="EH68" s="326"/>
      <c r="EI68" s="326"/>
      <c r="EJ68" s="326"/>
      <c r="EK68" s="326"/>
      <c r="EL68" s="326">
        <f>ED68+EH68</f>
        <v>0</v>
      </c>
      <c r="EM68" s="326">
        <f>EE68+EI68</f>
        <v>0</v>
      </c>
      <c r="EN68" s="326">
        <f>EF68+EJ68</f>
        <v>0</v>
      </c>
      <c r="EO68" s="326">
        <f>EG68+EK68</f>
        <v>0</v>
      </c>
      <c r="EP68" s="326">
        <f t="shared" si="18"/>
        <v>0</v>
      </c>
      <c r="EQ68" s="326">
        <f>IF($H$2=1,DZ68,IF($H$2=2,SUM(DZ68:EA68),IF($H$2=3,SUM(DZ68:EB68),SUM(DZ68:EC68))))</f>
        <v>0</v>
      </c>
      <c r="ER68" s="326">
        <f>SUM(DZ68:EC68)</f>
        <v>0</v>
      </c>
      <c r="ES68" s="338">
        <f>IFERROR(ROUND(EP68/EQ68,4),0)</f>
        <v>0</v>
      </c>
      <c r="ET68" s="336">
        <f ca="1">IF(OR(DV68="MBO",DV68="10% Realized Price"),ES68,SUMPRODUCT(Lower_Payout*(Curve=DX68)*(Lower_Attain&lt;=ES68)*(Upper_Attain&gt;ES68))+(ES68-SUMPRODUCT(Lower_Attain*(Curve=DX68)*(Lower_Attain&lt;=ES68)*(Upper_Attain&gt;ES68)))*SUMPRODUCT(Slope*(Curve=DX68)*(Lower_Attain&lt;=ES68)*(Upper_Attain&gt;ES68)))</f>
        <v>0</v>
      </c>
      <c r="EU68" s="337">
        <f t="shared" ca="1" si="20"/>
        <v>0</v>
      </c>
      <c r="EV68" s="340" t="str">
        <f t="shared" si="21"/>
        <v>Uncapped</v>
      </c>
      <c r="EW68" s="337">
        <f t="shared" ca="1" si="22"/>
        <v>0</v>
      </c>
      <c r="EX68" s="333">
        <f t="shared" ca="1" si="23"/>
        <v>0</v>
      </c>
      <c r="EY68" s="326">
        <f ca="1">MAX(EX68,GP68)</f>
        <v>2000</v>
      </c>
      <c r="EZ68" s="337"/>
      <c r="FA68" s="337"/>
      <c r="FB68" s="337"/>
      <c r="FC68" s="337">
        <v>0</v>
      </c>
      <c r="FD68" s="337">
        <f>IF($H$2=1,EZ68,IF($H$2=2,SUM(EZ68:FA68),IF($H$2=3,SUM(EZ68:FB68),SUM(EZ68:FC68))))</f>
        <v>0</v>
      </c>
      <c r="FE68" s="326">
        <f t="shared" si="87"/>
        <v>0</v>
      </c>
      <c r="FF68" s="337">
        <v>0</v>
      </c>
      <c r="FG68" s="337">
        <v>0</v>
      </c>
      <c r="FH68" s="337">
        <v>0</v>
      </c>
      <c r="FI68" s="337">
        <v>0</v>
      </c>
      <c r="FJ68" s="337">
        <f>IF($H$2=1,FF68,IF($H$2=2,SUM(FF68:FG68),IF($H$2=3,SUM(FF68:FH68),SUM(FF68:FI68))))</f>
        <v>0</v>
      </c>
      <c r="FK68" s="326">
        <f t="shared" si="88"/>
        <v>0</v>
      </c>
      <c r="FL68" s="326"/>
      <c r="FM68" s="333"/>
      <c r="FN68" s="333"/>
      <c r="FO68" s="333"/>
      <c r="FP68" s="337">
        <f>SUM(FL68:FO68)</f>
        <v>0</v>
      </c>
      <c r="FQ68" s="337"/>
      <c r="FR68" s="337"/>
      <c r="FS68" s="337"/>
      <c r="FT68" s="326">
        <f t="shared" si="64"/>
        <v>0</v>
      </c>
      <c r="FU68" s="366">
        <f t="shared" ca="1" si="66"/>
        <v>2000</v>
      </c>
      <c r="FV68" s="343">
        <f t="shared" ca="1" si="65"/>
        <v>2000</v>
      </c>
      <c r="FW68" s="326">
        <f>FF68</f>
        <v>0</v>
      </c>
      <c r="FX68" s="326">
        <f>FG68</f>
        <v>0</v>
      </c>
      <c r="FY68" s="326">
        <f>FH68</f>
        <v>0</v>
      </c>
      <c r="FZ68" s="326">
        <f>FI68</f>
        <v>0</v>
      </c>
      <c r="GA68" s="326">
        <f>SUM(FW68:FZ68)</f>
        <v>0</v>
      </c>
      <c r="GB68" s="326">
        <f>EZ68</f>
        <v>0</v>
      </c>
      <c r="GC68" s="326">
        <f>FA68</f>
        <v>0</v>
      </c>
      <c r="GD68" s="326">
        <f>FB68</f>
        <v>0</v>
      </c>
      <c r="GE68" s="326">
        <f>FC68</f>
        <v>0</v>
      </c>
      <c r="GF68" s="326">
        <f t="shared" si="72"/>
        <v>0</v>
      </c>
      <c r="GG68" s="326">
        <f t="shared" si="72"/>
        <v>0</v>
      </c>
      <c r="GH68" s="326">
        <f t="shared" si="72"/>
        <v>0</v>
      </c>
      <c r="GI68" s="326">
        <f t="shared" si="72"/>
        <v>0</v>
      </c>
      <c r="GJ68" s="337">
        <f>IF($H$2=1,GF68,IF($H$2=2,SUM(GF68:GG68),IF($H$2=3,SUM(GF68:GH68),SUM(GF68:GI68))))</f>
        <v>0</v>
      </c>
      <c r="GK68" s="326">
        <f>SUM(GF68:GI68)</f>
        <v>0</v>
      </c>
      <c r="GL68" s="326">
        <f t="shared" si="35"/>
        <v>2000</v>
      </c>
      <c r="GM68" s="326">
        <f t="shared" si="36"/>
        <v>0</v>
      </c>
      <c r="GN68" s="326">
        <f t="shared" si="37"/>
        <v>0</v>
      </c>
      <c r="GO68" s="326">
        <f t="shared" si="38"/>
        <v>0</v>
      </c>
      <c r="GP68" s="326">
        <f>IF($H$2=1,GL68,IF($H$2=2,SUM(GL68:GM68),IF($H$2=3,SUM(GL68:GN68),IF($H$2=4,SUM(GL68:GO68)))))</f>
        <v>2000</v>
      </c>
      <c r="GQ68" s="326">
        <f>SUM(GL68:GO68)</f>
        <v>2000</v>
      </c>
      <c r="GR68" s="485"/>
      <c r="GS68" s="344">
        <f t="shared" si="109"/>
        <v>54286800.642666779</v>
      </c>
      <c r="GT68" s="344">
        <f t="shared" si="109"/>
        <v>78164672.736889794</v>
      </c>
      <c r="GU68" s="345">
        <f>IFERROR(GS68/GT68,"")</f>
        <v>0.694518364138767</v>
      </c>
      <c r="GV68" s="346">
        <f t="shared" ca="1" si="43"/>
        <v>0</v>
      </c>
      <c r="GW68" s="346">
        <v>0</v>
      </c>
      <c r="GX68" s="347">
        <f t="shared" ca="1" si="44"/>
        <v>0</v>
      </c>
      <c r="GY68" s="100"/>
    </row>
    <row r="69" spans="1:207" s="152" customFormat="1" ht="15" hidden="1" customHeight="1">
      <c r="A69" s="129"/>
      <c r="B69" s="130"/>
      <c r="C69" s="130"/>
      <c r="D69" s="131"/>
      <c r="E69" s="131" t="s">
        <v>381</v>
      </c>
      <c r="F69" s="169" t="s">
        <v>382</v>
      </c>
      <c r="G69" s="131" t="s">
        <v>226</v>
      </c>
      <c r="H69" s="135" t="s">
        <v>383</v>
      </c>
      <c r="I69" s="133" t="s">
        <v>384</v>
      </c>
      <c r="J69" s="131" t="s">
        <v>385</v>
      </c>
      <c r="K69" s="131" t="s">
        <v>791</v>
      </c>
      <c r="L69" s="131" t="s">
        <v>209</v>
      </c>
      <c r="M69" s="131" t="s">
        <v>209</v>
      </c>
      <c r="N69" s="134"/>
      <c r="O69" s="155">
        <v>41122</v>
      </c>
      <c r="P69" s="155">
        <v>43466</v>
      </c>
      <c r="Q69" s="321">
        <f t="shared" si="0"/>
        <v>0</v>
      </c>
      <c r="R69" s="109">
        <f>IF((P69-VLOOKUP(Q69,month!$A$1:$C$13,3,0))&lt;0,Q69,Q69+1)</f>
        <v>0</v>
      </c>
      <c r="S69" s="108"/>
      <c r="T69" s="153" t="str">
        <f t="shared" si="67"/>
        <v/>
      </c>
      <c r="U69" s="134"/>
      <c r="V69" s="134"/>
      <c r="W69" s="134"/>
      <c r="X69" s="134"/>
      <c r="Y69" s="383"/>
      <c r="Z69" s="383" t="s">
        <v>545</v>
      </c>
      <c r="AA69" s="371">
        <v>1000</v>
      </c>
      <c r="AB69" s="371">
        <v>1000</v>
      </c>
      <c r="AC69" s="371">
        <v>1000</v>
      </c>
      <c r="AD69" s="371">
        <v>1000</v>
      </c>
      <c r="AE69" s="371">
        <v>1000</v>
      </c>
      <c r="AF69" s="371">
        <v>1000</v>
      </c>
      <c r="AG69" s="371">
        <v>1000</v>
      </c>
      <c r="AH69" s="371">
        <v>1000</v>
      </c>
      <c r="AI69" s="371">
        <v>1000</v>
      </c>
      <c r="AJ69" s="371">
        <v>1000</v>
      </c>
      <c r="AK69" s="371">
        <v>1000</v>
      </c>
      <c r="AL69" s="371">
        <v>1000</v>
      </c>
      <c r="AM69" s="384">
        <f t="shared" si="92"/>
        <v>12000</v>
      </c>
      <c r="AN69" s="384">
        <f t="shared" si="3"/>
        <v>12000</v>
      </c>
      <c r="AO69" s="385">
        <f t="shared" ref="AO69:AO74" si="111">AI69</f>
        <v>1000</v>
      </c>
      <c r="AP69" s="497" t="s">
        <v>386</v>
      </c>
      <c r="AQ69" s="156">
        <v>0.3</v>
      </c>
      <c r="AR69" s="157" t="s">
        <v>211</v>
      </c>
      <c r="AS69" s="146" t="s">
        <v>210</v>
      </c>
      <c r="AT69" s="136">
        <v>19653413.080999997</v>
      </c>
      <c r="AU69" s="136">
        <v>22848780.235100001</v>
      </c>
      <c r="AV69" s="136">
        <v>22618799.574099999</v>
      </c>
      <c r="AW69" s="136">
        <v>27098464.121500004</v>
      </c>
      <c r="AX69" s="138">
        <v>19427532.107000571</v>
      </c>
      <c r="AY69" s="138">
        <v>22270538.357580002</v>
      </c>
      <c r="AZ69" s="138">
        <v>22879083.486580007</v>
      </c>
      <c r="BA69" s="138"/>
      <c r="BB69" s="138"/>
      <c r="BC69" s="138"/>
      <c r="BD69" s="138"/>
      <c r="BE69" s="138"/>
      <c r="BF69" s="139">
        <f t="shared" si="102"/>
        <v>19427532.107000571</v>
      </c>
      <c r="BG69" s="139">
        <f t="shared" si="102"/>
        <v>22270538.357580002</v>
      </c>
      <c r="BH69" s="139">
        <f t="shared" si="102"/>
        <v>22879083.486580007</v>
      </c>
      <c r="BI69" s="139">
        <f t="shared" si="102"/>
        <v>0</v>
      </c>
      <c r="BJ69" s="139">
        <f t="shared" si="108"/>
        <v>64577153.95116058</v>
      </c>
      <c r="BK69" s="140">
        <f t="shared" si="94"/>
        <v>92219457.011700004</v>
      </c>
      <c r="BL69" s="140">
        <f t="shared" si="47"/>
        <v>92219457.011700004</v>
      </c>
      <c r="BM69" s="141">
        <f t="shared" si="48"/>
        <v>0.70030000000000003</v>
      </c>
      <c r="BN69" s="142">
        <f t="shared" ca="1" si="6"/>
        <v>0</v>
      </c>
      <c r="BO69" s="143">
        <f t="shared" ca="1" si="7"/>
        <v>0</v>
      </c>
      <c r="BP69" s="144" t="str">
        <f t="shared" si="8"/>
        <v>Uncapped</v>
      </c>
      <c r="BQ69" s="140">
        <f t="shared" ca="1" si="9"/>
        <v>0</v>
      </c>
      <c r="BR69" s="138" t="s">
        <v>701</v>
      </c>
      <c r="BS69" s="158">
        <v>0.25</v>
      </c>
      <c r="BT69" s="138" t="s">
        <v>211</v>
      </c>
      <c r="BU69" s="157" t="s">
        <v>210</v>
      </c>
      <c r="BV69" s="138">
        <v>13631298.3753272</v>
      </c>
      <c r="BW69" s="138">
        <v>15463517.626933601</v>
      </c>
      <c r="BX69" s="138">
        <v>15159650.061351301</v>
      </c>
      <c r="BY69" s="138">
        <v>16523055.704212198</v>
      </c>
      <c r="BZ69" s="138">
        <v>13485327.436090879</v>
      </c>
      <c r="CA69" s="138">
        <v>13198690.521689992</v>
      </c>
      <c r="CB69" s="138">
        <v>13923765.34778</v>
      </c>
      <c r="CC69" s="138"/>
      <c r="CD69" s="138"/>
      <c r="CE69" s="138"/>
      <c r="CF69" s="138"/>
      <c r="CG69" s="138"/>
      <c r="CH69" s="139">
        <f t="shared" si="103"/>
        <v>13485327.436090879</v>
      </c>
      <c r="CI69" s="139">
        <f t="shared" si="103"/>
        <v>13198690.521689992</v>
      </c>
      <c r="CJ69" s="145">
        <f t="shared" si="103"/>
        <v>13923765.34778</v>
      </c>
      <c r="CK69" s="139">
        <f t="shared" si="103"/>
        <v>0</v>
      </c>
      <c r="CL69" s="139">
        <f t="shared" si="10"/>
        <v>40607783.305560872</v>
      </c>
      <c r="CM69" s="139">
        <f t="shared" si="95"/>
        <v>60777521.7678243</v>
      </c>
      <c r="CN69" s="139">
        <f t="shared" si="50"/>
        <v>60777521.7678243</v>
      </c>
      <c r="CO69" s="141">
        <f t="shared" si="51"/>
        <v>0.66810000000000003</v>
      </c>
      <c r="CP69" s="142">
        <f t="shared" ca="1" si="52"/>
        <v>0</v>
      </c>
      <c r="CQ69" s="140">
        <f t="shared" ca="1" si="12"/>
        <v>0</v>
      </c>
      <c r="CR69" s="144" t="str">
        <f t="shared" si="53"/>
        <v>Uncapped</v>
      </c>
      <c r="CS69" s="140">
        <f t="shared" ca="1" si="13"/>
        <v>0</v>
      </c>
      <c r="CT69" s="138" t="s">
        <v>699</v>
      </c>
      <c r="CU69" s="146">
        <v>0.25</v>
      </c>
      <c r="CV69" s="138" t="s">
        <v>211</v>
      </c>
      <c r="CW69" s="138" t="s">
        <v>210</v>
      </c>
      <c r="CX69" s="138">
        <v>10883127.94218261</v>
      </c>
      <c r="CY69" s="138">
        <v>15381138.295401935</v>
      </c>
      <c r="CZ69" s="138">
        <v>14095957.140695527</v>
      </c>
      <c r="DA69" s="138">
        <v>14737520.473807698</v>
      </c>
      <c r="DB69" s="138">
        <v>11219107.631192379</v>
      </c>
      <c r="DC69" s="138">
        <v>14714489.885539999</v>
      </c>
      <c r="DD69" s="138">
        <v>14342372.044679999</v>
      </c>
      <c r="DE69" s="138"/>
      <c r="DF69" s="138"/>
      <c r="DG69" s="138"/>
      <c r="DH69" s="138"/>
      <c r="DI69" s="138"/>
      <c r="DJ69" s="139">
        <f t="shared" si="104"/>
        <v>11219107.631192379</v>
      </c>
      <c r="DK69" s="139">
        <f t="shared" si="104"/>
        <v>14714489.885539999</v>
      </c>
      <c r="DL69" s="139">
        <f t="shared" si="104"/>
        <v>14342372.044679999</v>
      </c>
      <c r="DM69" s="139">
        <f t="shared" si="104"/>
        <v>0</v>
      </c>
      <c r="DN69" s="139">
        <f t="shared" si="84"/>
        <v>40275969.561412379</v>
      </c>
      <c r="DO69" s="139">
        <f t="shared" si="96"/>
        <v>55097743.852087773</v>
      </c>
      <c r="DP69" s="139">
        <f t="shared" si="105"/>
        <v>55097743.852087773</v>
      </c>
      <c r="DQ69" s="141">
        <f t="shared" si="57"/>
        <v>0.73099999999999998</v>
      </c>
      <c r="DR69" s="142">
        <f t="shared" ca="1" si="15"/>
        <v>0</v>
      </c>
      <c r="DS69" s="140">
        <f t="shared" ca="1" si="16"/>
        <v>0</v>
      </c>
      <c r="DT69" s="144" t="str">
        <f t="shared" si="58"/>
        <v>Uncapped</v>
      </c>
      <c r="DU69" s="140">
        <f t="shared" ca="1" si="17"/>
        <v>0</v>
      </c>
      <c r="DV69" s="138" t="s">
        <v>728</v>
      </c>
      <c r="DW69" s="146">
        <v>0.2</v>
      </c>
      <c r="DX69" s="146" t="s">
        <v>217</v>
      </c>
      <c r="DY69" s="138" t="s">
        <v>210</v>
      </c>
      <c r="DZ69" s="138">
        <v>61881722.047854595</v>
      </c>
      <c r="EA69" s="138">
        <v>72180793.063260496</v>
      </c>
      <c r="EB69" s="138">
        <v>69179032.514420599</v>
      </c>
      <c r="EC69" s="138">
        <v>76323964.015026003</v>
      </c>
      <c r="ED69" s="138">
        <v>63657388.730680585</v>
      </c>
      <c r="EE69" s="138">
        <v>65995192.891159989</v>
      </c>
      <c r="EF69" s="138">
        <v>66410604.684560001</v>
      </c>
      <c r="EG69" s="138"/>
      <c r="EH69" s="138"/>
      <c r="EI69" s="138"/>
      <c r="EJ69" s="138"/>
      <c r="EK69" s="138"/>
      <c r="EL69" s="139">
        <f t="shared" si="106"/>
        <v>63657388.730680585</v>
      </c>
      <c r="EM69" s="139">
        <f t="shared" si="106"/>
        <v>65995192.891159989</v>
      </c>
      <c r="EN69" s="139">
        <f t="shared" si="106"/>
        <v>66410604.684560001</v>
      </c>
      <c r="EO69" s="139">
        <f t="shared" si="106"/>
        <v>0</v>
      </c>
      <c r="EP69" s="139">
        <f t="shared" si="18"/>
        <v>196063186.30640057</v>
      </c>
      <c r="EQ69" s="139">
        <f t="shared" si="97"/>
        <v>279565511.6405617</v>
      </c>
      <c r="ER69" s="139">
        <f t="shared" si="60"/>
        <v>279565511.6405617</v>
      </c>
      <c r="ES69" s="141">
        <f t="shared" si="61"/>
        <v>0.70130000000000003</v>
      </c>
      <c r="ET69" s="142">
        <f t="shared" ca="1" si="62"/>
        <v>0</v>
      </c>
      <c r="EU69" s="140">
        <f t="shared" ca="1" si="20"/>
        <v>0</v>
      </c>
      <c r="EV69" s="144" t="str">
        <f t="shared" si="21"/>
        <v>Uncapped</v>
      </c>
      <c r="EW69" s="140">
        <f t="shared" ca="1" si="22"/>
        <v>0</v>
      </c>
      <c r="EX69" s="137">
        <f t="shared" ca="1" si="23"/>
        <v>0</v>
      </c>
      <c r="EY69" s="139">
        <f t="shared" ca="1" si="63"/>
        <v>0</v>
      </c>
      <c r="EZ69" s="140">
        <v>0</v>
      </c>
      <c r="FA69" s="140"/>
      <c r="FB69" s="140"/>
      <c r="FC69" s="140">
        <v>0</v>
      </c>
      <c r="FD69" s="140">
        <f t="shared" si="98"/>
        <v>0</v>
      </c>
      <c r="FE69" s="139">
        <f t="shared" si="87"/>
        <v>0</v>
      </c>
      <c r="FF69" s="140">
        <v>0</v>
      </c>
      <c r="FG69" s="140">
        <v>0</v>
      </c>
      <c r="FH69" s="140">
        <v>0</v>
      </c>
      <c r="FI69" s="140">
        <v>0</v>
      </c>
      <c r="FJ69" s="140">
        <f t="shared" si="99"/>
        <v>0</v>
      </c>
      <c r="FK69" s="139">
        <f t="shared" si="88"/>
        <v>0</v>
      </c>
      <c r="FL69" s="138"/>
      <c r="FM69" s="136"/>
      <c r="FN69" s="136"/>
      <c r="FO69" s="136"/>
      <c r="FP69" s="140">
        <f t="shared" si="28"/>
        <v>0</v>
      </c>
      <c r="FQ69" s="140"/>
      <c r="FR69" s="140"/>
      <c r="FS69" s="140"/>
      <c r="FT69" s="139">
        <f t="shared" si="64"/>
        <v>0</v>
      </c>
      <c r="FU69" s="365">
        <f t="shared" ca="1" si="66"/>
        <v>0</v>
      </c>
      <c r="FV69" s="147">
        <f t="shared" ca="1" si="65"/>
        <v>0</v>
      </c>
      <c r="FW69" s="139">
        <f t="shared" si="70"/>
        <v>0</v>
      </c>
      <c r="FX69" s="139">
        <f t="shared" si="70"/>
        <v>0</v>
      </c>
      <c r="FY69" s="139">
        <f t="shared" si="70"/>
        <v>0</v>
      </c>
      <c r="FZ69" s="139">
        <f t="shared" si="70"/>
        <v>0</v>
      </c>
      <c r="GA69" s="139">
        <f t="shared" si="30"/>
        <v>0</v>
      </c>
      <c r="GB69" s="139">
        <f t="shared" si="71"/>
        <v>0</v>
      </c>
      <c r="GC69" s="139">
        <f t="shared" si="71"/>
        <v>0</v>
      </c>
      <c r="GD69" s="139">
        <f t="shared" si="71"/>
        <v>0</v>
      </c>
      <c r="GE69" s="139">
        <f t="shared" si="71"/>
        <v>0</v>
      </c>
      <c r="GF69" s="139">
        <f t="shared" si="72"/>
        <v>0</v>
      </c>
      <c r="GG69" s="139">
        <f t="shared" si="72"/>
        <v>0</v>
      </c>
      <c r="GH69" s="139">
        <f t="shared" si="72"/>
        <v>0</v>
      </c>
      <c r="GI69" s="139">
        <f t="shared" si="72"/>
        <v>0</v>
      </c>
      <c r="GJ69" s="140">
        <f t="shared" si="100"/>
        <v>0</v>
      </c>
      <c r="GK69" s="139">
        <f t="shared" si="34"/>
        <v>0</v>
      </c>
      <c r="GL69" s="139">
        <f t="shared" si="35"/>
        <v>0</v>
      </c>
      <c r="GM69" s="139">
        <f t="shared" si="36"/>
        <v>0</v>
      </c>
      <c r="GN69" s="139">
        <f t="shared" si="37"/>
        <v>0</v>
      </c>
      <c r="GO69" s="139">
        <f t="shared" si="38"/>
        <v>0</v>
      </c>
      <c r="GP69" s="139">
        <f t="shared" si="101"/>
        <v>0</v>
      </c>
      <c r="GQ69" s="139">
        <f t="shared" si="40"/>
        <v>0</v>
      </c>
      <c r="GR69" s="409"/>
      <c r="GS69" s="148">
        <f t="shared" si="109"/>
        <v>341524093.12453437</v>
      </c>
      <c r="GT69" s="148">
        <f t="shared" si="109"/>
        <v>487660234.27217376</v>
      </c>
      <c r="GU69" s="149">
        <f t="shared" si="42"/>
        <v>0.70033205318505087</v>
      </c>
      <c r="GV69" s="150">
        <f t="shared" ca="1" si="43"/>
        <v>0</v>
      </c>
      <c r="GW69" s="150">
        <v>0</v>
      </c>
      <c r="GX69" s="151">
        <f t="shared" ca="1" si="44"/>
        <v>0</v>
      </c>
      <c r="GY69" s="100"/>
    </row>
    <row r="70" spans="1:207" s="165" customFormat="1" ht="15" customHeight="1">
      <c r="A70" s="102"/>
      <c r="B70" s="103"/>
      <c r="C70" s="103"/>
      <c r="D70" s="104"/>
      <c r="E70" s="113" t="s">
        <v>388</v>
      </c>
      <c r="F70" s="113" t="s">
        <v>389</v>
      </c>
      <c r="G70" s="104" t="s">
        <v>226</v>
      </c>
      <c r="H70" s="127" t="s">
        <v>390</v>
      </c>
      <c r="I70" s="106" t="s">
        <v>391</v>
      </c>
      <c r="J70" s="104" t="s">
        <v>207</v>
      </c>
      <c r="K70" s="104" t="s">
        <v>218</v>
      </c>
      <c r="L70" s="104" t="s">
        <v>213</v>
      </c>
      <c r="M70" s="104" t="s">
        <v>388</v>
      </c>
      <c r="N70" s="107"/>
      <c r="O70" s="108">
        <v>41596</v>
      </c>
      <c r="P70" s="108">
        <v>43191</v>
      </c>
      <c r="Q70" s="322">
        <f t="shared" ref="Q70:Q133" si="112">IF(P70&gt;$Q$2,MONTH(P70),0)</f>
        <v>0</v>
      </c>
      <c r="R70" s="109">
        <f>IF((P70-VLOOKUP(Q70,month!$A$1:$C$13,3,0))&lt;0,Q70,Q70+1)</f>
        <v>0</v>
      </c>
      <c r="S70" s="108"/>
      <c r="T70" s="127" t="str">
        <f t="shared" si="67"/>
        <v/>
      </c>
      <c r="U70" s="107"/>
      <c r="V70" s="107"/>
      <c r="W70" s="107"/>
      <c r="X70" s="107"/>
      <c r="Y70" s="386"/>
      <c r="Z70" s="386" t="s">
        <v>545</v>
      </c>
      <c r="AA70" s="387">
        <v>1000</v>
      </c>
      <c r="AB70" s="387">
        <v>1000</v>
      </c>
      <c r="AC70" s="387">
        <v>1000</v>
      </c>
      <c r="AD70" s="387">
        <v>1000</v>
      </c>
      <c r="AE70" s="387">
        <v>1000</v>
      </c>
      <c r="AF70" s="387">
        <v>1000</v>
      </c>
      <c r="AG70" s="387">
        <v>1000</v>
      </c>
      <c r="AH70" s="387">
        <v>1000</v>
      </c>
      <c r="AI70" s="387">
        <v>1000</v>
      </c>
      <c r="AJ70" s="387">
        <v>1000</v>
      </c>
      <c r="AK70" s="387">
        <v>1000</v>
      </c>
      <c r="AL70" s="387">
        <v>1000</v>
      </c>
      <c r="AM70" s="388">
        <f t="shared" si="92"/>
        <v>12000</v>
      </c>
      <c r="AN70" s="388">
        <f t="shared" ref="AN70:AN133" si="113">SUM(AA70:AL70)+INDEX(AA70:AL70,,MATCH($H$3,$AA$5:$AL$5,0))*(12-COUNTA(AA70:AL70))</f>
        <v>12000</v>
      </c>
      <c r="AO70" s="389">
        <f t="shared" si="111"/>
        <v>1000</v>
      </c>
      <c r="AP70" s="498" t="s">
        <v>670</v>
      </c>
      <c r="AQ70" s="159">
        <v>0.4</v>
      </c>
      <c r="AR70" s="160" t="s">
        <v>392</v>
      </c>
      <c r="AS70" s="119" t="s">
        <v>210</v>
      </c>
      <c r="AT70" s="111">
        <v>882717.25888091233</v>
      </c>
      <c r="AU70" s="111">
        <v>2223533.5569833126</v>
      </c>
      <c r="AV70" s="111">
        <v>1631616.9922289676</v>
      </c>
      <c r="AW70" s="111">
        <v>1705791.7755207832</v>
      </c>
      <c r="AX70" s="113">
        <v>1042804.5000000001</v>
      </c>
      <c r="AY70" s="113">
        <v>2566066.9216999998</v>
      </c>
      <c r="AZ70" s="113">
        <v>1910432.4055000001</v>
      </c>
      <c r="BA70" s="113">
        <v>2695887.9352000006</v>
      </c>
      <c r="BB70" s="113"/>
      <c r="BC70" s="113"/>
      <c r="BD70" s="113"/>
      <c r="BE70" s="113"/>
      <c r="BF70" s="114">
        <f t="shared" si="102"/>
        <v>1042804.5000000001</v>
      </c>
      <c r="BG70" s="114">
        <f t="shared" si="102"/>
        <v>2566066.9216999998</v>
      </c>
      <c r="BH70" s="114">
        <f t="shared" si="102"/>
        <v>1910432.4055000001</v>
      </c>
      <c r="BI70" s="114">
        <f t="shared" si="102"/>
        <v>2695887.9352000006</v>
      </c>
      <c r="BJ70" s="114">
        <f t="shared" si="108"/>
        <v>8215191.7624000013</v>
      </c>
      <c r="BK70" s="115">
        <f t="shared" si="94"/>
        <v>6443659.583613975</v>
      </c>
      <c r="BL70" s="115">
        <f t="shared" si="47"/>
        <v>6443659.583613975</v>
      </c>
      <c r="BM70" s="116">
        <f t="shared" si="48"/>
        <v>1.2748999999999999</v>
      </c>
      <c r="BN70" s="126">
        <f t="shared" ref="BN70:BN103" ca="1" si="114">IF(OR(AP70="MBO",AP70="10% Realized Price"),BM70,SUMPRODUCT(Lower_Payout*(Curve=AR70)*(Lower_Attain&lt;=BM70)*(Upper_Attain&gt;BM70))+(BM70-SUMPRODUCT(Lower_Attain*(Curve=AR70)*(Lower_Attain&lt;=BM70)*(Upper_Attain&gt;BM70)))*SUMPRODUCT(Slope*(Curve=AR70)*(Lower_Attain&lt;=BM70)*(Upper_Attain&gt;BM70)))</f>
        <v>0</v>
      </c>
      <c r="BO70" s="117">
        <f t="shared" ref="BO70:BO103" ca="1" si="115">IFERROR(AM70*AQ70*BN70,0)</f>
        <v>0</v>
      </c>
      <c r="BP70" s="118" t="str">
        <f t="shared" ref="BP70:BP103" si="116">IF($T70="Y","100%",IF($H$2=4,"Uncapped",IF(N70="Y","100%",IF($G70="AA","50%",IF($G70="SA","90%",IF($G70="APJ Regional-AA","50%",IF($G70="APJ Regional-SA","90%",75%)))))))</f>
        <v>Uncapped</v>
      </c>
      <c r="BQ70" s="115">
        <f t="shared" ref="BQ70:BQ133" ca="1" si="117">IF(BP70="Uncapped",BO70,IFERROR(AM70*AQ70*BP70,0))</f>
        <v>0</v>
      </c>
      <c r="BR70" s="113" t="s">
        <v>690</v>
      </c>
      <c r="BS70" s="159">
        <v>0.4</v>
      </c>
      <c r="BT70" s="160" t="s">
        <v>211</v>
      </c>
      <c r="BU70" s="160" t="s">
        <v>210</v>
      </c>
      <c r="BV70" s="113">
        <v>2308578.2481311583</v>
      </c>
      <c r="BW70" s="113">
        <v>2700139.1998245865</v>
      </c>
      <c r="BX70" s="113">
        <v>2769359.8264711248</v>
      </c>
      <c r="BY70" s="113">
        <v>3071602.6539425906</v>
      </c>
      <c r="BZ70" s="113">
        <v>2405079.7731999811</v>
      </c>
      <c r="CA70" s="113">
        <v>2563154.5458999714</v>
      </c>
      <c r="CB70" s="113">
        <v>2482902.07989995</v>
      </c>
      <c r="CC70" s="113">
        <v>2556027.9163999702</v>
      </c>
      <c r="CD70" s="113"/>
      <c r="CE70" s="113"/>
      <c r="CF70" s="113"/>
      <c r="CG70" s="113"/>
      <c r="CH70" s="114">
        <f t="shared" si="103"/>
        <v>2405079.7731999811</v>
      </c>
      <c r="CI70" s="114">
        <f t="shared" si="103"/>
        <v>2563154.5458999714</v>
      </c>
      <c r="CJ70" s="120">
        <f t="shared" si="103"/>
        <v>2482902.07989995</v>
      </c>
      <c r="CK70" s="114">
        <f t="shared" si="103"/>
        <v>2556027.9163999702</v>
      </c>
      <c r="CL70" s="114">
        <f t="shared" ref="CL70:CL124" si="118">IF($BB$3="After AR Adjustment",IF($H$2=1,CH70,IF($H$2=2,SUM(CH70:CI70),IF($H$2=3,SUM(CH70:CJ70),SUM(CH70:CK70)))),IF($H$2=1,BZ70,IF($H$2=2,SUM(BZ70:CA70),IF($H$2=3,SUM(BZ70:CB70),SUM(BZ70:CC70)))))</f>
        <v>10007164.315399872</v>
      </c>
      <c r="CM70" s="114">
        <f t="shared" si="95"/>
        <v>10849679.928369459</v>
      </c>
      <c r="CN70" s="114">
        <f t="shared" si="50"/>
        <v>10849679.928369459</v>
      </c>
      <c r="CO70" s="116">
        <f t="shared" si="51"/>
        <v>0.92230000000000001</v>
      </c>
      <c r="CP70" s="126">
        <f t="shared" ca="1" si="52"/>
        <v>0</v>
      </c>
      <c r="CQ70" s="115">
        <f t="shared" ref="CQ70:CQ133" ca="1" si="119">AM70*BS70*CP70</f>
        <v>0</v>
      </c>
      <c r="CR70" s="118" t="str">
        <f t="shared" si="53"/>
        <v>Uncapped</v>
      </c>
      <c r="CS70" s="115">
        <f t="shared" ref="CS70:CS133" ca="1" si="120">IF(CR70="Uncapped",CQ70,IFERROR(AM70*BS70*CR70,0))</f>
        <v>0</v>
      </c>
      <c r="CT70" s="113" t="s">
        <v>737</v>
      </c>
      <c r="CU70" s="119">
        <v>0.2</v>
      </c>
      <c r="CV70" s="113" t="s">
        <v>217</v>
      </c>
      <c r="CW70" s="113" t="s">
        <v>210</v>
      </c>
      <c r="CX70" s="113">
        <v>11953048.942182608</v>
      </c>
      <c r="CY70" s="113">
        <v>16757506.295401936</v>
      </c>
      <c r="CZ70" s="113">
        <v>15470532.140695527</v>
      </c>
      <c r="DA70" s="113">
        <v>16440443.473807694</v>
      </c>
      <c r="DB70" s="113">
        <v>12211557.946359999</v>
      </c>
      <c r="DC70" s="113">
        <v>15972657.057939999</v>
      </c>
      <c r="DD70" s="113">
        <v>15545756.2063</v>
      </c>
      <c r="DE70" s="113">
        <f>VLOOKUP($H70,[2]pivot!$V:$Z,$DE$2,FALSE)</f>
        <v>16137299.457686201</v>
      </c>
      <c r="DF70" s="113"/>
      <c r="DG70" s="113"/>
      <c r="DH70" s="113"/>
      <c r="DI70" s="113"/>
      <c r="DJ70" s="114">
        <f t="shared" si="104"/>
        <v>12211557.946359999</v>
      </c>
      <c r="DK70" s="114">
        <f t="shared" si="104"/>
        <v>15972657.057939999</v>
      </c>
      <c r="DL70" s="114">
        <f t="shared" si="104"/>
        <v>15545756.2063</v>
      </c>
      <c r="DM70" s="114">
        <f t="shared" si="104"/>
        <v>16137299.457686201</v>
      </c>
      <c r="DN70" s="114">
        <f t="shared" si="84"/>
        <v>59867270.668286197</v>
      </c>
      <c r="DO70" s="114">
        <f t="shared" si="96"/>
        <v>60621530.852087766</v>
      </c>
      <c r="DP70" s="114">
        <f t="shared" si="105"/>
        <v>60621530.852087766</v>
      </c>
      <c r="DQ70" s="116">
        <f t="shared" si="57"/>
        <v>0.98760000000000003</v>
      </c>
      <c r="DR70" s="126">
        <f t="shared" ref="DR70:DR133" ca="1" si="121">IF(OR(CT70="MBO",CT70="10% Realized Price"),DQ70,SUMPRODUCT(Lower_Payout*(Curve=CV70)*(Lower_Attain&lt;=DQ70)*(Upper_Attain&gt;DQ70))+(DQ70-SUMPRODUCT(Lower_Attain*(Curve=CV70)*(Lower_Attain&lt;=DQ70)*(Upper_Attain&gt;DQ70)))*SUMPRODUCT(Slope*(Curve=CV70)*(Lower_Attain&lt;=DQ70)*(Upper_Attain&gt;DQ70)))</f>
        <v>0</v>
      </c>
      <c r="DS70" s="115">
        <f t="shared" ref="DS70:DS133" ca="1" si="122">AM70*CU70*DR70</f>
        <v>0</v>
      </c>
      <c r="DT70" s="118" t="str">
        <f t="shared" si="58"/>
        <v>Uncapped</v>
      </c>
      <c r="DU70" s="115">
        <f t="shared" ref="DU70:DU133" ca="1" si="123">IF(DT70="Uncapped",DS70,IFERROR(AM70*CU70*DT70,0))</f>
        <v>0</v>
      </c>
      <c r="DV70" s="113"/>
      <c r="DW70" s="119">
        <v>0</v>
      </c>
      <c r="DX70" s="113"/>
      <c r="DY70" s="113"/>
      <c r="DZ70" s="113">
        <v>0</v>
      </c>
      <c r="EA70" s="113">
        <v>0</v>
      </c>
      <c r="EB70" s="113">
        <v>0</v>
      </c>
      <c r="EC70" s="113">
        <v>0</v>
      </c>
      <c r="ED70" s="113">
        <v>0</v>
      </c>
      <c r="EE70" s="113">
        <v>0</v>
      </c>
      <c r="EF70" s="113"/>
      <c r="EG70" s="113"/>
      <c r="EH70" s="113"/>
      <c r="EI70" s="113"/>
      <c r="EJ70" s="113"/>
      <c r="EK70" s="113"/>
      <c r="EL70" s="114">
        <f t="shared" si="106"/>
        <v>0</v>
      </c>
      <c r="EM70" s="114">
        <f t="shared" si="106"/>
        <v>0</v>
      </c>
      <c r="EN70" s="114">
        <f t="shared" si="106"/>
        <v>0</v>
      </c>
      <c r="EO70" s="114">
        <f t="shared" si="106"/>
        <v>0</v>
      </c>
      <c r="EP70" s="114">
        <f t="shared" ref="EP70:EP133" si="124">IF($BB$3="After AR Adjustment",IF($H$2=1,EL70,IF($H$2=2,SUM(EL70:EM70),IF($H$2=3,SUM(EL70:EN70),SUM(EL70:EO70)))),IF($H$2=1,ED70,IF($H$2=2,SUM(ED70:EE70),IF($H$2=3,SUM(ED70:EF70),SUM(ED70:EG70)))))</f>
        <v>0</v>
      </c>
      <c r="EQ70" s="114">
        <f t="shared" si="97"/>
        <v>0</v>
      </c>
      <c r="ER70" s="114">
        <f t="shared" si="60"/>
        <v>0</v>
      </c>
      <c r="ES70" s="116">
        <f t="shared" si="61"/>
        <v>0</v>
      </c>
      <c r="ET70" s="126">
        <f t="shared" ca="1" si="62"/>
        <v>0</v>
      </c>
      <c r="EU70" s="115">
        <f t="shared" ref="EU70:EU133" ca="1" si="125">AM70*DW70*ET70</f>
        <v>0</v>
      </c>
      <c r="EV70" s="118" t="str">
        <f t="shared" ref="EV70:EV133" si="126">IF($T70="Y","100%",IF(DX70="T2","200%",IF($H$2=4,"Uncapped",IF($G70="AA","50%",IF($G70="SA","90%",IF($G70="APJ Regional-AA","50%",IF($G70="APJ Regional-SA","90%",75%)))))))</f>
        <v>Uncapped</v>
      </c>
      <c r="EW70" s="115">
        <f t="shared" ref="EW70:EW133" ca="1" si="127">IF(EV70="Uncapped",EU70,IFERROR(AM70*DW70*EV70,0))</f>
        <v>0</v>
      </c>
      <c r="EX70" s="112">
        <f t="shared" ref="EX70:EX133" ca="1" si="128">MIN(BO70,BQ70)+MIN(CQ70,CS70)+MIN(DS70,DU70)+MIN(EU70,EW70)</f>
        <v>0</v>
      </c>
      <c r="EY70" s="114">
        <f t="shared" ca="1" si="63"/>
        <v>0</v>
      </c>
      <c r="EZ70" s="115">
        <v>0</v>
      </c>
      <c r="FA70" s="115"/>
      <c r="FB70" s="115"/>
      <c r="FC70" s="115">
        <v>0</v>
      </c>
      <c r="FD70" s="115">
        <f t="shared" si="98"/>
        <v>0</v>
      </c>
      <c r="FE70" s="114">
        <f t="shared" si="87"/>
        <v>0</v>
      </c>
      <c r="FF70" s="115">
        <v>0</v>
      </c>
      <c r="FG70" s="115">
        <v>0</v>
      </c>
      <c r="FH70" s="115">
        <v>0</v>
      </c>
      <c r="FI70" s="115">
        <v>0</v>
      </c>
      <c r="FJ70" s="115">
        <f t="shared" si="99"/>
        <v>0</v>
      </c>
      <c r="FK70" s="114">
        <f t="shared" si="88"/>
        <v>0</v>
      </c>
      <c r="FL70" s="113"/>
      <c r="FM70" s="111"/>
      <c r="FN70" s="111"/>
      <c r="FO70" s="111"/>
      <c r="FP70" s="115">
        <f t="shared" ref="FP70:FP131" si="129">SUM(FL70:FO70)</f>
        <v>0</v>
      </c>
      <c r="FQ70" s="115"/>
      <c r="FR70" s="115"/>
      <c r="FS70" s="115"/>
      <c r="FT70" s="114">
        <f t="shared" si="64"/>
        <v>0</v>
      </c>
      <c r="FU70" s="366">
        <f t="shared" ca="1" si="66"/>
        <v>0</v>
      </c>
      <c r="FV70" s="121">
        <f t="shared" ca="1" si="65"/>
        <v>0</v>
      </c>
      <c r="FW70" s="114">
        <f t="shared" si="70"/>
        <v>0</v>
      </c>
      <c r="FX70" s="114">
        <f t="shared" si="70"/>
        <v>0</v>
      </c>
      <c r="FY70" s="114">
        <f t="shared" si="70"/>
        <v>0</v>
      </c>
      <c r="FZ70" s="114">
        <f t="shared" si="70"/>
        <v>0</v>
      </c>
      <c r="GA70" s="114">
        <f t="shared" ref="GA70:GA113" si="130">SUM(FW70:FZ70)</f>
        <v>0</v>
      </c>
      <c r="GB70" s="114">
        <f t="shared" si="71"/>
        <v>0</v>
      </c>
      <c r="GC70" s="114">
        <f t="shared" si="71"/>
        <v>0</v>
      </c>
      <c r="GD70" s="114">
        <f t="shared" si="71"/>
        <v>0</v>
      </c>
      <c r="GE70" s="114">
        <f t="shared" si="71"/>
        <v>0</v>
      </c>
      <c r="GF70" s="114">
        <f t="shared" si="72"/>
        <v>0</v>
      </c>
      <c r="GG70" s="114">
        <f t="shared" si="72"/>
        <v>0</v>
      </c>
      <c r="GH70" s="114">
        <f t="shared" si="72"/>
        <v>0</v>
      </c>
      <c r="GI70" s="114">
        <f t="shared" si="72"/>
        <v>0</v>
      </c>
      <c r="GJ70" s="115">
        <f t="shared" si="100"/>
        <v>0</v>
      </c>
      <c r="GK70" s="114">
        <f t="shared" ref="GK70:GK133" si="131">SUM(GF70:GI70)</f>
        <v>0</v>
      </c>
      <c r="GL70" s="114">
        <f t="shared" ref="GL70:GL133" si="132">IF(U70="Y",V70*AO70,0)</f>
        <v>0</v>
      </c>
      <c r="GM70" s="114">
        <f t="shared" ref="GM70:GM133" si="133">IF(U70="Y",W70*AO70,0)</f>
        <v>0</v>
      </c>
      <c r="GN70" s="114">
        <f t="shared" ref="GN70:GN133" si="134">IF(U70="Y",X70*AO70,0)</f>
        <v>0</v>
      </c>
      <c r="GO70" s="114">
        <f t="shared" ref="GO70:GO133" si="135">IF(U70="Y",Y70*AO70,0)</f>
        <v>0</v>
      </c>
      <c r="GP70" s="114">
        <f t="shared" si="101"/>
        <v>0</v>
      </c>
      <c r="GQ70" s="114">
        <f t="shared" ref="GQ70:GQ133" si="136">SUM(GL70:GO70)</f>
        <v>0</v>
      </c>
      <c r="GR70" s="193"/>
      <c r="GS70" s="122">
        <f t="shared" si="109"/>
        <v>78089626.746086061</v>
      </c>
      <c r="GT70" s="122">
        <f t="shared" si="109"/>
        <v>77914870.36407119</v>
      </c>
      <c r="GU70" s="123">
        <f t="shared" ref="GU70:GU133" si="137">IFERROR(GS70/GT70,"")</f>
        <v>1.0022429143653617</v>
      </c>
      <c r="GV70" s="124">
        <f t="shared" ref="GV70:GV133" ca="1" si="138">BO70+CQ70+DS70+EU70</f>
        <v>0</v>
      </c>
      <c r="GW70" s="124">
        <v>0</v>
      </c>
      <c r="GX70" s="32">
        <f t="shared" ref="GX70:GX133" ca="1" si="139">IFERROR(GV70/AM70,0)</f>
        <v>0</v>
      </c>
      <c r="GY70" s="100"/>
    </row>
    <row r="71" spans="1:207" s="125" customFormat="1" ht="15" customHeight="1">
      <c r="A71" s="102"/>
      <c r="B71" s="103"/>
      <c r="C71" s="103"/>
      <c r="D71" s="104"/>
      <c r="E71" s="104" t="s">
        <v>393</v>
      </c>
      <c r="F71" s="104" t="s">
        <v>388</v>
      </c>
      <c r="G71" s="104" t="s">
        <v>226</v>
      </c>
      <c r="H71" s="127" t="s">
        <v>394</v>
      </c>
      <c r="I71" s="106" t="s">
        <v>395</v>
      </c>
      <c r="J71" s="104" t="s">
        <v>212</v>
      </c>
      <c r="K71" s="104" t="s">
        <v>218</v>
      </c>
      <c r="L71" s="104" t="s">
        <v>213</v>
      </c>
      <c r="M71" s="104" t="s">
        <v>388</v>
      </c>
      <c r="N71" s="107"/>
      <c r="O71" s="108">
        <v>43003</v>
      </c>
      <c r="P71" s="108">
        <v>43003</v>
      </c>
      <c r="Q71" s="322">
        <f t="shared" si="112"/>
        <v>0</v>
      </c>
      <c r="R71" s="109">
        <f>IF((P71-VLOOKUP(Q71,month!$A$1:$C$13,3,0))&lt;0,Q71,Q71+1)</f>
        <v>0</v>
      </c>
      <c r="S71" s="108"/>
      <c r="T71" s="127" t="str">
        <f>IF(S71&gt;0,"Y","")</f>
        <v/>
      </c>
      <c r="U71" s="107"/>
      <c r="V71" s="107"/>
      <c r="W71" s="107"/>
      <c r="X71" s="107"/>
      <c r="Y71" s="386"/>
      <c r="Z71" s="386" t="s">
        <v>545</v>
      </c>
      <c r="AA71" s="387">
        <v>1000</v>
      </c>
      <c r="AB71" s="387">
        <v>1000</v>
      </c>
      <c r="AC71" s="387">
        <v>1000</v>
      </c>
      <c r="AD71" s="387">
        <v>1000</v>
      </c>
      <c r="AE71" s="387">
        <v>1000</v>
      </c>
      <c r="AF71" s="387">
        <v>1000</v>
      </c>
      <c r="AG71" s="387">
        <v>1000</v>
      </c>
      <c r="AH71" s="387">
        <v>1000</v>
      </c>
      <c r="AI71" s="387">
        <v>1000</v>
      </c>
      <c r="AJ71" s="387">
        <v>1000</v>
      </c>
      <c r="AK71" s="387">
        <v>1000</v>
      </c>
      <c r="AL71" s="387">
        <v>1000</v>
      </c>
      <c r="AM71" s="388">
        <f t="shared" si="92"/>
        <v>12000</v>
      </c>
      <c r="AN71" s="388">
        <f t="shared" si="113"/>
        <v>12000</v>
      </c>
      <c r="AO71" s="389">
        <f t="shared" si="111"/>
        <v>1000</v>
      </c>
      <c r="AP71" s="498" t="s">
        <v>671</v>
      </c>
      <c r="AQ71" s="159">
        <v>0.4</v>
      </c>
      <c r="AR71" s="160" t="s">
        <v>392</v>
      </c>
      <c r="AS71" s="119" t="s">
        <v>210</v>
      </c>
      <c r="AT71" s="111">
        <v>131322.89985092342</v>
      </c>
      <c r="AU71" s="111">
        <v>345325.23449705122</v>
      </c>
      <c r="AV71" s="111">
        <v>250919.86569303207</v>
      </c>
      <c r="AW71" s="111">
        <v>262692.99633578997</v>
      </c>
      <c r="AX71" s="113">
        <v>115829.81999999999</v>
      </c>
      <c r="AY71" s="113">
        <v>484466.12999999995</v>
      </c>
      <c r="AZ71" s="113">
        <v>143651.43</v>
      </c>
      <c r="BA71" s="113">
        <v>459295.29899999994</v>
      </c>
      <c r="BB71" s="113"/>
      <c r="BC71" s="113"/>
      <c r="BD71" s="113"/>
      <c r="BE71" s="113"/>
      <c r="BF71" s="114">
        <f t="shared" si="102"/>
        <v>115829.81999999999</v>
      </c>
      <c r="BG71" s="114">
        <f t="shared" si="102"/>
        <v>484466.12999999995</v>
      </c>
      <c r="BH71" s="114">
        <f t="shared" si="102"/>
        <v>143651.43</v>
      </c>
      <c r="BI71" s="114">
        <f t="shared" si="102"/>
        <v>459295.29899999994</v>
      </c>
      <c r="BJ71" s="114">
        <f t="shared" si="108"/>
        <v>1203242.6789999998</v>
      </c>
      <c r="BK71" s="115">
        <f t="shared" si="94"/>
        <v>990260.99637679663</v>
      </c>
      <c r="BL71" s="115">
        <f t="shared" ref="BL71:BL134" si="140">SUM(AT71:AW71)</f>
        <v>990260.99637679663</v>
      </c>
      <c r="BM71" s="116">
        <f t="shared" ref="BM71:BM134" si="141">IFERROR(ROUND(BJ71/BK71,4),0)</f>
        <v>1.2151000000000001</v>
      </c>
      <c r="BN71" s="126">
        <f t="shared" ca="1" si="114"/>
        <v>0</v>
      </c>
      <c r="BO71" s="117">
        <f t="shared" ca="1" si="115"/>
        <v>0</v>
      </c>
      <c r="BP71" s="118" t="str">
        <f t="shared" si="116"/>
        <v>Uncapped</v>
      </c>
      <c r="BQ71" s="115">
        <f t="shared" ca="1" si="117"/>
        <v>0</v>
      </c>
      <c r="BR71" s="113" t="s">
        <v>691</v>
      </c>
      <c r="BS71" s="159">
        <v>0.4</v>
      </c>
      <c r="BT71" s="160" t="s">
        <v>211</v>
      </c>
      <c r="BU71" s="160" t="s">
        <v>210</v>
      </c>
      <c r="BV71" s="113">
        <v>2244847.2684801258</v>
      </c>
      <c r="BW71" s="113">
        <v>2631314.8509574058</v>
      </c>
      <c r="BX71" s="113">
        <v>2701393.222602963</v>
      </c>
      <c r="BY71" s="113">
        <v>2988065.5624960302</v>
      </c>
      <c r="BZ71" s="113">
        <v>2372679.7731999811</v>
      </c>
      <c r="CA71" s="113">
        <v>2482064.5458999714</v>
      </c>
      <c r="CB71" s="113">
        <v>2412660.0498999502</v>
      </c>
      <c r="CC71" s="113">
        <v>2413833.2713999702</v>
      </c>
      <c r="CD71" s="113"/>
      <c r="CE71" s="113"/>
      <c r="CF71" s="113"/>
      <c r="CG71" s="113"/>
      <c r="CH71" s="114">
        <f t="shared" si="103"/>
        <v>2372679.7731999811</v>
      </c>
      <c r="CI71" s="114">
        <f t="shared" si="103"/>
        <v>2482064.5458999714</v>
      </c>
      <c r="CJ71" s="120">
        <f t="shared" si="103"/>
        <v>2412660.0498999502</v>
      </c>
      <c r="CK71" s="114">
        <f t="shared" si="103"/>
        <v>2413833.2713999702</v>
      </c>
      <c r="CL71" s="114">
        <f t="shared" si="118"/>
        <v>9681237.6403998733</v>
      </c>
      <c r="CM71" s="114">
        <f t="shared" si="95"/>
        <v>10565620.904536525</v>
      </c>
      <c r="CN71" s="114">
        <f t="shared" ref="CN71:CN122" si="142">SUM(BV71:BY71)</f>
        <v>10565620.904536525</v>
      </c>
      <c r="CO71" s="116">
        <f t="shared" ref="CO71:CO134" si="143">IFERROR(ROUND(CL71/CM71,4),0)</f>
        <v>0.9163</v>
      </c>
      <c r="CP71" s="126">
        <f t="shared" ref="CP71:CP134" ca="1" si="144">IF(OR(BR71="MBO",BR71="10% Realized Price"),CO71,SUMPRODUCT(Lower_Payout*(Curve=BT71)*(Lower_Attain&lt;=CO71)*(Upper_Attain&gt;CO71))+(CO71-SUMPRODUCT(Lower_Attain*(Curve=BT71)*(Lower_Attain&lt;=CO71)*(Upper_Attain&gt;CO71)))*SUMPRODUCT(Slope*(Curve=BT71)*(Lower_Attain&lt;=CO71)*(Upper_Attain&gt;CO71)))</f>
        <v>0</v>
      </c>
      <c r="CQ71" s="115">
        <f t="shared" ca="1" si="119"/>
        <v>0</v>
      </c>
      <c r="CR71" s="118" t="str">
        <f t="shared" ref="CR71:CR134" si="145">IF($T71="Y","100%",IF($H$2=4,"Uncapped",IF(N71="Y","100%",IF($G71="AA","50%",IF($G71="SA","90%",IF($G71="APJ Regional-AA","50%",IF($G71="APJ Regional-SA","90%",75%)))))))</f>
        <v>Uncapped</v>
      </c>
      <c r="CS71" s="115">
        <f t="shared" ca="1" si="120"/>
        <v>0</v>
      </c>
      <c r="CT71" s="113" t="s">
        <v>695</v>
      </c>
      <c r="CU71" s="119">
        <v>0.2</v>
      </c>
      <c r="CV71" s="113" t="s">
        <v>217</v>
      </c>
      <c r="CW71" s="113" t="s">
        <v>210</v>
      </c>
      <c r="CX71" s="113">
        <v>3218524.2772395075</v>
      </c>
      <c r="CY71" s="113">
        <v>4891430.2869874602</v>
      </c>
      <c r="CZ71" s="113">
        <v>4404508.3401344651</v>
      </c>
      <c r="DA71" s="113">
        <v>4778876.6076220032</v>
      </c>
      <c r="DB71" s="113">
        <v>3447884.2731999811</v>
      </c>
      <c r="DC71" s="113">
        <v>5129221.4675999712</v>
      </c>
      <c r="DD71" s="113">
        <v>4393334.4853999503</v>
      </c>
      <c r="DE71" s="113">
        <f>VLOOKUP($H71,[2]pivot!$V:$Z,$DE$2,FALSE)</f>
        <v>5251915.8515999708</v>
      </c>
      <c r="DF71" s="113"/>
      <c r="DG71" s="113"/>
      <c r="DH71" s="113"/>
      <c r="DI71" s="113"/>
      <c r="DJ71" s="114">
        <f t="shared" si="104"/>
        <v>3447884.2731999811</v>
      </c>
      <c r="DK71" s="114">
        <f t="shared" si="104"/>
        <v>5129221.4675999712</v>
      </c>
      <c r="DL71" s="114">
        <f t="shared" si="104"/>
        <v>4393334.4853999503</v>
      </c>
      <c r="DM71" s="114">
        <f t="shared" si="104"/>
        <v>5251915.8515999708</v>
      </c>
      <c r="DN71" s="114">
        <f t="shared" si="84"/>
        <v>18222356.077799872</v>
      </c>
      <c r="DO71" s="114">
        <f t="shared" si="96"/>
        <v>17293339.511983439</v>
      </c>
      <c r="DP71" s="114">
        <f t="shared" si="105"/>
        <v>17293339.511983439</v>
      </c>
      <c r="DQ71" s="116">
        <f t="shared" ref="DQ71:DQ134" si="146">IFERROR(ROUND(DN71/DO71,4),0)</f>
        <v>1.0537000000000001</v>
      </c>
      <c r="DR71" s="126">
        <f t="shared" ca="1" si="121"/>
        <v>0</v>
      </c>
      <c r="DS71" s="115">
        <f t="shared" ca="1" si="122"/>
        <v>0</v>
      </c>
      <c r="DT71" s="118" t="str">
        <f t="shared" ref="DT71:DT134" si="147">IF($T71="Y","100%",IF($H$2=4,"Uncapped",IF(N71="Y","100%",IF($G71="AA","50%",IF($G71="SA","90%",IF($G71="APJ Regional-AA","50%",IF($G71="APJ Regional-SA","90%",75%)))))))</f>
        <v>Uncapped</v>
      </c>
      <c r="DU71" s="115">
        <f t="shared" ca="1" si="123"/>
        <v>0</v>
      </c>
      <c r="DV71" s="113"/>
      <c r="DW71" s="119">
        <v>0</v>
      </c>
      <c r="DX71" s="113"/>
      <c r="DY71" s="113"/>
      <c r="DZ71" s="113">
        <v>0</v>
      </c>
      <c r="EA71" s="113">
        <v>0</v>
      </c>
      <c r="EB71" s="113">
        <v>0</v>
      </c>
      <c r="EC71" s="113">
        <v>0</v>
      </c>
      <c r="ED71" s="113">
        <v>0</v>
      </c>
      <c r="EE71" s="113">
        <v>0</v>
      </c>
      <c r="EF71" s="113"/>
      <c r="EG71" s="113"/>
      <c r="EH71" s="113"/>
      <c r="EI71" s="113"/>
      <c r="EJ71" s="113"/>
      <c r="EK71" s="113"/>
      <c r="EL71" s="114">
        <f t="shared" si="106"/>
        <v>0</v>
      </c>
      <c r="EM71" s="114">
        <f t="shared" si="106"/>
        <v>0</v>
      </c>
      <c r="EN71" s="114">
        <f t="shared" si="106"/>
        <v>0</v>
      </c>
      <c r="EO71" s="114">
        <f t="shared" si="106"/>
        <v>0</v>
      </c>
      <c r="EP71" s="114">
        <f t="shared" si="124"/>
        <v>0</v>
      </c>
      <c r="EQ71" s="114">
        <f t="shared" si="97"/>
        <v>0</v>
      </c>
      <c r="ER71" s="114">
        <f t="shared" ref="ER71:ER122" si="148">SUM(DZ71:EC71)</f>
        <v>0</v>
      </c>
      <c r="ES71" s="116">
        <f t="shared" ref="ES71:ES134" si="149">IFERROR(ROUND(EP71/EQ71,4),0)</f>
        <v>0</v>
      </c>
      <c r="ET71" s="126">
        <f t="shared" ref="ET71:ET134" ca="1" si="150">IF(OR(DV71="MBO",DV71="10% Realized Price"),ES71,SUMPRODUCT(Lower_Payout*(Curve=DX71)*(Lower_Attain&lt;=ES71)*(Upper_Attain&gt;ES71))+(ES71-SUMPRODUCT(Lower_Attain*(Curve=DX71)*(Lower_Attain&lt;=ES71)*(Upper_Attain&gt;ES71)))*SUMPRODUCT(Slope*(Curve=DX71)*(Lower_Attain&lt;=ES71)*(Upper_Attain&gt;ES71)))</f>
        <v>0</v>
      </c>
      <c r="EU71" s="115">
        <f t="shared" ca="1" si="125"/>
        <v>0</v>
      </c>
      <c r="EV71" s="118" t="str">
        <f t="shared" si="126"/>
        <v>Uncapped</v>
      </c>
      <c r="EW71" s="115">
        <f t="shared" ca="1" si="127"/>
        <v>0</v>
      </c>
      <c r="EX71" s="112">
        <f t="shared" ca="1" si="128"/>
        <v>0</v>
      </c>
      <c r="EY71" s="114">
        <f t="shared" ref="EY71:EY134" ca="1" si="151">MAX(EX71,GP71)</f>
        <v>0</v>
      </c>
      <c r="EZ71" s="115">
        <v>0</v>
      </c>
      <c r="FA71" s="115">
        <v>1830000</v>
      </c>
      <c r="FB71" s="115">
        <v>90860</v>
      </c>
      <c r="FC71" s="115">
        <v>0</v>
      </c>
      <c r="FD71" s="115">
        <f t="shared" si="98"/>
        <v>1920860</v>
      </c>
      <c r="FE71" s="114">
        <f t="shared" si="87"/>
        <v>0</v>
      </c>
      <c r="FF71" s="115">
        <v>0</v>
      </c>
      <c r="FG71" s="115">
        <v>0</v>
      </c>
      <c r="FH71" s="115">
        <v>0</v>
      </c>
      <c r="FI71" s="115">
        <v>0</v>
      </c>
      <c r="FJ71" s="115">
        <f t="shared" si="99"/>
        <v>0</v>
      </c>
      <c r="FK71" s="114">
        <f t="shared" si="88"/>
        <v>0</v>
      </c>
      <c r="FL71" s="113"/>
      <c r="FM71" s="111"/>
      <c r="FN71" s="111"/>
      <c r="FO71" s="111"/>
      <c r="FP71" s="115">
        <f>SUM(FL71:FO71)</f>
        <v>0</v>
      </c>
      <c r="FQ71" s="115"/>
      <c r="FR71" s="115"/>
      <c r="FS71" s="115"/>
      <c r="FT71" s="114">
        <f t="shared" ref="FT71:FT134" si="152">SUM(FQ71:FS71)</f>
        <v>0</v>
      </c>
      <c r="FU71" s="366">
        <f t="shared" ca="1" si="66"/>
        <v>1920860</v>
      </c>
      <c r="FV71" s="121">
        <f t="shared" ref="FV71:FV134" ca="1" si="153">SUM(EY71,FD71,FJ71,FP71)</f>
        <v>1920860</v>
      </c>
      <c r="FW71" s="114">
        <f>FF71</f>
        <v>0</v>
      </c>
      <c r="FX71" s="114">
        <f>FG71</f>
        <v>0</v>
      </c>
      <c r="FY71" s="114">
        <f>FH71</f>
        <v>0</v>
      </c>
      <c r="FZ71" s="114">
        <f>FI71</f>
        <v>0</v>
      </c>
      <c r="GA71" s="114">
        <f>SUM(FW71:FZ71)</f>
        <v>0</v>
      </c>
      <c r="GB71" s="114">
        <f>EZ71</f>
        <v>0</v>
      </c>
      <c r="GC71" s="114">
        <f>FA71</f>
        <v>1830000</v>
      </c>
      <c r="GD71" s="114">
        <f>FB71</f>
        <v>90860</v>
      </c>
      <c r="GE71" s="114">
        <f>FC71</f>
        <v>0</v>
      </c>
      <c r="GF71" s="114">
        <f>GB71+FW71</f>
        <v>0</v>
      </c>
      <c r="GG71" s="114">
        <f>GC71+FX71</f>
        <v>1830000</v>
      </c>
      <c r="GH71" s="114">
        <f>GD71+FY71</f>
        <v>90860</v>
      </c>
      <c r="GI71" s="114">
        <f>GE71+FZ71</f>
        <v>0</v>
      </c>
      <c r="GJ71" s="115">
        <f t="shared" si="100"/>
        <v>1920860</v>
      </c>
      <c r="GK71" s="114">
        <f>SUM(GF71:GI71)</f>
        <v>1920860</v>
      </c>
      <c r="GL71" s="114">
        <f t="shared" si="132"/>
        <v>0</v>
      </c>
      <c r="GM71" s="114">
        <f t="shared" si="133"/>
        <v>0</v>
      </c>
      <c r="GN71" s="114">
        <f t="shared" si="134"/>
        <v>0</v>
      </c>
      <c r="GO71" s="114">
        <f t="shared" si="135"/>
        <v>0</v>
      </c>
      <c r="GP71" s="114">
        <f t="shared" si="101"/>
        <v>0</v>
      </c>
      <c r="GQ71" s="114">
        <f>SUM(GL71:GO71)</f>
        <v>0</v>
      </c>
      <c r="GR71" s="216"/>
      <c r="GS71" s="122">
        <f t="shared" si="109"/>
        <v>29106836.397199742</v>
      </c>
      <c r="GT71" s="122">
        <f t="shared" si="109"/>
        <v>28849221.41289676</v>
      </c>
      <c r="GU71" s="123">
        <f>IFERROR(GS71/GT71,"")</f>
        <v>1.0089297031838724</v>
      </c>
      <c r="GV71" s="124">
        <f t="shared" ca="1" si="138"/>
        <v>0</v>
      </c>
      <c r="GW71" s="124">
        <v>0</v>
      </c>
      <c r="GX71" s="32">
        <f t="shared" ca="1" si="139"/>
        <v>0</v>
      </c>
      <c r="GY71" s="100"/>
    </row>
    <row r="72" spans="1:207" s="125" customFormat="1" ht="15" customHeight="1">
      <c r="A72" s="102"/>
      <c r="B72" s="103"/>
      <c r="C72" s="103"/>
      <c r="D72" s="104"/>
      <c r="E72" s="113" t="s">
        <v>388</v>
      </c>
      <c r="F72" s="113" t="s">
        <v>388</v>
      </c>
      <c r="G72" s="104" t="s">
        <v>226</v>
      </c>
      <c r="H72" s="127" t="s">
        <v>396</v>
      </c>
      <c r="I72" s="106" t="s">
        <v>397</v>
      </c>
      <c r="J72" s="104" t="s">
        <v>212</v>
      </c>
      <c r="K72" s="104" t="s">
        <v>218</v>
      </c>
      <c r="L72" s="104" t="s">
        <v>213</v>
      </c>
      <c r="M72" s="104" t="s">
        <v>388</v>
      </c>
      <c r="N72" s="107"/>
      <c r="O72" s="108">
        <v>41430</v>
      </c>
      <c r="P72" s="108">
        <v>41640</v>
      </c>
      <c r="Q72" s="322">
        <f t="shared" si="112"/>
        <v>0</v>
      </c>
      <c r="R72" s="109">
        <f>IF((P72-VLOOKUP(Q72,month!$A$1:$C$13,3,0))&lt;0,Q72,Q72+1)</f>
        <v>0</v>
      </c>
      <c r="S72" s="108"/>
      <c r="T72" s="110" t="str">
        <f t="shared" ref="T72:T135" si="154">IF(S72&gt;0,"Y","")</f>
        <v/>
      </c>
      <c r="U72" s="107"/>
      <c r="V72" s="107"/>
      <c r="W72" s="107"/>
      <c r="X72" s="107"/>
      <c r="Y72" s="386"/>
      <c r="Z72" s="386" t="s">
        <v>545</v>
      </c>
      <c r="AA72" s="387">
        <v>1000</v>
      </c>
      <c r="AB72" s="387">
        <v>1000</v>
      </c>
      <c r="AC72" s="387">
        <v>1000</v>
      </c>
      <c r="AD72" s="387">
        <v>1000</v>
      </c>
      <c r="AE72" s="387">
        <v>1000</v>
      </c>
      <c r="AF72" s="387">
        <v>1000</v>
      </c>
      <c r="AG72" s="387">
        <v>1000</v>
      </c>
      <c r="AH72" s="387">
        <v>1000</v>
      </c>
      <c r="AI72" s="387">
        <v>1000</v>
      </c>
      <c r="AJ72" s="387">
        <v>1000</v>
      </c>
      <c r="AK72" s="387">
        <v>1000</v>
      </c>
      <c r="AL72" s="387">
        <v>1000</v>
      </c>
      <c r="AM72" s="388">
        <f t="shared" si="92"/>
        <v>12000</v>
      </c>
      <c r="AN72" s="388">
        <f t="shared" si="113"/>
        <v>12000</v>
      </c>
      <c r="AO72" s="389">
        <f t="shared" si="111"/>
        <v>1000</v>
      </c>
      <c r="AP72" s="498" t="s">
        <v>671</v>
      </c>
      <c r="AQ72" s="159">
        <v>0.4</v>
      </c>
      <c r="AR72" s="160" t="s">
        <v>392</v>
      </c>
      <c r="AS72" s="119" t="s">
        <v>210</v>
      </c>
      <c r="AT72" s="111">
        <v>172361.30605433698</v>
      </c>
      <c r="AU72" s="111">
        <v>453239.3702773797</v>
      </c>
      <c r="AV72" s="111">
        <v>329332.32372210454</v>
      </c>
      <c r="AW72" s="111">
        <v>344784.55769072432</v>
      </c>
      <c r="AX72" s="113">
        <v>310494.3</v>
      </c>
      <c r="AY72" s="113">
        <v>266553.03000000003</v>
      </c>
      <c r="AZ72" s="113">
        <v>424703.32</v>
      </c>
      <c r="BA72" s="113">
        <v>276816.51000000007</v>
      </c>
      <c r="BB72" s="113"/>
      <c r="BC72" s="113"/>
      <c r="BD72" s="113"/>
      <c r="BE72" s="113"/>
      <c r="BF72" s="114">
        <f t="shared" si="102"/>
        <v>310494.3</v>
      </c>
      <c r="BG72" s="114">
        <f t="shared" si="102"/>
        <v>266553.03000000003</v>
      </c>
      <c r="BH72" s="114">
        <f t="shared" si="102"/>
        <v>424703.32</v>
      </c>
      <c r="BI72" s="114">
        <f t="shared" si="102"/>
        <v>276816.51000000007</v>
      </c>
      <c r="BJ72" s="114">
        <f t="shared" si="108"/>
        <v>1278567.1600000001</v>
      </c>
      <c r="BK72" s="115">
        <f t="shared" si="94"/>
        <v>1299717.5577445456</v>
      </c>
      <c r="BL72" s="115">
        <f t="shared" si="140"/>
        <v>1299717.5577445456</v>
      </c>
      <c r="BM72" s="116">
        <f t="shared" si="141"/>
        <v>0.98370000000000002</v>
      </c>
      <c r="BN72" s="126">
        <f t="shared" ca="1" si="114"/>
        <v>0</v>
      </c>
      <c r="BO72" s="117">
        <f t="shared" ca="1" si="115"/>
        <v>0</v>
      </c>
      <c r="BP72" s="118" t="str">
        <f t="shared" si="116"/>
        <v>Uncapped</v>
      </c>
      <c r="BQ72" s="115">
        <f t="shared" ca="1" si="117"/>
        <v>0</v>
      </c>
      <c r="BR72" s="113" t="s">
        <v>691</v>
      </c>
      <c r="BS72" s="159">
        <v>0.4</v>
      </c>
      <c r="BT72" s="160" t="s">
        <v>211</v>
      </c>
      <c r="BU72" s="160" t="s">
        <v>210</v>
      </c>
      <c r="BV72" s="113">
        <v>2248640.7791736396</v>
      </c>
      <c r="BW72" s="113">
        <v>2635411.5383899757</v>
      </c>
      <c r="BX72" s="113">
        <v>2705438.8537855912</v>
      </c>
      <c r="BY72" s="113">
        <v>2993038.0084154685</v>
      </c>
      <c r="BZ72" s="113">
        <v>2354679.7731999811</v>
      </c>
      <c r="CA72" s="113">
        <v>2513114.5458999714</v>
      </c>
      <c r="CB72" s="113">
        <v>2418780.0498999502</v>
      </c>
      <c r="CC72" s="113">
        <v>2441373.2713999702</v>
      </c>
      <c r="CD72" s="113"/>
      <c r="CE72" s="113"/>
      <c r="CF72" s="113"/>
      <c r="CG72" s="113"/>
      <c r="CH72" s="114">
        <f t="shared" si="103"/>
        <v>2354679.7731999811</v>
      </c>
      <c r="CI72" s="114">
        <f t="shared" si="103"/>
        <v>2513114.5458999714</v>
      </c>
      <c r="CJ72" s="120">
        <f t="shared" si="103"/>
        <v>2418780.0498999502</v>
      </c>
      <c r="CK72" s="114">
        <f t="shared" si="103"/>
        <v>2441373.2713999702</v>
      </c>
      <c r="CL72" s="114">
        <f t="shared" si="118"/>
        <v>9727947.6403998733</v>
      </c>
      <c r="CM72" s="114">
        <f t="shared" si="95"/>
        <v>10582529.179764675</v>
      </c>
      <c r="CN72" s="114">
        <f t="shared" si="142"/>
        <v>10582529.179764675</v>
      </c>
      <c r="CO72" s="116">
        <f t="shared" si="143"/>
        <v>0.91920000000000002</v>
      </c>
      <c r="CP72" s="126">
        <f t="shared" ca="1" si="144"/>
        <v>0</v>
      </c>
      <c r="CQ72" s="115">
        <f t="shared" ca="1" si="119"/>
        <v>0</v>
      </c>
      <c r="CR72" s="118" t="str">
        <f t="shared" si="145"/>
        <v>Uncapped</v>
      </c>
      <c r="CS72" s="115">
        <f t="shared" ca="1" si="120"/>
        <v>0</v>
      </c>
      <c r="CT72" s="113" t="s">
        <v>695</v>
      </c>
      <c r="CU72" s="119">
        <v>0.2</v>
      </c>
      <c r="CV72" s="113" t="s">
        <v>217</v>
      </c>
      <c r="CW72" s="113" t="s">
        <v>210</v>
      </c>
      <c r="CX72" s="113">
        <v>3218524.2772395075</v>
      </c>
      <c r="CY72" s="113">
        <v>4891430.2869874602</v>
      </c>
      <c r="CZ72" s="113">
        <v>4404508.3401344651</v>
      </c>
      <c r="DA72" s="113">
        <v>4778876.6076220032</v>
      </c>
      <c r="DB72" s="113">
        <v>3447884.2731999811</v>
      </c>
      <c r="DC72" s="113">
        <v>5129221.4675999712</v>
      </c>
      <c r="DD72" s="113">
        <v>4393334.4853999503</v>
      </c>
      <c r="DE72" s="113">
        <f>VLOOKUP($H72,[2]pivot!$V:$Z,$DE$2,FALSE)</f>
        <v>5251915.8515999708</v>
      </c>
      <c r="DF72" s="113"/>
      <c r="DG72" s="113"/>
      <c r="DH72" s="113"/>
      <c r="DI72" s="113"/>
      <c r="DJ72" s="114">
        <f t="shared" si="104"/>
        <v>3447884.2731999811</v>
      </c>
      <c r="DK72" s="114">
        <f t="shared" si="104"/>
        <v>5129221.4675999712</v>
      </c>
      <c r="DL72" s="114">
        <f t="shared" si="104"/>
        <v>4393334.4853999503</v>
      </c>
      <c r="DM72" s="114">
        <f t="shared" si="104"/>
        <v>5251915.8515999708</v>
      </c>
      <c r="DN72" s="114">
        <f t="shared" si="84"/>
        <v>18222356.077799872</v>
      </c>
      <c r="DO72" s="114">
        <f t="shared" si="96"/>
        <v>17293339.511983439</v>
      </c>
      <c r="DP72" s="114">
        <f t="shared" si="105"/>
        <v>17293339.511983439</v>
      </c>
      <c r="DQ72" s="116">
        <f t="shared" si="146"/>
        <v>1.0537000000000001</v>
      </c>
      <c r="DR72" s="126">
        <f t="shared" ca="1" si="121"/>
        <v>0</v>
      </c>
      <c r="DS72" s="115">
        <f t="shared" ca="1" si="122"/>
        <v>0</v>
      </c>
      <c r="DT72" s="118" t="str">
        <f t="shared" si="147"/>
        <v>Uncapped</v>
      </c>
      <c r="DU72" s="115">
        <f t="shared" ca="1" si="123"/>
        <v>0</v>
      </c>
      <c r="DV72" s="113"/>
      <c r="DW72" s="119">
        <v>0</v>
      </c>
      <c r="DX72" s="113"/>
      <c r="DY72" s="113"/>
      <c r="DZ72" s="113">
        <v>0</v>
      </c>
      <c r="EA72" s="113">
        <v>0</v>
      </c>
      <c r="EB72" s="113">
        <v>0</v>
      </c>
      <c r="EC72" s="113">
        <v>0</v>
      </c>
      <c r="ED72" s="113">
        <v>0</v>
      </c>
      <c r="EE72" s="113">
        <v>0</v>
      </c>
      <c r="EF72" s="113"/>
      <c r="EG72" s="113"/>
      <c r="EH72" s="113"/>
      <c r="EI72" s="113"/>
      <c r="EJ72" s="113"/>
      <c r="EK72" s="113"/>
      <c r="EL72" s="114">
        <f t="shared" si="106"/>
        <v>0</v>
      </c>
      <c r="EM72" s="114">
        <f t="shared" si="106"/>
        <v>0</v>
      </c>
      <c r="EN72" s="114">
        <f t="shared" si="106"/>
        <v>0</v>
      </c>
      <c r="EO72" s="114">
        <f t="shared" si="106"/>
        <v>0</v>
      </c>
      <c r="EP72" s="114">
        <f t="shared" si="124"/>
        <v>0</v>
      </c>
      <c r="EQ72" s="114">
        <f t="shared" si="97"/>
        <v>0</v>
      </c>
      <c r="ER72" s="114">
        <f t="shared" si="148"/>
        <v>0</v>
      </c>
      <c r="ES72" s="116">
        <f t="shared" si="149"/>
        <v>0</v>
      </c>
      <c r="ET72" s="126">
        <f t="shared" ca="1" si="150"/>
        <v>0</v>
      </c>
      <c r="EU72" s="115">
        <f t="shared" ca="1" si="125"/>
        <v>0</v>
      </c>
      <c r="EV72" s="118" t="str">
        <f t="shared" si="126"/>
        <v>Uncapped</v>
      </c>
      <c r="EW72" s="115">
        <f t="shared" ca="1" si="127"/>
        <v>0</v>
      </c>
      <c r="EX72" s="112">
        <f t="shared" ca="1" si="128"/>
        <v>0</v>
      </c>
      <c r="EY72" s="114">
        <f t="shared" ca="1" si="151"/>
        <v>0</v>
      </c>
      <c r="EZ72" s="115">
        <v>0</v>
      </c>
      <c r="FA72" s="115">
        <f>117500+280000</f>
        <v>397500</v>
      </c>
      <c r="FB72" s="115">
        <v>1059765</v>
      </c>
      <c r="FC72" s="115">
        <v>0</v>
      </c>
      <c r="FD72" s="115">
        <f t="shared" si="98"/>
        <v>1457265</v>
      </c>
      <c r="FE72" s="114">
        <f t="shared" si="87"/>
        <v>0</v>
      </c>
      <c r="FF72" s="115">
        <v>0</v>
      </c>
      <c r="FG72" s="115">
        <v>0</v>
      </c>
      <c r="FH72" s="115">
        <v>0</v>
      </c>
      <c r="FI72" s="115">
        <v>0</v>
      </c>
      <c r="FJ72" s="115">
        <f t="shared" si="99"/>
        <v>0</v>
      </c>
      <c r="FK72" s="114">
        <f t="shared" si="88"/>
        <v>0</v>
      </c>
      <c r="FL72" s="113"/>
      <c r="FM72" s="111"/>
      <c r="FN72" s="111"/>
      <c r="FO72" s="111"/>
      <c r="FP72" s="115">
        <f t="shared" si="129"/>
        <v>0</v>
      </c>
      <c r="FQ72" s="115"/>
      <c r="FR72" s="488"/>
      <c r="FS72" s="115"/>
      <c r="FT72" s="114">
        <f t="shared" si="152"/>
        <v>0</v>
      </c>
      <c r="FU72" s="366">
        <f t="shared" ref="FU72:FU135" ca="1" si="155">ROUND(MAX(FV72-FT72,0),2)</f>
        <v>1457265</v>
      </c>
      <c r="FV72" s="121">
        <f t="shared" ca="1" si="153"/>
        <v>1457265</v>
      </c>
      <c r="FW72" s="114">
        <f t="shared" si="70"/>
        <v>0</v>
      </c>
      <c r="FX72" s="114">
        <f t="shared" si="70"/>
        <v>0</v>
      </c>
      <c r="FY72" s="114">
        <f t="shared" si="70"/>
        <v>0</v>
      </c>
      <c r="FZ72" s="114">
        <f t="shared" si="70"/>
        <v>0</v>
      </c>
      <c r="GA72" s="114">
        <f t="shared" si="130"/>
        <v>0</v>
      </c>
      <c r="GB72" s="114">
        <f t="shared" si="71"/>
        <v>0</v>
      </c>
      <c r="GC72" s="114">
        <f t="shared" si="71"/>
        <v>397500</v>
      </c>
      <c r="GD72" s="114">
        <f t="shared" si="71"/>
        <v>1059765</v>
      </c>
      <c r="GE72" s="114">
        <f t="shared" si="71"/>
        <v>0</v>
      </c>
      <c r="GF72" s="114">
        <f t="shared" si="72"/>
        <v>0</v>
      </c>
      <c r="GG72" s="114">
        <f t="shared" si="72"/>
        <v>397500</v>
      </c>
      <c r="GH72" s="114">
        <f t="shared" si="72"/>
        <v>1059765</v>
      </c>
      <c r="GI72" s="114">
        <f t="shared" si="72"/>
        <v>0</v>
      </c>
      <c r="GJ72" s="115">
        <f t="shared" si="100"/>
        <v>1457265</v>
      </c>
      <c r="GK72" s="114">
        <f t="shared" si="131"/>
        <v>1457265</v>
      </c>
      <c r="GL72" s="114">
        <f t="shared" si="132"/>
        <v>0</v>
      </c>
      <c r="GM72" s="114">
        <f t="shared" si="133"/>
        <v>0</v>
      </c>
      <c r="GN72" s="114">
        <f t="shared" si="134"/>
        <v>0</v>
      </c>
      <c r="GO72" s="114">
        <f t="shared" si="135"/>
        <v>0</v>
      </c>
      <c r="GP72" s="114">
        <f t="shared" si="101"/>
        <v>0</v>
      </c>
      <c r="GQ72" s="114">
        <f t="shared" si="136"/>
        <v>0</v>
      </c>
      <c r="GR72" s="193"/>
      <c r="GS72" s="122">
        <f t="shared" si="109"/>
        <v>29228870.878199745</v>
      </c>
      <c r="GT72" s="122">
        <f t="shared" si="109"/>
        <v>29175586.24949266</v>
      </c>
      <c r="GU72" s="123">
        <f t="shared" si="137"/>
        <v>1.0018263430339129</v>
      </c>
      <c r="GV72" s="124">
        <f t="shared" ca="1" si="138"/>
        <v>0</v>
      </c>
      <c r="GW72" s="124">
        <v>0</v>
      </c>
      <c r="GX72" s="32">
        <f t="shared" ca="1" si="139"/>
        <v>0</v>
      </c>
      <c r="GY72" s="100"/>
    </row>
    <row r="73" spans="1:207" s="125" customFormat="1" ht="15" customHeight="1">
      <c r="A73" s="102"/>
      <c r="B73" s="103"/>
      <c r="C73" s="103"/>
      <c r="D73" s="104"/>
      <c r="E73" s="113" t="s">
        <v>388</v>
      </c>
      <c r="F73" s="113" t="s">
        <v>388</v>
      </c>
      <c r="G73" s="104" t="s">
        <v>226</v>
      </c>
      <c r="H73" s="127" t="s">
        <v>398</v>
      </c>
      <c r="I73" s="106" t="s">
        <v>399</v>
      </c>
      <c r="J73" s="104" t="s">
        <v>212</v>
      </c>
      <c r="K73" s="104" t="s">
        <v>218</v>
      </c>
      <c r="L73" s="104" t="s">
        <v>213</v>
      </c>
      <c r="M73" s="104" t="s">
        <v>388</v>
      </c>
      <c r="N73" s="107"/>
      <c r="O73" s="108">
        <v>41430</v>
      </c>
      <c r="P73" s="108">
        <v>41640</v>
      </c>
      <c r="Q73" s="322">
        <f t="shared" si="112"/>
        <v>0</v>
      </c>
      <c r="R73" s="109">
        <f>IF((P73-VLOOKUP(Q73,month!$A$1:$C$13,3,0))&lt;0,Q73,Q73+1)</f>
        <v>0</v>
      </c>
      <c r="S73" s="108"/>
      <c r="T73" s="110" t="str">
        <f t="shared" si="154"/>
        <v/>
      </c>
      <c r="U73" s="107"/>
      <c r="V73" s="107"/>
      <c r="W73" s="107"/>
      <c r="X73" s="107"/>
      <c r="Y73" s="386"/>
      <c r="Z73" s="386" t="s">
        <v>545</v>
      </c>
      <c r="AA73" s="387">
        <v>1000</v>
      </c>
      <c r="AB73" s="387">
        <v>1000</v>
      </c>
      <c r="AC73" s="387">
        <v>1000</v>
      </c>
      <c r="AD73" s="387">
        <v>1000</v>
      </c>
      <c r="AE73" s="387">
        <v>1000</v>
      </c>
      <c r="AF73" s="387">
        <v>1000</v>
      </c>
      <c r="AG73" s="387">
        <v>1000</v>
      </c>
      <c r="AH73" s="387">
        <v>1000</v>
      </c>
      <c r="AI73" s="387">
        <v>1000</v>
      </c>
      <c r="AJ73" s="387">
        <v>1000</v>
      </c>
      <c r="AK73" s="387">
        <v>1000</v>
      </c>
      <c r="AL73" s="387">
        <v>1000</v>
      </c>
      <c r="AM73" s="388">
        <f t="shared" si="92"/>
        <v>12000</v>
      </c>
      <c r="AN73" s="388">
        <f t="shared" si="113"/>
        <v>12000</v>
      </c>
      <c r="AO73" s="389">
        <f t="shared" si="111"/>
        <v>1000</v>
      </c>
      <c r="AP73" s="498" t="s">
        <v>671</v>
      </c>
      <c r="AQ73" s="159">
        <v>0.4</v>
      </c>
      <c r="AR73" s="160" t="s">
        <v>392</v>
      </c>
      <c r="AS73" s="119" t="s">
        <v>210</v>
      </c>
      <c r="AT73" s="111">
        <v>172361.30605433698</v>
      </c>
      <c r="AU73" s="111">
        <v>453239.3702773797</v>
      </c>
      <c r="AV73" s="111">
        <v>329332.32372210454</v>
      </c>
      <c r="AW73" s="111">
        <v>344784.55769072432</v>
      </c>
      <c r="AX73" s="113">
        <v>171967.32</v>
      </c>
      <c r="AY73" s="113">
        <v>333688.77</v>
      </c>
      <c r="AZ73" s="113">
        <v>461392.83499999996</v>
      </c>
      <c r="BA73" s="113">
        <v>616305.16620000033</v>
      </c>
      <c r="BB73" s="113"/>
      <c r="BC73" s="113"/>
      <c r="BD73" s="113"/>
      <c r="BE73" s="113"/>
      <c r="BF73" s="114">
        <f t="shared" si="102"/>
        <v>171967.32</v>
      </c>
      <c r="BG73" s="114">
        <f t="shared" si="102"/>
        <v>333688.77</v>
      </c>
      <c r="BH73" s="114">
        <f t="shared" si="102"/>
        <v>461392.83499999996</v>
      </c>
      <c r="BI73" s="114">
        <f t="shared" si="102"/>
        <v>616305.16620000033</v>
      </c>
      <c r="BJ73" s="114">
        <f t="shared" si="108"/>
        <v>1583354.0912000004</v>
      </c>
      <c r="BK73" s="115">
        <f t="shared" si="94"/>
        <v>1299717.5577445456</v>
      </c>
      <c r="BL73" s="115">
        <f t="shared" si="140"/>
        <v>1299717.5577445456</v>
      </c>
      <c r="BM73" s="116">
        <f t="shared" si="141"/>
        <v>1.2181999999999999</v>
      </c>
      <c r="BN73" s="126">
        <f t="shared" ca="1" si="114"/>
        <v>0</v>
      </c>
      <c r="BO73" s="117">
        <f t="shared" ca="1" si="115"/>
        <v>0</v>
      </c>
      <c r="BP73" s="118" t="str">
        <f t="shared" si="116"/>
        <v>Uncapped</v>
      </c>
      <c r="BQ73" s="115">
        <f t="shared" ca="1" si="117"/>
        <v>0</v>
      </c>
      <c r="BR73" s="113" t="s">
        <v>691</v>
      </c>
      <c r="BS73" s="159">
        <v>0.4</v>
      </c>
      <c r="BT73" s="160" t="s">
        <v>211</v>
      </c>
      <c r="BU73" s="160" t="s">
        <v>210</v>
      </c>
      <c r="BV73" s="113">
        <v>2248640.7791736401</v>
      </c>
      <c r="BW73" s="113">
        <v>2635411.5383899757</v>
      </c>
      <c r="BX73" s="113">
        <v>2705438.8537855912</v>
      </c>
      <c r="BY73" s="113">
        <v>2993038.0084154685</v>
      </c>
      <c r="BZ73" s="113">
        <v>2375919.7731999811</v>
      </c>
      <c r="CA73" s="113">
        <v>2515364.5458999714</v>
      </c>
      <c r="CB73" s="113">
        <v>2392140.0498999502</v>
      </c>
      <c r="CC73" s="113">
        <v>2447037.9163999702</v>
      </c>
      <c r="CD73" s="113"/>
      <c r="CE73" s="113"/>
      <c r="CF73" s="113"/>
      <c r="CG73" s="113"/>
      <c r="CH73" s="114">
        <f t="shared" si="103"/>
        <v>2375919.7731999811</v>
      </c>
      <c r="CI73" s="114">
        <f t="shared" si="103"/>
        <v>2515364.5458999714</v>
      </c>
      <c r="CJ73" s="120">
        <f t="shared" si="103"/>
        <v>2392140.0498999502</v>
      </c>
      <c r="CK73" s="114">
        <f t="shared" si="103"/>
        <v>2447037.9163999702</v>
      </c>
      <c r="CL73" s="114">
        <f t="shared" si="118"/>
        <v>9730462.2853998728</v>
      </c>
      <c r="CM73" s="114">
        <f t="shared" si="95"/>
        <v>10582529.179764675</v>
      </c>
      <c r="CN73" s="114">
        <f t="shared" si="142"/>
        <v>10582529.179764675</v>
      </c>
      <c r="CO73" s="116">
        <f t="shared" si="143"/>
        <v>0.91949999999999998</v>
      </c>
      <c r="CP73" s="126">
        <f t="shared" ca="1" si="144"/>
        <v>0</v>
      </c>
      <c r="CQ73" s="115">
        <f t="shared" ca="1" si="119"/>
        <v>0</v>
      </c>
      <c r="CR73" s="118" t="str">
        <f t="shared" si="145"/>
        <v>Uncapped</v>
      </c>
      <c r="CS73" s="115">
        <f t="shared" ca="1" si="120"/>
        <v>0</v>
      </c>
      <c r="CT73" s="113" t="s">
        <v>695</v>
      </c>
      <c r="CU73" s="119">
        <v>0.2</v>
      </c>
      <c r="CV73" s="113" t="s">
        <v>217</v>
      </c>
      <c r="CW73" s="113" t="s">
        <v>210</v>
      </c>
      <c r="CX73" s="113">
        <v>3218524.2772395075</v>
      </c>
      <c r="CY73" s="113">
        <v>4891430.2869874602</v>
      </c>
      <c r="CZ73" s="113">
        <v>4404508.3401344651</v>
      </c>
      <c r="DA73" s="113">
        <v>4778876.6076220032</v>
      </c>
      <c r="DB73" s="113">
        <v>3447884.2731999811</v>
      </c>
      <c r="DC73" s="113">
        <v>5129221.4675999712</v>
      </c>
      <c r="DD73" s="113">
        <v>4393334.4853999503</v>
      </c>
      <c r="DE73" s="113">
        <f>VLOOKUP($H73,[2]pivot!$V:$Z,$DE$2,FALSE)</f>
        <v>5251915.8515999708</v>
      </c>
      <c r="DF73" s="113"/>
      <c r="DG73" s="113"/>
      <c r="DH73" s="113"/>
      <c r="DI73" s="113"/>
      <c r="DJ73" s="114">
        <f t="shared" si="104"/>
        <v>3447884.2731999811</v>
      </c>
      <c r="DK73" s="114">
        <f t="shared" si="104"/>
        <v>5129221.4675999712</v>
      </c>
      <c r="DL73" s="114">
        <f t="shared" si="104"/>
        <v>4393334.4853999503</v>
      </c>
      <c r="DM73" s="114">
        <f t="shared" si="104"/>
        <v>5251915.8515999708</v>
      </c>
      <c r="DN73" s="114">
        <f t="shared" si="84"/>
        <v>18222356.077799872</v>
      </c>
      <c r="DO73" s="114">
        <f t="shared" si="96"/>
        <v>17293339.511983439</v>
      </c>
      <c r="DP73" s="114">
        <f t="shared" si="105"/>
        <v>17293339.511983439</v>
      </c>
      <c r="DQ73" s="116">
        <f t="shared" si="146"/>
        <v>1.0537000000000001</v>
      </c>
      <c r="DR73" s="126">
        <f t="shared" ca="1" si="121"/>
        <v>0</v>
      </c>
      <c r="DS73" s="115">
        <f t="shared" ca="1" si="122"/>
        <v>0</v>
      </c>
      <c r="DT73" s="118" t="str">
        <f t="shared" si="147"/>
        <v>Uncapped</v>
      </c>
      <c r="DU73" s="115">
        <f t="shared" ca="1" si="123"/>
        <v>0</v>
      </c>
      <c r="DV73" s="113"/>
      <c r="DW73" s="119">
        <v>0</v>
      </c>
      <c r="DX73" s="113"/>
      <c r="DY73" s="113"/>
      <c r="DZ73" s="113">
        <v>0</v>
      </c>
      <c r="EA73" s="113">
        <v>0</v>
      </c>
      <c r="EB73" s="113">
        <v>0</v>
      </c>
      <c r="EC73" s="113">
        <v>0</v>
      </c>
      <c r="ED73" s="113">
        <v>0</v>
      </c>
      <c r="EE73" s="113">
        <v>0</v>
      </c>
      <c r="EF73" s="113"/>
      <c r="EG73" s="113"/>
      <c r="EH73" s="113"/>
      <c r="EI73" s="113"/>
      <c r="EJ73" s="113"/>
      <c r="EK73" s="113"/>
      <c r="EL73" s="114">
        <f t="shared" si="106"/>
        <v>0</v>
      </c>
      <c r="EM73" s="114">
        <f t="shared" si="106"/>
        <v>0</v>
      </c>
      <c r="EN73" s="114">
        <f t="shared" si="106"/>
        <v>0</v>
      </c>
      <c r="EO73" s="114">
        <f t="shared" si="106"/>
        <v>0</v>
      </c>
      <c r="EP73" s="114">
        <f t="shared" si="124"/>
        <v>0</v>
      </c>
      <c r="EQ73" s="114">
        <f t="shared" si="97"/>
        <v>0</v>
      </c>
      <c r="ER73" s="114">
        <f t="shared" si="148"/>
        <v>0</v>
      </c>
      <c r="ES73" s="116">
        <f t="shared" si="149"/>
        <v>0</v>
      </c>
      <c r="ET73" s="126">
        <f t="shared" ca="1" si="150"/>
        <v>0</v>
      </c>
      <c r="EU73" s="115">
        <f t="shared" ca="1" si="125"/>
        <v>0</v>
      </c>
      <c r="EV73" s="118" t="str">
        <f t="shared" si="126"/>
        <v>Uncapped</v>
      </c>
      <c r="EW73" s="115">
        <f t="shared" ca="1" si="127"/>
        <v>0</v>
      </c>
      <c r="EX73" s="112">
        <f t="shared" ca="1" si="128"/>
        <v>0</v>
      </c>
      <c r="EY73" s="114">
        <f t="shared" ca="1" si="151"/>
        <v>0</v>
      </c>
      <c r="EZ73" s="115">
        <v>0</v>
      </c>
      <c r="FA73" s="115"/>
      <c r="FB73" s="115">
        <v>244000</v>
      </c>
      <c r="FC73" s="115">
        <v>0</v>
      </c>
      <c r="FD73" s="115">
        <f t="shared" si="98"/>
        <v>244000</v>
      </c>
      <c r="FE73" s="114">
        <f t="shared" si="87"/>
        <v>0</v>
      </c>
      <c r="FF73" s="115">
        <v>0</v>
      </c>
      <c r="FG73" s="115">
        <v>0</v>
      </c>
      <c r="FH73" s="115">
        <v>0</v>
      </c>
      <c r="FI73" s="115">
        <v>0</v>
      </c>
      <c r="FJ73" s="115">
        <f t="shared" si="99"/>
        <v>0</v>
      </c>
      <c r="FK73" s="114">
        <f t="shared" si="88"/>
        <v>0</v>
      </c>
      <c r="FL73" s="113"/>
      <c r="FM73" s="111"/>
      <c r="FN73" s="111"/>
      <c r="FO73" s="111"/>
      <c r="FP73" s="115">
        <f t="shared" si="129"/>
        <v>0</v>
      </c>
      <c r="FQ73" s="115"/>
      <c r="FR73" s="115"/>
      <c r="FS73" s="115"/>
      <c r="FT73" s="114">
        <f t="shared" si="152"/>
        <v>0</v>
      </c>
      <c r="FU73" s="366">
        <f t="shared" ca="1" si="155"/>
        <v>244000</v>
      </c>
      <c r="FV73" s="121">
        <f t="shared" ca="1" si="153"/>
        <v>244000</v>
      </c>
      <c r="FW73" s="114">
        <f t="shared" si="70"/>
        <v>0</v>
      </c>
      <c r="FX73" s="114">
        <f t="shared" si="70"/>
        <v>0</v>
      </c>
      <c r="FY73" s="114">
        <f t="shared" si="70"/>
        <v>0</v>
      </c>
      <c r="FZ73" s="114">
        <f t="shared" si="70"/>
        <v>0</v>
      </c>
      <c r="GA73" s="114">
        <f t="shared" si="130"/>
        <v>0</v>
      </c>
      <c r="GB73" s="114">
        <f t="shared" si="71"/>
        <v>0</v>
      </c>
      <c r="GC73" s="114">
        <f t="shared" si="71"/>
        <v>0</v>
      </c>
      <c r="GD73" s="114">
        <f t="shared" si="71"/>
        <v>244000</v>
      </c>
      <c r="GE73" s="114">
        <f t="shared" si="71"/>
        <v>0</v>
      </c>
      <c r="GF73" s="114">
        <f t="shared" si="72"/>
        <v>0</v>
      </c>
      <c r="GG73" s="114">
        <f t="shared" si="72"/>
        <v>0</v>
      </c>
      <c r="GH73" s="114">
        <f t="shared" si="72"/>
        <v>244000</v>
      </c>
      <c r="GI73" s="114">
        <f t="shared" si="72"/>
        <v>0</v>
      </c>
      <c r="GJ73" s="115">
        <f t="shared" si="100"/>
        <v>244000</v>
      </c>
      <c r="GK73" s="114">
        <f t="shared" si="131"/>
        <v>244000</v>
      </c>
      <c r="GL73" s="114">
        <f t="shared" si="132"/>
        <v>0</v>
      </c>
      <c r="GM73" s="114">
        <f t="shared" si="133"/>
        <v>0</v>
      </c>
      <c r="GN73" s="114">
        <f t="shared" si="134"/>
        <v>0</v>
      </c>
      <c r="GO73" s="114">
        <f t="shared" si="135"/>
        <v>0</v>
      </c>
      <c r="GP73" s="114">
        <f t="shared" si="101"/>
        <v>0</v>
      </c>
      <c r="GQ73" s="114">
        <f t="shared" si="136"/>
        <v>0</v>
      </c>
      <c r="GR73" s="193"/>
      <c r="GS73" s="122">
        <f t="shared" si="109"/>
        <v>29536172.454399742</v>
      </c>
      <c r="GT73" s="122">
        <f t="shared" si="109"/>
        <v>29175586.24949266</v>
      </c>
      <c r="GU73" s="123">
        <f t="shared" si="137"/>
        <v>1.0123591759844535</v>
      </c>
      <c r="GV73" s="124">
        <f t="shared" ca="1" si="138"/>
        <v>0</v>
      </c>
      <c r="GW73" s="124">
        <v>0</v>
      </c>
      <c r="GX73" s="32">
        <f t="shared" ca="1" si="139"/>
        <v>0</v>
      </c>
      <c r="GY73" s="100"/>
    </row>
    <row r="74" spans="1:207" s="125" customFormat="1" ht="15" customHeight="1">
      <c r="A74" s="102"/>
      <c r="B74" s="103"/>
      <c r="C74" s="103"/>
      <c r="D74" s="104"/>
      <c r="E74" s="104" t="s">
        <v>388</v>
      </c>
      <c r="F74" s="113" t="s">
        <v>388</v>
      </c>
      <c r="G74" s="104" t="s">
        <v>226</v>
      </c>
      <c r="H74" s="127" t="s">
        <v>400</v>
      </c>
      <c r="I74" s="546" t="s">
        <v>401</v>
      </c>
      <c r="J74" s="104" t="s">
        <v>212</v>
      </c>
      <c r="K74" s="104" t="s">
        <v>218</v>
      </c>
      <c r="L74" s="104" t="s">
        <v>213</v>
      </c>
      <c r="M74" s="104" t="s">
        <v>388</v>
      </c>
      <c r="N74" s="107"/>
      <c r="O74" s="108">
        <v>42135</v>
      </c>
      <c r="P74" s="108">
        <v>42705</v>
      </c>
      <c r="Q74" s="322">
        <f t="shared" si="112"/>
        <v>0</v>
      </c>
      <c r="R74" s="109">
        <f>IF((P74-VLOOKUP(Q74,month!$A$1:$C$13,3,0))&lt;0,Q74,Q74+1)</f>
        <v>0</v>
      </c>
      <c r="S74" s="108"/>
      <c r="T74" s="110" t="str">
        <f t="shared" si="154"/>
        <v/>
      </c>
      <c r="U74" s="107"/>
      <c r="V74" s="107"/>
      <c r="W74" s="107"/>
      <c r="X74" s="107"/>
      <c r="Y74" s="386"/>
      <c r="Z74" s="386" t="s">
        <v>545</v>
      </c>
      <c r="AA74" s="387">
        <v>1000</v>
      </c>
      <c r="AB74" s="387">
        <v>1000</v>
      </c>
      <c r="AC74" s="387">
        <v>1000</v>
      </c>
      <c r="AD74" s="387">
        <v>1000</v>
      </c>
      <c r="AE74" s="387">
        <v>1000</v>
      </c>
      <c r="AF74" s="387">
        <v>1000</v>
      </c>
      <c r="AG74" s="387">
        <v>1000</v>
      </c>
      <c r="AH74" s="387">
        <v>1000</v>
      </c>
      <c r="AI74" s="387">
        <v>1000</v>
      </c>
      <c r="AJ74" s="387">
        <v>1000</v>
      </c>
      <c r="AK74" s="387">
        <v>1000</v>
      </c>
      <c r="AL74" s="387">
        <v>1000</v>
      </c>
      <c r="AM74" s="388">
        <f t="shared" si="92"/>
        <v>12000</v>
      </c>
      <c r="AN74" s="388">
        <f t="shared" si="113"/>
        <v>12000</v>
      </c>
      <c r="AO74" s="389">
        <f t="shared" si="111"/>
        <v>1000</v>
      </c>
      <c r="AP74" s="498" t="s">
        <v>671</v>
      </c>
      <c r="AQ74" s="159">
        <v>0.4</v>
      </c>
      <c r="AR74" s="160" t="s">
        <v>392</v>
      </c>
      <c r="AS74" s="119" t="s">
        <v>210</v>
      </c>
      <c r="AT74" s="111">
        <v>113396.21028497579</v>
      </c>
      <c r="AU74" s="111">
        <v>295157.75022720953</v>
      </c>
      <c r="AV74" s="111"/>
      <c r="AW74" s="111"/>
      <c r="AX74" s="113">
        <v>55087.9</v>
      </c>
      <c r="AY74" s="113">
        <v>163437.84</v>
      </c>
      <c r="AZ74" s="589"/>
      <c r="BA74" s="589"/>
      <c r="BB74" s="113"/>
      <c r="BC74" s="113"/>
      <c r="BD74" s="113"/>
      <c r="BE74" s="113"/>
      <c r="BF74" s="114">
        <f t="shared" si="102"/>
        <v>55087.9</v>
      </c>
      <c r="BG74" s="114">
        <f t="shared" si="102"/>
        <v>163437.84</v>
      </c>
      <c r="BH74" s="114">
        <f t="shared" si="102"/>
        <v>0</v>
      </c>
      <c r="BI74" s="114">
        <f t="shared" si="102"/>
        <v>0</v>
      </c>
      <c r="BJ74" s="114">
        <f t="shared" si="108"/>
        <v>218525.74</v>
      </c>
      <c r="BK74" s="115">
        <f t="shared" si="94"/>
        <v>408553.96051218535</v>
      </c>
      <c r="BL74" s="115">
        <f t="shared" si="140"/>
        <v>408553.96051218535</v>
      </c>
      <c r="BM74" s="116">
        <f t="shared" si="141"/>
        <v>0.53490000000000004</v>
      </c>
      <c r="BN74" s="126">
        <f t="shared" ca="1" si="114"/>
        <v>0</v>
      </c>
      <c r="BO74" s="117">
        <f t="shared" ca="1" si="115"/>
        <v>0</v>
      </c>
      <c r="BP74" s="118" t="str">
        <f t="shared" si="116"/>
        <v>Uncapped</v>
      </c>
      <c r="BQ74" s="115">
        <f t="shared" ca="1" si="117"/>
        <v>0</v>
      </c>
      <c r="BR74" s="113" t="s">
        <v>691</v>
      </c>
      <c r="BS74" s="159">
        <v>0.4</v>
      </c>
      <c r="BT74" s="160" t="s">
        <v>211</v>
      </c>
      <c r="BU74" s="160" t="s">
        <v>210</v>
      </c>
      <c r="BV74" s="113">
        <v>2616407.1981056477</v>
      </c>
      <c r="BW74" s="113">
        <v>3516179.7032821518</v>
      </c>
      <c r="BX74" s="589">
        <v>0</v>
      </c>
      <c r="BY74" s="589">
        <v>0</v>
      </c>
      <c r="BZ74" s="113">
        <v>2600578.9209999898</v>
      </c>
      <c r="CA74" s="113">
        <v>2824467.5302000102</v>
      </c>
      <c r="CB74" s="589">
        <v>0</v>
      </c>
      <c r="CC74" s="589"/>
      <c r="CD74" s="113"/>
      <c r="CE74" s="113"/>
      <c r="CF74" s="113"/>
      <c r="CG74" s="113"/>
      <c r="CH74" s="114">
        <f t="shared" si="103"/>
        <v>2600578.9209999898</v>
      </c>
      <c r="CI74" s="114">
        <f t="shared" si="103"/>
        <v>2824467.5302000102</v>
      </c>
      <c r="CJ74" s="120">
        <f t="shared" si="103"/>
        <v>0</v>
      </c>
      <c r="CK74" s="114">
        <f t="shared" si="103"/>
        <v>0</v>
      </c>
      <c r="CL74" s="114">
        <f t="shared" si="118"/>
        <v>5425046.4512</v>
      </c>
      <c r="CM74" s="114">
        <f t="shared" si="95"/>
        <v>6132586.9013877995</v>
      </c>
      <c r="CN74" s="114">
        <f t="shared" si="142"/>
        <v>6132586.9013877995</v>
      </c>
      <c r="CO74" s="116">
        <f t="shared" si="143"/>
        <v>0.88460000000000005</v>
      </c>
      <c r="CP74" s="126">
        <f t="shared" ca="1" si="144"/>
        <v>0</v>
      </c>
      <c r="CQ74" s="115">
        <f t="shared" ca="1" si="119"/>
        <v>0</v>
      </c>
      <c r="CR74" s="118" t="str">
        <f t="shared" si="145"/>
        <v>Uncapped</v>
      </c>
      <c r="CS74" s="115">
        <f t="shared" ca="1" si="120"/>
        <v>0</v>
      </c>
      <c r="CT74" s="113" t="s">
        <v>695</v>
      </c>
      <c r="CU74" s="119">
        <v>0.2</v>
      </c>
      <c r="CV74" s="113" t="s">
        <v>217</v>
      </c>
      <c r="CW74" s="113" t="s">
        <v>210</v>
      </c>
      <c r="CX74" s="113">
        <v>3428789.7311367933</v>
      </c>
      <c r="CY74" s="113">
        <v>5408231.2228889018</v>
      </c>
      <c r="CZ74" s="596"/>
      <c r="DA74" s="596"/>
      <c r="DB74" s="113">
        <v>3679555.30579999</v>
      </c>
      <c r="DC74" s="113">
        <v>4808194.2835000101</v>
      </c>
      <c r="DD74" s="589"/>
      <c r="DE74" s="589"/>
      <c r="DF74" s="113"/>
      <c r="DG74" s="113"/>
      <c r="DH74" s="113"/>
      <c r="DI74" s="113"/>
      <c r="DJ74" s="114">
        <f t="shared" si="104"/>
        <v>3679555.30579999</v>
      </c>
      <c r="DK74" s="114">
        <f t="shared" si="104"/>
        <v>4808194.2835000101</v>
      </c>
      <c r="DL74" s="114">
        <f t="shared" si="104"/>
        <v>0</v>
      </c>
      <c r="DM74" s="114">
        <f t="shared" si="104"/>
        <v>0</v>
      </c>
      <c r="DN74" s="114">
        <f t="shared" si="84"/>
        <v>8487749.5892999992</v>
      </c>
      <c r="DO74" s="114">
        <f t="shared" si="96"/>
        <v>8837020.9540256951</v>
      </c>
      <c r="DP74" s="114">
        <f t="shared" si="105"/>
        <v>8837020.9540256951</v>
      </c>
      <c r="DQ74" s="116">
        <f t="shared" si="146"/>
        <v>0.96050000000000002</v>
      </c>
      <c r="DR74" s="126">
        <f t="shared" ca="1" si="121"/>
        <v>0</v>
      </c>
      <c r="DS74" s="115">
        <f t="shared" ca="1" si="122"/>
        <v>0</v>
      </c>
      <c r="DT74" s="118" t="str">
        <f t="shared" si="147"/>
        <v>Uncapped</v>
      </c>
      <c r="DU74" s="115">
        <f t="shared" ca="1" si="123"/>
        <v>0</v>
      </c>
      <c r="DV74" s="113"/>
      <c r="DW74" s="119">
        <v>0</v>
      </c>
      <c r="DX74" s="113"/>
      <c r="DY74" s="113"/>
      <c r="DZ74" s="113">
        <v>0</v>
      </c>
      <c r="EA74" s="113">
        <v>0</v>
      </c>
      <c r="EB74" s="113">
        <v>0</v>
      </c>
      <c r="EC74" s="113">
        <v>0</v>
      </c>
      <c r="ED74" s="113">
        <v>0</v>
      </c>
      <c r="EE74" s="113">
        <v>0</v>
      </c>
      <c r="EF74" s="113"/>
      <c r="EG74" s="113"/>
      <c r="EH74" s="113"/>
      <c r="EI74" s="113"/>
      <c r="EJ74" s="113"/>
      <c r="EK74" s="113"/>
      <c r="EL74" s="114">
        <f t="shared" si="106"/>
        <v>0</v>
      </c>
      <c r="EM74" s="114">
        <f t="shared" si="106"/>
        <v>0</v>
      </c>
      <c r="EN74" s="114">
        <f t="shared" si="106"/>
        <v>0</v>
      </c>
      <c r="EO74" s="114">
        <f t="shared" si="106"/>
        <v>0</v>
      </c>
      <c r="EP74" s="114">
        <f t="shared" si="124"/>
        <v>0</v>
      </c>
      <c r="EQ74" s="114">
        <f t="shared" si="97"/>
        <v>0</v>
      </c>
      <c r="ER74" s="114">
        <f t="shared" si="148"/>
        <v>0</v>
      </c>
      <c r="ES74" s="116">
        <f t="shared" si="149"/>
        <v>0</v>
      </c>
      <c r="ET74" s="126">
        <f t="shared" ca="1" si="150"/>
        <v>0</v>
      </c>
      <c r="EU74" s="115">
        <f t="shared" ca="1" si="125"/>
        <v>0</v>
      </c>
      <c r="EV74" s="118" t="str">
        <f t="shared" si="126"/>
        <v>Uncapped</v>
      </c>
      <c r="EW74" s="115">
        <f t="shared" ca="1" si="127"/>
        <v>0</v>
      </c>
      <c r="EX74" s="112">
        <f t="shared" ca="1" si="128"/>
        <v>0</v>
      </c>
      <c r="EY74" s="114">
        <f t="shared" ca="1" si="151"/>
        <v>0</v>
      </c>
      <c r="EZ74" s="115">
        <v>0</v>
      </c>
      <c r="FA74" s="115">
        <v>263200</v>
      </c>
      <c r="FB74" s="115"/>
      <c r="FC74" s="115">
        <v>0</v>
      </c>
      <c r="FD74" s="115">
        <f t="shared" si="98"/>
        <v>263200</v>
      </c>
      <c r="FE74" s="114">
        <f t="shared" si="87"/>
        <v>0</v>
      </c>
      <c r="FF74" s="115">
        <v>0</v>
      </c>
      <c r="FG74" s="115">
        <v>0</v>
      </c>
      <c r="FH74" s="115">
        <v>0</v>
      </c>
      <c r="FI74" s="115">
        <v>0</v>
      </c>
      <c r="FJ74" s="115">
        <f t="shared" si="99"/>
        <v>0</v>
      </c>
      <c r="FK74" s="114">
        <f t="shared" si="88"/>
        <v>0</v>
      </c>
      <c r="FL74" s="113"/>
      <c r="FM74" s="111"/>
      <c r="FN74" s="111"/>
      <c r="FO74" s="111"/>
      <c r="FP74" s="115">
        <f t="shared" si="129"/>
        <v>0</v>
      </c>
      <c r="FQ74" s="115"/>
      <c r="FR74" s="488"/>
      <c r="FS74" s="115"/>
      <c r="FT74" s="114">
        <f t="shared" si="152"/>
        <v>0</v>
      </c>
      <c r="FU74" s="366">
        <f t="shared" ca="1" si="155"/>
        <v>263200</v>
      </c>
      <c r="FV74" s="121">
        <f t="shared" ca="1" si="153"/>
        <v>263200</v>
      </c>
      <c r="FW74" s="114">
        <f t="shared" si="70"/>
        <v>0</v>
      </c>
      <c r="FX74" s="114">
        <f t="shared" si="70"/>
        <v>0</v>
      </c>
      <c r="FY74" s="114">
        <f t="shared" si="70"/>
        <v>0</v>
      </c>
      <c r="FZ74" s="114">
        <f t="shared" si="70"/>
        <v>0</v>
      </c>
      <c r="GA74" s="114">
        <f t="shared" si="130"/>
        <v>0</v>
      </c>
      <c r="GB74" s="114">
        <f t="shared" si="71"/>
        <v>0</v>
      </c>
      <c r="GC74" s="114">
        <f t="shared" si="71"/>
        <v>263200</v>
      </c>
      <c r="GD74" s="114">
        <f t="shared" si="71"/>
        <v>0</v>
      </c>
      <c r="GE74" s="114">
        <f t="shared" si="71"/>
        <v>0</v>
      </c>
      <c r="GF74" s="114">
        <f t="shared" si="72"/>
        <v>0</v>
      </c>
      <c r="GG74" s="114">
        <f t="shared" si="72"/>
        <v>263200</v>
      </c>
      <c r="GH74" s="114">
        <f t="shared" si="72"/>
        <v>0</v>
      </c>
      <c r="GI74" s="114">
        <f t="shared" si="72"/>
        <v>0</v>
      </c>
      <c r="GJ74" s="115">
        <f t="shared" si="100"/>
        <v>263200</v>
      </c>
      <c r="GK74" s="114">
        <f t="shared" si="131"/>
        <v>263200</v>
      </c>
      <c r="GL74" s="114">
        <f t="shared" si="132"/>
        <v>0</v>
      </c>
      <c r="GM74" s="114">
        <f t="shared" si="133"/>
        <v>0</v>
      </c>
      <c r="GN74" s="114">
        <f t="shared" si="134"/>
        <v>0</v>
      </c>
      <c r="GO74" s="114">
        <f t="shared" si="135"/>
        <v>0</v>
      </c>
      <c r="GP74" s="114">
        <f t="shared" si="101"/>
        <v>0</v>
      </c>
      <c r="GQ74" s="114">
        <f t="shared" si="136"/>
        <v>0</v>
      </c>
      <c r="GR74" s="193"/>
      <c r="GS74" s="122">
        <f t="shared" si="109"/>
        <v>14131321.780499998</v>
      </c>
      <c r="GT74" s="122">
        <f t="shared" si="109"/>
        <v>15378161.81592568</v>
      </c>
      <c r="GU74" s="123">
        <f t="shared" si="137"/>
        <v>0.91892138668130996</v>
      </c>
      <c r="GV74" s="124">
        <f t="shared" ca="1" si="138"/>
        <v>0</v>
      </c>
      <c r="GW74" s="124">
        <v>0</v>
      </c>
      <c r="GX74" s="32">
        <f t="shared" ca="1" si="139"/>
        <v>0</v>
      </c>
      <c r="GY74" s="100"/>
    </row>
    <row r="75" spans="1:207" s="408" customFormat="1">
      <c r="C75" s="402"/>
      <c r="D75" s="402"/>
      <c r="E75" s="403"/>
      <c r="F75" s="403" t="s">
        <v>782</v>
      </c>
      <c r="G75" s="403" t="s">
        <v>226</v>
      </c>
      <c r="H75" s="127" t="s">
        <v>400</v>
      </c>
      <c r="I75" s="548" t="s">
        <v>401</v>
      </c>
      <c r="J75" s="403" t="s">
        <v>212</v>
      </c>
      <c r="K75" s="403" t="s">
        <v>218</v>
      </c>
      <c r="L75" s="403" t="s">
        <v>213</v>
      </c>
      <c r="M75" s="403" t="s">
        <v>388</v>
      </c>
      <c r="N75" s="404"/>
      <c r="O75" s="553">
        <v>42135</v>
      </c>
      <c r="P75" s="108">
        <v>43647</v>
      </c>
      <c r="Q75" s="176">
        <f>IF(P75&gt;$Q$2,MONTH(P75),0)</f>
        <v>7</v>
      </c>
      <c r="R75" s="176">
        <f>IF((P75-VLOOKUP(Q75,month!$A$1:$C$13,3,0))&lt;0,Q75,Q75+1)</f>
        <v>7</v>
      </c>
      <c r="S75" s="176"/>
      <c r="T75" s="110" t="str">
        <f>IF(S75&gt;0,"Y","")</f>
        <v/>
      </c>
      <c r="U75" s="483" t="s">
        <v>214</v>
      </c>
      <c r="V75" s="404"/>
      <c r="W75" s="405"/>
      <c r="X75" s="484">
        <v>3</v>
      </c>
      <c r="Y75" s="386"/>
      <c r="Z75" s="406" t="s">
        <v>545</v>
      </c>
      <c r="AA75" s="394">
        <v>1000</v>
      </c>
      <c r="AB75" s="394">
        <v>1000</v>
      </c>
      <c r="AC75" s="394">
        <v>1000</v>
      </c>
      <c r="AD75" s="394">
        <v>1000</v>
      </c>
      <c r="AE75" s="394">
        <v>1000</v>
      </c>
      <c r="AF75" s="394">
        <v>1000</v>
      </c>
      <c r="AG75" s="394">
        <v>1000</v>
      </c>
      <c r="AH75" s="394">
        <v>1000</v>
      </c>
      <c r="AI75" s="394">
        <v>1000</v>
      </c>
      <c r="AJ75" s="394">
        <v>1000</v>
      </c>
      <c r="AK75" s="394">
        <v>1000</v>
      </c>
      <c r="AL75" s="394">
        <v>1000</v>
      </c>
      <c r="AM75" s="388">
        <f>IF($H$2=1,SUM(AA75:AC75),IF($H$2=2,SUM(AA75:AF75),IF($H$2=3,SUM(AA75:AI75),SUM(AA75:AL75))))</f>
        <v>12000</v>
      </c>
      <c r="AN75" s="388">
        <f>SUM(AA75:AL75)+INDEX(AA75:AL75,,MATCH($H$3,$AA$5:$AL$5,0))*(12-COUNTA(AA75:AL75))</f>
        <v>12000</v>
      </c>
      <c r="AO75" s="389">
        <f>AI75</f>
        <v>1000</v>
      </c>
      <c r="AP75" s="502" t="s">
        <v>780</v>
      </c>
      <c r="AQ75" s="159">
        <v>0.8</v>
      </c>
      <c r="AR75" s="103" t="s">
        <v>211</v>
      </c>
      <c r="AS75" s="103" t="s">
        <v>210</v>
      </c>
      <c r="AT75" s="588"/>
      <c r="AU75" s="588"/>
      <c r="AV75" s="111">
        <v>532249.67026799999</v>
      </c>
      <c r="AW75" s="111">
        <v>678509.59369499981</v>
      </c>
      <c r="AX75" s="589"/>
      <c r="AY75" s="589"/>
      <c r="AZ75" s="113">
        <v>585532.62884814502</v>
      </c>
      <c r="BA75" s="113">
        <v>708515.90800000005</v>
      </c>
      <c r="BB75" s="113"/>
      <c r="BC75" s="113"/>
      <c r="BD75" s="113"/>
      <c r="BE75" s="113"/>
      <c r="BF75" s="114">
        <f>AX75+BB75</f>
        <v>0</v>
      </c>
      <c r="BG75" s="114">
        <f>AY75+BC75</f>
        <v>0</v>
      </c>
      <c r="BH75" s="114">
        <f>AZ75+BD75</f>
        <v>585532.62884814502</v>
      </c>
      <c r="BI75" s="114">
        <f>BA75+BE75</f>
        <v>708515.90800000005</v>
      </c>
      <c r="BJ75" s="114">
        <f>IF($BB$3="After AR Adjustment",IF($H$2=1,BF75,IF($H$2=2,SUM(BF75:BG75),IF($H$2=3,SUM(BF75:BH75),SUM(BF75:BI75)))),IF($H$2=1,AX75,IF($H$2=2,SUM(AX75:AY75),IF($H$2=3,SUM(AX75:AZ75),SUM(AX75:BA75)))))</f>
        <v>1294048.5368481451</v>
      </c>
      <c r="BK75" s="115">
        <f>IF($H$2=1,AT75,IF($H$2=2,SUM(AT75:AU75),IF($H$2=3,SUM(AT75:AV75),SUM(AT75:AW75))))</f>
        <v>1210759.2639629999</v>
      </c>
      <c r="BL75" s="115">
        <f>SUM(AT75:AW75)</f>
        <v>1210759.2639629999</v>
      </c>
      <c r="BM75" s="116">
        <f>IFERROR(ROUND(BJ75/BK75,4),0)</f>
        <v>1.0688</v>
      </c>
      <c r="BN75" s="126">
        <f ca="1">IF(OR(AP75="MBO",AP75="10% Realized Price"),BM75,SUMPRODUCT(Lower_Payout*(Curve=AR75)*(Lower_Attain&lt;=BM75)*(Upper_Attain&gt;BM75))+(BM75-SUMPRODUCT(Lower_Attain*(Curve=AR75)*(Lower_Attain&lt;=BM75)*(Upper_Attain&gt;BM75)))*SUMPRODUCT(Slope*(Curve=AR75)*(Lower_Attain&lt;=BM75)*(Upper_Attain&gt;BM75)))</f>
        <v>0</v>
      </c>
      <c r="BO75" s="117">
        <f ca="1">IFERROR(AM75*AQ75*BN75,0)</f>
        <v>0</v>
      </c>
      <c r="BP75" s="118" t="str">
        <f>IF($T75="Y","100%",IF($H$2=4,"Uncapped",IF(N75="Y","100%",IF($G75="AA","50%",IF($G75="SA","90%",IF($G75="APJ Regional-AA","50%",IF($G75="APJ Regional-SA","90%",75%)))))))</f>
        <v>Uncapped</v>
      </c>
      <c r="BQ75" s="115">
        <f ca="1">IF(BP75="Uncapped",BO75,IFERROR(AM75*AQ75*BP75,0))</f>
        <v>0</v>
      </c>
      <c r="BR75" s="599"/>
      <c r="BS75" s="175">
        <v>0</v>
      </c>
      <c r="BT75" s="174"/>
      <c r="BU75" s="174"/>
      <c r="BV75" s="589"/>
      <c r="BW75" s="589"/>
      <c r="BX75" s="596"/>
      <c r="BY75" s="596"/>
      <c r="BZ75" s="597"/>
      <c r="CA75" s="597"/>
      <c r="CB75" s="596"/>
      <c r="CC75" s="596"/>
      <c r="CD75" s="113"/>
      <c r="CE75" s="113"/>
      <c r="CF75" s="113"/>
      <c r="CG75" s="113"/>
      <c r="CH75" s="114">
        <f>BZ75+CD75</f>
        <v>0</v>
      </c>
      <c r="CI75" s="114">
        <f>CA75+CE75</f>
        <v>0</v>
      </c>
      <c r="CJ75" s="592">
        <f>CB75+CF75</f>
        <v>0</v>
      </c>
      <c r="CK75" s="114">
        <f>CC75+CG75</f>
        <v>0</v>
      </c>
      <c r="CL75" s="114">
        <f>IF($BB$3="After AR Adjustment",IF($H$2=1,CH75,IF($H$2=2,SUM(CH75:CI75),IF($H$2=3,SUM(CH75:CJ75),SUM(CH75:CK75)))),IF($H$2=1,BZ75,IF($H$2=2,SUM(BZ75:CA75),IF($H$2=3,SUM(BZ75:CB75),SUM(BZ75:CC75)))))</f>
        <v>0</v>
      </c>
      <c r="CM75" s="114">
        <f>IF($H$2=1,BV75,IF($H$2=2,SUM(BV75:BW75),IF($H$2=3,SUM(BV75:BX75),SUM(BV75:BY75))))</f>
        <v>0</v>
      </c>
      <c r="CN75" s="114">
        <f>SUM(BV75:BY75)</f>
        <v>0</v>
      </c>
      <c r="CO75" s="116">
        <f>IFERROR(ROUND(CL75/CM75,4),0)</f>
        <v>0</v>
      </c>
      <c r="CP75" s="126">
        <f ca="1">IF(OR(BR75="MBO",BR75="10% Realized Price"),CO75,SUMPRODUCT(Lower_Payout*(Curve=BT75)*(Lower_Attain&lt;=CO75)*(Upper_Attain&gt;CO75))+(CO75-SUMPRODUCT(Lower_Attain*(Curve=BT75)*(Lower_Attain&lt;=CO75)*(Upper_Attain&gt;CO75)))*SUMPRODUCT(Slope*(Curve=BT75)*(Lower_Attain&lt;=CO75)*(Upper_Attain&gt;CO75)))</f>
        <v>0</v>
      </c>
      <c r="CQ75" s="115">
        <f ca="1">AM75*BS75*CP75</f>
        <v>0</v>
      </c>
      <c r="CR75" s="118" t="str">
        <f>IF($T75="Y","100%",IF($H$2=4,"Uncapped",IF(N75="Y","100%",IF($G75="AA","50%",IF($G75="SA","90%",IF($G75="APJ Regional-AA","50%",IF($G75="APJ Regional-SA","90%",75%)))))))</f>
        <v>Uncapped</v>
      </c>
      <c r="CS75" s="115">
        <f ca="1">IF(CR75="Uncapped",CQ75,IFERROR(AM75*BS75*CR75,0))</f>
        <v>0</v>
      </c>
      <c r="CT75" s="113" t="s">
        <v>695</v>
      </c>
      <c r="CU75" s="119">
        <v>0.2</v>
      </c>
      <c r="CV75" s="113" t="s">
        <v>217</v>
      </c>
      <c r="CW75" s="113"/>
      <c r="CX75" s="589"/>
      <c r="CY75" s="589"/>
      <c r="CZ75" s="113">
        <v>2114904.2976073599</v>
      </c>
      <c r="DA75" s="113">
        <v>1687946.934656464</v>
      </c>
      <c r="DB75" s="591"/>
      <c r="DC75" s="591"/>
      <c r="DD75" s="113">
        <v>2686187.06094814</v>
      </c>
      <c r="DE75" s="113">
        <v>1092201.1711000004</v>
      </c>
      <c r="DF75" s="113"/>
      <c r="DG75" s="113"/>
      <c r="DH75" s="113"/>
      <c r="DI75" s="113"/>
      <c r="DJ75" s="114">
        <f>DB75+DF75</f>
        <v>0</v>
      </c>
      <c r="DK75" s="114">
        <f>DC75+DG75</f>
        <v>0</v>
      </c>
      <c r="DL75" s="114">
        <f>DD75+DH75</f>
        <v>2686187.06094814</v>
      </c>
      <c r="DM75" s="114">
        <f>DE75+DI75</f>
        <v>1092201.1711000004</v>
      </c>
      <c r="DN75" s="114">
        <f>IF($BB$3="After AR Adjustment",IF($H$2=1,DJ75,IF($H$2=2,SUM(DJ75:DK75),IF($H$2=3,SUM(DJ75:DL75),SUM(DJ75:DM75)))),IF($H$2=1,DB75,IF($H$2=2,SUM(DB75:DC75),IF($H$2=3,SUM(DB75:DD75),SUM(DB75:DE75)))))</f>
        <v>3778388.2320481404</v>
      </c>
      <c r="DO75" s="114">
        <f>IF($H$2=1,CX75,IF($H$2=2,SUM(CX75:CY75),IF($H$2=3,SUM(CX75:CZ75),SUM(CX75:DA75))))</f>
        <v>3802851.232263824</v>
      </c>
      <c r="DP75" s="114">
        <f>SUM(CX75:DA75)</f>
        <v>3802851.232263824</v>
      </c>
      <c r="DQ75" s="116">
        <f>IFERROR(ROUND(DN75/DO75,4),0)</f>
        <v>0.99360000000000004</v>
      </c>
      <c r="DR75" s="126">
        <f ca="1">IF(OR(CT75="MBO",CT75="10% Realized Price"),DQ75,SUMPRODUCT(Lower_Payout*(Curve=CV75)*(Lower_Attain&lt;=DQ75)*(Upper_Attain&gt;DQ75))+(DQ75-SUMPRODUCT(Lower_Attain*(Curve=CV75)*(Lower_Attain&lt;=DQ75)*(Upper_Attain&gt;DQ75)))*SUMPRODUCT(Slope*(Curve=CV75)*(Lower_Attain&lt;=DQ75)*(Upper_Attain&gt;DQ75)))</f>
        <v>0</v>
      </c>
      <c r="DS75" s="115">
        <f ca="1">AM75*CU75*DR75</f>
        <v>0</v>
      </c>
      <c r="DT75" s="118" t="str">
        <f>IF($T75="Y","100%",IF($H$2=4,"Uncapped",IF(N75="Y","100%",IF($G75="AA","50%",IF($G75="SA","90%",IF($G75="APJ Regional-AA","50%",IF($G75="APJ Regional-SA","90%",75%)))))))</f>
        <v>Uncapped</v>
      </c>
      <c r="DU75" s="115">
        <f ca="1">IF(DT75="Uncapped",DS75,IFERROR(AM75*CU75*DT75,0))</f>
        <v>0</v>
      </c>
      <c r="DV75" s="113"/>
      <c r="DW75" s="119"/>
      <c r="DX75" s="113"/>
      <c r="DY75" s="113"/>
      <c r="DZ75" s="113"/>
      <c r="EA75" s="113"/>
      <c r="EB75" s="113"/>
      <c r="EC75" s="113"/>
      <c r="ED75" s="113"/>
      <c r="EE75" s="113"/>
      <c r="EF75" s="113"/>
      <c r="EG75" s="113"/>
      <c r="EH75" s="113"/>
      <c r="EI75" s="113"/>
      <c r="EJ75" s="113"/>
      <c r="EK75" s="113"/>
      <c r="EL75" s="114">
        <f>ED75+EH75</f>
        <v>0</v>
      </c>
      <c r="EM75" s="114">
        <f>EE75+EI75</f>
        <v>0</v>
      </c>
      <c r="EN75" s="114">
        <f>EF75+EJ75</f>
        <v>0</v>
      </c>
      <c r="EO75" s="114">
        <f>EG75+EK75</f>
        <v>0</v>
      </c>
      <c r="EP75" s="114">
        <f>IF($BB$3="After AR Adjustment",IF($H$2=1,EL75,IF($H$2=2,SUM(EL75:EM75),IF($H$2=3,SUM(EL75:EN75),SUM(EL75:EO75)))),IF($H$2=1,ED75,IF($H$2=2,SUM(ED75:EE75),IF($H$2=3,SUM(ED75:EF75),SUM(ED75:EG75)))))</f>
        <v>0</v>
      </c>
      <c r="EQ75" s="114">
        <f>IF($H$2=1,DZ75,IF($H$2=2,SUM(DZ75:EA75),IF($H$2=3,SUM(DZ75:EB75),SUM(DZ75:EC75))))</f>
        <v>0</v>
      </c>
      <c r="ER75" s="114">
        <f>SUM(DZ75:EC75)</f>
        <v>0</v>
      </c>
      <c r="ES75" s="116">
        <f>IFERROR(ROUND(EP75/EQ75,4),0)</f>
        <v>0</v>
      </c>
      <c r="ET75" s="126">
        <f ca="1">IF(OR(DV75="MBO",DV75="10% Realized Price"),ES75,SUMPRODUCT(Lower_Payout*(Curve=DX75)*(Lower_Attain&lt;=ES75)*(Upper_Attain&gt;ES75))+(ES75-SUMPRODUCT(Lower_Attain*(Curve=DX75)*(Lower_Attain&lt;=ES75)*(Upper_Attain&gt;ES75)))*SUMPRODUCT(Slope*(Curve=DX75)*(Lower_Attain&lt;=ES75)*(Upper_Attain&gt;ES75)))</f>
        <v>0</v>
      </c>
      <c r="EU75" s="115">
        <f ca="1">AM75*DW75*ET75</f>
        <v>0</v>
      </c>
      <c r="EV75" s="118" t="str">
        <f>IF($T75="Y","100%",IF(DX75="T2","200%",IF($H$2=4,"Uncapped",IF($G75="AA","50%",IF($G75="SA","90%",IF($G75="APJ Regional-AA","50%",IF($G75="APJ Regional-SA","90%",75%)))))))</f>
        <v>Uncapped</v>
      </c>
      <c r="EW75" s="115">
        <f ca="1">IF(EV75="Uncapped",EU75,IFERROR(AM75*DW75*EV75,0))</f>
        <v>0</v>
      </c>
      <c r="EX75" s="112">
        <f ca="1">MIN(BO75,BQ75)+MIN(CQ75,CS75)+MIN(DS75,DU75)+MIN(EU75,EW75)</f>
        <v>0</v>
      </c>
      <c r="EY75" s="114">
        <f ca="1">MAX(EX75,GP75)</f>
        <v>3000</v>
      </c>
      <c r="EZ75" s="115">
        <v>0</v>
      </c>
      <c r="FA75" s="115">
        <v>0</v>
      </c>
      <c r="FB75" s="115"/>
      <c r="FC75" s="115">
        <v>0</v>
      </c>
      <c r="FD75" s="115">
        <f>IF($H$2=1,EZ75,IF($H$2=2,SUM(EZ75:FA75),IF($H$2=3,SUM(EZ75:FB75),SUM(EZ75:FC75))))</f>
        <v>0</v>
      </c>
      <c r="FE75" s="114">
        <f t="shared" si="87"/>
        <v>0</v>
      </c>
      <c r="FF75" s="115">
        <v>0</v>
      </c>
      <c r="FG75" s="115">
        <v>0</v>
      </c>
      <c r="FH75" s="115">
        <v>0</v>
      </c>
      <c r="FI75" s="115">
        <v>0</v>
      </c>
      <c r="FJ75" s="115">
        <f>IF($H$2=1,FF75,IF($H$2=2,SUM(FF75:FG75),IF($H$2=3,SUM(FF75:FH75),SUM(FF75:FI75))))</f>
        <v>0</v>
      </c>
      <c r="FK75" s="114">
        <f t="shared" si="88"/>
        <v>0</v>
      </c>
      <c r="FL75" s="113"/>
      <c r="FM75" s="111"/>
      <c r="FN75" s="111"/>
      <c r="FO75" s="111"/>
      <c r="FP75" s="115">
        <f>SUM(FL75:FO75)</f>
        <v>0</v>
      </c>
      <c r="FQ75" s="115"/>
      <c r="FR75" s="115"/>
      <c r="FS75" s="115"/>
      <c r="FT75" s="114">
        <f>SUM(FQ75:FS75)</f>
        <v>0</v>
      </c>
      <c r="FU75" s="366">
        <f ca="1">ROUND(MAX(FV75-FT75,0),2)</f>
        <v>3000</v>
      </c>
      <c r="FV75" s="121">
        <f ca="1">SUM(EY75,FD75,FJ75,FP75)</f>
        <v>3000</v>
      </c>
      <c r="FW75" s="114">
        <f>FF75</f>
        <v>0</v>
      </c>
      <c r="FX75" s="114">
        <f>FG75</f>
        <v>0</v>
      </c>
      <c r="FY75" s="114">
        <f>FH75</f>
        <v>0</v>
      </c>
      <c r="FZ75" s="114">
        <f>FI75</f>
        <v>0</v>
      </c>
      <c r="GA75" s="114">
        <f>SUM(FW75:FZ75)</f>
        <v>0</v>
      </c>
      <c r="GB75" s="114">
        <f>EZ75</f>
        <v>0</v>
      </c>
      <c r="GC75" s="114">
        <f>FA75</f>
        <v>0</v>
      </c>
      <c r="GD75" s="114">
        <f>FB75</f>
        <v>0</v>
      </c>
      <c r="GE75" s="114">
        <f>FC75</f>
        <v>0</v>
      </c>
      <c r="GF75" s="114">
        <f>GB75+FW75</f>
        <v>0</v>
      </c>
      <c r="GG75" s="114">
        <f>GC75+FX75</f>
        <v>0</v>
      </c>
      <c r="GH75" s="114">
        <f>GD75+FY75</f>
        <v>0</v>
      </c>
      <c r="GI75" s="114">
        <f>GE75+FZ75</f>
        <v>0</v>
      </c>
      <c r="GJ75" s="115">
        <f>IF($H$2=1,GF75,IF($H$2=2,SUM(GF75:GG75),IF($H$2=3,SUM(GF75:GH75),SUM(GF75:GI75))))</f>
        <v>0</v>
      </c>
      <c r="GK75" s="114">
        <f>SUM(GF75:GI75)</f>
        <v>0</v>
      </c>
      <c r="GL75" s="114">
        <f>IF(U75="Y",V75*AO75,0)</f>
        <v>0</v>
      </c>
      <c r="GM75" s="114">
        <f>IF(U75="Y",W75*AO75,0)</f>
        <v>0</v>
      </c>
      <c r="GN75" s="114">
        <f>IF(U75="Y",X75*AO75,0)</f>
        <v>3000</v>
      </c>
      <c r="GO75" s="114">
        <f>IF(U75="Y",Y75*AO75,0)</f>
        <v>0</v>
      </c>
      <c r="GP75" s="114">
        <f>IF($H$2=1,GL75,IF($H$2=2,SUM(GL75:GM75),IF($H$2=3,SUM(GL75:GN75),IF($H$2=4,SUM(GL75:GO75)))))</f>
        <v>3000</v>
      </c>
      <c r="GQ75" s="114">
        <f>SUM(GL75:GO75)</f>
        <v>3000</v>
      </c>
      <c r="GR75" s="193"/>
      <c r="GS75" s="122">
        <f>IFERROR(BJ75+CL75+DN75+EP75,0)</f>
        <v>5072436.7688962854</v>
      </c>
      <c r="GT75" s="122">
        <f>IFERROR(BK75+CM75+DO75+EQ75,0)</f>
        <v>5013610.4962268239</v>
      </c>
      <c r="GU75" s="123">
        <f>IFERROR(GS75/GT75,"")</f>
        <v>1.0117333152852088</v>
      </c>
      <c r="GV75" s="124">
        <f ca="1">BO75+CQ75+DS75+EU75</f>
        <v>0</v>
      </c>
      <c r="GW75" s="124">
        <v>0</v>
      </c>
      <c r="GX75" s="32">
        <f ca="1">IFERROR(GV75/AM75,0)</f>
        <v>0</v>
      </c>
      <c r="GY75" s="100"/>
    </row>
    <row r="76" spans="1:207" s="125" customFormat="1" ht="15" customHeight="1">
      <c r="A76" s="102"/>
      <c r="B76" s="103"/>
      <c r="C76" s="103"/>
      <c r="D76" s="104"/>
      <c r="E76" s="113" t="s">
        <v>388</v>
      </c>
      <c r="F76" s="113" t="s">
        <v>388</v>
      </c>
      <c r="G76" s="104" t="s">
        <v>226</v>
      </c>
      <c r="H76" s="593" t="s">
        <v>402</v>
      </c>
      <c r="I76" s="106" t="s">
        <v>403</v>
      </c>
      <c r="J76" s="104" t="s">
        <v>212</v>
      </c>
      <c r="K76" s="104" t="s">
        <v>218</v>
      </c>
      <c r="L76" s="104" t="s">
        <v>213</v>
      </c>
      <c r="M76" s="104" t="s">
        <v>388</v>
      </c>
      <c r="N76" s="107"/>
      <c r="O76" s="108">
        <v>42219</v>
      </c>
      <c r="P76" s="108">
        <v>42219</v>
      </c>
      <c r="Q76" s="322">
        <f t="shared" si="112"/>
        <v>0</v>
      </c>
      <c r="R76" s="109">
        <f>IF((P76-VLOOKUP(Q76,month!$A$1:$C$13,3,0))&lt;0,Q76,Q76+1)</f>
        <v>0</v>
      </c>
      <c r="S76" s="108"/>
      <c r="T76" s="110" t="str">
        <f t="shared" si="154"/>
        <v/>
      </c>
      <c r="U76" s="107"/>
      <c r="V76" s="107"/>
      <c r="W76" s="107"/>
      <c r="X76" s="107"/>
      <c r="Y76" s="386"/>
      <c r="Z76" s="386" t="s">
        <v>545</v>
      </c>
      <c r="AA76" s="387">
        <v>1000</v>
      </c>
      <c r="AB76" s="387">
        <v>1000</v>
      </c>
      <c r="AC76" s="387">
        <v>1000</v>
      </c>
      <c r="AD76" s="387">
        <v>1000</v>
      </c>
      <c r="AE76" s="387">
        <v>1000</v>
      </c>
      <c r="AF76" s="387">
        <v>1000</v>
      </c>
      <c r="AG76" s="387">
        <v>1000</v>
      </c>
      <c r="AH76" s="387">
        <v>1000</v>
      </c>
      <c r="AI76" s="387">
        <v>1000</v>
      </c>
      <c r="AJ76" s="387">
        <v>1000</v>
      </c>
      <c r="AK76" s="387">
        <v>1000</v>
      </c>
      <c r="AL76" s="387">
        <v>1000</v>
      </c>
      <c r="AM76" s="388">
        <f t="shared" si="92"/>
        <v>12000</v>
      </c>
      <c r="AN76" s="388">
        <f t="shared" si="113"/>
        <v>12000</v>
      </c>
      <c r="AO76" s="389">
        <f t="shared" ref="AO76:AO99" si="156">AI76</f>
        <v>1000</v>
      </c>
      <c r="AP76" s="498" t="s">
        <v>671</v>
      </c>
      <c r="AQ76" s="159">
        <v>0.4</v>
      </c>
      <c r="AR76" s="160" t="s">
        <v>392</v>
      </c>
      <c r="AS76" s="119" t="s">
        <v>210</v>
      </c>
      <c r="AT76" s="111">
        <v>147738.26233228881</v>
      </c>
      <c r="AU76" s="111">
        <v>388490.88880918256</v>
      </c>
      <c r="AV76" s="111">
        <v>282284.84890466108</v>
      </c>
      <c r="AW76" s="111">
        <v>295529.62087776372</v>
      </c>
      <c r="AX76" s="113">
        <v>194087.47500000003</v>
      </c>
      <c r="AY76" s="113">
        <v>824619.6</v>
      </c>
      <c r="AZ76" s="113">
        <v>558323.95050000015</v>
      </c>
      <c r="BA76" s="113">
        <v>591391.71</v>
      </c>
      <c r="BB76" s="113"/>
      <c r="BC76" s="113"/>
      <c r="BD76" s="113"/>
      <c r="BE76" s="113"/>
      <c r="BF76" s="114">
        <f t="shared" si="102"/>
        <v>194087.47500000003</v>
      </c>
      <c r="BG76" s="114">
        <f t="shared" si="102"/>
        <v>824619.6</v>
      </c>
      <c r="BH76" s="114">
        <f t="shared" si="102"/>
        <v>558323.95050000015</v>
      </c>
      <c r="BI76" s="114">
        <f t="shared" si="102"/>
        <v>591391.71</v>
      </c>
      <c r="BJ76" s="114">
        <f t="shared" si="108"/>
        <v>2168422.7355</v>
      </c>
      <c r="BK76" s="115">
        <f t="shared" si="94"/>
        <v>1114043.6209238961</v>
      </c>
      <c r="BL76" s="115">
        <f t="shared" si="140"/>
        <v>1114043.6209238961</v>
      </c>
      <c r="BM76" s="116">
        <f t="shared" si="141"/>
        <v>1.9463999999999999</v>
      </c>
      <c r="BN76" s="126">
        <f t="shared" ca="1" si="114"/>
        <v>0</v>
      </c>
      <c r="BO76" s="117">
        <f t="shared" ca="1" si="115"/>
        <v>0</v>
      </c>
      <c r="BP76" s="118" t="str">
        <f t="shared" si="116"/>
        <v>Uncapped</v>
      </c>
      <c r="BQ76" s="115">
        <f t="shared" ca="1" si="117"/>
        <v>0</v>
      </c>
      <c r="BR76" s="113" t="s">
        <v>691</v>
      </c>
      <c r="BS76" s="159">
        <v>0.4</v>
      </c>
      <c r="BT76" s="160" t="s">
        <v>211</v>
      </c>
      <c r="BU76" s="160" t="s">
        <v>210</v>
      </c>
      <c r="BV76" s="113">
        <v>2246364.6727575315</v>
      </c>
      <c r="BW76" s="113">
        <v>2632953.525930434</v>
      </c>
      <c r="BX76" s="113">
        <v>2703011.4750760142</v>
      </c>
      <c r="BY76" s="113">
        <v>2990054.5408638064</v>
      </c>
      <c r="BZ76" s="113">
        <v>2365839.7731999811</v>
      </c>
      <c r="CA76" s="113">
        <v>2498804.5458999714</v>
      </c>
      <c r="CB76" s="113">
        <v>2396910.0498999502</v>
      </c>
      <c r="CC76" s="113">
        <v>2451363.2713999702</v>
      </c>
      <c r="CD76" s="113"/>
      <c r="CE76" s="113"/>
      <c r="CF76" s="113"/>
      <c r="CG76" s="113"/>
      <c r="CH76" s="114">
        <f t="shared" si="103"/>
        <v>2365839.7731999811</v>
      </c>
      <c r="CI76" s="114">
        <f t="shared" si="103"/>
        <v>2498804.5458999714</v>
      </c>
      <c r="CJ76" s="120">
        <f t="shared" si="103"/>
        <v>2396910.0498999502</v>
      </c>
      <c r="CK76" s="114">
        <f t="shared" si="103"/>
        <v>2451363.2713999702</v>
      </c>
      <c r="CL76" s="114">
        <f t="shared" si="118"/>
        <v>9712917.6403998733</v>
      </c>
      <c r="CM76" s="114">
        <f t="shared" si="95"/>
        <v>10572384.214627786</v>
      </c>
      <c r="CN76" s="114">
        <f t="shared" si="142"/>
        <v>10572384.214627786</v>
      </c>
      <c r="CO76" s="116">
        <f t="shared" si="143"/>
        <v>0.91869999999999996</v>
      </c>
      <c r="CP76" s="126">
        <f t="shared" ca="1" si="144"/>
        <v>0</v>
      </c>
      <c r="CQ76" s="115">
        <f t="shared" ca="1" si="119"/>
        <v>0</v>
      </c>
      <c r="CR76" s="118" t="str">
        <f t="shared" si="145"/>
        <v>Uncapped</v>
      </c>
      <c r="CS76" s="115">
        <f t="shared" ca="1" si="120"/>
        <v>0</v>
      </c>
      <c r="CT76" s="113" t="s">
        <v>695</v>
      </c>
      <c r="CU76" s="119">
        <v>0.2</v>
      </c>
      <c r="CV76" s="113" t="s">
        <v>217</v>
      </c>
      <c r="CW76" s="113" t="s">
        <v>210</v>
      </c>
      <c r="CX76" s="113">
        <v>3218524.2772395075</v>
      </c>
      <c r="CY76" s="113">
        <v>4891430.2869874602</v>
      </c>
      <c r="CZ76" s="113">
        <v>4404508.3401344651</v>
      </c>
      <c r="DA76" s="113">
        <v>4778876.6076220032</v>
      </c>
      <c r="DB76" s="113">
        <v>3447884.2731999811</v>
      </c>
      <c r="DC76" s="113">
        <v>5129221.4675999712</v>
      </c>
      <c r="DD76" s="113">
        <v>4393334.4853999503</v>
      </c>
      <c r="DE76" s="113">
        <f>VLOOKUP($H76,[2]pivot!$V:$Z,$DE$2,FALSE)</f>
        <v>5251915.8515999708</v>
      </c>
      <c r="DF76" s="113"/>
      <c r="DG76" s="113"/>
      <c r="DH76" s="113"/>
      <c r="DI76" s="113"/>
      <c r="DJ76" s="114">
        <f t="shared" si="104"/>
        <v>3447884.2731999811</v>
      </c>
      <c r="DK76" s="114">
        <f t="shared" si="104"/>
        <v>5129221.4675999712</v>
      </c>
      <c r="DL76" s="114">
        <f t="shared" si="104"/>
        <v>4393334.4853999503</v>
      </c>
      <c r="DM76" s="114">
        <f t="shared" si="104"/>
        <v>5251915.8515999708</v>
      </c>
      <c r="DN76" s="114">
        <f t="shared" si="84"/>
        <v>18222356.077799872</v>
      </c>
      <c r="DO76" s="114">
        <f t="shared" si="96"/>
        <v>17293339.511983439</v>
      </c>
      <c r="DP76" s="114">
        <f t="shared" si="105"/>
        <v>17293339.511983439</v>
      </c>
      <c r="DQ76" s="116">
        <f t="shared" si="146"/>
        <v>1.0537000000000001</v>
      </c>
      <c r="DR76" s="126">
        <f t="shared" ca="1" si="121"/>
        <v>0</v>
      </c>
      <c r="DS76" s="115">
        <f t="shared" ca="1" si="122"/>
        <v>0</v>
      </c>
      <c r="DT76" s="118" t="str">
        <f t="shared" si="147"/>
        <v>Uncapped</v>
      </c>
      <c r="DU76" s="115">
        <f t="shared" ca="1" si="123"/>
        <v>0</v>
      </c>
      <c r="DV76" s="113"/>
      <c r="DW76" s="119">
        <v>0</v>
      </c>
      <c r="DX76" s="113"/>
      <c r="DY76" s="113"/>
      <c r="DZ76" s="113">
        <v>0</v>
      </c>
      <c r="EA76" s="113">
        <v>0</v>
      </c>
      <c r="EB76" s="113">
        <v>0</v>
      </c>
      <c r="EC76" s="113">
        <v>0</v>
      </c>
      <c r="ED76" s="113">
        <v>0</v>
      </c>
      <c r="EE76" s="113">
        <v>0</v>
      </c>
      <c r="EF76" s="113"/>
      <c r="EG76" s="113"/>
      <c r="EH76" s="113"/>
      <c r="EI76" s="113"/>
      <c r="EJ76" s="113"/>
      <c r="EK76" s="113"/>
      <c r="EL76" s="114">
        <f t="shared" si="106"/>
        <v>0</v>
      </c>
      <c r="EM76" s="114">
        <f t="shared" si="106"/>
        <v>0</v>
      </c>
      <c r="EN76" s="114">
        <f t="shared" si="106"/>
        <v>0</v>
      </c>
      <c r="EO76" s="114">
        <f t="shared" si="106"/>
        <v>0</v>
      </c>
      <c r="EP76" s="114">
        <f t="shared" si="124"/>
        <v>0</v>
      </c>
      <c r="EQ76" s="114">
        <f t="shared" si="97"/>
        <v>0</v>
      </c>
      <c r="ER76" s="114">
        <f t="shared" si="148"/>
        <v>0</v>
      </c>
      <c r="ES76" s="116">
        <f t="shared" si="149"/>
        <v>0</v>
      </c>
      <c r="ET76" s="126">
        <f t="shared" ca="1" si="150"/>
        <v>0</v>
      </c>
      <c r="EU76" s="115">
        <f t="shared" ca="1" si="125"/>
        <v>0</v>
      </c>
      <c r="EV76" s="118" t="str">
        <f t="shared" si="126"/>
        <v>Uncapped</v>
      </c>
      <c r="EW76" s="115">
        <f t="shared" ca="1" si="127"/>
        <v>0</v>
      </c>
      <c r="EX76" s="112">
        <f t="shared" ca="1" si="128"/>
        <v>0</v>
      </c>
      <c r="EY76" s="114">
        <f t="shared" ca="1" si="151"/>
        <v>0</v>
      </c>
      <c r="EZ76" s="115">
        <v>349600</v>
      </c>
      <c r="FA76" s="115">
        <v>116636.39999999998</v>
      </c>
      <c r="FB76" s="115">
        <v>2231129</v>
      </c>
      <c r="FC76" s="115">
        <v>0</v>
      </c>
      <c r="FD76" s="115">
        <f t="shared" si="98"/>
        <v>2697365.4</v>
      </c>
      <c r="FE76" s="114">
        <f t="shared" si="87"/>
        <v>0</v>
      </c>
      <c r="FF76" s="115">
        <v>0</v>
      </c>
      <c r="FG76" s="115">
        <v>0</v>
      </c>
      <c r="FH76" s="115">
        <v>0</v>
      </c>
      <c r="FI76" s="115">
        <v>0</v>
      </c>
      <c r="FJ76" s="115">
        <f t="shared" si="99"/>
        <v>0</v>
      </c>
      <c r="FK76" s="114">
        <f t="shared" si="88"/>
        <v>0</v>
      </c>
      <c r="FL76" s="113"/>
      <c r="FM76" s="111"/>
      <c r="FN76" s="111"/>
      <c r="FO76" s="111"/>
      <c r="FP76" s="115">
        <f t="shared" si="129"/>
        <v>0</v>
      </c>
      <c r="FQ76" s="115"/>
      <c r="FR76" s="115"/>
      <c r="FS76" s="115"/>
      <c r="FT76" s="114">
        <f t="shared" si="152"/>
        <v>0</v>
      </c>
      <c r="FU76" s="366">
        <f t="shared" ca="1" si="155"/>
        <v>2697365.4</v>
      </c>
      <c r="FV76" s="121">
        <f t="shared" ca="1" si="153"/>
        <v>2697365.4</v>
      </c>
      <c r="FW76" s="114">
        <f t="shared" ref="FW76:FZ113" si="157">FF76</f>
        <v>0</v>
      </c>
      <c r="FX76" s="114">
        <f t="shared" si="157"/>
        <v>0</v>
      </c>
      <c r="FY76" s="114">
        <f t="shared" si="157"/>
        <v>0</v>
      </c>
      <c r="FZ76" s="114">
        <f t="shared" si="157"/>
        <v>0</v>
      </c>
      <c r="GA76" s="114">
        <f t="shared" si="130"/>
        <v>0</v>
      </c>
      <c r="GB76" s="114">
        <f t="shared" ref="GB76:GE113" si="158">EZ76</f>
        <v>349600</v>
      </c>
      <c r="GC76" s="114">
        <f t="shared" si="158"/>
        <v>116636.39999999998</v>
      </c>
      <c r="GD76" s="114">
        <f t="shared" si="158"/>
        <v>2231129</v>
      </c>
      <c r="GE76" s="114">
        <f t="shared" si="158"/>
        <v>0</v>
      </c>
      <c r="GF76" s="114">
        <f t="shared" si="72"/>
        <v>349600</v>
      </c>
      <c r="GG76" s="114">
        <f t="shared" si="72"/>
        <v>116636.39999999998</v>
      </c>
      <c r="GH76" s="114">
        <f t="shared" si="72"/>
        <v>2231129</v>
      </c>
      <c r="GI76" s="114">
        <f t="shared" si="72"/>
        <v>0</v>
      </c>
      <c r="GJ76" s="115">
        <f t="shared" si="100"/>
        <v>2697365.4</v>
      </c>
      <c r="GK76" s="114">
        <f t="shared" si="131"/>
        <v>2697365.4</v>
      </c>
      <c r="GL76" s="114">
        <f t="shared" si="132"/>
        <v>0</v>
      </c>
      <c r="GM76" s="114">
        <f t="shared" si="133"/>
        <v>0</v>
      </c>
      <c r="GN76" s="114">
        <f t="shared" si="134"/>
        <v>0</v>
      </c>
      <c r="GO76" s="114">
        <f t="shared" si="135"/>
        <v>0</v>
      </c>
      <c r="GP76" s="114">
        <f t="shared" si="101"/>
        <v>0</v>
      </c>
      <c r="GQ76" s="114">
        <f t="shared" si="136"/>
        <v>0</v>
      </c>
      <c r="GR76" s="216"/>
      <c r="GS76" s="122">
        <f t="shared" si="109"/>
        <v>30103696.453699745</v>
      </c>
      <c r="GT76" s="122">
        <f t="shared" si="109"/>
        <v>28979767.347535118</v>
      </c>
      <c r="GU76" s="123">
        <f t="shared" si="137"/>
        <v>1.0387832342712104</v>
      </c>
      <c r="GV76" s="124">
        <f t="shared" ca="1" si="138"/>
        <v>0</v>
      </c>
      <c r="GW76" s="124">
        <v>0</v>
      </c>
      <c r="GX76" s="32">
        <f t="shared" ca="1" si="139"/>
        <v>0</v>
      </c>
      <c r="GY76" s="100"/>
    </row>
    <row r="77" spans="1:207" s="152" customFormat="1" ht="15" customHeight="1">
      <c r="A77" s="129"/>
      <c r="B77" s="130"/>
      <c r="C77" s="130"/>
      <c r="D77" s="131"/>
      <c r="E77" s="138" t="s">
        <v>387</v>
      </c>
      <c r="F77" s="138" t="s">
        <v>404</v>
      </c>
      <c r="G77" s="131" t="s">
        <v>226</v>
      </c>
      <c r="H77" s="135" t="s">
        <v>405</v>
      </c>
      <c r="I77" s="133" t="s">
        <v>650</v>
      </c>
      <c r="J77" s="131" t="s">
        <v>238</v>
      </c>
      <c r="K77" s="131" t="s">
        <v>218</v>
      </c>
      <c r="L77" s="131" t="s">
        <v>264</v>
      </c>
      <c r="M77" s="131" t="s">
        <v>387</v>
      </c>
      <c r="N77" s="134"/>
      <c r="O77" s="155">
        <v>41276</v>
      </c>
      <c r="P77" s="155">
        <v>43191</v>
      </c>
      <c r="Q77" s="321">
        <f t="shared" si="112"/>
        <v>0</v>
      </c>
      <c r="R77" s="109">
        <f>IF((P77-VLOOKUP(Q77,month!$A$1:$C$13,3,0))&lt;0,Q77,Q77+1)</f>
        <v>0</v>
      </c>
      <c r="S77" s="108"/>
      <c r="T77" s="135" t="str">
        <f t="shared" si="154"/>
        <v/>
      </c>
      <c r="U77" s="134"/>
      <c r="V77" s="134"/>
      <c r="W77" s="134"/>
      <c r="X77" s="134"/>
      <c r="Y77" s="383"/>
      <c r="Z77" s="383" t="s">
        <v>545</v>
      </c>
      <c r="AA77" s="371">
        <v>1000</v>
      </c>
      <c r="AB77" s="371">
        <v>1000</v>
      </c>
      <c r="AC77" s="371">
        <v>1000</v>
      </c>
      <c r="AD77" s="371">
        <v>1000</v>
      </c>
      <c r="AE77" s="371">
        <v>1000</v>
      </c>
      <c r="AF77" s="371">
        <v>1000</v>
      </c>
      <c r="AG77" s="371">
        <v>1000</v>
      </c>
      <c r="AH77" s="371">
        <v>1000</v>
      </c>
      <c r="AI77" s="371">
        <v>1000</v>
      </c>
      <c r="AJ77" s="371">
        <v>1000</v>
      </c>
      <c r="AK77" s="371">
        <v>1000</v>
      </c>
      <c r="AL77" s="371">
        <v>1000</v>
      </c>
      <c r="AM77" s="384">
        <f t="shared" si="92"/>
        <v>12000</v>
      </c>
      <c r="AN77" s="384">
        <f t="shared" si="113"/>
        <v>12000</v>
      </c>
      <c r="AO77" s="385">
        <f t="shared" si="156"/>
        <v>1000</v>
      </c>
      <c r="AP77" s="497" t="s">
        <v>672</v>
      </c>
      <c r="AQ77" s="156">
        <v>0.4</v>
      </c>
      <c r="AR77" s="157" t="s">
        <v>211</v>
      </c>
      <c r="AS77" s="146" t="s">
        <v>210</v>
      </c>
      <c r="AT77" s="136">
        <v>3379521.1219363259</v>
      </c>
      <c r="AU77" s="136">
        <v>7327548.5634185346</v>
      </c>
      <c r="AV77" s="136">
        <v>5599955.3026327584</v>
      </c>
      <c r="AW77" s="136">
        <v>6039590.4343528077</v>
      </c>
      <c r="AX77" s="138">
        <v>3463592.7112599993</v>
      </c>
      <c r="AY77" s="138">
        <v>7899234.3228099998</v>
      </c>
      <c r="AZ77" s="138">
        <v>6302483.1859700009</v>
      </c>
      <c r="BA77" s="138">
        <v>6588538.9955100007</v>
      </c>
      <c r="BB77" s="138"/>
      <c r="BC77" s="138"/>
      <c r="BD77" s="138"/>
      <c r="BE77" s="138"/>
      <c r="BF77" s="139">
        <f t="shared" si="102"/>
        <v>3463592.7112599993</v>
      </c>
      <c r="BG77" s="139">
        <f t="shared" si="102"/>
        <v>7899234.3228099998</v>
      </c>
      <c r="BH77" s="139">
        <f t="shared" si="102"/>
        <v>6302483.1859700009</v>
      </c>
      <c r="BI77" s="139">
        <f t="shared" si="102"/>
        <v>6588538.9955100007</v>
      </c>
      <c r="BJ77" s="139">
        <f t="shared" si="108"/>
        <v>24253849.215550002</v>
      </c>
      <c r="BK77" s="140">
        <f t="shared" si="94"/>
        <v>22346615.422340427</v>
      </c>
      <c r="BL77" s="140">
        <f t="shared" si="140"/>
        <v>22346615.422340427</v>
      </c>
      <c r="BM77" s="141">
        <f t="shared" si="141"/>
        <v>1.0852999999999999</v>
      </c>
      <c r="BN77" s="142">
        <f t="shared" ca="1" si="114"/>
        <v>0</v>
      </c>
      <c r="BO77" s="143">
        <f t="shared" ca="1" si="115"/>
        <v>0</v>
      </c>
      <c r="BP77" s="144" t="str">
        <f t="shared" si="116"/>
        <v>Uncapped</v>
      </c>
      <c r="BQ77" s="140">
        <f t="shared" ca="1" si="117"/>
        <v>0</v>
      </c>
      <c r="BR77" s="138" t="s">
        <v>692</v>
      </c>
      <c r="BS77" s="158">
        <v>0.4</v>
      </c>
      <c r="BT77" s="138" t="s">
        <v>211</v>
      </c>
      <c r="BU77" s="157" t="s">
        <v>210</v>
      </c>
      <c r="BV77" s="138">
        <v>7503606.8202462839</v>
      </c>
      <c r="BW77" s="138">
        <v>8053589.731983399</v>
      </c>
      <c r="BX77" s="138">
        <v>8496001.8380627688</v>
      </c>
      <c r="BY77" s="138">
        <v>8697930.0394548904</v>
      </c>
      <c r="BZ77" s="138">
        <v>7755486.3438000018</v>
      </c>
      <c r="CA77" s="138">
        <v>6815255.5627299994</v>
      </c>
      <c r="CB77" s="138">
        <v>8017330.7311999984</v>
      </c>
      <c r="CC77" s="138">
        <v>8207270.3578199986</v>
      </c>
      <c r="CD77" s="138"/>
      <c r="CE77" s="138"/>
      <c r="CF77" s="138"/>
      <c r="CG77" s="138"/>
      <c r="CH77" s="139">
        <f t="shared" si="103"/>
        <v>7755486.3438000018</v>
      </c>
      <c r="CI77" s="139">
        <f t="shared" si="103"/>
        <v>6815255.5627299994</v>
      </c>
      <c r="CJ77" s="145">
        <f t="shared" si="103"/>
        <v>8017330.7311999984</v>
      </c>
      <c r="CK77" s="139">
        <f t="shared" si="103"/>
        <v>8207270.3578199986</v>
      </c>
      <c r="CL77" s="139">
        <f t="shared" si="118"/>
        <v>30795342.995549999</v>
      </c>
      <c r="CM77" s="139">
        <f t="shared" si="95"/>
        <v>32751128.429747343</v>
      </c>
      <c r="CN77" s="139">
        <f t="shared" si="142"/>
        <v>32751128.429747343</v>
      </c>
      <c r="CO77" s="141">
        <f t="shared" si="143"/>
        <v>0.94030000000000002</v>
      </c>
      <c r="CP77" s="142">
        <f t="shared" ca="1" si="144"/>
        <v>0</v>
      </c>
      <c r="CQ77" s="140">
        <f t="shared" ca="1" si="119"/>
        <v>0</v>
      </c>
      <c r="CR77" s="144" t="str">
        <f t="shared" si="145"/>
        <v>Uncapped</v>
      </c>
      <c r="CS77" s="140">
        <f t="shared" ca="1" si="120"/>
        <v>0</v>
      </c>
      <c r="CT77" s="138" t="s">
        <v>696</v>
      </c>
      <c r="CU77" s="158">
        <v>0.2</v>
      </c>
      <c r="CV77" s="138" t="s">
        <v>217</v>
      </c>
      <c r="CW77" s="157" t="s">
        <v>210</v>
      </c>
      <c r="CX77" s="138">
        <v>61881722.047854595</v>
      </c>
      <c r="CY77" s="138">
        <v>72180793.063260496</v>
      </c>
      <c r="CZ77" s="138">
        <v>69179032.514420599</v>
      </c>
      <c r="DA77" s="138">
        <v>76323964.015026003</v>
      </c>
      <c r="DB77" s="138">
        <v>63657388.730680585</v>
      </c>
      <c r="DC77" s="138">
        <v>65995192.891159974</v>
      </c>
      <c r="DD77" s="138">
        <v>66410604.684560001</v>
      </c>
      <c r="DE77" s="138">
        <f>VLOOKUP($H77,[2]pivot!$V:$Z,$DE$2,FALSE)</f>
        <v>77591011.898499951</v>
      </c>
      <c r="DF77" s="138"/>
      <c r="DG77" s="138"/>
      <c r="DH77" s="138"/>
      <c r="DI77" s="138"/>
      <c r="DJ77" s="139">
        <f t="shared" si="104"/>
        <v>63657388.730680585</v>
      </c>
      <c r="DK77" s="139">
        <f t="shared" si="104"/>
        <v>65995192.891159974</v>
      </c>
      <c r="DL77" s="139">
        <f t="shared" si="104"/>
        <v>66410604.684560001</v>
      </c>
      <c r="DM77" s="139">
        <f t="shared" si="104"/>
        <v>77591011.898499951</v>
      </c>
      <c r="DN77" s="139">
        <f t="shared" si="84"/>
        <v>273654198.2049005</v>
      </c>
      <c r="DO77" s="139">
        <f t="shared" si="96"/>
        <v>279565511.6405617</v>
      </c>
      <c r="DP77" s="139">
        <f t="shared" si="105"/>
        <v>279565511.6405617</v>
      </c>
      <c r="DQ77" s="141">
        <f t="shared" si="146"/>
        <v>0.97889999999999999</v>
      </c>
      <c r="DR77" s="142">
        <f t="shared" ca="1" si="121"/>
        <v>0</v>
      </c>
      <c r="DS77" s="140">
        <f t="shared" ca="1" si="122"/>
        <v>0</v>
      </c>
      <c r="DT77" s="144" t="str">
        <f t="shared" si="147"/>
        <v>Uncapped</v>
      </c>
      <c r="DU77" s="140">
        <f t="shared" ca="1" si="123"/>
        <v>0</v>
      </c>
      <c r="DV77" s="138"/>
      <c r="DW77" s="146">
        <v>0</v>
      </c>
      <c r="DX77" s="138"/>
      <c r="DY77" s="138"/>
      <c r="DZ77" s="138">
        <v>0</v>
      </c>
      <c r="EA77" s="138">
        <v>0</v>
      </c>
      <c r="EB77" s="138">
        <v>0</v>
      </c>
      <c r="EC77" s="138">
        <v>0</v>
      </c>
      <c r="ED77" s="138">
        <v>0</v>
      </c>
      <c r="EE77" s="138">
        <v>0</v>
      </c>
      <c r="EF77" s="138"/>
      <c r="EG77" s="138"/>
      <c r="EH77" s="138"/>
      <c r="EI77" s="138"/>
      <c r="EJ77" s="138"/>
      <c r="EK77" s="138"/>
      <c r="EL77" s="139">
        <f t="shared" si="106"/>
        <v>0</v>
      </c>
      <c r="EM77" s="139">
        <f t="shared" si="106"/>
        <v>0</v>
      </c>
      <c r="EN77" s="139">
        <f t="shared" si="106"/>
        <v>0</v>
      </c>
      <c r="EO77" s="139">
        <f t="shared" si="106"/>
        <v>0</v>
      </c>
      <c r="EP77" s="139">
        <f t="shared" si="124"/>
        <v>0</v>
      </c>
      <c r="EQ77" s="139">
        <f t="shared" si="97"/>
        <v>0</v>
      </c>
      <c r="ER77" s="139">
        <f t="shared" si="148"/>
        <v>0</v>
      </c>
      <c r="ES77" s="141">
        <f t="shared" si="149"/>
        <v>0</v>
      </c>
      <c r="ET77" s="142">
        <f t="shared" ca="1" si="150"/>
        <v>0</v>
      </c>
      <c r="EU77" s="140">
        <f t="shared" ca="1" si="125"/>
        <v>0</v>
      </c>
      <c r="EV77" s="144" t="str">
        <f t="shared" si="126"/>
        <v>Uncapped</v>
      </c>
      <c r="EW77" s="140">
        <f t="shared" ca="1" si="127"/>
        <v>0</v>
      </c>
      <c r="EX77" s="137">
        <f t="shared" ca="1" si="128"/>
        <v>0</v>
      </c>
      <c r="EY77" s="139">
        <f t="shared" ca="1" si="151"/>
        <v>0</v>
      </c>
      <c r="EZ77" s="140">
        <v>0</v>
      </c>
      <c r="FA77" s="140"/>
      <c r="FB77" s="140"/>
      <c r="FC77" s="140">
        <v>0</v>
      </c>
      <c r="FD77" s="140">
        <f t="shared" si="98"/>
        <v>0</v>
      </c>
      <c r="FE77" s="139">
        <f t="shared" si="87"/>
        <v>0</v>
      </c>
      <c r="FF77" s="140">
        <v>0</v>
      </c>
      <c r="FG77" s="140">
        <v>0</v>
      </c>
      <c r="FH77" s="140">
        <v>0</v>
      </c>
      <c r="FI77" s="140">
        <v>0</v>
      </c>
      <c r="FJ77" s="140">
        <f t="shared" si="99"/>
        <v>0</v>
      </c>
      <c r="FK77" s="139">
        <f t="shared" si="88"/>
        <v>0</v>
      </c>
      <c r="FL77" s="138"/>
      <c r="FM77" s="136"/>
      <c r="FN77" s="136"/>
      <c r="FO77" s="136"/>
      <c r="FP77" s="140">
        <f t="shared" si="129"/>
        <v>0</v>
      </c>
      <c r="FQ77" s="140"/>
      <c r="FR77" s="140"/>
      <c r="FS77" s="140"/>
      <c r="FT77" s="139">
        <f t="shared" si="152"/>
        <v>0</v>
      </c>
      <c r="FU77" s="365">
        <f t="shared" ca="1" si="155"/>
        <v>0</v>
      </c>
      <c r="FV77" s="147">
        <f t="shared" ca="1" si="153"/>
        <v>0</v>
      </c>
      <c r="FW77" s="139">
        <f t="shared" si="157"/>
        <v>0</v>
      </c>
      <c r="FX77" s="139">
        <f t="shared" si="157"/>
        <v>0</v>
      </c>
      <c r="FY77" s="139">
        <f t="shared" si="157"/>
        <v>0</v>
      </c>
      <c r="FZ77" s="139">
        <f t="shared" si="157"/>
        <v>0</v>
      </c>
      <c r="GA77" s="139">
        <f t="shared" si="130"/>
        <v>0</v>
      </c>
      <c r="GB77" s="139">
        <f t="shared" si="158"/>
        <v>0</v>
      </c>
      <c r="GC77" s="139">
        <f t="shared" si="158"/>
        <v>0</v>
      </c>
      <c r="GD77" s="139">
        <f t="shared" si="158"/>
        <v>0</v>
      </c>
      <c r="GE77" s="139">
        <f t="shared" si="158"/>
        <v>0</v>
      </c>
      <c r="GF77" s="139">
        <f t="shared" si="72"/>
        <v>0</v>
      </c>
      <c r="GG77" s="139">
        <f t="shared" si="72"/>
        <v>0</v>
      </c>
      <c r="GH77" s="139">
        <f t="shared" si="72"/>
        <v>0</v>
      </c>
      <c r="GI77" s="139">
        <f t="shared" si="72"/>
        <v>0</v>
      </c>
      <c r="GJ77" s="140">
        <f t="shared" si="100"/>
        <v>0</v>
      </c>
      <c r="GK77" s="139">
        <f t="shared" si="131"/>
        <v>0</v>
      </c>
      <c r="GL77" s="139">
        <f t="shared" si="132"/>
        <v>0</v>
      </c>
      <c r="GM77" s="139">
        <f t="shared" si="133"/>
        <v>0</v>
      </c>
      <c r="GN77" s="139">
        <f t="shared" si="134"/>
        <v>0</v>
      </c>
      <c r="GO77" s="139">
        <f t="shared" si="135"/>
        <v>0</v>
      </c>
      <c r="GP77" s="139">
        <f t="shared" si="101"/>
        <v>0</v>
      </c>
      <c r="GQ77" s="139">
        <f t="shared" si="136"/>
        <v>0</v>
      </c>
      <c r="GR77" s="409"/>
      <c r="GS77" s="148">
        <f t="shared" si="109"/>
        <v>328703390.41600049</v>
      </c>
      <c r="GT77" s="148">
        <f t="shared" si="109"/>
        <v>334663255.49264944</v>
      </c>
      <c r="GU77" s="149">
        <f t="shared" si="137"/>
        <v>0.98219145669913599</v>
      </c>
      <c r="GV77" s="150">
        <f t="shared" ca="1" si="138"/>
        <v>0</v>
      </c>
      <c r="GW77" s="150">
        <v>0</v>
      </c>
      <c r="GX77" s="151">
        <f t="shared" ca="1" si="139"/>
        <v>0</v>
      </c>
      <c r="GY77" s="100"/>
    </row>
    <row r="78" spans="1:207" s="128" customFormat="1" ht="15" customHeight="1">
      <c r="A78" s="102"/>
      <c r="B78" s="103"/>
      <c r="C78" s="103"/>
      <c r="D78" s="104"/>
      <c r="E78" s="113" t="s">
        <v>388</v>
      </c>
      <c r="F78" s="113" t="s">
        <v>388</v>
      </c>
      <c r="G78" s="104" t="s">
        <v>226</v>
      </c>
      <c r="H78" s="127" t="s">
        <v>406</v>
      </c>
      <c r="I78" s="106" t="s">
        <v>407</v>
      </c>
      <c r="J78" s="104" t="s">
        <v>212</v>
      </c>
      <c r="K78" s="104" t="s">
        <v>218</v>
      </c>
      <c r="L78" s="104" t="s">
        <v>213</v>
      </c>
      <c r="M78" s="104" t="s">
        <v>388</v>
      </c>
      <c r="N78" s="107"/>
      <c r="O78" s="108">
        <v>41430</v>
      </c>
      <c r="P78" s="108">
        <v>42856</v>
      </c>
      <c r="Q78" s="322">
        <f t="shared" si="112"/>
        <v>0</v>
      </c>
      <c r="R78" s="109">
        <f>IF((P78-VLOOKUP(Q78,month!$A$1:$C$13,3,0))&lt;0,Q78,Q78+1)</f>
        <v>0</v>
      </c>
      <c r="S78" s="108"/>
      <c r="T78" s="127" t="str">
        <f t="shared" si="154"/>
        <v/>
      </c>
      <c r="U78" s="107"/>
      <c r="V78" s="107"/>
      <c r="W78" s="107"/>
      <c r="X78" s="107"/>
      <c r="Y78" s="386"/>
      <c r="Z78" s="386" t="s">
        <v>545</v>
      </c>
      <c r="AA78" s="387">
        <v>1000</v>
      </c>
      <c r="AB78" s="387">
        <v>1000</v>
      </c>
      <c r="AC78" s="387">
        <v>1000</v>
      </c>
      <c r="AD78" s="387">
        <v>1000</v>
      </c>
      <c r="AE78" s="387">
        <v>1000</v>
      </c>
      <c r="AF78" s="387">
        <v>1000</v>
      </c>
      <c r="AG78" s="387">
        <v>1000</v>
      </c>
      <c r="AH78" s="387">
        <v>1000</v>
      </c>
      <c r="AI78" s="387">
        <v>1000</v>
      </c>
      <c r="AJ78" s="387">
        <v>1000</v>
      </c>
      <c r="AK78" s="387">
        <v>1000</v>
      </c>
      <c r="AL78" s="387">
        <v>1000</v>
      </c>
      <c r="AM78" s="388">
        <f t="shared" si="92"/>
        <v>12000</v>
      </c>
      <c r="AN78" s="388">
        <f t="shared" si="113"/>
        <v>12000</v>
      </c>
      <c r="AO78" s="389">
        <f t="shared" si="156"/>
        <v>1000</v>
      </c>
      <c r="AP78" s="498" t="s">
        <v>671</v>
      </c>
      <c r="AQ78" s="159">
        <v>0.4</v>
      </c>
      <c r="AR78" s="160" t="s">
        <v>392</v>
      </c>
      <c r="AS78" s="119" t="s">
        <v>210</v>
      </c>
      <c r="AT78" s="111">
        <v>188776.66853570245</v>
      </c>
      <c r="AU78" s="111">
        <v>496405.0245895111</v>
      </c>
      <c r="AV78" s="111">
        <v>360697.30693373369</v>
      </c>
      <c r="AW78" s="111">
        <v>377621.18223269813</v>
      </c>
      <c r="AX78" s="113">
        <v>249665.80499999996</v>
      </c>
      <c r="AY78" s="113">
        <v>296469.08999999997</v>
      </c>
      <c r="AZ78" s="113">
        <v>290460.87000000011</v>
      </c>
      <c r="BA78" s="113">
        <v>684774.19000000018</v>
      </c>
      <c r="BB78" s="113"/>
      <c r="BC78" s="113"/>
      <c r="BD78" s="113"/>
      <c r="BE78" s="113"/>
      <c r="BF78" s="114">
        <f t="shared" si="102"/>
        <v>249665.80499999996</v>
      </c>
      <c r="BG78" s="114">
        <f t="shared" si="102"/>
        <v>296469.08999999997</v>
      </c>
      <c r="BH78" s="114">
        <f t="shared" si="102"/>
        <v>290460.87000000011</v>
      </c>
      <c r="BI78" s="114">
        <f t="shared" si="102"/>
        <v>684774.19000000018</v>
      </c>
      <c r="BJ78" s="114">
        <f t="shared" si="108"/>
        <v>1521369.9550000001</v>
      </c>
      <c r="BK78" s="115">
        <f t="shared" si="94"/>
        <v>1423500.1822916453</v>
      </c>
      <c r="BL78" s="115">
        <f t="shared" si="140"/>
        <v>1423500.1822916453</v>
      </c>
      <c r="BM78" s="116">
        <f t="shared" si="141"/>
        <v>1.0688</v>
      </c>
      <c r="BN78" s="126">
        <f t="shared" ca="1" si="114"/>
        <v>0</v>
      </c>
      <c r="BO78" s="117">
        <f t="shared" ca="1" si="115"/>
        <v>0</v>
      </c>
      <c r="BP78" s="118" t="str">
        <f t="shared" si="116"/>
        <v>Uncapped</v>
      </c>
      <c r="BQ78" s="115">
        <f t="shared" ca="1" si="117"/>
        <v>0</v>
      </c>
      <c r="BR78" s="113" t="s">
        <v>691</v>
      </c>
      <c r="BS78" s="159">
        <v>0.4</v>
      </c>
      <c r="BT78" s="160" t="s">
        <v>211</v>
      </c>
      <c r="BU78" s="160" t="s">
        <v>210</v>
      </c>
      <c r="BV78" s="113">
        <v>2250158.1834510453</v>
      </c>
      <c r="BW78" s="113">
        <v>2637050.2133630039</v>
      </c>
      <c r="BX78" s="113">
        <v>2707057.1062586419</v>
      </c>
      <c r="BY78" s="113">
        <v>2995026.9867832442</v>
      </c>
      <c r="BZ78" s="113">
        <v>2354679.7731999811</v>
      </c>
      <c r="CA78" s="113">
        <v>2482064.5458999714</v>
      </c>
      <c r="CB78" s="113">
        <v>2387052.07989995</v>
      </c>
      <c r="CC78" s="113">
        <v>2414193.2713999702</v>
      </c>
      <c r="CD78" s="113"/>
      <c r="CE78" s="113"/>
      <c r="CF78" s="113"/>
      <c r="CG78" s="113"/>
      <c r="CH78" s="114">
        <f t="shared" si="103"/>
        <v>2354679.7731999811</v>
      </c>
      <c r="CI78" s="114">
        <f t="shared" si="103"/>
        <v>2482064.5458999714</v>
      </c>
      <c r="CJ78" s="120">
        <f t="shared" si="103"/>
        <v>2387052.07989995</v>
      </c>
      <c r="CK78" s="114">
        <f t="shared" si="103"/>
        <v>2414193.2713999702</v>
      </c>
      <c r="CL78" s="114">
        <f t="shared" si="118"/>
        <v>9637989.6703998726</v>
      </c>
      <c r="CM78" s="114">
        <f t="shared" si="95"/>
        <v>10589292.489855936</v>
      </c>
      <c r="CN78" s="114">
        <f t="shared" si="142"/>
        <v>10589292.489855936</v>
      </c>
      <c r="CO78" s="116">
        <f t="shared" si="143"/>
        <v>0.91020000000000001</v>
      </c>
      <c r="CP78" s="126">
        <f t="shared" ca="1" si="144"/>
        <v>0</v>
      </c>
      <c r="CQ78" s="115">
        <f t="shared" ca="1" si="119"/>
        <v>0</v>
      </c>
      <c r="CR78" s="118" t="str">
        <f t="shared" si="145"/>
        <v>Uncapped</v>
      </c>
      <c r="CS78" s="115">
        <f t="shared" ca="1" si="120"/>
        <v>0</v>
      </c>
      <c r="CT78" s="113" t="s">
        <v>695</v>
      </c>
      <c r="CU78" s="119">
        <v>0.2</v>
      </c>
      <c r="CV78" s="113" t="s">
        <v>217</v>
      </c>
      <c r="CW78" s="113" t="s">
        <v>210</v>
      </c>
      <c r="CX78" s="113">
        <v>3218524.2772395075</v>
      </c>
      <c r="CY78" s="113">
        <v>4891430.2869874602</v>
      </c>
      <c r="CZ78" s="113">
        <v>4404508.3401344651</v>
      </c>
      <c r="DA78" s="113">
        <v>4778876.6076220032</v>
      </c>
      <c r="DB78" s="113">
        <v>3447884.2731999811</v>
      </c>
      <c r="DC78" s="113">
        <v>5129221.4675999712</v>
      </c>
      <c r="DD78" s="113">
        <v>4393334.4853999503</v>
      </c>
      <c r="DE78" s="113">
        <f>VLOOKUP($H78,[2]pivot!$V:$Z,$DE$2,FALSE)</f>
        <v>5251915.8515999708</v>
      </c>
      <c r="DF78" s="113"/>
      <c r="DG78" s="113"/>
      <c r="DH78" s="113"/>
      <c r="DI78" s="113"/>
      <c r="DJ78" s="114">
        <f t="shared" si="104"/>
        <v>3447884.2731999811</v>
      </c>
      <c r="DK78" s="114">
        <f t="shared" si="104"/>
        <v>5129221.4675999712</v>
      </c>
      <c r="DL78" s="114">
        <f t="shared" si="104"/>
        <v>4393334.4853999503</v>
      </c>
      <c r="DM78" s="114">
        <f t="shared" si="104"/>
        <v>5251915.8515999708</v>
      </c>
      <c r="DN78" s="114">
        <f t="shared" si="84"/>
        <v>18222356.077799872</v>
      </c>
      <c r="DO78" s="114">
        <f t="shared" si="96"/>
        <v>17293339.511983439</v>
      </c>
      <c r="DP78" s="114">
        <f t="shared" si="105"/>
        <v>17293339.511983439</v>
      </c>
      <c r="DQ78" s="116">
        <f t="shared" si="146"/>
        <v>1.0537000000000001</v>
      </c>
      <c r="DR78" s="126">
        <f t="shared" ca="1" si="121"/>
        <v>0</v>
      </c>
      <c r="DS78" s="115">
        <f t="shared" ca="1" si="122"/>
        <v>0</v>
      </c>
      <c r="DT78" s="118" t="str">
        <f t="shared" si="147"/>
        <v>Uncapped</v>
      </c>
      <c r="DU78" s="115">
        <f t="shared" ca="1" si="123"/>
        <v>0</v>
      </c>
      <c r="DV78" s="113"/>
      <c r="DW78" s="119">
        <v>0</v>
      </c>
      <c r="DX78" s="113"/>
      <c r="DY78" s="113"/>
      <c r="DZ78" s="113">
        <v>0</v>
      </c>
      <c r="EA78" s="113">
        <v>0</v>
      </c>
      <c r="EB78" s="113">
        <v>0</v>
      </c>
      <c r="EC78" s="113">
        <v>0</v>
      </c>
      <c r="ED78" s="113">
        <v>0</v>
      </c>
      <c r="EE78" s="113">
        <v>0</v>
      </c>
      <c r="EF78" s="113"/>
      <c r="EG78" s="113"/>
      <c r="EH78" s="113"/>
      <c r="EI78" s="113"/>
      <c r="EJ78" s="113"/>
      <c r="EK78" s="113"/>
      <c r="EL78" s="114">
        <f t="shared" si="106"/>
        <v>0</v>
      </c>
      <c r="EM78" s="114">
        <f t="shared" si="106"/>
        <v>0</v>
      </c>
      <c r="EN78" s="114">
        <f t="shared" si="106"/>
        <v>0</v>
      </c>
      <c r="EO78" s="114">
        <f t="shared" si="106"/>
        <v>0</v>
      </c>
      <c r="EP78" s="114">
        <f t="shared" si="124"/>
        <v>0</v>
      </c>
      <c r="EQ78" s="114">
        <f t="shared" si="97"/>
        <v>0</v>
      </c>
      <c r="ER78" s="114">
        <f t="shared" si="148"/>
        <v>0</v>
      </c>
      <c r="ES78" s="116">
        <f t="shared" si="149"/>
        <v>0</v>
      </c>
      <c r="ET78" s="126">
        <f t="shared" ca="1" si="150"/>
        <v>0</v>
      </c>
      <c r="EU78" s="115">
        <f t="shared" ca="1" si="125"/>
        <v>0</v>
      </c>
      <c r="EV78" s="118" t="str">
        <f t="shared" si="126"/>
        <v>Uncapped</v>
      </c>
      <c r="EW78" s="115">
        <f t="shared" ca="1" si="127"/>
        <v>0</v>
      </c>
      <c r="EX78" s="112">
        <f t="shared" ca="1" si="128"/>
        <v>0</v>
      </c>
      <c r="EY78" s="114">
        <f t="shared" ca="1" si="151"/>
        <v>0</v>
      </c>
      <c r="EZ78" s="115">
        <v>0</v>
      </c>
      <c r="FA78" s="115"/>
      <c r="FB78" s="115"/>
      <c r="FC78" s="115">
        <v>0</v>
      </c>
      <c r="FD78" s="115">
        <f t="shared" si="98"/>
        <v>0</v>
      </c>
      <c r="FE78" s="114">
        <f t="shared" si="87"/>
        <v>0</v>
      </c>
      <c r="FF78" s="115">
        <v>0</v>
      </c>
      <c r="FG78" s="115">
        <v>0</v>
      </c>
      <c r="FH78" s="115">
        <v>0</v>
      </c>
      <c r="FI78" s="115">
        <v>0</v>
      </c>
      <c r="FJ78" s="115">
        <f t="shared" si="99"/>
        <v>0</v>
      </c>
      <c r="FK78" s="114">
        <f t="shared" si="88"/>
        <v>0</v>
      </c>
      <c r="FL78" s="113"/>
      <c r="FM78" s="111"/>
      <c r="FN78" s="111"/>
      <c r="FO78" s="111"/>
      <c r="FP78" s="115">
        <f t="shared" si="129"/>
        <v>0</v>
      </c>
      <c r="FQ78" s="115"/>
      <c r="FR78" s="115"/>
      <c r="FS78" s="115"/>
      <c r="FT78" s="114">
        <f t="shared" si="152"/>
        <v>0</v>
      </c>
      <c r="FU78" s="366">
        <f t="shared" ca="1" si="155"/>
        <v>0</v>
      </c>
      <c r="FV78" s="121">
        <f t="shared" ca="1" si="153"/>
        <v>0</v>
      </c>
      <c r="FW78" s="114">
        <f t="shared" si="157"/>
        <v>0</v>
      </c>
      <c r="FX78" s="114">
        <f t="shared" si="157"/>
        <v>0</v>
      </c>
      <c r="FY78" s="114">
        <f t="shared" si="157"/>
        <v>0</v>
      </c>
      <c r="FZ78" s="114">
        <f t="shared" si="157"/>
        <v>0</v>
      </c>
      <c r="GA78" s="114">
        <f t="shared" si="130"/>
        <v>0</v>
      </c>
      <c r="GB78" s="114">
        <f t="shared" si="158"/>
        <v>0</v>
      </c>
      <c r="GC78" s="114">
        <f t="shared" si="158"/>
        <v>0</v>
      </c>
      <c r="GD78" s="114">
        <f t="shared" si="158"/>
        <v>0</v>
      </c>
      <c r="GE78" s="114">
        <f t="shared" si="158"/>
        <v>0</v>
      </c>
      <c r="GF78" s="114">
        <f t="shared" si="72"/>
        <v>0</v>
      </c>
      <c r="GG78" s="114">
        <f t="shared" si="72"/>
        <v>0</v>
      </c>
      <c r="GH78" s="114">
        <f t="shared" si="72"/>
        <v>0</v>
      </c>
      <c r="GI78" s="114">
        <f t="shared" si="72"/>
        <v>0</v>
      </c>
      <c r="GJ78" s="115">
        <f t="shared" si="100"/>
        <v>0</v>
      </c>
      <c r="GK78" s="114">
        <f t="shared" si="131"/>
        <v>0</v>
      </c>
      <c r="GL78" s="114">
        <f t="shared" si="132"/>
        <v>0</v>
      </c>
      <c r="GM78" s="114">
        <f t="shared" si="133"/>
        <v>0</v>
      </c>
      <c r="GN78" s="114">
        <f t="shared" si="134"/>
        <v>0</v>
      </c>
      <c r="GO78" s="114">
        <f t="shared" si="135"/>
        <v>0</v>
      </c>
      <c r="GP78" s="114">
        <f t="shared" si="101"/>
        <v>0</v>
      </c>
      <c r="GQ78" s="114">
        <f t="shared" si="136"/>
        <v>0</v>
      </c>
      <c r="GR78" s="193"/>
      <c r="GS78" s="122">
        <f t="shared" si="109"/>
        <v>29381715.703199744</v>
      </c>
      <c r="GT78" s="122">
        <f t="shared" si="109"/>
        <v>29306132.184131019</v>
      </c>
      <c r="GU78" s="123">
        <f t="shared" si="137"/>
        <v>1.0025791025098034</v>
      </c>
      <c r="GV78" s="124">
        <f t="shared" ca="1" si="138"/>
        <v>0</v>
      </c>
      <c r="GW78" s="124">
        <v>0</v>
      </c>
      <c r="GX78" s="32">
        <f t="shared" ca="1" si="139"/>
        <v>0</v>
      </c>
      <c r="GY78" s="100"/>
    </row>
    <row r="79" spans="1:207" s="125" customFormat="1" ht="15" customHeight="1">
      <c r="A79" s="102"/>
      <c r="B79" s="103"/>
      <c r="C79" s="103"/>
      <c r="D79" s="104"/>
      <c r="E79" s="113" t="s">
        <v>388</v>
      </c>
      <c r="F79" s="113" t="s">
        <v>388</v>
      </c>
      <c r="G79" s="104" t="s">
        <v>226</v>
      </c>
      <c r="H79" s="127" t="s">
        <v>408</v>
      </c>
      <c r="I79" s="106" t="s">
        <v>409</v>
      </c>
      <c r="J79" s="104" t="s">
        <v>212</v>
      </c>
      <c r="K79" s="104" t="s">
        <v>218</v>
      </c>
      <c r="L79" s="104" t="s">
        <v>213</v>
      </c>
      <c r="M79" s="104" t="s">
        <v>388</v>
      </c>
      <c r="N79" s="107"/>
      <c r="O79" s="108">
        <v>41430</v>
      </c>
      <c r="P79" s="108">
        <v>41640</v>
      </c>
      <c r="Q79" s="322">
        <f t="shared" si="112"/>
        <v>0</v>
      </c>
      <c r="R79" s="109">
        <f>IF((P79-VLOOKUP(Q79,month!$A$1:$C$13,3,0))&lt;0,Q79,Q79+1)</f>
        <v>0</v>
      </c>
      <c r="S79" s="108"/>
      <c r="T79" s="110" t="str">
        <f t="shared" si="154"/>
        <v/>
      </c>
      <c r="U79" s="107"/>
      <c r="V79" s="107"/>
      <c r="W79" s="107"/>
      <c r="X79" s="107"/>
      <c r="Y79" s="386"/>
      <c r="Z79" s="386" t="s">
        <v>545</v>
      </c>
      <c r="AA79" s="387">
        <v>1000</v>
      </c>
      <c r="AB79" s="387">
        <v>1000</v>
      </c>
      <c r="AC79" s="387">
        <v>1000</v>
      </c>
      <c r="AD79" s="387">
        <v>1000</v>
      </c>
      <c r="AE79" s="387">
        <v>1000</v>
      </c>
      <c r="AF79" s="387">
        <v>1000</v>
      </c>
      <c r="AG79" s="387">
        <v>1000</v>
      </c>
      <c r="AH79" s="387">
        <v>1000</v>
      </c>
      <c r="AI79" s="387">
        <v>1000</v>
      </c>
      <c r="AJ79" s="387">
        <v>1000</v>
      </c>
      <c r="AK79" s="387">
        <v>1000</v>
      </c>
      <c r="AL79" s="387">
        <v>1000</v>
      </c>
      <c r="AM79" s="388">
        <f t="shared" si="92"/>
        <v>12000</v>
      </c>
      <c r="AN79" s="388">
        <f t="shared" si="113"/>
        <v>12000</v>
      </c>
      <c r="AO79" s="389">
        <f t="shared" si="156"/>
        <v>1000</v>
      </c>
      <c r="AP79" s="498" t="s">
        <v>671</v>
      </c>
      <c r="AQ79" s="159">
        <v>0.4</v>
      </c>
      <c r="AR79" s="160" t="s">
        <v>392</v>
      </c>
      <c r="AS79" s="119" t="s">
        <v>210</v>
      </c>
      <c r="AT79" s="111">
        <v>123959.04886597887</v>
      </c>
      <c r="AU79" s="111">
        <v>308643.88949107425</v>
      </c>
      <c r="AV79" s="111">
        <v>234201.17258112875</v>
      </c>
      <c r="AW79" s="111">
        <v>263171.21434825927</v>
      </c>
      <c r="AX79" s="113">
        <v>34004.699999999997</v>
      </c>
      <c r="AY79" s="113">
        <v>439587.16200000001</v>
      </c>
      <c r="AZ79" s="113">
        <v>525637.96199999994</v>
      </c>
      <c r="BA79" s="113">
        <v>36232.200000000004</v>
      </c>
      <c r="BB79" s="113"/>
      <c r="BC79" s="113"/>
      <c r="BD79" s="113"/>
      <c r="BE79" s="113"/>
      <c r="BF79" s="114">
        <f t="shared" si="102"/>
        <v>34004.699999999997</v>
      </c>
      <c r="BG79" s="114">
        <f t="shared" si="102"/>
        <v>439587.16200000001</v>
      </c>
      <c r="BH79" s="114">
        <f t="shared" si="102"/>
        <v>525637.96199999994</v>
      </c>
      <c r="BI79" s="114">
        <f t="shared" si="102"/>
        <v>36232.200000000004</v>
      </c>
      <c r="BJ79" s="114">
        <f t="shared" si="108"/>
        <v>1035462.024</v>
      </c>
      <c r="BK79" s="115">
        <f t="shared" si="94"/>
        <v>929975.32528644113</v>
      </c>
      <c r="BL79" s="115">
        <f t="shared" si="140"/>
        <v>929975.32528644113</v>
      </c>
      <c r="BM79" s="116">
        <f t="shared" si="141"/>
        <v>1.1133999999999999</v>
      </c>
      <c r="BN79" s="126">
        <f t="shared" ca="1" si="114"/>
        <v>0</v>
      </c>
      <c r="BO79" s="117">
        <f t="shared" ca="1" si="115"/>
        <v>0</v>
      </c>
      <c r="BP79" s="118" t="str">
        <f t="shared" si="116"/>
        <v>Uncapped</v>
      </c>
      <c r="BQ79" s="115">
        <f t="shared" ca="1" si="117"/>
        <v>0</v>
      </c>
      <c r="BR79" s="113" t="s">
        <v>691</v>
      </c>
      <c r="BS79" s="159">
        <v>0.4</v>
      </c>
      <c r="BT79" s="160" t="s">
        <v>211</v>
      </c>
      <c r="BU79" s="160" t="s">
        <v>210</v>
      </c>
      <c r="BV79" s="113">
        <v>2616407.1981056477</v>
      </c>
      <c r="BW79" s="113">
        <v>3516179.7032821518</v>
      </c>
      <c r="BX79" s="113">
        <v>3720581.9762100568</v>
      </c>
      <c r="BY79" s="113">
        <v>4249439.0333433365</v>
      </c>
      <c r="BZ79" s="113">
        <v>2600578.9209999898</v>
      </c>
      <c r="CA79" s="113">
        <v>2812623.530200005</v>
      </c>
      <c r="CB79" s="113">
        <v>3288683.4781000158</v>
      </c>
      <c r="CC79" s="113">
        <v>4832187.5457999939</v>
      </c>
      <c r="CD79" s="113"/>
      <c r="CE79" s="113"/>
      <c r="CF79" s="113"/>
      <c r="CG79" s="113"/>
      <c r="CH79" s="114">
        <f t="shared" si="103"/>
        <v>2600578.9209999898</v>
      </c>
      <c r="CI79" s="114">
        <f t="shared" si="103"/>
        <v>2812623.530200005</v>
      </c>
      <c r="CJ79" s="120">
        <f t="shared" si="103"/>
        <v>3288683.4781000158</v>
      </c>
      <c r="CK79" s="114">
        <f t="shared" si="103"/>
        <v>4832187.5457999939</v>
      </c>
      <c r="CL79" s="114">
        <f t="shared" si="118"/>
        <v>13534073.475100003</v>
      </c>
      <c r="CM79" s="114">
        <f t="shared" si="95"/>
        <v>14102607.910941195</v>
      </c>
      <c r="CN79" s="114">
        <f t="shared" si="142"/>
        <v>14102607.910941195</v>
      </c>
      <c r="CO79" s="116">
        <f t="shared" si="143"/>
        <v>0.9597</v>
      </c>
      <c r="CP79" s="126">
        <f t="shared" ca="1" si="144"/>
        <v>0</v>
      </c>
      <c r="CQ79" s="115">
        <f t="shared" ca="1" si="119"/>
        <v>0</v>
      </c>
      <c r="CR79" s="118" t="str">
        <f t="shared" si="145"/>
        <v>Uncapped</v>
      </c>
      <c r="CS79" s="115">
        <f t="shared" ca="1" si="120"/>
        <v>0</v>
      </c>
      <c r="CT79" s="113" t="s">
        <v>695</v>
      </c>
      <c r="CU79" s="119">
        <v>0.2</v>
      </c>
      <c r="CV79" s="113" t="s">
        <v>217</v>
      </c>
      <c r="CW79" s="113" t="s">
        <v>210</v>
      </c>
      <c r="CX79" s="113">
        <v>3388073.5421928586</v>
      </c>
      <c r="CY79" s="113">
        <v>5062451.297281133</v>
      </c>
      <c r="CZ79" s="113">
        <v>5007580.1611671867</v>
      </c>
      <c r="DA79" s="113">
        <v>5631651.4300548239</v>
      </c>
      <c r="DB79" s="113">
        <v>3247390.7157999901</v>
      </c>
      <c r="DC79" s="113">
        <v>4335350.6797000095</v>
      </c>
      <c r="DD79" s="113">
        <v>4536881.2534000156</v>
      </c>
      <c r="DE79" s="113">
        <f>VLOOKUP($H79,[2]pivot!$V:$Z,$DE$2,FALSE)</f>
        <v>5621160.3867999902</v>
      </c>
      <c r="DF79" s="113"/>
      <c r="DG79" s="113"/>
      <c r="DH79" s="113"/>
      <c r="DI79" s="113"/>
      <c r="DJ79" s="114">
        <f t="shared" si="104"/>
        <v>3247390.7157999901</v>
      </c>
      <c r="DK79" s="114">
        <f t="shared" si="104"/>
        <v>4335350.6797000095</v>
      </c>
      <c r="DL79" s="114">
        <f t="shared" si="104"/>
        <v>4536881.2534000156</v>
      </c>
      <c r="DM79" s="114">
        <f t="shared" si="104"/>
        <v>5621160.3867999902</v>
      </c>
      <c r="DN79" s="114">
        <f t="shared" si="84"/>
        <v>17740783.035700005</v>
      </c>
      <c r="DO79" s="114">
        <f t="shared" si="96"/>
        <v>19089756.430696003</v>
      </c>
      <c r="DP79" s="114">
        <f t="shared" si="105"/>
        <v>19089756.430696003</v>
      </c>
      <c r="DQ79" s="116">
        <f t="shared" si="146"/>
        <v>0.92930000000000001</v>
      </c>
      <c r="DR79" s="126">
        <f t="shared" ca="1" si="121"/>
        <v>0</v>
      </c>
      <c r="DS79" s="115">
        <f t="shared" ca="1" si="122"/>
        <v>0</v>
      </c>
      <c r="DT79" s="118" t="str">
        <f t="shared" si="147"/>
        <v>Uncapped</v>
      </c>
      <c r="DU79" s="115">
        <f t="shared" ca="1" si="123"/>
        <v>0</v>
      </c>
      <c r="DV79" s="113"/>
      <c r="DW79" s="119">
        <v>0</v>
      </c>
      <c r="DX79" s="113"/>
      <c r="DY79" s="113"/>
      <c r="DZ79" s="113">
        <v>0</v>
      </c>
      <c r="EA79" s="113">
        <v>0</v>
      </c>
      <c r="EB79" s="113">
        <v>0</v>
      </c>
      <c r="EC79" s="113">
        <v>0</v>
      </c>
      <c r="ED79" s="113">
        <v>0</v>
      </c>
      <c r="EE79" s="113">
        <v>0</v>
      </c>
      <c r="EF79" s="113"/>
      <c r="EG79" s="113"/>
      <c r="EH79" s="113"/>
      <c r="EI79" s="113"/>
      <c r="EJ79" s="113"/>
      <c r="EK79" s="113"/>
      <c r="EL79" s="114">
        <f t="shared" si="106"/>
        <v>0</v>
      </c>
      <c r="EM79" s="114">
        <f t="shared" si="106"/>
        <v>0</v>
      </c>
      <c r="EN79" s="114">
        <f t="shared" si="106"/>
        <v>0</v>
      </c>
      <c r="EO79" s="114">
        <f t="shared" si="106"/>
        <v>0</v>
      </c>
      <c r="EP79" s="114">
        <f t="shared" si="124"/>
        <v>0</v>
      </c>
      <c r="EQ79" s="114">
        <f t="shared" si="97"/>
        <v>0</v>
      </c>
      <c r="ER79" s="114">
        <f t="shared" si="148"/>
        <v>0</v>
      </c>
      <c r="ES79" s="116">
        <f t="shared" si="149"/>
        <v>0</v>
      </c>
      <c r="ET79" s="126">
        <f t="shared" ca="1" si="150"/>
        <v>0</v>
      </c>
      <c r="EU79" s="115">
        <f t="shared" ca="1" si="125"/>
        <v>0</v>
      </c>
      <c r="EV79" s="118" t="str">
        <f t="shared" si="126"/>
        <v>Uncapped</v>
      </c>
      <c r="EW79" s="115">
        <f t="shared" ca="1" si="127"/>
        <v>0</v>
      </c>
      <c r="EX79" s="112">
        <f t="shared" ca="1" si="128"/>
        <v>0</v>
      </c>
      <c r="EY79" s="114">
        <f t="shared" ca="1" si="151"/>
        <v>0</v>
      </c>
      <c r="EZ79" s="115">
        <v>0</v>
      </c>
      <c r="FA79" s="115"/>
      <c r="FB79" s="115"/>
      <c r="FC79" s="115">
        <v>0</v>
      </c>
      <c r="FD79" s="115">
        <f t="shared" si="98"/>
        <v>0</v>
      </c>
      <c r="FE79" s="114">
        <f t="shared" si="87"/>
        <v>0</v>
      </c>
      <c r="FF79" s="115">
        <v>0</v>
      </c>
      <c r="FG79" s="115">
        <v>0</v>
      </c>
      <c r="FH79" s="115">
        <v>0</v>
      </c>
      <c r="FI79" s="115">
        <v>0</v>
      </c>
      <c r="FJ79" s="115">
        <f t="shared" si="99"/>
        <v>0</v>
      </c>
      <c r="FK79" s="114">
        <f t="shared" si="88"/>
        <v>0</v>
      </c>
      <c r="FL79" s="113"/>
      <c r="FM79" s="111"/>
      <c r="FN79" s="111"/>
      <c r="FO79" s="111"/>
      <c r="FP79" s="115">
        <f t="shared" si="129"/>
        <v>0</v>
      </c>
      <c r="FQ79" s="115"/>
      <c r="FR79" s="115"/>
      <c r="FS79" s="115"/>
      <c r="FT79" s="114">
        <f t="shared" si="152"/>
        <v>0</v>
      </c>
      <c r="FU79" s="366">
        <f t="shared" ca="1" si="155"/>
        <v>0</v>
      </c>
      <c r="FV79" s="121">
        <f t="shared" ca="1" si="153"/>
        <v>0</v>
      </c>
      <c r="FW79" s="114">
        <f t="shared" si="157"/>
        <v>0</v>
      </c>
      <c r="FX79" s="114">
        <f t="shared" si="157"/>
        <v>0</v>
      </c>
      <c r="FY79" s="114">
        <f t="shared" si="157"/>
        <v>0</v>
      </c>
      <c r="FZ79" s="114">
        <f t="shared" si="157"/>
        <v>0</v>
      </c>
      <c r="GA79" s="114">
        <f t="shared" si="130"/>
        <v>0</v>
      </c>
      <c r="GB79" s="114">
        <f t="shared" si="158"/>
        <v>0</v>
      </c>
      <c r="GC79" s="114">
        <f t="shared" si="158"/>
        <v>0</v>
      </c>
      <c r="GD79" s="114">
        <f t="shared" si="158"/>
        <v>0</v>
      </c>
      <c r="GE79" s="114">
        <f t="shared" si="158"/>
        <v>0</v>
      </c>
      <c r="GF79" s="114">
        <f t="shared" si="72"/>
        <v>0</v>
      </c>
      <c r="GG79" s="114">
        <f t="shared" si="72"/>
        <v>0</v>
      </c>
      <c r="GH79" s="114">
        <f t="shared" si="72"/>
        <v>0</v>
      </c>
      <c r="GI79" s="114">
        <f t="shared" si="72"/>
        <v>0</v>
      </c>
      <c r="GJ79" s="115">
        <f t="shared" si="100"/>
        <v>0</v>
      </c>
      <c r="GK79" s="114">
        <f t="shared" si="131"/>
        <v>0</v>
      </c>
      <c r="GL79" s="114">
        <f t="shared" si="132"/>
        <v>0</v>
      </c>
      <c r="GM79" s="114">
        <f t="shared" si="133"/>
        <v>0</v>
      </c>
      <c r="GN79" s="114">
        <f t="shared" si="134"/>
        <v>0</v>
      </c>
      <c r="GO79" s="114">
        <f t="shared" si="135"/>
        <v>0</v>
      </c>
      <c r="GP79" s="114">
        <f t="shared" si="101"/>
        <v>0</v>
      </c>
      <c r="GQ79" s="114">
        <f t="shared" si="136"/>
        <v>0</v>
      </c>
      <c r="GR79" s="193"/>
      <c r="GS79" s="122">
        <f t="shared" si="109"/>
        <v>32310318.534800008</v>
      </c>
      <c r="GT79" s="122">
        <f t="shared" si="109"/>
        <v>34122339.666923642</v>
      </c>
      <c r="GU79" s="123">
        <f t="shared" si="137"/>
        <v>0.94689633976417775</v>
      </c>
      <c r="GV79" s="124">
        <f t="shared" ca="1" si="138"/>
        <v>0</v>
      </c>
      <c r="GW79" s="124">
        <v>0</v>
      </c>
      <c r="GX79" s="32">
        <f t="shared" ca="1" si="139"/>
        <v>0</v>
      </c>
      <c r="GY79" s="100"/>
    </row>
    <row r="80" spans="1:207" s="125" customFormat="1" ht="15" customHeight="1">
      <c r="A80" s="102"/>
      <c r="B80" s="103"/>
      <c r="C80" s="103"/>
      <c r="D80" s="104"/>
      <c r="E80" s="104" t="s">
        <v>388</v>
      </c>
      <c r="F80" s="104" t="s">
        <v>389</v>
      </c>
      <c r="G80" s="104" t="s">
        <v>226</v>
      </c>
      <c r="H80" s="127" t="s">
        <v>410</v>
      </c>
      <c r="I80" s="106" t="s">
        <v>411</v>
      </c>
      <c r="J80" s="104" t="s">
        <v>207</v>
      </c>
      <c r="K80" s="104" t="s">
        <v>218</v>
      </c>
      <c r="L80" s="104" t="s">
        <v>412</v>
      </c>
      <c r="M80" s="104" t="s">
        <v>413</v>
      </c>
      <c r="N80" s="107"/>
      <c r="O80" s="108">
        <v>42758</v>
      </c>
      <c r="P80" s="108">
        <v>42758</v>
      </c>
      <c r="Q80" s="322">
        <f t="shared" si="112"/>
        <v>0</v>
      </c>
      <c r="R80" s="109">
        <f>IF((P80-VLOOKUP(Q80,month!$A$1:$C$13,3,0))&lt;0,Q80,Q80+1)</f>
        <v>0</v>
      </c>
      <c r="S80" s="108"/>
      <c r="T80" s="127" t="str">
        <f t="shared" si="154"/>
        <v/>
      </c>
      <c r="U80" s="107"/>
      <c r="V80" s="107"/>
      <c r="W80" s="107"/>
      <c r="X80" s="107"/>
      <c r="Y80" s="386"/>
      <c r="Z80" s="386" t="s">
        <v>545</v>
      </c>
      <c r="AA80" s="387">
        <v>1000</v>
      </c>
      <c r="AB80" s="387">
        <v>1000</v>
      </c>
      <c r="AC80" s="387">
        <v>1000</v>
      </c>
      <c r="AD80" s="387">
        <v>1000</v>
      </c>
      <c r="AE80" s="387">
        <v>1000</v>
      </c>
      <c r="AF80" s="387">
        <v>1000</v>
      </c>
      <c r="AG80" s="387">
        <v>1000</v>
      </c>
      <c r="AH80" s="387">
        <v>1000</v>
      </c>
      <c r="AI80" s="387">
        <v>1000</v>
      </c>
      <c r="AJ80" s="387">
        <v>1000</v>
      </c>
      <c r="AK80" s="387">
        <v>1000</v>
      </c>
      <c r="AL80" s="387">
        <v>1000</v>
      </c>
      <c r="AM80" s="388">
        <f t="shared" si="92"/>
        <v>12000</v>
      </c>
      <c r="AN80" s="388">
        <f t="shared" si="113"/>
        <v>12000</v>
      </c>
      <c r="AO80" s="389">
        <f t="shared" si="156"/>
        <v>1000</v>
      </c>
      <c r="AP80" s="498" t="s">
        <v>670</v>
      </c>
      <c r="AQ80" s="159">
        <v>0.4</v>
      </c>
      <c r="AR80" s="160" t="s">
        <v>392</v>
      </c>
      <c r="AS80" s="119" t="s">
        <v>210</v>
      </c>
      <c r="AT80" s="111">
        <v>534339.98163352837</v>
      </c>
      <c r="AU80" s="111">
        <v>1310179.331144524</v>
      </c>
      <c r="AV80" s="111">
        <v>1005301.6465663062</v>
      </c>
      <c r="AW80" s="111">
        <v>1103151.0722983615</v>
      </c>
      <c r="AX80" s="113">
        <v>395383.87079999992</v>
      </c>
      <c r="AY80" s="113">
        <v>1328606.0189999999</v>
      </c>
      <c r="AZ80" s="113">
        <v>1125554.8770000001</v>
      </c>
      <c r="BA80" s="113">
        <v>573907.14</v>
      </c>
      <c r="BB80" s="113"/>
      <c r="BC80" s="113"/>
      <c r="BD80" s="113"/>
      <c r="BE80" s="113"/>
      <c r="BF80" s="114">
        <f t="shared" si="102"/>
        <v>395383.87079999992</v>
      </c>
      <c r="BG80" s="114">
        <f t="shared" si="102"/>
        <v>1328606.0189999999</v>
      </c>
      <c r="BH80" s="114">
        <f t="shared" si="102"/>
        <v>1125554.8770000001</v>
      </c>
      <c r="BI80" s="114">
        <f t="shared" si="102"/>
        <v>573907.14</v>
      </c>
      <c r="BJ80" s="114">
        <f t="shared" si="108"/>
        <v>3423451.9068</v>
      </c>
      <c r="BK80" s="115">
        <f t="shared" si="94"/>
        <v>3952972.0316427201</v>
      </c>
      <c r="BL80" s="115">
        <f t="shared" si="140"/>
        <v>3952972.0316427201</v>
      </c>
      <c r="BM80" s="116">
        <f t="shared" si="141"/>
        <v>0.86599999999999999</v>
      </c>
      <c r="BN80" s="126">
        <f t="shared" ca="1" si="114"/>
        <v>0</v>
      </c>
      <c r="BO80" s="117">
        <f t="shared" ca="1" si="115"/>
        <v>0</v>
      </c>
      <c r="BP80" s="118" t="str">
        <f t="shared" si="116"/>
        <v>Uncapped</v>
      </c>
      <c r="BQ80" s="115">
        <f t="shared" ca="1" si="117"/>
        <v>0</v>
      </c>
      <c r="BR80" s="113" t="s">
        <v>690</v>
      </c>
      <c r="BS80" s="159">
        <v>0.4</v>
      </c>
      <c r="BT80" s="160" t="s">
        <v>211</v>
      </c>
      <c r="BU80" s="160" t="s">
        <v>210</v>
      </c>
      <c r="BV80" s="113">
        <v>2841040.714533044</v>
      </c>
      <c r="BW80" s="113">
        <v>3768691.8545067301</v>
      </c>
      <c r="BX80" s="113">
        <v>3999056.4883045726</v>
      </c>
      <c r="BY80" s="113">
        <v>4527995.3417089377</v>
      </c>
      <c r="BZ80" s="113">
        <v>2852006.84499999</v>
      </c>
      <c r="CA80" s="113">
        <v>3006744.6607000101</v>
      </c>
      <c r="CB80" s="113">
        <v>3451184.6764000161</v>
      </c>
      <c r="CC80" s="113">
        <v>5047253.2467999905</v>
      </c>
      <c r="CD80" s="113"/>
      <c r="CE80" s="113"/>
      <c r="CF80" s="113"/>
      <c r="CG80" s="113"/>
      <c r="CH80" s="114">
        <f t="shared" si="103"/>
        <v>2852006.84499999</v>
      </c>
      <c r="CI80" s="114">
        <f t="shared" si="103"/>
        <v>3006744.6607000101</v>
      </c>
      <c r="CJ80" s="120">
        <f t="shared" si="103"/>
        <v>3451184.6764000161</v>
      </c>
      <c r="CK80" s="114">
        <f t="shared" si="103"/>
        <v>5047253.2467999905</v>
      </c>
      <c r="CL80" s="114">
        <f t="shared" si="118"/>
        <v>14357189.428900007</v>
      </c>
      <c r="CM80" s="114">
        <f t="shared" si="95"/>
        <v>15136784.399053285</v>
      </c>
      <c r="CN80" s="114">
        <f t="shared" si="142"/>
        <v>15136784.399053285</v>
      </c>
      <c r="CO80" s="116">
        <f t="shared" si="143"/>
        <v>0.94850000000000001</v>
      </c>
      <c r="CP80" s="126">
        <f t="shared" ca="1" si="144"/>
        <v>0</v>
      </c>
      <c r="CQ80" s="115">
        <f t="shared" ca="1" si="119"/>
        <v>0</v>
      </c>
      <c r="CR80" s="118" t="str">
        <f t="shared" si="145"/>
        <v>Uncapped</v>
      </c>
      <c r="CS80" s="115">
        <f t="shared" ca="1" si="120"/>
        <v>0</v>
      </c>
      <c r="CT80" s="113" t="s">
        <v>736</v>
      </c>
      <c r="CU80" s="119">
        <v>0.2</v>
      </c>
      <c r="CV80" s="113" t="s">
        <v>217</v>
      </c>
      <c r="CW80" s="113" t="s">
        <v>210</v>
      </c>
      <c r="CX80" s="113">
        <v>11953048.942182608</v>
      </c>
      <c r="CY80" s="113">
        <v>16757506.295401936</v>
      </c>
      <c r="CZ80" s="113">
        <v>15470532.140695527</v>
      </c>
      <c r="DA80" s="113">
        <v>16440443.473807694</v>
      </c>
      <c r="DB80" s="113">
        <v>12211557.946359999</v>
      </c>
      <c r="DC80" s="113">
        <v>15972657.057939999</v>
      </c>
      <c r="DD80" s="113">
        <v>15545756.2063</v>
      </c>
      <c r="DE80" s="113">
        <f>VLOOKUP($H80,[2]pivot!$V:$Z,$DE$2,FALSE)</f>
        <v>16137299.457686201</v>
      </c>
      <c r="DF80" s="113"/>
      <c r="DG80" s="113"/>
      <c r="DH80" s="113"/>
      <c r="DI80" s="113"/>
      <c r="DJ80" s="114">
        <f t="shared" si="104"/>
        <v>12211557.946359999</v>
      </c>
      <c r="DK80" s="114">
        <f t="shared" si="104"/>
        <v>15972657.057939999</v>
      </c>
      <c r="DL80" s="114">
        <f t="shared" si="104"/>
        <v>15545756.2063</v>
      </c>
      <c r="DM80" s="114">
        <f t="shared" si="104"/>
        <v>16137299.457686201</v>
      </c>
      <c r="DN80" s="114">
        <f t="shared" si="84"/>
        <v>59867270.668286197</v>
      </c>
      <c r="DO80" s="114">
        <f t="shared" si="96"/>
        <v>60621530.852087766</v>
      </c>
      <c r="DP80" s="114">
        <f t="shared" si="105"/>
        <v>60621530.852087766</v>
      </c>
      <c r="DQ80" s="116">
        <f t="shared" si="146"/>
        <v>0.98760000000000003</v>
      </c>
      <c r="DR80" s="126">
        <f t="shared" ca="1" si="121"/>
        <v>0</v>
      </c>
      <c r="DS80" s="115">
        <f t="shared" ca="1" si="122"/>
        <v>0</v>
      </c>
      <c r="DT80" s="118" t="str">
        <f t="shared" si="147"/>
        <v>Uncapped</v>
      </c>
      <c r="DU80" s="115">
        <f t="shared" ca="1" si="123"/>
        <v>0</v>
      </c>
      <c r="DV80" s="113"/>
      <c r="DW80" s="119">
        <v>0</v>
      </c>
      <c r="DX80" s="113"/>
      <c r="DY80" s="113"/>
      <c r="DZ80" s="113">
        <v>0</v>
      </c>
      <c r="EA80" s="113">
        <v>0</v>
      </c>
      <c r="EB80" s="113">
        <v>0</v>
      </c>
      <c r="EC80" s="113">
        <v>0</v>
      </c>
      <c r="ED80" s="113">
        <v>0</v>
      </c>
      <c r="EE80" s="113">
        <v>0</v>
      </c>
      <c r="EF80" s="113"/>
      <c r="EG80" s="113"/>
      <c r="EH80" s="113"/>
      <c r="EI80" s="113"/>
      <c r="EJ80" s="113"/>
      <c r="EK80" s="113"/>
      <c r="EL80" s="114">
        <f t="shared" si="106"/>
        <v>0</v>
      </c>
      <c r="EM80" s="114">
        <f t="shared" si="106"/>
        <v>0</v>
      </c>
      <c r="EN80" s="114">
        <f t="shared" si="106"/>
        <v>0</v>
      </c>
      <c r="EO80" s="114">
        <f t="shared" si="106"/>
        <v>0</v>
      </c>
      <c r="EP80" s="114">
        <f t="shared" si="124"/>
        <v>0</v>
      </c>
      <c r="EQ80" s="114">
        <f t="shared" si="97"/>
        <v>0</v>
      </c>
      <c r="ER80" s="114">
        <f t="shared" si="148"/>
        <v>0</v>
      </c>
      <c r="ES80" s="116">
        <f t="shared" si="149"/>
        <v>0</v>
      </c>
      <c r="ET80" s="126">
        <f t="shared" ca="1" si="150"/>
        <v>0</v>
      </c>
      <c r="EU80" s="115">
        <f t="shared" ca="1" si="125"/>
        <v>0</v>
      </c>
      <c r="EV80" s="118" t="str">
        <f t="shared" si="126"/>
        <v>Uncapped</v>
      </c>
      <c r="EW80" s="115">
        <f t="shared" ca="1" si="127"/>
        <v>0</v>
      </c>
      <c r="EX80" s="112">
        <f t="shared" ca="1" si="128"/>
        <v>0</v>
      </c>
      <c r="EY80" s="114">
        <f t="shared" ca="1" si="151"/>
        <v>0</v>
      </c>
      <c r="EZ80" s="115">
        <v>0</v>
      </c>
      <c r="FA80" s="115"/>
      <c r="FB80" s="115"/>
      <c r="FC80" s="115">
        <v>0</v>
      </c>
      <c r="FD80" s="115">
        <f t="shared" si="98"/>
        <v>0</v>
      </c>
      <c r="FE80" s="114">
        <f t="shared" si="87"/>
        <v>0</v>
      </c>
      <c r="FF80" s="115">
        <v>0</v>
      </c>
      <c r="FG80" s="115">
        <v>0</v>
      </c>
      <c r="FH80" s="115">
        <v>0</v>
      </c>
      <c r="FI80" s="115">
        <v>0</v>
      </c>
      <c r="FJ80" s="115">
        <f t="shared" si="99"/>
        <v>0</v>
      </c>
      <c r="FK80" s="114">
        <f t="shared" si="88"/>
        <v>0</v>
      </c>
      <c r="FL80" s="113"/>
      <c r="FM80" s="111"/>
      <c r="FN80" s="111"/>
      <c r="FO80" s="111"/>
      <c r="FP80" s="115">
        <f t="shared" si="129"/>
        <v>0</v>
      </c>
      <c r="FQ80" s="115"/>
      <c r="FR80" s="115"/>
      <c r="FS80" s="115"/>
      <c r="FT80" s="114">
        <f t="shared" si="152"/>
        <v>0</v>
      </c>
      <c r="FU80" s="366">
        <f t="shared" ca="1" si="155"/>
        <v>0</v>
      </c>
      <c r="FV80" s="121">
        <f t="shared" ca="1" si="153"/>
        <v>0</v>
      </c>
      <c r="FW80" s="114">
        <f t="shared" si="157"/>
        <v>0</v>
      </c>
      <c r="FX80" s="114">
        <f t="shared" si="157"/>
        <v>0</v>
      </c>
      <c r="FY80" s="114">
        <f t="shared" si="157"/>
        <v>0</v>
      </c>
      <c r="FZ80" s="114">
        <f t="shared" si="157"/>
        <v>0</v>
      </c>
      <c r="GA80" s="114">
        <f t="shared" si="130"/>
        <v>0</v>
      </c>
      <c r="GB80" s="114">
        <f t="shared" si="158"/>
        <v>0</v>
      </c>
      <c r="GC80" s="114">
        <f t="shared" si="158"/>
        <v>0</v>
      </c>
      <c r="GD80" s="114">
        <f t="shared" si="158"/>
        <v>0</v>
      </c>
      <c r="GE80" s="114">
        <f t="shared" si="158"/>
        <v>0</v>
      </c>
      <c r="GF80" s="114">
        <f t="shared" si="72"/>
        <v>0</v>
      </c>
      <c r="GG80" s="114">
        <f t="shared" si="72"/>
        <v>0</v>
      </c>
      <c r="GH80" s="114">
        <f t="shared" si="72"/>
        <v>0</v>
      </c>
      <c r="GI80" s="114">
        <f t="shared" si="72"/>
        <v>0</v>
      </c>
      <c r="GJ80" s="115">
        <f t="shared" si="100"/>
        <v>0</v>
      </c>
      <c r="GK80" s="114">
        <f t="shared" si="131"/>
        <v>0</v>
      </c>
      <c r="GL80" s="114">
        <f t="shared" si="132"/>
        <v>0</v>
      </c>
      <c r="GM80" s="114">
        <f t="shared" si="133"/>
        <v>0</v>
      </c>
      <c r="GN80" s="114">
        <f t="shared" si="134"/>
        <v>0</v>
      </c>
      <c r="GO80" s="114">
        <f t="shared" si="135"/>
        <v>0</v>
      </c>
      <c r="GP80" s="114">
        <f t="shared" si="101"/>
        <v>0</v>
      </c>
      <c r="GQ80" s="114">
        <f t="shared" si="136"/>
        <v>0</v>
      </c>
      <c r="GR80" s="193"/>
      <c r="GS80" s="122">
        <f t="shared" si="109"/>
        <v>77647912.00398621</v>
      </c>
      <c r="GT80" s="122">
        <f t="shared" si="109"/>
        <v>79711287.282783777</v>
      </c>
      <c r="GU80" s="123">
        <f t="shared" si="137"/>
        <v>0.97411439020577428</v>
      </c>
      <c r="GV80" s="124">
        <f t="shared" ca="1" si="138"/>
        <v>0</v>
      </c>
      <c r="GW80" s="124">
        <v>0</v>
      </c>
      <c r="GX80" s="32">
        <f t="shared" ca="1" si="139"/>
        <v>0</v>
      </c>
      <c r="GY80" s="100"/>
    </row>
    <row r="81" spans="1:207" s="125" customFormat="1" ht="15" customHeight="1">
      <c r="A81" s="102"/>
      <c r="B81" s="103"/>
      <c r="C81" s="103"/>
      <c r="D81" s="104"/>
      <c r="E81" s="113" t="s">
        <v>388</v>
      </c>
      <c r="F81" s="113" t="s">
        <v>389</v>
      </c>
      <c r="G81" s="104" t="s">
        <v>226</v>
      </c>
      <c r="H81" s="127" t="s">
        <v>414</v>
      </c>
      <c r="I81" s="106" t="s">
        <v>415</v>
      </c>
      <c r="J81" s="104" t="s">
        <v>207</v>
      </c>
      <c r="K81" s="104" t="s">
        <v>218</v>
      </c>
      <c r="L81" s="104" t="s">
        <v>412</v>
      </c>
      <c r="M81" s="104" t="s">
        <v>413</v>
      </c>
      <c r="N81" s="107"/>
      <c r="O81" s="108">
        <v>41430</v>
      </c>
      <c r="P81" s="108">
        <v>43191</v>
      </c>
      <c r="Q81" s="322">
        <f t="shared" si="112"/>
        <v>0</v>
      </c>
      <c r="R81" s="109">
        <f>IF((P81-VLOOKUP(Q81,month!$A$1:$C$13,3,0))&lt;0,Q81,Q81+1)</f>
        <v>0</v>
      </c>
      <c r="S81" s="108"/>
      <c r="T81" s="127" t="str">
        <f t="shared" si="154"/>
        <v/>
      </c>
      <c r="U81" s="107"/>
      <c r="V81" s="107"/>
      <c r="W81" s="107"/>
      <c r="X81" s="107"/>
      <c r="Y81" s="386"/>
      <c r="Z81" s="386" t="s">
        <v>545</v>
      </c>
      <c r="AA81" s="387">
        <v>1000</v>
      </c>
      <c r="AB81" s="387">
        <v>1000</v>
      </c>
      <c r="AC81" s="387">
        <v>1000</v>
      </c>
      <c r="AD81" s="387">
        <v>1000</v>
      </c>
      <c r="AE81" s="387">
        <v>1000</v>
      </c>
      <c r="AF81" s="387">
        <v>1000</v>
      </c>
      <c r="AG81" s="387">
        <v>1000</v>
      </c>
      <c r="AH81" s="387">
        <v>1000</v>
      </c>
      <c r="AI81" s="387">
        <v>1000</v>
      </c>
      <c r="AJ81" s="387">
        <v>1000</v>
      </c>
      <c r="AK81" s="387">
        <v>1000</v>
      </c>
      <c r="AL81" s="387">
        <v>1000</v>
      </c>
      <c r="AM81" s="388">
        <f t="shared" si="92"/>
        <v>12000</v>
      </c>
      <c r="AN81" s="388">
        <f t="shared" si="113"/>
        <v>12000</v>
      </c>
      <c r="AO81" s="389">
        <f t="shared" si="156"/>
        <v>1000</v>
      </c>
      <c r="AP81" s="498" t="s">
        <v>670</v>
      </c>
      <c r="AQ81" s="159">
        <v>0.4</v>
      </c>
      <c r="AR81" s="160" t="s">
        <v>392</v>
      </c>
      <c r="AS81" s="119" t="s">
        <v>210</v>
      </c>
      <c r="AT81" s="111">
        <v>572461.11271470052</v>
      </c>
      <c r="AU81" s="111">
        <v>1658989.9960819613</v>
      </c>
      <c r="AV81" s="111">
        <v>1077390.2462300584</v>
      </c>
      <c r="AW81" s="111">
        <v>1222149.6230844765</v>
      </c>
      <c r="AX81" s="113">
        <v>827548.4608</v>
      </c>
      <c r="AY81" s="113">
        <v>1801449.6228</v>
      </c>
      <c r="AZ81" s="113">
        <v>885970.64970000007</v>
      </c>
      <c r="BA81" s="113">
        <v>934949.745</v>
      </c>
      <c r="BB81" s="113"/>
      <c r="BC81" s="113"/>
      <c r="BD81" s="113"/>
      <c r="BE81" s="113"/>
      <c r="BF81" s="114">
        <f t="shared" si="102"/>
        <v>827548.4608</v>
      </c>
      <c r="BG81" s="114">
        <f t="shared" si="102"/>
        <v>1801449.6228</v>
      </c>
      <c r="BH81" s="114">
        <f t="shared" si="102"/>
        <v>885970.64970000007</v>
      </c>
      <c r="BI81" s="114">
        <f t="shared" si="102"/>
        <v>934949.745</v>
      </c>
      <c r="BJ81" s="114">
        <f t="shared" si="108"/>
        <v>4449918.4782999996</v>
      </c>
      <c r="BK81" s="115">
        <f t="shared" si="94"/>
        <v>4530990.9781111963</v>
      </c>
      <c r="BL81" s="115">
        <f t="shared" si="140"/>
        <v>4530990.9781111963</v>
      </c>
      <c r="BM81" s="116">
        <f t="shared" si="141"/>
        <v>0.98209999999999997</v>
      </c>
      <c r="BN81" s="126">
        <f t="shared" ca="1" si="114"/>
        <v>0</v>
      </c>
      <c r="BO81" s="117">
        <f t="shared" ca="1" si="115"/>
        <v>0</v>
      </c>
      <c r="BP81" s="118" t="str">
        <f t="shared" si="116"/>
        <v>Uncapped</v>
      </c>
      <c r="BQ81" s="115">
        <f t="shared" ca="1" si="117"/>
        <v>0</v>
      </c>
      <c r="BR81" s="113" t="s">
        <v>690</v>
      </c>
      <c r="BS81" s="159">
        <v>0.4</v>
      </c>
      <c r="BT81" s="160" t="s">
        <v>211</v>
      </c>
      <c r="BU81" s="160" t="s">
        <v>210</v>
      </c>
      <c r="BV81" s="113">
        <v>2841040.714533044</v>
      </c>
      <c r="BW81" s="113">
        <v>3768691.8545067278</v>
      </c>
      <c r="BX81" s="113">
        <v>3999056.4883045731</v>
      </c>
      <c r="BY81" s="113">
        <v>4527995.3417089367</v>
      </c>
      <c r="BZ81" s="113">
        <v>2852006.84499999</v>
      </c>
      <c r="CA81" s="113">
        <v>3006744.6607000101</v>
      </c>
      <c r="CB81" s="113">
        <v>3451184.6764000161</v>
      </c>
      <c r="CC81" s="113">
        <v>5047253.2467999905</v>
      </c>
      <c r="CD81" s="113"/>
      <c r="CE81" s="113"/>
      <c r="CF81" s="113"/>
      <c r="CG81" s="113"/>
      <c r="CH81" s="114">
        <f t="shared" si="103"/>
        <v>2852006.84499999</v>
      </c>
      <c r="CI81" s="114">
        <f t="shared" si="103"/>
        <v>3006744.6607000101</v>
      </c>
      <c r="CJ81" s="120">
        <f t="shared" si="103"/>
        <v>3451184.6764000161</v>
      </c>
      <c r="CK81" s="114">
        <f t="shared" si="103"/>
        <v>5047253.2467999905</v>
      </c>
      <c r="CL81" s="114">
        <f t="shared" si="118"/>
        <v>14357189.428900007</v>
      </c>
      <c r="CM81" s="114">
        <f t="shared" si="95"/>
        <v>15136784.399053279</v>
      </c>
      <c r="CN81" s="114">
        <f t="shared" si="142"/>
        <v>15136784.399053279</v>
      </c>
      <c r="CO81" s="116">
        <f t="shared" si="143"/>
        <v>0.94850000000000001</v>
      </c>
      <c r="CP81" s="126">
        <f t="shared" ca="1" si="144"/>
        <v>0</v>
      </c>
      <c r="CQ81" s="115">
        <f t="shared" ca="1" si="119"/>
        <v>0</v>
      </c>
      <c r="CR81" s="118" t="str">
        <f t="shared" si="145"/>
        <v>Uncapped</v>
      </c>
      <c r="CS81" s="115">
        <f t="shared" ca="1" si="120"/>
        <v>0</v>
      </c>
      <c r="CT81" s="113" t="s">
        <v>736</v>
      </c>
      <c r="CU81" s="119">
        <v>0.2</v>
      </c>
      <c r="CV81" s="113" t="s">
        <v>217</v>
      </c>
      <c r="CW81" s="113" t="s">
        <v>210</v>
      </c>
      <c r="CX81" s="113">
        <v>11953048.942182608</v>
      </c>
      <c r="CY81" s="113">
        <v>16757506.295401936</v>
      </c>
      <c r="CZ81" s="113">
        <v>15470532.140695527</v>
      </c>
      <c r="DA81" s="113">
        <v>16440443.473807694</v>
      </c>
      <c r="DB81" s="113">
        <v>12211557.946359999</v>
      </c>
      <c r="DC81" s="113">
        <v>15972657.057939999</v>
      </c>
      <c r="DD81" s="113">
        <v>15545756.2063</v>
      </c>
      <c r="DE81" s="113">
        <f>VLOOKUP($H81,[2]pivot!$V:$Z,$DE$2,FALSE)</f>
        <v>16137299.457686201</v>
      </c>
      <c r="DF81" s="113"/>
      <c r="DG81" s="113"/>
      <c r="DH81" s="113"/>
      <c r="DI81" s="113"/>
      <c r="DJ81" s="114">
        <f t="shared" si="104"/>
        <v>12211557.946359999</v>
      </c>
      <c r="DK81" s="114">
        <f t="shared" si="104"/>
        <v>15972657.057939999</v>
      </c>
      <c r="DL81" s="114">
        <f t="shared" si="104"/>
        <v>15545756.2063</v>
      </c>
      <c r="DM81" s="114">
        <f t="shared" si="104"/>
        <v>16137299.457686201</v>
      </c>
      <c r="DN81" s="114">
        <f t="shared" si="84"/>
        <v>59867270.668286197</v>
      </c>
      <c r="DO81" s="114">
        <f t="shared" si="96"/>
        <v>60621530.852087766</v>
      </c>
      <c r="DP81" s="114">
        <f t="shared" si="105"/>
        <v>60621530.852087766</v>
      </c>
      <c r="DQ81" s="116">
        <f t="shared" si="146"/>
        <v>0.98760000000000003</v>
      </c>
      <c r="DR81" s="126">
        <f t="shared" ca="1" si="121"/>
        <v>0</v>
      </c>
      <c r="DS81" s="115">
        <f t="shared" ca="1" si="122"/>
        <v>0</v>
      </c>
      <c r="DT81" s="118" t="str">
        <f t="shared" si="147"/>
        <v>Uncapped</v>
      </c>
      <c r="DU81" s="115">
        <f t="shared" ca="1" si="123"/>
        <v>0</v>
      </c>
      <c r="DV81" s="113"/>
      <c r="DW81" s="119">
        <v>0</v>
      </c>
      <c r="DX81" s="113"/>
      <c r="DY81" s="113"/>
      <c r="DZ81" s="113">
        <v>0</v>
      </c>
      <c r="EA81" s="113">
        <v>0</v>
      </c>
      <c r="EB81" s="113">
        <v>0</v>
      </c>
      <c r="EC81" s="113">
        <v>0</v>
      </c>
      <c r="ED81" s="113">
        <v>0</v>
      </c>
      <c r="EE81" s="113">
        <v>0</v>
      </c>
      <c r="EF81" s="113"/>
      <c r="EG81" s="113"/>
      <c r="EH81" s="113"/>
      <c r="EI81" s="113"/>
      <c r="EJ81" s="113"/>
      <c r="EK81" s="113"/>
      <c r="EL81" s="114">
        <f t="shared" si="106"/>
        <v>0</v>
      </c>
      <c r="EM81" s="114">
        <f t="shared" si="106"/>
        <v>0</v>
      </c>
      <c r="EN81" s="114">
        <f t="shared" si="106"/>
        <v>0</v>
      </c>
      <c r="EO81" s="114">
        <f t="shared" si="106"/>
        <v>0</v>
      </c>
      <c r="EP81" s="114">
        <f t="shared" si="124"/>
        <v>0</v>
      </c>
      <c r="EQ81" s="114">
        <f t="shared" si="97"/>
        <v>0</v>
      </c>
      <c r="ER81" s="114">
        <f t="shared" si="148"/>
        <v>0</v>
      </c>
      <c r="ES81" s="116">
        <f t="shared" si="149"/>
        <v>0</v>
      </c>
      <c r="ET81" s="126">
        <f t="shared" ca="1" si="150"/>
        <v>0</v>
      </c>
      <c r="EU81" s="115">
        <f t="shared" ca="1" si="125"/>
        <v>0</v>
      </c>
      <c r="EV81" s="118" t="str">
        <f t="shared" si="126"/>
        <v>Uncapped</v>
      </c>
      <c r="EW81" s="115">
        <f t="shared" ca="1" si="127"/>
        <v>0</v>
      </c>
      <c r="EX81" s="112">
        <f t="shared" ca="1" si="128"/>
        <v>0</v>
      </c>
      <c r="EY81" s="114">
        <f t="shared" ca="1" si="151"/>
        <v>0</v>
      </c>
      <c r="EZ81" s="115">
        <v>79840</v>
      </c>
      <c r="FA81" s="115">
        <v>319360.00000000006</v>
      </c>
      <c r="FB81" s="115"/>
      <c r="FC81" s="115">
        <v>0</v>
      </c>
      <c r="FD81" s="115">
        <f t="shared" si="98"/>
        <v>399200.00000000006</v>
      </c>
      <c r="FE81" s="114">
        <f t="shared" si="87"/>
        <v>0</v>
      </c>
      <c r="FF81" s="115">
        <v>0</v>
      </c>
      <c r="FG81" s="115">
        <v>0</v>
      </c>
      <c r="FH81" s="115">
        <v>0</v>
      </c>
      <c r="FI81" s="115">
        <v>0</v>
      </c>
      <c r="FJ81" s="115">
        <f t="shared" si="99"/>
        <v>0</v>
      </c>
      <c r="FK81" s="114">
        <f t="shared" si="88"/>
        <v>0</v>
      </c>
      <c r="FL81" s="113"/>
      <c r="FM81" s="111"/>
      <c r="FN81" s="111"/>
      <c r="FO81" s="111"/>
      <c r="FP81" s="115">
        <f t="shared" si="129"/>
        <v>0</v>
      </c>
      <c r="FQ81" s="115"/>
      <c r="FR81" s="488"/>
      <c r="FS81" s="115"/>
      <c r="FT81" s="114">
        <f t="shared" si="152"/>
        <v>0</v>
      </c>
      <c r="FU81" s="366">
        <f t="shared" ca="1" si="155"/>
        <v>399200</v>
      </c>
      <c r="FV81" s="121">
        <f t="shared" ca="1" si="153"/>
        <v>399200.00000000006</v>
      </c>
      <c r="FW81" s="114">
        <f t="shared" si="157"/>
        <v>0</v>
      </c>
      <c r="FX81" s="114">
        <f t="shared" si="157"/>
        <v>0</v>
      </c>
      <c r="FY81" s="114">
        <f t="shared" si="157"/>
        <v>0</v>
      </c>
      <c r="FZ81" s="114">
        <f t="shared" si="157"/>
        <v>0</v>
      </c>
      <c r="GA81" s="114">
        <f t="shared" si="130"/>
        <v>0</v>
      </c>
      <c r="GB81" s="114">
        <f t="shared" si="158"/>
        <v>79840</v>
      </c>
      <c r="GC81" s="114">
        <f t="shared" si="158"/>
        <v>319360.00000000006</v>
      </c>
      <c r="GD81" s="114">
        <f t="shared" si="158"/>
        <v>0</v>
      </c>
      <c r="GE81" s="114">
        <f t="shared" si="158"/>
        <v>0</v>
      </c>
      <c r="GF81" s="114">
        <f t="shared" si="72"/>
        <v>79840</v>
      </c>
      <c r="GG81" s="114">
        <f t="shared" si="72"/>
        <v>319360.00000000006</v>
      </c>
      <c r="GH81" s="114">
        <f t="shared" si="72"/>
        <v>0</v>
      </c>
      <c r="GI81" s="114">
        <f t="shared" si="72"/>
        <v>0</v>
      </c>
      <c r="GJ81" s="115">
        <f t="shared" si="100"/>
        <v>399200.00000000006</v>
      </c>
      <c r="GK81" s="114">
        <f t="shared" si="131"/>
        <v>399200.00000000006</v>
      </c>
      <c r="GL81" s="114">
        <f t="shared" si="132"/>
        <v>0</v>
      </c>
      <c r="GM81" s="114">
        <f t="shared" si="133"/>
        <v>0</v>
      </c>
      <c r="GN81" s="114">
        <f t="shared" si="134"/>
        <v>0</v>
      </c>
      <c r="GO81" s="114">
        <f t="shared" si="135"/>
        <v>0</v>
      </c>
      <c r="GP81" s="114">
        <f t="shared" si="101"/>
        <v>0</v>
      </c>
      <c r="GQ81" s="114">
        <f t="shared" si="136"/>
        <v>0</v>
      </c>
      <c r="GR81" s="193"/>
      <c r="GS81" s="122">
        <f t="shared" si="109"/>
        <v>78674378.575486213</v>
      </c>
      <c r="GT81" s="122">
        <f t="shared" si="109"/>
        <v>80289306.229252249</v>
      </c>
      <c r="GU81" s="123">
        <f t="shared" si="137"/>
        <v>0.97988614263081453</v>
      </c>
      <c r="GV81" s="124">
        <f t="shared" ca="1" si="138"/>
        <v>0</v>
      </c>
      <c r="GW81" s="124">
        <v>0</v>
      </c>
      <c r="GX81" s="32">
        <f t="shared" ca="1" si="139"/>
        <v>0</v>
      </c>
      <c r="GY81" s="100"/>
    </row>
    <row r="82" spans="1:207" s="125" customFormat="1" ht="15" customHeight="1">
      <c r="A82" s="102"/>
      <c r="B82" s="103"/>
      <c r="C82" s="103"/>
      <c r="D82" s="104"/>
      <c r="E82" s="113" t="s">
        <v>388</v>
      </c>
      <c r="F82" s="113" t="s">
        <v>388</v>
      </c>
      <c r="G82" s="104" t="s">
        <v>226</v>
      </c>
      <c r="H82" s="127" t="s">
        <v>416</v>
      </c>
      <c r="I82" s="106" t="s">
        <v>417</v>
      </c>
      <c r="J82" s="104" t="s">
        <v>212</v>
      </c>
      <c r="K82" s="104" t="s">
        <v>218</v>
      </c>
      <c r="L82" s="104" t="s">
        <v>213</v>
      </c>
      <c r="M82" s="104" t="s">
        <v>388</v>
      </c>
      <c r="N82" s="107"/>
      <c r="O82" s="108">
        <v>41430</v>
      </c>
      <c r="P82" s="108">
        <v>41640</v>
      </c>
      <c r="Q82" s="322">
        <f t="shared" si="112"/>
        <v>0</v>
      </c>
      <c r="R82" s="109">
        <f>IF((P82-VLOOKUP(Q82,month!$A$1:$C$13,3,0))&lt;0,Q82,Q82+1)</f>
        <v>0</v>
      </c>
      <c r="S82" s="108"/>
      <c r="T82" s="110" t="str">
        <f t="shared" si="154"/>
        <v/>
      </c>
      <c r="U82" s="107"/>
      <c r="V82" s="107"/>
      <c r="W82" s="107"/>
      <c r="X82" s="107"/>
      <c r="Y82" s="386"/>
      <c r="Z82" s="386" t="s">
        <v>545</v>
      </c>
      <c r="AA82" s="387">
        <v>1000</v>
      </c>
      <c r="AB82" s="387">
        <v>1000</v>
      </c>
      <c r="AC82" s="387">
        <v>1000</v>
      </c>
      <c r="AD82" s="387">
        <v>1000</v>
      </c>
      <c r="AE82" s="387">
        <v>1000</v>
      </c>
      <c r="AF82" s="387">
        <v>1000</v>
      </c>
      <c r="AG82" s="387">
        <v>1000</v>
      </c>
      <c r="AH82" s="387">
        <v>1000</v>
      </c>
      <c r="AI82" s="387">
        <v>1000</v>
      </c>
      <c r="AJ82" s="387">
        <v>1000</v>
      </c>
      <c r="AK82" s="387">
        <v>1000</v>
      </c>
      <c r="AL82" s="387">
        <v>1000</v>
      </c>
      <c r="AM82" s="388">
        <f t="shared" si="92"/>
        <v>12000</v>
      </c>
      <c r="AN82" s="388">
        <f t="shared" si="113"/>
        <v>12000</v>
      </c>
      <c r="AO82" s="389">
        <f t="shared" si="156"/>
        <v>1000</v>
      </c>
      <c r="AP82" s="498" t="s">
        <v>671</v>
      </c>
      <c r="AQ82" s="159">
        <v>0.4</v>
      </c>
      <c r="AR82" s="160" t="s">
        <v>392</v>
      </c>
      <c r="AS82" s="119" t="s">
        <v>210</v>
      </c>
      <c r="AT82" s="111">
        <v>132389.85684314658</v>
      </c>
      <c r="AU82" s="111">
        <v>487645.34272680385</v>
      </c>
      <c r="AV82" s="111">
        <v>251446.83714963554</v>
      </c>
      <c r="AW82" s="111">
        <v>315491.96075145539</v>
      </c>
      <c r="AX82" s="113">
        <v>191643.75</v>
      </c>
      <c r="AY82" s="113">
        <v>736127.76779999991</v>
      </c>
      <c r="AZ82" s="113">
        <v>446363.77500000002</v>
      </c>
      <c r="BA82" s="113">
        <v>426656.565</v>
      </c>
      <c r="BB82" s="113"/>
      <c r="BC82" s="113"/>
      <c r="BD82" s="113"/>
      <c r="BE82" s="113"/>
      <c r="BF82" s="114">
        <f t="shared" si="102"/>
        <v>191643.75</v>
      </c>
      <c r="BG82" s="114">
        <f t="shared" si="102"/>
        <v>736127.76779999991</v>
      </c>
      <c r="BH82" s="114">
        <f t="shared" si="102"/>
        <v>446363.77500000002</v>
      </c>
      <c r="BI82" s="114">
        <f t="shared" si="102"/>
        <v>426656.565</v>
      </c>
      <c r="BJ82" s="114">
        <f t="shared" si="108"/>
        <v>1800791.8577999999</v>
      </c>
      <c r="BK82" s="115">
        <f t="shared" si="94"/>
        <v>1186973.9974710415</v>
      </c>
      <c r="BL82" s="115">
        <f t="shared" si="140"/>
        <v>1186973.9974710415</v>
      </c>
      <c r="BM82" s="116">
        <f t="shared" si="141"/>
        <v>1.5170999999999999</v>
      </c>
      <c r="BN82" s="126">
        <f t="shared" ca="1" si="114"/>
        <v>0</v>
      </c>
      <c r="BO82" s="117">
        <f t="shared" ca="1" si="115"/>
        <v>0</v>
      </c>
      <c r="BP82" s="118" t="str">
        <f t="shared" si="116"/>
        <v>Uncapped</v>
      </c>
      <c r="BQ82" s="115">
        <f t="shared" ca="1" si="117"/>
        <v>0</v>
      </c>
      <c r="BR82" s="113" t="s">
        <v>691</v>
      </c>
      <c r="BS82" s="159">
        <v>0.4</v>
      </c>
      <c r="BT82" s="160" t="s">
        <v>211</v>
      </c>
      <c r="BU82" s="160" t="s">
        <v>210</v>
      </c>
      <c r="BV82" s="113">
        <v>2616407.1981056472</v>
      </c>
      <c r="BW82" s="113">
        <v>3516179.7032821523</v>
      </c>
      <c r="BX82" s="113">
        <v>3720581.9762100568</v>
      </c>
      <c r="BY82" s="113">
        <v>4249439.0333433365</v>
      </c>
      <c r="BZ82" s="113">
        <v>2600578.9209999898</v>
      </c>
      <c r="CA82" s="113">
        <v>2873509.7902000099</v>
      </c>
      <c r="CB82" s="113">
        <v>3288683.4781000158</v>
      </c>
      <c r="CC82" s="113">
        <v>4832187.5457999939</v>
      </c>
      <c r="CD82" s="113"/>
      <c r="CE82" s="113"/>
      <c r="CF82" s="113"/>
      <c r="CG82" s="113"/>
      <c r="CH82" s="114">
        <f t="shared" si="103"/>
        <v>2600578.9209999898</v>
      </c>
      <c r="CI82" s="114">
        <f t="shared" si="103"/>
        <v>2873509.7902000099</v>
      </c>
      <c r="CJ82" s="120">
        <f t="shared" si="103"/>
        <v>3288683.4781000158</v>
      </c>
      <c r="CK82" s="114">
        <f t="shared" si="103"/>
        <v>4832187.5457999939</v>
      </c>
      <c r="CL82" s="114">
        <f t="shared" si="118"/>
        <v>13594959.735100009</v>
      </c>
      <c r="CM82" s="114">
        <f t="shared" si="95"/>
        <v>14102607.910941195</v>
      </c>
      <c r="CN82" s="114">
        <f t="shared" si="142"/>
        <v>14102607.910941195</v>
      </c>
      <c r="CO82" s="116">
        <f t="shared" si="143"/>
        <v>0.96399999999999997</v>
      </c>
      <c r="CP82" s="126">
        <f t="shared" ca="1" si="144"/>
        <v>0</v>
      </c>
      <c r="CQ82" s="115">
        <f t="shared" ca="1" si="119"/>
        <v>0</v>
      </c>
      <c r="CR82" s="118" t="str">
        <f t="shared" si="145"/>
        <v>Uncapped</v>
      </c>
      <c r="CS82" s="115">
        <f t="shared" ca="1" si="120"/>
        <v>0</v>
      </c>
      <c r="CT82" s="113" t="s">
        <v>695</v>
      </c>
      <c r="CU82" s="119">
        <v>0.2</v>
      </c>
      <c r="CV82" s="113" t="s">
        <v>217</v>
      </c>
      <c r="CW82" s="113" t="s">
        <v>210</v>
      </c>
      <c r="CX82" s="113">
        <v>3428789.7311367933</v>
      </c>
      <c r="CY82" s="113">
        <v>5408231.2228889018</v>
      </c>
      <c r="CZ82" s="113">
        <v>5079957.5438702796</v>
      </c>
      <c r="DA82" s="113">
        <v>5750796.8792685037</v>
      </c>
      <c r="DB82" s="113">
        <v>3679555.30579999</v>
      </c>
      <c r="DC82" s="113">
        <v>4808194.2835000101</v>
      </c>
      <c r="DD82" s="113">
        <v>4337155.326100016</v>
      </c>
      <c r="DE82" s="113">
        <f>VLOOKUP($H82,[2]pivot!$V:$Z,$DE$2,FALSE)</f>
        <v>5982202.9917999906</v>
      </c>
      <c r="DF82" s="113"/>
      <c r="DG82" s="113"/>
      <c r="DH82" s="113"/>
      <c r="DI82" s="113"/>
      <c r="DJ82" s="114">
        <f t="shared" si="104"/>
        <v>3679555.30579999</v>
      </c>
      <c r="DK82" s="114">
        <f t="shared" si="104"/>
        <v>4808194.2835000101</v>
      </c>
      <c r="DL82" s="114">
        <f t="shared" si="104"/>
        <v>4337155.326100016</v>
      </c>
      <c r="DM82" s="114">
        <f t="shared" si="104"/>
        <v>5982202.9917999906</v>
      </c>
      <c r="DN82" s="114">
        <f t="shared" si="84"/>
        <v>18807107.907200005</v>
      </c>
      <c r="DO82" s="114">
        <f t="shared" si="96"/>
        <v>19667775.377164479</v>
      </c>
      <c r="DP82" s="114">
        <f t="shared" si="105"/>
        <v>19667775.377164479</v>
      </c>
      <c r="DQ82" s="116">
        <f t="shared" si="146"/>
        <v>0.95620000000000005</v>
      </c>
      <c r="DR82" s="126">
        <f t="shared" ca="1" si="121"/>
        <v>0</v>
      </c>
      <c r="DS82" s="115">
        <f t="shared" ca="1" si="122"/>
        <v>0</v>
      </c>
      <c r="DT82" s="118" t="str">
        <f t="shared" si="147"/>
        <v>Uncapped</v>
      </c>
      <c r="DU82" s="115">
        <f t="shared" ca="1" si="123"/>
        <v>0</v>
      </c>
      <c r="DV82" s="113"/>
      <c r="DW82" s="119">
        <v>0</v>
      </c>
      <c r="DX82" s="113"/>
      <c r="DY82" s="113"/>
      <c r="DZ82" s="113">
        <v>0</v>
      </c>
      <c r="EA82" s="113">
        <v>0</v>
      </c>
      <c r="EB82" s="113">
        <v>0</v>
      </c>
      <c r="EC82" s="113">
        <v>0</v>
      </c>
      <c r="ED82" s="113">
        <v>0</v>
      </c>
      <c r="EE82" s="113">
        <v>0</v>
      </c>
      <c r="EF82" s="113"/>
      <c r="EG82" s="113"/>
      <c r="EH82" s="113"/>
      <c r="EI82" s="113"/>
      <c r="EJ82" s="113"/>
      <c r="EK82" s="113"/>
      <c r="EL82" s="114">
        <f t="shared" si="106"/>
        <v>0</v>
      </c>
      <c r="EM82" s="114">
        <f t="shared" si="106"/>
        <v>0</v>
      </c>
      <c r="EN82" s="114">
        <f t="shared" si="106"/>
        <v>0</v>
      </c>
      <c r="EO82" s="114">
        <f t="shared" si="106"/>
        <v>0</v>
      </c>
      <c r="EP82" s="114">
        <f t="shared" si="124"/>
        <v>0</v>
      </c>
      <c r="EQ82" s="114">
        <f t="shared" si="97"/>
        <v>0</v>
      </c>
      <c r="ER82" s="114">
        <f t="shared" si="148"/>
        <v>0</v>
      </c>
      <c r="ES82" s="116">
        <f t="shared" si="149"/>
        <v>0</v>
      </c>
      <c r="ET82" s="126">
        <f t="shared" ca="1" si="150"/>
        <v>0</v>
      </c>
      <c r="EU82" s="115">
        <f t="shared" ca="1" si="125"/>
        <v>0</v>
      </c>
      <c r="EV82" s="118" t="str">
        <f t="shared" si="126"/>
        <v>Uncapped</v>
      </c>
      <c r="EW82" s="115">
        <f t="shared" ca="1" si="127"/>
        <v>0</v>
      </c>
      <c r="EX82" s="112">
        <f t="shared" ca="1" si="128"/>
        <v>0</v>
      </c>
      <c r="EY82" s="114">
        <f t="shared" ca="1" si="151"/>
        <v>0</v>
      </c>
      <c r="EZ82" s="115">
        <v>442800</v>
      </c>
      <c r="FA82" s="115">
        <v>1076870</v>
      </c>
      <c r="FB82" s="115"/>
      <c r="FC82" s="115">
        <v>0</v>
      </c>
      <c r="FD82" s="115">
        <f t="shared" si="98"/>
        <v>1519670</v>
      </c>
      <c r="FE82" s="114">
        <f t="shared" si="87"/>
        <v>0</v>
      </c>
      <c r="FF82" s="115">
        <v>0</v>
      </c>
      <c r="FG82" s="115">
        <v>0</v>
      </c>
      <c r="FH82" s="115">
        <v>0</v>
      </c>
      <c r="FI82" s="115">
        <v>0</v>
      </c>
      <c r="FJ82" s="115">
        <f t="shared" si="99"/>
        <v>0</v>
      </c>
      <c r="FK82" s="114">
        <f t="shared" si="88"/>
        <v>0</v>
      </c>
      <c r="FL82" s="113"/>
      <c r="FM82" s="111"/>
      <c r="FN82" s="111"/>
      <c r="FO82" s="111"/>
      <c r="FP82" s="115">
        <f t="shared" si="129"/>
        <v>0</v>
      </c>
      <c r="FQ82" s="115"/>
      <c r="FR82" s="488"/>
      <c r="FS82" s="115"/>
      <c r="FT82" s="114">
        <f t="shared" si="152"/>
        <v>0</v>
      </c>
      <c r="FU82" s="366">
        <f t="shared" ca="1" si="155"/>
        <v>1519670</v>
      </c>
      <c r="FV82" s="121">
        <f t="shared" ca="1" si="153"/>
        <v>1519670</v>
      </c>
      <c r="FW82" s="114">
        <f t="shared" si="157"/>
        <v>0</v>
      </c>
      <c r="FX82" s="114">
        <f t="shared" si="157"/>
        <v>0</v>
      </c>
      <c r="FY82" s="114">
        <f t="shared" si="157"/>
        <v>0</v>
      </c>
      <c r="FZ82" s="114">
        <f t="shared" si="157"/>
        <v>0</v>
      </c>
      <c r="GA82" s="114">
        <f t="shared" si="130"/>
        <v>0</v>
      </c>
      <c r="GB82" s="114">
        <f t="shared" si="158"/>
        <v>442800</v>
      </c>
      <c r="GC82" s="114">
        <f t="shared" si="158"/>
        <v>1076870</v>
      </c>
      <c r="GD82" s="114">
        <f t="shared" si="158"/>
        <v>0</v>
      </c>
      <c r="GE82" s="114">
        <f t="shared" si="158"/>
        <v>0</v>
      </c>
      <c r="GF82" s="114">
        <f t="shared" ref="GF82:GI118" si="159">GB82+FW82</f>
        <v>442800</v>
      </c>
      <c r="GG82" s="114">
        <f t="shared" si="159"/>
        <v>1076870</v>
      </c>
      <c r="GH82" s="114">
        <f t="shared" si="159"/>
        <v>0</v>
      </c>
      <c r="GI82" s="114">
        <f t="shared" si="159"/>
        <v>0</v>
      </c>
      <c r="GJ82" s="115">
        <f t="shared" si="100"/>
        <v>1519670</v>
      </c>
      <c r="GK82" s="114">
        <f t="shared" si="131"/>
        <v>1519670</v>
      </c>
      <c r="GL82" s="114">
        <f t="shared" si="132"/>
        <v>0</v>
      </c>
      <c r="GM82" s="114">
        <f t="shared" si="133"/>
        <v>0</v>
      </c>
      <c r="GN82" s="114">
        <f t="shared" si="134"/>
        <v>0</v>
      </c>
      <c r="GO82" s="114">
        <f t="shared" si="135"/>
        <v>0</v>
      </c>
      <c r="GP82" s="114">
        <f t="shared" si="101"/>
        <v>0</v>
      </c>
      <c r="GQ82" s="114">
        <f t="shared" si="136"/>
        <v>0</v>
      </c>
      <c r="GR82" s="193"/>
      <c r="GS82" s="122">
        <f t="shared" si="109"/>
        <v>34202859.500100017</v>
      </c>
      <c r="GT82" s="122">
        <f t="shared" si="109"/>
        <v>34957357.285576716</v>
      </c>
      <c r="GU82" s="123">
        <f t="shared" si="137"/>
        <v>0.97841662402243423</v>
      </c>
      <c r="GV82" s="124">
        <f t="shared" ca="1" si="138"/>
        <v>0</v>
      </c>
      <c r="GW82" s="124">
        <v>0</v>
      </c>
      <c r="GX82" s="32">
        <f t="shared" ca="1" si="139"/>
        <v>0</v>
      </c>
      <c r="GY82" s="100"/>
    </row>
    <row r="83" spans="1:207" s="481" customFormat="1" ht="15" customHeight="1">
      <c r="A83" s="447"/>
      <c r="B83" s="448"/>
      <c r="C83" s="448"/>
      <c r="D83" s="449"/>
      <c r="E83" s="460" t="s">
        <v>388</v>
      </c>
      <c r="F83" s="460" t="s">
        <v>388</v>
      </c>
      <c r="G83" s="449" t="s">
        <v>226</v>
      </c>
      <c r="H83" s="482" t="s">
        <v>418</v>
      </c>
      <c r="I83" s="547" t="s">
        <v>419</v>
      </c>
      <c r="J83" s="449" t="s">
        <v>212</v>
      </c>
      <c r="K83" s="449" t="s">
        <v>218</v>
      </c>
      <c r="L83" s="449" t="s">
        <v>213</v>
      </c>
      <c r="M83" s="449" t="s">
        <v>388</v>
      </c>
      <c r="N83" s="452"/>
      <c r="O83" s="420">
        <v>41430</v>
      </c>
      <c r="P83" s="420">
        <v>41640</v>
      </c>
      <c r="Q83" s="453">
        <f t="shared" si="112"/>
        <v>0</v>
      </c>
      <c r="R83" s="419">
        <f>IF((P83-VLOOKUP(Q83,month!$A$1:$C$13,3,0))&lt;0,Q83,Q83+1)</f>
        <v>0</v>
      </c>
      <c r="S83" s="420"/>
      <c r="T83" s="454" t="str">
        <f t="shared" si="154"/>
        <v/>
      </c>
      <c r="U83" s="107"/>
      <c r="V83" s="107"/>
      <c r="W83" s="107"/>
      <c r="X83" s="107"/>
      <c r="Y83" s="456"/>
      <c r="Z83" s="456" t="s">
        <v>545</v>
      </c>
      <c r="AA83" s="457">
        <v>1000</v>
      </c>
      <c r="AB83" s="457">
        <v>1000</v>
      </c>
      <c r="AC83" s="457">
        <v>1000</v>
      </c>
      <c r="AD83" s="457">
        <v>1000</v>
      </c>
      <c r="AE83" s="457">
        <v>1000</v>
      </c>
      <c r="AF83" s="457">
        <v>1000</v>
      </c>
      <c r="AG83" s="457">
        <v>1000</v>
      </c>
      <c r="AH83" s="457">
        <v>1000</v>
      </c>
      <c r="AI83" s="457">
        <v>1000</v>
      </c>
      <c r="AJ83" s="457">
        <v>1000</v>
      </c>
      <c r="AK83" s="457">
        <v>1000</v>
      </c>
      <c r="AL83" s="457">
        <v>1000</v>
      </c>
      <c r="AM83" s="458">
        <f t="shared" si="92"/>
        <v>12000</v>
      </c>
      <c r="AN83" s="458">
        <f t="shared" si="113"/>
        <v>12000</v>
      </c>
      <c r="AO83" s="459">
        <f t="shared" si="156"/>
        <v>1000</v>
      </c>
      <c r="AP83" s="500" t="s">
        <v>671</v>
      </c>
      <c r="AQ83" s="461">
        <v>0.4</v>
      </c>
      <c r="AR83" s="462" t="s">
        <v>392</v>
      </c>
      <c r="AS83" s="463" t="s">
        <v>210</v>
      </c>
      <c r="AT83" s="464">
        <v>198339.94189909767</v>
      </c>
      <c r="AU83" s="464">
        <v>465234.84238999593</v>
      </c>
      <c r="AV83" s="464">
        <v>377540.50957031891</v>
      </c>
      <c r="AW83" s="600"/>
      <c r="AX83" s="460">
        <v>147916.81079999998</v>
      </c>
      <c r="AY83" s="460">
        <v>282604.36499999999</v>
      </c>
      <c r="AZ83" s="460">
        <v>39858.300000000003</v>
      </c>
      <c r="BA83" s="590"/>
      <c r="BB83" s="460"/>
      <c r="BC83" s="460"/>
      <c r="BD83" s="460"/>
      <c r="BE83" s="460"/>
      <c r="BF83" s="465">
        <f t="shared" si="102"/>
        <v>147916.81079999998</v>
      </c>
      <c r="BG83" s="465">
        <f t="shared" si="102"/>
        <v>282604.36499999999</v>
      </c>
      <c r="BH83" s="465">
        <f t="shared" si="102"/>
        <v>39858.300000000003</v>
      </c>
      <c r="BI83" s="465">
        <f t="shared" si="102"/>
        <v>0</v>
      </c>
      <c r="BJ83" s="465">
        <f t="shared" si="108"/>
        <v>470379.47579999996</v>
      </c>
      <c r="BK83" s="466">
        <f t="shared" si="94"/>
        <v>1041115.2938594124</v>
      </c>
      <c r="BL83" s="466">
        <f t="shared" si="140"/>
        <v>1041115.2938594124</v>
      </c>
      <c r="BM83" s="467">
        <f t="shared" si="141"/>
        <v>0.45179999999999998</v>
      </c>
      <c r="BN83" s="468">
        <f t="shared" ca="1" si="114"/>
        <v>0</v>
      </c>
      <c r="BO83" s="469">
        <f t="shared" ca="1" si="115"/>
        <v>0</v>
      </c>
      <c r="BP83" s="470" t="str">
        <f t="shared" si="116"/>
        <v>Uncapped</v>
      </c>
      <c r="BQ83" s="466">
        <f t="shared" ca="1" si="117"/>
        <v>0</v>
      </c>
      <c r="BR83" s="460" t="s">
        <v>691</v>
      </c>
      <c r="BS83" s="461">
        <v>0.4</v>
      </c>
      <c r="BT83" s="462" t="s">
        <v>211</v>
      </c>
      <c r="BU83" s="462" t="s">
        <v>210</v>
      </c>
      <c r="BV83" s="460">
        <v>221568.61342828276</v>
      </c>
      <c r="BW83" s="460">
        <v>249202.30169127099</v>
      </c>
      <c r="BX83" s="460">
        <v>275205.91259744717</v>
      </c>
      <c r="BY83" s="460">
        <v>274538.90452976286</v>
      </c>
      <c r="BZ83" s="460">
        <v>251427.92399999997</v>
      </c>
      <c r="CA83" s="460">
        <v>194121.13049999997</v>
      </c>
      <c r="CB83" s="460">
        <v>162501.19830000005</v>
      </c>
      <c r="CC83" s="590"/>
      <c r="CD83" s="460"/>
      <c r="CE83" s="460"/>
      <c r="CF83" s="460"/>
      <c r="CG83" s="460"/>
      <c r="CH83" s="465">
        <f t="shared" si="103"/>
        <v>251427.92399999997</v>
      </c>
      <c r="CI83" s="465">
        <f t="shared" si="103"/>
        <v>194121.13049999997</v>
      </c>
      <c r="CJ83" s="472">
        <f t="shared" si="103"/>
        <v>162501.19830000005</v>
      </c>
      <c r="CK83" s="465">
        <f t="shared" si="103"/>
        <v>0</v>
      </c>
      <c r="CL83" s="465">
        <f t="shared" si="118"/>
        <v>608050.25280000002</v>
      </c>
      <c r="CM83" s="465">
        <f t="shared" si="95"/>
        <v>1020515.7322467638</v>
      </c>
      <c r="CN83" s="465">
        <f t="shared" si="142"/>
        <v>1020515.7322467638</v>
      </c>
      <c r="CO83" s="467">
        <f t="shared" si="143"/>
        <v>0.5958</v>
      </c>
      <c r="CP83" s="468">
        <f t="shared" ca="1" si="144"/>
        <v>0</v>
      </c>
      <c r="CQ83" s="466">
        <f t="shared" ca="1" si="119"/>
        <v>0</v>
      </c>
      <c r="CR83" s="470" t="str">
        <f t="shared" si="145"/>
        <v>Uncapped</v>
      </c>
      <c r="CS83" s="466">
        <f t="shared" ca="1" si="120"/>
        <v>0</v>
      </c>
      <c r="CT83" s="460" t="s">
        <v>695</v>
      </c>
      <c r="CU83" s="463">
        <v>0.2</v>
      </c>
      <c r="CV83" s="460" t="s">
        <v>217</v>
      </c>
      <c r="CW83" s="460" t="s">
        <v>210</v>
      </c>
      <c r="CX83" s="460">
        <v>3428789.7311367933</v>
      </c>
      <c r="CY83" s="460">
        <v>5408231.2228889018</v>
      </c>
      <c r="CZ83" s="460">
        <v>5079957.5438702796</v>
      </c>
      <c r="DA83" s="590"/>
      <c r="DB83" s="460">
        <v>3679555.30579999</v>
      </c>
      <c r="DC83" s="460">
        <v>4808194.2835000101</v>
      </c>
      <c r="DD83" s="460">
        <v>4337155.326100016</v>
      </c>
      <c r="DE83" s="590"/>
      <c r="DF83" s="460"/>
      <c r="DG83" s="460"/>
      <c r="DH83" s="460"/>
      <c r="DI83" s="460"/>
      <c r="DJ83" s="465">
        <f t="shared" si="104"/>
        <v>3679555.30579999</v>
      </c>
      <c r="DK83" s="465">
        <f t="shared" si="104"/>
        <v>4808194.2835000101</v>
      </c>
      <c r="DL83" s="465">
        <f t="shared" si="104"/>
        <v>4337155.326100016</v>
      </c>
      <c r="DM83" s="465">
        <f t="shared" si="104"/>
        <v>0</v>
      </c>
      <c r="DN83" s="465">
        <f t="shared" si="84"/>
        <v>12824904.915400015</v>
      </c>
      <c r="DO83" s="465">
        <f t="shared" si="96"/>
        <v>13916978.497895975</v>
      </c>
      <c r="DP83" s="465">
        <f t="shared" si="105"/>
        <v>13916978.497895975</v>
      </c>
      <c r="DQ83" s="467">
        <f t="shared" si="146"/>
        <v>0.92149999999999999</v>
      </c>
      <c r="DR83" s="468">
        <f t="shared" ca="1" si="121"/>
        <v>0</v>
      </c>
      <c r="DS83" s="466">
        <f t="shared" ca="1" si="122"/>
        <v>0</v>
      </c>
      <c r="DT83" s="470" t="str">
        <f t="shared" si="147"/>
        <v>Uncapped</v>
      </c>
      <c r="DU83" s="466">
        <f t="shared" ca="1" si="123"/>
        <v>0</v>
      </c>
      <c r="DV83" s="460"/>
      <c r="DW83" s="463">
        <v>0</v>
      </c>
      <c r="DX83" s="460"/>
      <c r="DY83" s="460"/>
      <c r="DZ83" s="460">
        <v>0</v>
      </c>
      <c r="EA83" s="460">
        <v>0</v>
      </c>
      <c r="EB83" s="460">
        <v>0</v>
      </c>
      <c r="EC83" s="460">
        <v>0</v>
      </c>
      <c r="ED83" s="460">
        <v>0</v>
      </c>
      <c r="EE83" s="460">
        <v>0</v>
      </c>
      <c r="EF83" s="460"/>
      <c r="EG83" s="460"/>
      <c r="EH83" s="460"/>
      <c r="EI83" s="460"/>
      <c r="EJ83" s="460"/>
      <c r="EK83" s="460"/>
      <c r="EL83" s="465">
        <f t="shared" si="106"/>
        <v>0</v>
      </c>
      <c r="EM83" s="465">
        <f t="shared" si="106"/>
        <v>0</v>
      </c>
      <c r="EN83" s="465">
        <f t="shared" si="106"/>
        <v>0</v>
      </c>
      <c r="EO83" s="465">
        <f t="shared" si="106"/>
        <v>0</v>
      </c>
      <c r="EP83" s="465">
        <f t="shared" si="124"/>
        <v>0</v>
      </c>
      <c r="EQ83" s="465">
        <f t="shared" si="97"/>
        <v>0</v>
      </c>
      <c r="ER83" s="465">
        <f t="shared" si="148"/>
        <v>0</v>
      </c>
      <c r="ES83" s="467">
        <f t="shared" si="149"/>
        <v>0</v>
      </c>
      <c r="ET83" s="468">
        <f t="shared" ca="1" si="150"/>
        <v>0</v>
      </c>
      <c r="EU83" s="466">
        <f t="shared" ca="1" si="125"/>
        <v>0</v>
      </c>
      <c r="EV83" s="470" t="str">
        <f t="shared" si="126"/>
        <v>Uncapped</v>
      </c>
      <c r="EW83" s="466">
        <f t="shared" ca="1" si="127"/>
        <v>0</v>
      </c>
      <c r="EX83" s="473">
        <f t="shared" ca="1" si="128"/>
        <v>0</v>
      </c>
      <c r="EY83" s="465">
        <f t="shared" ca="1" si="151"/>
        <v>0</v>
      </c>
      <c r="EZ83" s="466">
        <v>0</v>
      </c>
      <c r="FA83" s="466"/>
      <c r="FB83" s="466"/>
      <c r="FC83" s="466">
        <v>0</v>
      </c>
      <c r="FD83" s="466">
        <f t="shared" si="98"/>
        <v>0</v>
      </c>
      <c r="FE83" s="465">
        <f t="shared" si="87"/>
        <v>0</v>
      </c>
      <c r="FF83" s="466">
        <v>0</v>
      </c>
      <c r="FG83" s="466">
        <v>0</v>
      </c>
      <c r="FH83" s="466">
        <v>0</v>
      </c>
      <c r="FI83" s="466">
        <v>0</v>
      </c>
      <c r="FJ83" s="466">
        <f t="shared" si="99"/>
        <v>0</v>
      </c>
      <c r="FK83" s="465">
        <f t="shared" si="88"/>
        <v>0</v>
      </c>
      <c r="FL83" s="460"/>
      <c r="FM83" s="464"/>
      <c r="FN83" s="464"/>
      <c r="FO83" s="464"/>
      <c r="FP83" s="466">
        <f t="shared" si="129"/>
        <v>0</v>
      </c>
      <c r="FQ83" s="466"/>
      <c r="FR83" s="466"/>
      <c r="FS83" s="466"/>
      <c r="FT83" s="465">
        <f t="shared" si="152"/>
        <v>0</v>
      </c>
      <c r="FU83" s="474">
        <f t="shared" ca="1" si="155"/>
        <v>0</v>
      </c>
      <c r="FV83" s="475">
        <f t="shared" ca="1" si="153"/>
        <v>0</v>
      </c>
      <c r="FW83" s="465">
        <f t="shared" si="157"/>
        <v>0</v>
      </c>
      <c r="FX83" s="465">
        <f t="shared" si="157"/>
        <v>0</v>
      </c>
      <c r="FY83" s="465">
        <f t="shared" si="157"/>
        <v>0</v>
      </c>
      <c r="FZ83" s="465">
        <f t="shared" si="157"/>
        <v>0</v>
      </c>
      <c r="GA83" s="465">
        <f t="shared" si="130"/>
        <v>0</v>
      </c>
      <c r="GB83" s="465">
        <f t="shared" si="158"/>
        <v>0</v>
      </c>
      <c r="GC83" s="465">
        <f t="shared" si="158"/>
        <v>0</v>
      </c>
      <c r="GD83" s="465">
        <f t="shared" si="158"/>
        <v>0</v>
      </c>
      <c r="GE83" s="465">
        <f t="shared" si="158"/>
        <v>0</v>
      </c>
      <c r="GF83" s="465">
        <f t="shared" si="159"/>
        <v>0</v>
      </c>
      <c r="GG83" s="465">
        <f t="shared" si="159"/>
        <v>0</v>
      </c>
      <c r="GH83" s="465">
        <f t="shared" si="159"/>
        <v>0</v>
      </c>
      <c r="GI83" s="465">
        <f t="shared" si="159"/>
        <v>0</v>
      </c>
      <c r="GJ83" s="466">
        <f t="shared" si="100"/>
        <v>0</v>
      </c>
      <c r="GK83" s="465">
        <f t="shared" si="131"/>
        <v>0</v>
      </c>
      <c r="GL83" s="465">
        <f t="shared" si="132"/>
        <v>0</v>
      </c>
      <c r="GM83" s="465">
        <f t="shared" si="133"/>
        <v>0</v>
      </c>
      <c r="GN83" s="465">
        <f t="shared" si="134"/>
        <v>0</v>
      </c>
      <c r="GO83" s="465">
        <f t="shared" si="135"/>
        <v>0</v>
      </c>
      <c r="GP83" s="465">
        <f t="shared" si="101"/>
        <v>0</v>
      </c>
      <c r="GQ83" s="465">
        <f t="shared" si="136"/>
        <v>0</v>
      </c>
      <c r="GR83" s="476"/>
      <c r="GS83" s="477">
        <f t="shared" si="109"/>
        <v>13903334.644000016</v>
      </c>
      <c r="GT83" s="477">
        <f t="shared" si="109"/>
        <v>15978609.524002152</v>
      </c>
      <c r="GU83" s="478">
        <f t="shared" si="137"/>
        <v>0.87012168506372367</v>
      </c>
      <c r="GV83" s="479">
        <f t="shared" ca="1" si="138"/>
        <v>0</v>
      </c>
      <c r="GW83" s="479">
        <v>0</v>
      </c>
      <c r="GX83" s="480">
        <f t="shared" ca="1" si="139"/>
        <v>0</v>
      </c>
      <c r="GY83" s="100"/>
    </row>
    <row r="84" spans="1:207" s="481" customFormat="1" ht="15" customHeight="1">
      <c r="A84" s="447"/>
      <c r="B84" s="448"/>
      <c r="C84" s="448"/>
      <c r="D84" s="449"/>
      <c r="E84" s="460" t="s">
        <v>388</v>
      </c>
      <c r="F84" s="460" t="s">
        <v>388</v>
      </c>
      <c r="G84" s="449" t="s">
        <v>226</v>
      </c>
      <c r="H84" s="482" t="s">
        <v>418</v>
      </c>
      <c r="I84" s="547" t="s">
        <v>419</v>
      </c>
      <c r="J84" s="449" t="s">
        <v>212</v>
      </c>
      <c r="K84" s="449" t="s">
        <v>218</v>
      </c>
      <c r="L84" s="449" t="s">
        <v>213</v>
      </c>
      <c r="M84" s="449" t="s">
        <v>388</v>
      </c>
      <c r="N84" s="452"/>
      <c r="O84" s="550">
        <v>41430</v>
      </c>
      <c r="P84" s="108">
        <v>43739</v>
      </c>
      <c r="Q84" s="453">
        <f t="shared" si="112"/>
        <v>10</v>
      </c>
      <c r="R84" s="419">
        <f>IF((P84-VLOOKUP(Q84,month!$A$1:$C$13,3,0))&lt;0,Q84,Q84+1)</f>
        <v>10</v>
      </c>
      <c r="S84" s="420"/>
      <c r="T84" s="454" t="str">
        <f t="shared" si="154"/>
        <v/>
      </c>
      <c r="U84" s="483" t="s">
        <v>214</v>
      </c>
      <c r="V84" s="404"/>
      <c r="W84" s="405"/>
      <c r="X84" s="484">
        <v>3</v>
      </c>
      <c r="Y84" s="456"/>
      <c r="Z84" s="456" t="s">
        <v>545</v>
      </c>
      <c r="AA84" s="457">
        <v>1000</v>
      </c>
      <c r="AB84" s="457">
        <v>1000</v>
      </c>
      <c r="AC84" s="457">
        <v>1000</v>
      </c>
      <c r="AD84" s="457">
        <v>1000</v>
      </c>
      <c r="AE84" s="457">
        <v>1000</v>
      </c>
      <c r="AF84" s="457">
        <v>1000</v>
      </c>
      <c r="AG84" s="457">
        <v>1000</v>
      </c>
      <c r="AH84" s="457">
        <v>1000</v>
      </c>
      <c r="AI84" s="457">
        <v>1000</v>
      </c>
      <c r="AJ84" s="457">
        <v>1000</v>
      </c>
      <c r="AK84" s="457">
        <v>1000</v>
      </c>
      <c r="AL84" s="457">
        <v>1000</v>
      </c>
      <c r="AM84" s="458">
        <f t="shared" si="92"/>
        <v>12000</v>
      </c>
      <c r="AN84" s="458">
        <f t="shared" si="113"/>
        <v>12000</v>
      </c>
      <c r="AO84" s="459">
        <f t="shared" si="156"/>
        <v>1000</v>
      </c>
      <c r="AP84" s="500" t="s">
        <v>671</v>
      </c>
      <c r="AQ84" s="461">
        <v>0.8</v>
      </c>
      <c r="AR84" s="103" t="s">
        <v>211</v>
      </c>
      <c r="AS84" s="463" t="s">
        <v>210</v>
      </c>
      <c r="AT84" s="600"/>
      <c r="AU84" s="600"/>
      <c r="AV84" s="600"/>
      <c r="AW84" s="464">
        <v>841664</v>
      </c>
      <c r="AX84" s="590"/>
      <c r="AY84" s="590"/>
      <c r="AZ84" s="590"/>
      <c r="BA84" s="460">
        <v>383685.26310000021</v>
      </c>
      <c r="BB84" s="460"/>
      <c r="BC84" s="460"/>
      <c r="BD84" s="460"/>
      <c r="BE84" s="460"/>
      <c r="BF84" s="465">
        <f t="shared" si="102"/>
        <v>0</v>
      </c>
      <c r="BG84" s="465">
        <f t="shared" si="102"/>
        <v>0</v>
      </c>
      <c r="BH84" s="465">
        <f t="shared" si="102"/>
        <v>0</v>
      </c>
      <c r="BI84" s="465">
        <f t="shared" si="102"/>
        <v>383685.26310000021</v>
      </c>
      <c r="BJ84" s="465">
        <f t="shared" ref="BJ84" si="160">IF($BB$3="After AR Adjustment",IF($H$2=1,BF84,IF($H$2=2,SUM(BF84:BG84),IF($H$2=3,SUM(BF84:BH84),SUM(BF84:BI84)))),IF($H$2=1,AX84,IF($H$2=2,SUM(AX84:AY84),IF($H$2=3,SUM(AX84:AZ84),SUM(AX84:BA84)))))</f>
        <v>383685.26310000021</v>
      </c>
      <c r="BK84" s="466">
        <f t="shared" ref="BK84" si="161">IF($H$2=1,AT84,IF($H$2=2,SUM(AT84:AU84),IF($H$2=3,SUM(AT84:AV84),SUM(AT84:AW84))))</f>
        <v>841664</v>
      </c>
      <c r="BL84" s="466">
        <f t="shared" si="140"/>
        <v>841664</v>
      </c>
      <c r="BM84" s="467">
        <f t="shared" si="141"/>
        <v>0.45590000000000003</v>
      </c>
      <c r="BN84" s="468">
        <f t="shared" ca="1" si="114"/>
        <v>0</v>
      </c>
      <c r="BO84" s="469">
        <f t="shared" ca="1" si="115"/>
        <v>0</v>
      </c>
      <c r="BP84" s="470" t="str">
        <f t="shared" si="116"/>
        <v>Uncapped</v>
      </c>
      <c r="BQ84" s="466">
        <f t="shared" ca="1" si="117"/>
        <v>0</v>
      </c>
      <c r="BR84" s="598"/>
      <c r="BS84" s="461">
        <v>0</v>
      </c>
      <c r="BT84" s="462"/>
      <c r="BU84" s="462" t="s">
        <v>210</v>
      </c>
      <c r="BV84" s="598"/>
      <c r="BW84" s="598"/>
      <c r="BX84" s="598"/>
      <c r="BY84" s="590"/>
      <c r="BZ84" s="590"/>
      <c r="CA84" s="590"/>
      <c r="CB84" s="590"/>
      <c r="CC84" s="590"/>
      <c r="CD84" s="460"/>
      <c r="CE84" s="460"/>
      <c r="CF84" s="460"/>
      <c r="CG84" s="460"/>
      <c r="CH84" s="465">
        <f t="shared" si="103"/>
        <v>0</v>
      </c>
      <c r="CI84" s="465">
        <f t="shared" si="103"/>
        <v>0</v>
      </c>
      <c r="CJ84" s="472">
        <f t="shared" si="103"/>
        <v>0</v>
      </c>
      <c r="CK84" s="465">
        <f t="shared" si="103"/>
        <v>0</v>
      </c>
      <c r="CL84" s="465">
        <f t="shared" si="118"/>
        <v>0</v>
      </c>
      <c r="CM84" s="465">
        <f t="shared" si="95"/>
        <v>0</v>
      </c>
      <c r="CN84" s="465">
        <f t="shared" ref="CN84" si="162">SUM(BV84:BY84)</f>
        <v>0</v>
      </c>
      <c r="CO84" s="467">
        <f t="shared" si="143"/>
        <v>0</v>
      </c>
      <c r="CP84" s="468">
        <f t="shared" ca="1" si="144"/>
        <v>0</v>
      </c>
      <c r="CQ84" s="466">
        <f t="shared" ca="1" si="119"/>
        <v>0</v>
      </c>
      <c r="CR84" s="470" t="str">
        <f t="shared" si="145"/>
        <v>Uncapped</v>
      </c>
      <c r="CS84" s="466">
        <f t="shared" ca="1" si="120"/>
        <v>0</v>
      </c>
      <c r="CT84" s="460" t="s">
        <v>695</v>
      </c>
      <c r="CU84" s="463">
        <v>0.2</v>
      </c>
      <c r="CV84" s="460" t="s">
        <v>217</v>
      </c>
      <c r="CW84" s="460" t="s">
        <v>210</v>
      </c>
      <c r="CX84" s="598"/>
      <c r="CY84" s="598"/>
      <c r="CZ84" s="598"/>
      <c r="DA84" s="460">
        <v>1687946.934656464</v>
      </c>
      <c r="DB84" s="590"/>
      <c r="DC84" s="590"/>
      <c r="DD84" s="590"/>
      <c r="DE84" s="460">
        <v>1092201.1711000004</v>
      </c>
      <c r="DF84" s="460"/>
      <c r="DG84" s="460"/>
      <c r="DH84" s="460"/>
      <c r="DI84" s="460"/>
      <c r="DJ84" s="465">
        <f t="shared" si="104"/>
        <v>0</v>
      </c>
      <c r="DK84" s="465">
        <f t="shared" si="104"/>
        <v>0</v>
      </c>
      <c r="DL84" s="465">
        <f t="shared" si="104"/>
        <v>0</v>
      </c>
      <c r="DM84" s="465">
        <f t="shared" si="104"/>
        <v>1092201.1711000004</v>
      </c>
      <c r="DN84" s="465">
        <f t="shared" si="84"/>
        <v>1092201.1711000004</v>
      </c>
      <c r="DO84" s="465">
        <f t="shared" si="96"/>
        <v>1687946.934656464</v>
      </c>
      <c r="DP84" s="465">
        <f t="shared" si="105"/>
        <v>1687946.934656464</v>
      </c>
      <c r="DQ84" s="467">
        <f t="shared" si="146"/>
        <v>0.64710000000000001</v>
      </c>
      <c r="DR84" s="468">
        <f t="shared" ca="1" si="121"/>
        <v>0</v>
      </c>
      <c r="DS84" s="466">
        <f t="shared" ca="1" si="122"/>
        <v>0</v>
      </c>
      <c r="DT84" s="470" t="str">
        <f t="shared" si="147"/>
        <v>Uncapped</v>
      </c>
      <c r="DU84" s="466">
        <f t="shared" ca="1" si="123"/>
        <v>0</v>
      </c>
      <c r="DV84" s="460"/>
      <c r="DW84" s="463">
        <v>0</v>
      </c>
      <c r="DX84" s="460"/>
      <c r="DY84" s="460"/>
      <c r="DZ84" s="460">
        <v>0</v>
      </c>
      <c r="EA84" s="460">
        <v>0</v>
      </c>
      <c r="EB84" s="460">
        <v>0</v>
      </c>
      <c r="EC84" s="460">
        <v>0</v>
      </c>
      <c r="ED84" s="460">
        <v>0</v>
      </c>
      <c r="EE84" s="460">
        <v>0</v>
      </c>
      <c r="EF84" s="460"/>
      <c r="EG84" s="460"/>
      <c r="EH84" s="460"/>
      <c r="EI84" s="460"/>
      <c r="EJ84" s="460"/>
      <c r="EK84" s="460"/>
      <c r="EL84" s="465">
        <f t="shared" si="106"/>
        <v>0</v>
      </c>
      <c r="EM84" s="465">
        <f t="shared" si="106"/>
        <v>0</v>
      </c>
      <c r="EN84" s="465">
        <f t="shared" si="106"/>
        <v>0</v>
      </c>
      <c r="EO84" s="465">
        <f t="shared" si="106"/>
        <v>0</v>
      </c>
      <c r="EP84" s="465">
        <f t="shared" si="124"/>
        <v>0</v>
      </c>
      <c r="EQ84" s="465">
        <f t="shared" si="97"/>
        <v>0</v>
      </c>
      <c r="ER84" s="465">
        <f t="shared" ref="ER84" si="163">SUM(DZ84:EC84)</f>
        <v>0</v>
      </c>
      <c r="ES84" s="467">
        <f t="shared" si="149"/>
        <v>0</v>
      </c>
      <c r="ET84" s="468">
        <f t="shared" ca="1" si="150"/>
        <v>0</v>
      </c>
      <c r="EU84" s="466">
        <f t="shared" ca="1" si="125"/>
        <v>0</v>
      </c>
      <c r="EV84" s="470" t="str">
        <f t="shared" si="126"/>
        <v>Uncapped</v>
      </c>
      <c r="EW84" s="466">
        <f t="shared" ca="1" si="127"/>
        <v>0</v>
      </c>
      <c r="EX84" s="473">
        <f t="shared" ca="1" si="128"/>
        <v>0</v>
      </c>
      <c r="EY84" s="465">
        <f t="shared" ca="1" si="151"/>
        <v>3000</v>
      </c>
      <c r="EZ84" s="466">
        <v>0</v>
      </c>
      <c r="FA84" s="466"/>
      <c r="FB84" s="466"/>
      <c r="FC84" s="466">
        <v>0</v>
      </c>
      <c r="FD84" s="466">
        <f t="shared" si="98"/>
        <v>0</v>
      </c>
      <c r="FE84" s="465">
        <f t="shared" si="87"/>
        <v>0</v>
      </c>
      <c r="FF84" s="466">
        <v>0</v>
      </c>
      <c r="FG84" s="466">
        <v>0</v>
      </c>
      <c r="FH84" s="466">
        <v>0</v>
      </c>
      <c r="FI84" s="466">
        <v>0</v>
      </c>
      <c r="FJ84" s="466">
        <f t="shared" si="99"/>
        <v>0</v>
      </c>
      <c r="FK84" s="465">
        <f t="shared" si="88"/>
        <v>0</v>
      </c>
      <c r="FL84" s="460"/>
      <c r="FM84" s="464"/>
      <c r="FN84" s="464"/>
      <c r="FO84" s="464"/>
      <c r="FP84" s="466">
        <f t="shared" si="129"/>
        <v>0</v>
      </c>
      <c r="FQ84" s="466"/>
      <c r="FR84" s="466"/>
      <c r="FS84" s="466"/>
      <c r="FT84" s="465">
        <f t="shared" si="152"/>
        <v>0</v>
      </c>
      <c r="FU84" s="474">
        <f t="shared" ca="1" si="155"/>
        <v>3000</v>
      </c>
      <c r="FV84" s="475">
        <f t="shared" ca="1" si="153"/>
        <v>3000</v>
      </c>
      <c r="FW84" s="465">
        <f t="shared" si="157"/>
        <v>0</v>
      </c>
      <c r="FX84" s="465">
        <f t="shared" si="157"/>
        <v>0</v>
      </c>
      <c r="FY84" s="465">
        <f t="shared" si="157"/>
        <v>0</v>
      </c>
      <c r="FZ84" s="465">
        <f t="shared" si="157"/>
        <v>0</v>
      </c>
      <c r="GA84" s="465">
        <f t="shared" si="130"/>
        <v>0</v>
      </c>
      <c r="GB84" s="465">
        <f t="shared" si="158"/>
        <v>0</v>
      </c>
      <c r="GC84" s="465">
        <f t="shared" si="158"/>
        <v>0</v>
      </c>
      <c r="GD84" s="465">
        <f t="shared" si="158"/>
        <v>0</v>
      </c>
      <c r="GE84" s="465">
        <f t="shared" si="158"/>
        <v>0</v>
      </c>
      <c r="GF84" s="465">
        <f t="shared" si="159"/>
        <v>0</v>
      </c>
      <c r="GG84" s="465">
        <f t="shared" si="159"/>
        <v>0</v>
      </c>
      <c r="GH84" s="465">
        <f t="shared" si="159"/>
        <v>0</v>
      </c>
      <c r="GI84" s="465">
        <f t="shared" si="159"/>
        <v>0</v>
      </c>
      <c r="GJ84" s="466">
        <f t="shared" si="100"/>
        <v>0</v>
      </c>
      <c r="GK84" s="465">
        <f t="shared" si="131"/>
        <v>0</v>
      </c>
      <c r="GL84" s="465">
        <f t="shared" si="132"/>
        <v>0</v>
      </c>
      <c r="GM84" s="465">
        <f t="shared" si="133"/>
        <v>0</v>
      </c>
      <c r="GN84" s="465">
        <f t="shared" si="134"/>
        <v>3000</v>
      </c>
      <c r="GO84" s="465">
        <f t="shared" si="135"/>
        <v>0</v>
      </c>
      <c r="GP84" s="465">
        <f t="shared" si="101"/>
        <v>3000</v>
      </c>
      <c r="GQ84" s="465">
        <f t="shared" si="136"/>
        <v>3000</v>
      </c>
      <c r="GR84" s="476"/>
      <c r="GS84" s="477">
        <f t="shared" si="109"/>
        <v>1475886.4342000005</v>
      </c>
      <c r="GT84" s="477">
        <f t="shared" si="109"/>
        <v>2529610.934656464</v>
      </c>
      <c r="GU84" s="478">
        <f t="shared" si="137"/>
        <v>0.58344404429151253</v>
      </c>
      <c r="GV84" s="479">
        <f t="shared" ca="1" si="138"/>
        <v>0</v>
      </c>
      <c r="GW84" s="479">
        <v>0</v>
      </c>
      <c r="GX84" s="480">
        <f t="shared" ca="1" si="139"/>
        <v>0</v>
      </c>
      <c r="GY84" s="100"/>
    </row>
    <row r="85" spans="1:207" s="125" customFormat="1" ht="15" customHeight="1">
      <c r="A85" s="102"/>
      <c r="B85" s="103"/>
      <c r="C85" s="103"/>
      <c r="D85" s="104"/>
      <c r="E85" s="104" t="s">
        <v>388</v>
      </c>
      <c r="F85" s="104" t="s">
        <v>388</v>
      </c>
      <c r="G85" s="104" t="s">
        <v>226</v>
      </c>
      <c r="H85" s="127" t="s">
        <v>420</v>
      </c>
      <c r="I85" s="106" t="s">
        <v>421</v>
      </c>
      <c r="J85" s="104" t="s">
        <v>212</v>
      </c>
      <c r="K85" s="104" t="s">
        <v>218</v>
      </c>
      <c r="L85" s="104" t="s">
        <v>213</v>
      </c>
      <c r="M85" s="104" t="s">
        <v>388</v>
      </c>
      <c r="N85" s="107"/>
      <c r="O85" s="108">
        <v>43052</v>
      </c>
      <c r="P85" s="108">
        <v>43052</v>
      </c>
      <c r="Q85" s="322">
        <f t="shared" si="112"/>
        <v>0</v>
      </c>
      <c r="R85" s="109">
        <f>IF((P85-VLOOKUP(Q85,month!$A$1:$C$13,3,0))&lt;0,Q85,Q85+1)</f>
        <v>0</v>
      </c>
      <c r="S85" s="108"/>
      <c r="T85" s="127" t="str">
        <f t="shared" si="154"/>
        <v/>
      </c>
      <c r="U85" s="107"/>
      <c r="V85" s="107"/>
      <c r="W85" s="107"/>
      <c r="X85" s="107"/>
      <c r="Y85" s="386"/>
      <c r="Z85" s="386" t="s">
        <v>545</v>
      </c>
      <c r="AA85" s="387">
        <v>1000</v>
      </c>
      <c r="AB85" s="387">
        <v>1000</v>
      </c>
      <c r="AC85" s="387">
        <v>1000</v>
      </c>
      <c r="AD85" s="387">
        <v>1000</v>
      </c>
      <c r="AE85" s="387">
        <v>1000</v>
      </c>
      <c r="AF85" s="387">
        <v>1000</v>
      </c>
      <c r="AG85" s="387">
        <v>1000</v>
      </c>
      <c r="AH85" s="387">
        <v>1000</v>
      </c>
      <c r="AI85" s="387">
        <v>1000</v>
      </c>
      <c r="AJ85" s="387">
        <v>1000</v>
      </c>
      <c r="AK85" s="387">
        <v>1000</v>
      </c>
      <c r="AL85" s="387">
        <v>1000</v>
      </c>
      <c r="AM85" s="388">
        <f t="shared" si="92"/>
        <v>12000</v>
      </c>
      <c r="AN85" s="388">
        <f t="shared" si="113"/>
        <v>12000</v>
      </c>
      <c r="AO85" s="389">
        <f t="shared" si="156"/>
        <v>1000</v>
      </c>
      <c r="AP85" s="498" t="s">
        <v>671</v>
      </c>
      <c r="AQ85" s="159">
        <v>0.4</v>
      </c>
      <c r="AR85" s="160" t="s">
        <v>392</v>
      </c>
      <c r="AS85" s="119" t="s">
        <v>210</v>
      </c>
      <c r="AT85" s="111">
        <v>117297.85036982478</v>
      </c>
      <c r="AU85" s="111">
        <v>296002.26976761874</v>
      </c>
      <c r="AV85" s="111">
        <v>214603.9886461517</v>
      </c>
      <c r="AW85" s="111">
        <v>251124.43430784965</v>
      </c>
      <c r="AX85" s="113">
        <v>169231.31999999998</v>
      </c>
      <c r="AY85" s="113">
        <v>181446.91199999998</v>
      </c>
      <c r="AZ85" s="113">
        <v>354277.8</v>
      </c>
      <c r="BA85" s="113">
        <v>376930.98</v>
      </c>
      <c r="BB85" s="113"/>
      <c r="BC85" s="113"/>
      <c r="BD85" s="113"/>
      <c r="BE85" s="113"/>
      <c r="BF85" s="114">
        <f t="shared" si="102"/>
        <v>169231.31999999998</v>
      </c>
      <c r="BG85" s="114">
        <f t="shared" si="102"/>
        <v>181446.91199999998</v>
      </c>
      <c r="BH85" s="114">
        <f t="shared" si="102"/>
        <v>354277.8</v>
      </c>
      <c r="BI85" s="114">
        <f t="shared" si="102"/>
        <v>376930.98</v>
      </c>
      <c r="BJ85" s="114">
        <f t="shared" si="108"/>
        <v>1081887.0119999999</v>
      </c>
      <c r="BK85" s="115">
        <f t="shared" si="94"/>
        <v>879028.54309144488</v>
      </c>
      <c r="BL85" s="115">
        <f t="shared" si="140"/>
        <v>879028.54309144488</v>
      </c>
      <c r="BM85" s="116">
        <f t="shared" si="141"/>
        <v>1.2307999999999999</v>
      </c>
      <c r="BN85" s="126">
        <f t="shared" ca="1" si="114"/>
        <v>0</v>
      </c>
      <c r="BO85" s="117">
        <f t="shared" ca="1" si="115"/>
        <v>0</v>
      </c>
      <c r="BP85" s="118" t="str">
        <f t="shared" si="116"/>
        <v>Uncapped</v>
      </c>
      <c r="BQ85" s="115">
        <f t="shared" ca="1" si="117"/>
        <v>0</v>
      </c>
      <c r="BR85" s="113" t="s">
        <v>691</v>
      </c>
      <c r="BS85" s="159">
        <v>0.4</v>
      </c>
      <c r="BT85" s="160" t="s">
        <v>211</v>
      </c>
      <c r="BU85" s="160" t="s">
        <v>210</v>
      </c>
      <c r="BV85" s="113">
        <v>2616407.1981056477</v>
      </c>
      <c r="BW85" s="113">
        <v>3516179.7032821518</v>
      </c>
      <c r="BX85" s="113">
        <v>3720581.9762100568</v>
      </c>
      <c r="BY85" s="113">
        <v>4249439.0333433365</v>
      </c>
      <c r="BZ85" s="113">
        <v>2600578.9209999898</v>
      </c>
      <c r="CA85" s="113">
        <v>2812623.530200005</v>
      </c>
      <c r="CB85" s="113">
        <v>3288683.4781000158</v>
      </c>
      <c r="CC85" s="113">
        <v>4832187.5457999939</v>
      </c>
      <c r="CD85" s="113"/>
      <c r="CE85" s="113"/>
      <c r="CF85" s="113"/>
      <c r="CG85" s="113"/>
      <c r="CH85" s="114">
        <f t="shared" si="103"/>
        <v>2600578.9209999898</v>
      </c>
      <c r="CI85" s="114">
        <f t="shared" si="103"/>
        <v>2812623.530200005</v>
      </c>
      <c r="CJ85" s="120">
        <f t="shared" si="103"/>
        <v>3288683.4781000158</v>
      </c>
      <c r="CK85" s="114">
        <f t="shared" si="103"/>
        <v>4832187.5457999939</v>
      </c>
      <c r="CL85" s="114">
        <f t="shared" si="118"/>
        <v>13534073.475100003</v>
      </c>
      <c r="CM85" s="114">
        <f t="shared" si="95"/>
        <v>14102607.910941195</v>
      </c>
      <c r="CN85" s="114">
        <f t="shared" si="142"/>
        <v>14102607.910941195</v>
      </c>
      <c r="CO85" s="116">
        <f t="shared" si="143"/>
        <v>0.9597</v>
      </c>
      <c r="CP85" s="126">
        <f t="shared" ca="1" si="144"/>
        <v>0</v>
      </c>
      <c r="CQ85" s="115">
        <f t="shared" ca="1" si="119"/>
        <v>0</v>
      </c>
      <c r="CR85" s="118" t="str">
        <f t="shared" si="145"/>
        <v>Uncapped</v>
      </c>
      <c r="CS85" s="115">
        <f t="shared" ca="1" si="120"/>
        <v>0</v>
      </c>
      <c r="CT85" s="113" t="s">
        <v>695</v>
      </c>
      <c r="CU85" s="119">
        <v>0.2</v>
      </c>
      <c r="CV85" s="113" t="s">
        <v>217</v>
      </c>
      <c r="CW85" s="113" t="s">
        <v>210</v>
      </c>
      <c r="CX85" s="113">
        <v>3388073.5421928586</v>
      </c>
      <c r="CY85" s="113">
        <v>5062451.297281133</v>
      </c>
      <c r="CZ85" s="113">
        <v>5007580.1611671867</v>
      </c>
      <c r="DA85" s="113">
        <v>5631651.4300548239</v>
      </c>
      <c r="DB85" s="113">
        <v>3247390.7157999901</v>
      </c>
      <c r="DC85" s="113">
        <v>4335350.6797000095</v>
      </c>
      <c r="DD85" s="113">
        <v>4536881.2534000156</v>
      </c>
      <c r="DE85" s="113">
        <f>VLOOKUP($H85,[2]pivot!$V:$Z,$DE$2,FALSE)</f>
        <v>5621160.3867999902</v>
      </c>
      <c r="DF85" s="113"/>
      <c r="DG85" s="113"/>
      <c r="DH85" s="113"/>
      <c r="DI85" s="113"/>
      <c r="DJ85" s="114">
        <f t="shared" si="104"/>
        <v>3247390.7157999901</v>
      </c>
      <c r="DK85" s="114">
        <f t="shared" si="104"/>
        <v>4335350.6797000095</v>
      </c>
      <c r="DL85" s="114">
        <f t="shared" si="104"/>
        <v>4536881.2534000156</v>
      </c>
      <c r="DM85" s="114">
        <f t="shared" si="104"/>
        <v>5621160.3867999902</v>
      </c>
      <c r="DN85" s="114">
        <f t="shared" si="84"/>
        <v>17740783.035700005</v>
      </c>
      <c r="DO85" s="114">
        <f t="shared" si="96"/>
        <v>19089756.430696003</v>
      </c>
      <c r="DP85" s="114">
        <f t="shared" si="105"/>
        <v>19089756.430696003</v>
      </c>
      <c r="DQ85" s="116">
        <f t="shared" si="146"/>
        <v>0.92930000000000001</v>
      </c>
      <c r="DR85" s="126">
        <f t="shared" ca="1" si="121"/>
        <v>0</v>
      </c>
      <c r="DS85" s="115">
        <f t="shared" ca="1" si="122"/>
        <v>0</v>
      </c>
      <c r="DT85" s="118" t="str">
        <f t="shared" si="147"/>
        <v>Uncapped</v>
      </c>
      <c r="DU85" s="115">
        <f t="shared" ca="1" si="123"/>
        <v>0</v>
      </c>
      <c r="DV85" s="113"/>
      <c r="DW85" s="119">
        <v>0</v>
      </c>
      <c r="DX85" s="113"/>
      <c r="DY85" s="113"/>
      <c r="DZ85" s="113">
        <v>0</v>
      </c>
      <c r="EA85" s="113">
        <v>0</v>
      </c>
      <c r="EB85" s="113">
        <v>0</v>
      </c>
      <c r="EC85" s="113">
        <v>0</v>
      </c>
      <c r="ED85" s="113">
        <v>0</v>
      </c>
      <c r="EE85" s="113">
        <v>0</v>
      </c>
      <c r="EF85" s="113"/>
      <c r="EG85" s="113"/>
      <c r="EH85" s="113"/>
      <c r="EI85" s="113"/>
      <c r="EJ85" s="113"/>
      <c r="EK85" s="113"/>
      <c r="EL85" s="114">
        <f t="shared" si="106"/>
        <v>0</v>
      </c>
      <c r="EM85" s="114">
        <f t="shared" si="106"/>
        <v>0</v>
      </c>
      <c r="EN85" s="114">
        <f t="shared" si="106"/>
        <v>0</v>
      </c>
      <c r="EO85" s="114">
        <f t="shared" si="106"/>
        <v>0</v>
      </c>
      <c r="EP85" s="114">
        <f t="shared" si="124"/>
        <v>0</v>
      </c>
      <c r="EQ85" s="114">
        <f t="shared" si="97"/>
        <v>0</v>
      </c>
      <c r="ER85" s="114">
        <f t="shared" si="148"/>
        <v>0</v>
      </c>
      <c r="ES85" s="116">
        <f t="shared" si="149"/>
        <v>0</v>
      </c>
      <c r="ET85" s="126">
        <f t="shared" ca="1" si="150"/>
        <v>0</v>
      </c>
      <c r="EU85" s="115">
        <f t="shared" ca="1" si="125"/>
        <v>0</v>
      </c>
      <c r="EV85" s="118" t="str">
        <f t="shared" si="126"/>
        <v>Uncapped</v>
      </c>
      <c r="EW85" s="115">
        <f t="shared" ca="1" si="127"/>
        <v>0</v>
      </c>
      <c r="EX85" s="112">
        <f t="shared" ca="1" si="128"/>
        <v>0</v>
      </c>
      <c r="EY85" s="114">
        <f t="shared" ca="1" si="151"/>
        <v>0</v>
      </c>
      <c r="EZ85" s="115">
        <v>0</v>
      </c>
      <c r="FA85" s="115">
        <v>70000</v>
      </c>
      <c r="FB85" s="115"/>
      <c r="FC85" s="115">
        <v>0</v>
      </c>
      <c r="FD85" s="115">
        <f t="shared" si="98"/>
        <v>70000</v>
      </c>
      <c r="FE85" s="114">
        <f t="shared" si="87"/>
        <v>0</v>
      </c>
      <c r="FF85" s="115">
        <v>0</v>
      </c>
      <c r="FG85" s="115">
        <v>0</v>
      </c>
      <c r="FH85" s="115">
        <v>0</v>
      </c>
      <c r="FI85" s="115">
        <v>0</v>
      </c>
      <c r="FJ85" s="115">
        <f t="shared" si="99"/>
        <v>0</v>
      </c>
      <c r="FK85" s="114">
        <f t="shared" si="88"/>
        <v>0</v>
      </c>
      <c r="FL85" s="113"/>
      <c r="FM85" s="111"/>
      <c r="FN85" s="111"/>
      <c r="FO85" s="111"/>
      <c r="FP85" s="115">
        <f t="shared" si="129"/>
        <v>0</v>
      </c>
      <c r="FQ85" s="115"/>
      <c r="FR85" s="488"/>
      <c r="FS85" s="115"/>
      <c r="FT85" s="114">
        <f t="shared" si="152"/>
        <v>0</v>
      </c>
      <c r="FU85" s="366">
        <f t="shared" ca="1" si="155"/>
        <v>70000</v>
      </c>
      <c r="FV85" s="121">
        <f t="shared" ca="1" si="153"/>
        <v>70000</v>
      </c>
      <c r="FW85" s="114">
        <f t="shared" si="157"/>
        <v>0</v>
      </c>
      <c r="FX85" s="114">
        <f t="shared" si="157"/>
        <v>0</v>
      </c>
      <c r="FY85" s="114">
        <f t="shared" si="157"/>
        <v>0</v>
      </c>
      <c r="FZ85" s="114">
        <f t="shared" si="157"/>
        <v>0</v>
      </c>
      <c r="GA85" s="114">
        <f t="shared" si="130"/>
        <v>0</v>
      </c>
      <c r="GB85" s="114">
        <f t="shared" si="158"/>
        <v>0</v>
      </c>
      <c r="GC85" s="114">
        <f t="shared" si="158"/>
        <v>70000</v>
      </c>
      <c r="GD85" s="114">
        <f t="shared" si="158"/>
        <v>0</v>
      </c>
      <c r="GE85" s="114">
        <f t="shared" si="158"/>
        <v>0</v>
      </c>
      <c r="GF85" s="114">
        <f t="shared" si="159"/>
        <v>0</v>
      </c>
      <c r="GG85" s="114">
        <f t="shared" si="159"/>
        <v>70000</v>
      </c>
      <c r="GH85" s="114">
        <f t="shared" si="159"/>
        <v>0</v>
      </c>
      <c r="GI85" s="114">
        <f t="shared" si="159"/>
        <v>0</v>
      </c>
      <c r="GJ85" s="115">
        <f t="shared" si="100"/>
        <v>70000</v>
      </c>
      <c r="GK85" s="114">
        <f t="shared" si="131"/>
        <v>70000</v>
      </c>
      <c r="GL85" s="114">
        <f t="shared" si="132"/>
        <v>0</v>
      </c>
      <c r="GM85" s="114">
        <f t="shared" si="133"/>
        <v>0</v>
      </c>
      <c r="GN85" s="114">
        <f t="shared" si="134"/>
        <v>0</v>
      </c>
      <c r="GO85" s="114">
        <f t="shared" si="135"/>
        <v>0</v>
      </c>
      <c r="GP85" s="114">
        <f t="shared" si="101"/>
        <v>0</v>
      </c>
      <c r="GQ85" s="114">
        <f t="shared" si="136"/>
        <v>0</v>
      </c>
      <c r="GR85" s="216"/>
      <c r="GS85" s="122">
        <f t="shared" si="109"/>
        <v>32356743.522800006</v>
      </c>
      <c r="GT85" s="122">
        <f t="shared" si="109"/>
        <v>34071392.88472864</v>
      </c>
      <c r="GU85" s="123">
        <f t="shared" si="137"/>
        <v>0.9496748087837299</v>
      </c>
      <c r="GV85" s="124">
        <f t="shared" ca="1" si="138"/>
        <v>0</v>
      </c>
      <c r="GW85" s="124">
        <v>0</v>
      </c>
      <c r="GX85" s="32">
        <f t="shared" ca="1" si="139"/>
        <v>0</v>
      </c>
      <c r="GY85" s="100"/>
    </row>
    <row r="86" spans="1:207" s="125" customFormat="1" ht="15" customHeight="1">
      <c r="A86" s="102"/>
      <c r="B86" s="103"/>
      <c r="C86" s="103"/>
      <c r="D86" s="104"/>
      <c r="E86" s="104"/>
      <c r="F86" s="104" t="s">
        <v>388</v>
      </c>
      <c r="G86" s="104" t="s">
        <v>226</v>
      </c>
      <c r="H86" s="127" t="s">
        <v>422</v>
      </c>
      <c r="I86" s="106" t="s">
        <v>423</v>
      </c>
      <c r="J86" s="104" t="s">
        <v>212</v>
      </c>
      <c r="K86" s="104" t="s">
        <v>218</v>
      </c>
      <c r="L86" s="104" t="s">
        <v>213</v>
      </c>
      <c r="M86" s="104" t="s">
        <v>388</v>
      </c>
      <c r="N86" s="107"/>
      <c r="O86" s="108">
        <v>43353</v>
      </c>
      <c r="P86" s="108">
        <v>43353</v>
      </c>
      <c r="Q86" s="322">
        <f t="shared" si="112"/>
        <v>0</v>
      </c>
      <c r="R86" s="109">
        <f>IF((P86-VLOOKUP(Q86,month!$A$1:$C$13,3,0))&lt;0,Q86,Q86+1)</f>
        <v>0</v>
      </c>
      <c r="S86" s="108"/>
      <c r="T86" s="127" t="str">
        <f t="shared" si="154"/>
        <v/>
      </c>
      <c r="U86" s="107"/>
      <c r="V86" s="107"/>
      <c r="W86" s="107"/>
      <c r="X86" s="107"/>
      <c r="Y86" s="386"/>
      <c r="Z86" s="386" t="s">
        <v>545</v>
      </c>
      <c r="AA86" s="387">
        <v>1000</v>
      </c>
      <c r="AB86" s="387">
        <v>1000</v>
      </c>
      <c r="AC86" s="387">
        <v>1000</v>
      </c>
      <c r="AD86" s="387">
        <v>1000</v>
      </c>
      <c r="AE86" s="387">
        <v>1000</v>
      </c>
      <c r="AF86" s="387">
        <v>1000</v>
      </c>
      <c r="AG86" s="387">
        <v>1000</v>
      </c>
      <c r="AH86" s="387">
        <v>1000</v>
      </c>
      <c r="AI86" s="387">
        <v>1000</v>
      </c>
      <c r="AJ86" s="387">
        <v>1000</v>
      </c>
      <c r="AK86" s="387">
        <v>1000</v>
      </c>
      <c r="AL86" s="387">
        <v>1000</v>
      </c>
      <c r="AM86" s="388">
        <f t="shared" si="92"/>
        <v>12000</v>
      </c>
      <c r="AN86" s="388">
        <f t="shared" si="113"/>
        <v>12000</v>
      </c>
      <c r="AO86" s="389">
        <f t="shared" si="156"/>
        <v>1000</v>
      </c>
      <c r="AP86" s="498" t="s">
        <v>671</v>
      </c>
      <c r="AQ86" s="159">
        <v>0.4</v>
      </c>
      <c r="AR86" s="160" t="s">
        <v>392</v>
      </c>
      <c r="AS86" s="119" t="s">
        <v>210</v>
      </c>
      <c r="AT86" s="111">
        <v>94743.140498627225</v>
      </c>
      <c r="AU86" s="111">
        <v>241057.19423549771</v>
      </c>
      <c r="AV86" s="111">
        <v>178955.9757687067</v>
      </c>
      <c r="AW86" s="111">
        <v>208330.38212421231</v>
      </c>
      <c r="AX86" s="113">
        <v>44231.039999999994</v>
      </c>
      <c r="AY86" s="113">
        <v>424967.57999999996</v>
      </c>
      <c r="AZ86" s="113">
        <v>205780.81499999997</v>
      </c>
      <c r="BA86" s="113">
        <v>100906.56</v>
      </c>
      <c r="BB86" s="113"/>
      <c r="BC86" s="113"/>
      <c r="BD86" s="113"/>
      <c r="BE86" s="113"/>
      <c r="BF86" s="114">
        <f t="shared" si="102"/>
        <v>44231.039999999994</v>
      </c>
      <c r="BG86" s="114">
        <f t="shared" si="102"/>
        <v>424967.57999999996</v>
      </c>
      <c r="BH86" s="114">
        <f t="shared" si="102"/>
        <v>205780.81499999997</v>
      </c>
      <c r="BI86" s="114">
        <f t="shared" si="102"/>
        <v>100906.56</v>
      </c>
      <c r="BJ86" s="114">
        <f t="shared" si="108"/>
        <v>775885.99499999988</v>
      </c>
      <c r="BK86" s="115">
        <f t="shared" si="94"/>
        <v>723086.69262704393</v>
      </c>
      <c r="BL86" s="115">
        <f t="shared" si="140"/>
        <v>723086.69262704393</v>
      </c>
      <c r="BM86" s="116">
        <f t="shared" si="141"/>
        <v>1.073</v>
      </c>
      <c r="BN86" s="126">
        <f t="shared" ca="1" si="114"/>
        <v>0</v>
      </c>
      <c r="BO86" s="117">
        <f t="shared" ca="1" si="115"/>
        <v>0</v>
      </c>
      <c r="BP86" s="118" t="str">
        <f t="shared" si="116"/>
        <v>Uncapped</v>
      </c>
      <c r="BQ86" s="115">
        <f t="shared" ca="1" si="117"/>
        <v>0</v>
      </c>
      <c r="BR86" s="113" t="s">
        <v>691</v>
      </c>
      <c r="BS86" s="159">
        <v>0.4</v>
      </c>
      <c r="BT86" s="160" t="s">
        <v>211</v>
      </c>
      <c r="BU86" s="160" t="s">
        <v>210</v>
      </c>
      <c r="BV86" s="113">
        <v>2616407.1981056472</v>
      </c>
      <c r="BW86" s="113">
        <v>3516179.7032821523</v>
      </c>
      <c r="BX86" s="113">
        <v>3720581.9762100573</v>
      </c>
      <c r="BY86" s="113">
        <v>4249439.0333433365</v>
      </c>
      <c r="BZ86" s="113">
        <v>2600578.9209999898</v>
      </c>
      <c r="CA86" s="113">
        <v>2812623.530200005</v>
      </c>
      <c r="CB86" s="113">
        <v>3288683.4781000158</v>
      </c>
      <c r="CC86" s="113">
        <v>4832187.5457999939</v>
      </c>
      <c r="CD86" s="113"/>
      <c r="CE86" s="113"/>
      <c r="CF86" s="113"/>
      <c r="CG86" s="113"/>
      <c r="CH86" s="114">
        <f t="shared" si="103"/>
        <v>2600578.9209999898</v>
      </c>
      <c r="CI86" s="114">
        <f t="shared" si="103"/>
        <v>2812623.530200005</v>
      </c>
      <c r="CJ86" s="120">
        <f t="shared" si="103"/>
        <v>3288683.4781000158</v>
      </c>
      <c r="CK86" s="114">
        <f t="shared" si="103"/>
        <v>4832187.5457999939</v>
      </c>
      <c r="CL86" s="114">
        <f t="shared" si="118"/>
        <v>13534073.475100003</v>
      </c>
      <c r="CM86" s="114">
        <f t="shared" si="95"/>
        <v>14102607.910941195</v>
      </c>
      <c r="CN86" s="114">
        <f t="shared" si="142"/>
        <v>14102607.910941195</v>
      </c>
      <c r="CO86" s="116">
        <f t="shared" si="143"/>
        <v>0.9597</v>
      </c>
      <c r="CP86" s="126">
        <f t="shared" ca="1" si="144"/>
        <v>0</v>
      </c>
      <c r="CQ86" s="115">
        <f t="shared" ca="1" si="119"/>
        <v>0</v>
      </c>
      <c r="CR86" s="118" t="str">
        <f t="shared" si="145"/>
        <v>Uncapped</v>
      </c>
      <c r="CS86" s="115">
        <f t="shared" ca="1" si="120"/>
        <v>0</v>
      </c>
      <c r="CT86" s="113" t="s">
        <v>695</v>
      </c>
      <c r="CU86" s="119">
        <v>0.2</v>
      </c>
      <c r="CV86" s="113" t="s">
        <v>217</v>
      </c>
      <c r="CW86" s="113" t="s">
        <v>210</v>
      </c>
      <c r="CX86" s="113">
        <v>3388073.5421928586</v>
      </c>
      <c r="CY86" s="113">
        <v>5062451.297281133</v>
      </c>
      <c r="CZ86" s="113">
        <v>5007580.1611671867</v>
      </c>
      <c r="DA86" s="113">
        <v>5631651.4300548239</v>
      </c>
      <c r="DB86" s="113">
        <v>3247390.7157999901</v>
      </c>
      <c r="DC86" s="113">
        <v>4335350.6797000095</v>
      </c>
      <c r="DD86" s="113">
        <v>4536881.2534000156</v>
      </c>
      <c r="DE86" s="113">
        <f>VLOOKUP($H86,[2]pivot!$V:$Z,$DE$2,FALSE)</f>
        <v>5621160.3867999902</v>
      </c>
      <c r="DF86" s="113"/>
      <c r="DG86" s="113"/>
      <c r="DH86" s="113"/>
      <c r="DI86" s="113"/>
      <c r="DJ86" s="114">
        <f t="shared" si="104"/>
        <v>3247390.7157999901</v>
      </c>
      <c r="DK86" s="114">
        <f t="shared" si="104"/>
        <v>4335350.6797000095</v>
      </c>
      <c r="DL86" s="114">
        <f t="shared" si="104"/>
        <v>4536881.2534000156</v>
      </c>
      <c r="DM86" s="114">
        <f t="shared" si="104"/>
        <v>5621160.3867999902</v>
      </c>
      <c r="DN86" s="114">
        <f t="shared" si="84"/>
        <v>17740783.035700005</v>
      </c>
      <c r="DO86" s="114">
        <f t="shared" si="96"/>
        <v>19089756.430696003</v>
      </c>
      <c r="DP86" s="114">
        <f t="shared" si="105"/>
        <v>19089756.430696003</v>
      </c>
      <c r="DQ86" s="116">
        <f t="shared" si="146"/>
        <v>0.92930000000000001</v>
      </c>
      <c r="DR86" s="126">
        <f t="shared" ca="1" si="121"/>
        <v>0</v>
      </c>
      <c r="DS86" s="115">
        <f t="shared" ca="1" si="122"/>
        <v>0</v>
      </c>
      <c r="DT86" s="118" t="str">
        <f t="shared" si="147"/>
        <v>Uncapped</v>
      </c>
      <c r="DU86" s="115">
        <f t="shared" ca="1" si="123"/>
        <v>0</v>
      </c>
      <c r="DV86" s="113"/>
      <c r="DW86" s="119">
        <v>0</v>
      </c>
      <c r="DX86" s="113"/>
      <c r="DY86" s="113"/>
      <c r="DZ86" s="113">
        <v>0</v>
      </c>
      <c r="EA86" s="113">
        <v>0</v>
      </c>
      <c r="EB86" s="113">
        <v>0</v>
      </c>
      <c r="EC86" s="113">
        <v>0</v>
      </c>
      <c r="ED86" s="113">
        <v>0</v>
      </c>
      <c r="EE86" s="113">
        <v>0</v>
      </c>
      <c r="EF86" s="113"/>
      <c r="EG86" s="113"/>
      <c r="EH86" s="113"/>
      <c r="EI86" s="113"/>
      <c r="EJ86" s="113"/>
      <c r="EK86" s="113"/>
      <c r="EL86" s="114">
        <f t="shared" si="106"/>
        <v>0</v>
      </c>
      <c r="EM86" s="114">
        <f t="shared" si="106"/>
        <v>0</v>
      </c>
      <c r="EN86" s="114">
        <f t="shared" si="106"/>
        <v>0</v>
      </c>
      <c r="EO86" s="114">
        <f t="shared" si="106"/>
        <v>0</v>
      </c>
      <c r="EP86" s="114">
        <f t="shared" si="124"/>
        <v>0</v>
      </c>
      <c r="EQ86" s="114">
        <f t="shared" si="97"/>
        <v>0</v>
      </c>
      <c r="ER86" s="114">
        <f t="shared" si="148"/>
        <v>0</v>
      </c>
      <c r="ES86" s="116">
        <f t="shared" si="149"/>
        <v>0</v>
      </c>
      <c r="ET86" s="126">
        <f t="shared" ca="1" si="150"/>
        <v>0</v>
      </c>
      <c r="EU86" s="115">
        <f t="shared" ca="1" si="125"/>
        <v>0</v>
      </c>
      <c r="EV86" s="118" t="str">
        <f t="shared" si="126"/>
        <v>Uncapped</v>
      </c>
      <c r="EW86" s="115">
        <f t="shared" ca="1" si="127"/>
        <v>0</v>
      </c>
      <c r="EX86" s="112">
        <f t="shared" ca="1" si="128"/>
        <v>0</v>
      </c>
      <c r="EY86" s="114">
        <f t="shared" ca="1" si="151"/>
        <v>0</v>
      </c>
      <c r="EZ86" s="115">
        <v>0</v>
      </c>
      <c r="FA86" s="115"/>
      <c r="FB86" s="115"/>
      <c r="FC86" s="115">
        <v>0</v>
      </c>
      <c r="FD86" s="115">
        <f t="shared" si="98"/>
        <v>0</v>
      </c>
      <c r="FE86" s="114">
        <f t="shared" si="87"/>
        <v>0</v>
      </c>
      <c r="FF86" s="115">
        <v>0</v>
      </c>
      <c r="FG86" s="115">
        <v>0</v>
      </c>
      <c r="FH86" s="115">
        <v>0</v>
      </c>
      <c r="FI86" s="115">
        <v>0</v>
      </c>
      <c r="FJ86" s="115">
        <f t="shared" si="99"/>
        <v>0</v>
      </c>
      <c r="FK86" s="114">
        <f t="shared" si="88"/>
        <v>0</v>
      </c>
      <c r="FL86" s="113"/>
      <c r="FM86" s="111"/>
      <c r="FN86" s="111"/>
      <c r="FO86" s="111"/>
      <c r="FP86" s="115">
        <f t="shared" si="129"/>
        <v>0</v>
      </c>
      <c r="FQ86" s="115"/>
      <c r="FR86" s="115"/>
      <c r="FS86" s="115"/>
      <c r="FT86" s="114">
        <f t="shared" si="152"/>
        <v>0</v>
      </c>
      <c r="FU86" s="366">
        <f t="shared" ca="1" si="155"/>
        <v>0</v>
      </c>
      <c r="FV86" s="121">
        <f t="shared" ca="1" si="153"/>
        <v>0</v>
      </c>
      <c r="FW86" s="114">
        <f t="shared" si="157"/>
        <v>0</v>
      </c>
      <c r="FX86" s="114">
        <f t="shared" si="157"/>
        <v>0</v>
      </c>
      <c r="FY86" s="114">
        <f t="shared" si="157"/>
        <v>0</v>
      </c>
      <c r="FZ86" s="114">
        <f t="shared" si="157"/>
        <v>0</v>
      </c>
      <c r="GA86" s="114">
        <f>SUM(FW86:FZ86)</f>
        <v>0</v>
      </c>
      <c r="GB86" s="114">
        <f t="shared" si="158"/>
        <v>0</v>
      </c>
      <c r="GC86" s="114">
        <f t="shared" si="158"/>
        <v>0</v>
      </c>
      <c r="GD86" s="114">
        <f t="shared" si="158"/>
        <v>0</v>
      </c>
      <c r="GE86" s="114">
        <f t="shared" si="158"/>
        <v>0</v>
      </c>
      <c r="GF86" s="114">
        <f t="shared" si="159"/>
        <v>0</v>
      </c>
      <c r="GG86" s="114">
        <f t="shared" si="159"/>
        <v>0</v>
      </c>
      <c r="GH86" s="114">
        <f t="shared" si="159"/>
        <v>0</v>
      </c>
      <c r="GI86" s="114">
        <f t="shared" si="159"/>
        <v>0</v>
      </c>
      <c r="GJ86" s="115">
        <f t="shared" si="100"/>
        <v>0</v>
      </c>
      <c r="GK86" s="114">
        <f>SUM(GF86:GI86)</f>
        <v>0</v>
      </c>
      <c r="GL86" s="114">
        <f t="shared" si="132"/>
        <v>0</v>
      </c>
      <c r="GM86" s="114">
        <f t="shared" si="133"/>
        <v>0</v>
      </c>
      <c r="GN86" s="114">
        <f t="shared" si="134"/>
        <v>0</v>
      </c>
      <c r="GO86" s="114">
        <f t="shared" si="135"/>
        <v>0</v>
      </c>
      <c r="GP86" s="114">
        <f t="shared" si="101"/>
        <v>0</v>
      </c>
      <c r="GQ86" s="114">
        <f>SUM(GL86:GO86)</f>
        <v>0</v>
      </c>
      <c r="GR86" s="216"/>
      <c r="GS86" s="122">
        <f t="shared" si="109"/>
        <v>32050742.505800009</v>
      </c>
      <c r="GT86" s="122">
        <f t="shared" si="109"/>
        <v>33915451.034264244</v>
      </c>
      <c r="GU86" s="123">
        <f>IFERROR(GS86/GT86,"")</f>
        <v>0.94501890814955258</v>
      </c>
      <c r="GV86" s="124">
        <f t="shared" ca="1" si="138"/>
        <v>0</v>
      </c>
      <c r="GW86" s="124">
        <v>0</v>
      </c>
      <c r="GX86" s="32">
        <f t="shared" ca="1" si="139"/>
        <v>0</v>
      </c>
      <c r="GY86" s="100"/>
    </row>
    <row r="87" spans="1:207" s="125" customFormat="1" ht="15" customHeight="1">
      <c r="A87" s="102"/>
      <c r="B87" s="103"/>
      <c r="C87" s="103"/>
      <c r="D87" s="104"/>
      <c r="E87" s="104"/>
      <c r="F87" s="104" t="s">
        <v>388</v>
      </c>
      <c r="G87" s="104" t="s">
        <v>226</v>
      </c>
      <c r="H87" s="127" t="s">
        <v>424</v>
      </c>
      <c r="I87" s="106" t="s">
        <v>425</v>
      </c>
      <c r="J87" s="104" t="s">
        <v>212</v>
      </c>
      <c r="K87" s="104" t="s">
        <v>218</v>
      </c>
      <c r="L87" s="104" t="s">
        <v>213</v>
      </c>
      <c r="M87" s="104" t="s">
        <v>388</v>
      </c>
      <c r="N87" s="107"/>
      <c r="O87" s="108">
        <v>43374</v>
      </c>
      <c r="P87" s="108">
        <v>43374</v>
      </c>
      <c r="Q87" s="322">
        <f t="shared" si="112"/>
        <v>0</v>
      </c>
      <c r="R87" s="109">
        <f>IF((P87-VLOOKUP(Q87,month!$A$1:$C$13,3,0))&lt;0,Q87,Q87+1)</f>
        <v>0</v>
      </c>
      <c r="S87" s="108"/>
      <c r="T87" s="110" t="str">
        <f t="shared" si="154"/>
        <v/>
      </c>
      <c r="U87" s="107"/>
      <c r="V87" s="107"/>
      <c r="W87" s="107"/>
      <c r="X87" s="107"/>
      <c r="Y87" s="386"/>
      <c r="Z87" s="386" t="s">
        <v>545</v>
      </c>
      <c r="AA87" s="387">
        <v>1000</v>
      </c>
      <c r="AB87" s="387">
        <v>1000</v>
      </c>
      <c r="AC87" s="387">
        <v>1000</v>
      </c>
      <c r="AD87" s="387">
        <v>1000</v>
      </c>
      <c r="AE87" s="387">
        <v>1000</v>
      </c>
      <c r="AF87" s="387">
        <v>1000</v>
      </c>
      <c r="AG87" s="387">
        <v>1000</v>
      </c>
      <c r="AH87" s="387">
        <v>1000</v>
      </c>
      <c r="AI87" s="387">
        <v>1000</v>
      </c>
      <c r="AJ87" s="387">
        <v>1000</v>
      </c>
      <c r="AK87" s="387">
        <v>1000</v>
      </c>
      <c r="AL87" s="387">
        <v>1000</v>
      </c>
      <c r="AM87" s="388">
        <f t="shared" si="92"/>
        <v>12000</v>
      </c>
      <c r="AN87" s="388">
        <f t="shared" si="113"/>
        <v>12000</v>
      </c>
      <c r="AO87" s="389">
        <f t="shared" si="156"/>
        <v>1000</v>
      </c>
      <c r="AP87" s="498" t="s">
        <v>671</v>
      </c>
      <c r="AQ87" s="159">
        <v>0.4</v>
      </c>
      <c r="AR87" s="160" t="s">
        <v>392</v>
      </c>
      <c r="AS87" s="119" t="s">
        <v>210</v>
      </c>
      <c r="AT87" s="111">
        <v>128216.36251042612</v>
      </c>
      <c r="AU87" s="111">
        <v>410722.1334074763</v>
      </c>
      <c r="AV87" s="111">
        <v>234548.81075934312</v>
      </c>
      <c r="AW87" s="111">
        <v>286339.19533844042</v>
      </c>
      <c r="AX87" s="113">
        <v>432900</v>
      </c>
      <c r="AY87" s="113">
        <v>619279.65</v>
      </c>
      <c r="AZ87" s="113">
        <v>399748.57470000006</v>
      </c>
      <c r="BA87" s="113">
        <v>315515.52000000002</v>
      </c>
      <c r="BB87" s="113"/>
      <c r="BC87" s="113"/>
      <c r="BD87" s="113"/>
      <c r="BE87" s="113"/>
      <c r="BF87" s="114">
        <f t="shared" si="102"/>
        <v>432900</v>
      </c>
      <c r="BG87" s="114">
        <f t="shared" si="102"/>
        <v>619279.65</v>
      </c>
      <c r="BH87" s="114">
        <f t="shared" si="102"/>
        <v>399748.57470000006</v>
      </c>
      <c r="BI87" s="114">
        <f t="shared" si="102"/>
        <v>315515.52000000002</v>
      </c>
      <c r="BJ87" s="114">
        <f t="shared" si="108"/>
        <v>1767443.7446999999</v>
      </c>
      <c r="BK87" s="115">
        <f t="shared" si="94"/>
        <v>1059826.5020156859</v>
      </c>
      <c r="BL87" s="115">
        <f t="shared" si="140"/>
        <v>1059826.5020156859</v>
      </c>
      <c r="BM87" s="116">
        <f t="shared" si="141"/>
        <v>1.6677</v>
      </c>
      <c r="BN87" s="126">
        <f t="shared" ca="1" si="114"/>
        <v>0</v>
      </c>
      <c r="BO87" s="117">
        <f t="shared" ca="1" si="115"/>
        <v>0</v>
      </c>
      <c r="BP87" s="118" t="str">
        <f t="shared" si="116"/>
        <v>Uncapped</v>
      </c>
      <c r="BQ87" s="115">
        <f t="shared" ca="1" si="117"/>
        <v>0</v>
      </c>
      <c r="BR87" s="113" t="s">
        <v>691</v>
      </c>
      <c r="BS87" s="159">
        <v>0.4</v>
      </c>
      <c r="BT87" s="160" t="s">
        <v>211</v>
      </c>
      <c r="BU87" s="160" t="s">
        <v>210</v>
      </c>
      <c r="BV87" s="113">
        <v>2616407.1981056477</v>
      </c>
      <c r="BW87" s="113">
        <v>3516179.7032821523</v>
      </c>
      <c r="BX87" s="113">
        <v>3720581.9762100563</v>
      </c>
      <c r="BY87" s="113">
        <v>4249439.0333433356</v>
      </c>
      <c r="BZ87" s="113">
        <v>2600578.9209999898</v>
      </c>
      <c r="CA87" s="113">
        <v>2812623.530200005</v>
      </c>
      <c r="CB87" s="113">
        <v>3288683.4781000158</v>
      </c>
      <c r="CC87" s="113">
        <v>4832187.5457999939</v>
      </c>
      <c r="CD87" s="113"/>
      <c r="CE87" s="113"/>
      <c r="CF87" s="113"/>
      <c r="CG87" s="113"/>
      <c r="CH87" s="114">
        <f t="shared" si="103"/>
        <v>2600578.9209999898</v>
      </c>
      <c r="CI87" s="114">
        <f t="shared" si="103"/>
        <v>2812623.530200005</v>
      </c>
      <c r="CJ87" s="120">
        <f t="shared" si="103"/>
        <v>3288683.4781000158</v>
      </c>
      <c r="CK87" s="114">
        <f t="shared" si="103"/>
        <v>4832187.5457999939</v>
      </c>
      <c r="CL87" s="114">
        <f t="shared" si="118"/>
        <v>13534073.475100003</v>
      </c>
      <c r="CM87" s="114">
        <f t="shared" si="95"/>
        <v>14102607.910941191</v>
      </c>
      <c r="CN87" s="114">
        <f t="shared" si="142"/>
        <v>14102607.910941191</v>
      </c>
      <c r="CO87" s="116">
        <f t="shared" si="143"/>
        <v>0.9597</v>
      </c>
      <c r="CP87" s="126">
        <f t="shared" ca="1" si="144"/>
        <v>0</v>
      </c>
      <c r="CQ87" s="115">
        <f t="shared" ca="1" si="119"/>
        <v>0</v>
      </c>
      <c r="CR87" s="118" t="str">
        <f t="shared" si="145"/>
        <v>Uncapped</v>
      </c>
      <c r="CS87" s="115">
        <f t="shared" ca="1" si="120"/>
        <v>0</v>
      </c>
      <c r="CT87" s="113" t="s">
        <v>695</v>
      </c>
      <c r="CU87" s="119">
        <v>0.2</v>
      </c>
      <c r="CV87" s="113" t="s">
        <v>217</v>
      </c>
      <c r="CW87" s="113" t="s">
        <v>210</v>
      </c>
      <c r="CX87" s="113">
        <v>3428789.7311367933</v>
      </c>
      <c r="CY87" s="113">
        <v>5408231.2228889018</v>
      </c>
      <c r="CZ87" s="113">
        <v>5079957.5438702796</v>
      </c>
      <c r="DA87" s="113">
        <v>5750796.8792685037</v>
      </c>
      <c r="DB87" s="113">
        <v>3679555.30579999</v>
      </c>
      <c r="DC87" s="113">
        <v>4808194.2835000101</v>
      </c>
      <c r="DD87" s="113">
        <v>4337155.326100016</v>
      </c>
      <c r="DE87" s="113">
        <f>VLOOKUP($H87,[2]pivot!$V:$Z,$DE$2,FALSE)</f>
        <v>5982202.9917999906</v>
      </c>
      <c r="DF87" s="113"/>
      <c r="DG87" s="113"/>
      <c r="DH87" s="113"/>
      <c r="DI87" s="113"/>
      <c r="DJ87" s="114">
        <f t="shared" si="104"/>
        <v>3679555.30579999</v>
      </c>
      <c r="DK87" s="114">
        <f t="shared" si="104"/>
        <v>4808194.2835000101</v>
      </c>
      <c r="DL87" s="114">
        <f t="shared" si="104"/>
        <v>4337155.326100016</v>
      </c>
      <c r="DM87" s="114">
        <f t="shared" si="104"/>
        <v>5982202.9917999906</v>
      </c>
      <c r="DN87" s="114">
        <f t="shared" si="84"/>
        <v>18807107.907200005</v>
      </c>
      <c r="DO87" s="114">
        <f t="shared" si="96"/>
        <v>19667775.377164479</v>
      </c>
      <c r="DP87" s="114">
        <f t="shared" si="105"/>
        <v>19667775.377164479</v>
      </c>
      <c r="DQ87" s="116">
        <f t="shared" si="146"/>
        <v>0.95620000000000005</v>
      </c>
      <c r="DR87" s="126">
        <f t="shared" ca="1" si="121"/>
        <v>0</v>
      </c>
      <c r="DS87" s="115">
        <f t="shared" ca="1" si="122"/>
        <v>0</v>
      </c>
      <c r="DT87" s="118" t="str">
        <f t="shared" si="147"/>
        <v>Uncapped</v>
      </c>
      <c r="DU87" s="115">
        <f t="shared" ca="1" si="123"/>
        <v>0</v>
      </c>
      <c r="DV87" s="113"/>
      <c r="DW87" s="119">
        <v>0</v>
      </c>
      <c r="DX87" s="113"/>
      <c r="DY87" s="113"/>
      <c r="DZ87" s="113">
        <v>0</v>
      </c>
      <c r="EA87" s="113">
        <v>0</v>
      </c>
      <c r="EB87" s="113">
        <v>0</v>
      </c>
      <c r="EC87" s="113">
        <v>0</v>
      </c>
      <c r="ED87" s="113">
        <v>0</v>
      </c>
      <c r="EE87" s="113">
        <v>0</v>
      </c>
      <c r="EF87" s="113"/>
      <c r="EG87" s="113"/>
      <c r="EH87" s="113"/>
      <c r="EI87" s="113"/>
      <c r="EJ87" s="113"/>
      <c r="EK87" s="113"/>
      <c r="EL87" s="114">
        <f t="shared" si="106"/>
        <v>0</v>
      </c>
      <c r="EM87" s="114">
        <f t="shared" si="106"/>
        <v>0</v>
      </c>
      <c r="EN87" s="114">
        <f t="shared" si="106"/>
        <v>0</v>
      </c>
      <c r="EO87" s="114">
        <f t="shared" si="106"/>
        <v>0</v>
      </c>
      <c r="EP87" s="114">
        <f t="shared" si="124"/>
        <v>0</v>
      </c>
      <c r="EQ87" s="114">
        <f t="shared" si="97"/>
        <v>0</v>
      </c>
      <c r="ER87" s="114">
        <f t="shared" si="148"/>
        <v>0</v>
      </c>
      <c r="ES87" s="116">
        <f t="shared" si="149"/>
        <v>0</v>
      </c>
      <c r="ET87" s="126">
        <f t="shared" ca="1" si="150"/>
        <v>0</v>
      </c>
      <c r="EU87" s="115">
        <f t="shared" ca="1" si="125"/>
        <v>0</v>
      </c>
      <c r="EV87" s="118" t="str">
        <f t="shared" si="126"/>
        <v>Uncapped</v>
      </c>
      <c r="EW87" s="115">
        <f t="shared" ca="1" si="127"/>
        <v>0</v>
      </c>
      <c r="EX87" s="112">
        <f t="shared" ca="1" si="128"/>
        <v>0</v>
      </c>
      <c r="EY87" s="114">
        <f t="shared" ca="1" si="151"/>
        <v>0</v>
      </c>
      <c r="EZ87" s="115">
        <v>0</v>
      </c>
      <c r="FA87" s="115"/>
      <c r="FB87" s="115"/>
      <c r="FC87" s="115">
        <v>0</v>
      </c>
      <c r="FD87" s="115">
        <f t="shared" si="98"/>
        <v>0</v>
      </c>
      <c r="FE87" s="114">
        <f t="shared" si="87"/>
        <v>0</v>
      </c>
      <c r="FF87" s="115">
        <v>0</v>
      </c>
      <c r="FG87" s="115">
        <v>0</v>
      </c>
      <c r="FH87" s="115">
        <v>0</v>
      </c>
      <c r="FI87" s="115">
        <v>0</v>
      </c>
      <c r="FJ87" s="115">
        <f t="shared" si="99"/>
        <v>0</v>
      </c>
      <c r="FK87" s="114">
        <f t="shared" si="88"/>
        <v>0</v>
      </c>
      <c r="FL87" s="113"/>
      <c r="FM87" s="111"/>
      <c r="FN87" s="111"/>
      <c r="FO87" s="111"/>
      <c r="FP87" s="115">
        <f t="shared" si="129"/>
        <v>0</v>
      </c>
      <c r="FQ87" s="115"/>
      <c r="FR87" s="115"/>
      <c r="FS87" s="115"/>
      <c r="FT87" s="114">
        <f t="shared" si="152"/>
        <v>0</v>
      </c>
      <c r="FU87" s="366">
        <f t="shared" ca="1" si="155"/>
        <v>0</v>
      </c>
      <c r="FV87" s="121">
        <f t="shared" ca="1" si="153"/>
        <v>0</v>
      </c>
      <c r="FW87" s="114">
        <f t="shared" si="157"/>
        <v>0</v>
      </c>
      <c r="FX87" s="114">
        <f t="shared" si="157"/>
        <v>0</v>
      </c>
      <c r="FY87" s="114">
        <f t="shared" si="157"/>
        <v>0</v>
      </c>
      <c r="FZ87" s="114">
        <f t="shared" si="157"/>
        <v>0</v>
      </c>
      <c r="GA87" s="114">
        <f>SUM(FW87:FZ87)</f>
        <v>0</v>
      </c>
      <c r="GB87" s="114">
        <f t="shared" si="158"/>
        <v>0</v>
      </c>
      <c r="GC87" s="114">
        <f t="shared" si="158"/>
        <v>0</v>
      </c>
      <c r="GD87" s="114">
        <f t="shared" si="158"/>
        <v>0</v>
      </c>
      <c r="GE87" s="114">
        <f t="shared" si="158"/>
        <v>0</v>
      </c>
      <c r="GF87" s="114">
        <f t="shared" si="159"/>
        <v>0</v>
      </c>
      <c r="GG87" s="114">
        <f t="shared" si="159"/>
        <v>0</v>
      </c>
      <c r="GH87" s="114">
        <f t="shared" si="159"/>
        <v>0</v>
      </c>
      <c r="GI87" s="114">
        <f t="shared" si="159"/>
        <v>0</v>
      </c>
      <c r="GJ87" s="115">
        <f t="shared" si="100"/>
        <v>0</v>
      </c>
      <c r="GK87" s="114">
        <f>SUM(GF87:GI87)</f>
        <v>0</v>
      </c>
      <c r="GL87" s="114">
        <f t="shared" si="132"/>
        <v>0</v>
      </c>
      <c r="GM87" s="114">
        <f t="shared" si="133"/>
        <v>0</v>
      </c>
      <c r="GN87" s="114">
        <f t="shared" si="134"/>
        <v>0</v>
      </c>
      <c r="GO87" s="114">
        <f t="shared" si="135"/>
        <v>0</v>
      </c>
      <c r="GP87" s="114">
        <f t="shared" si="101"/>
        <v>0</v>
      </c>
      <c r="GQ87" s="114">
        <f>SUM(GL87:GO87)</f>
        <v>0</v>
      </c>
      <c r="GR87" s="216"/>
      <c r="GS87" s="122">
        <f t="shared" si="109"/>
        <v>34108625.127000004</v>
      </c>
      <c r="GT87" s="122">
        <f t="shared" si="109"/>
        <v>34830209.790121354</v>
      </c>
      <c r="GU87" s="123">
        <f>IFERROR(GS87/GT87,"")</f>
        <v>0.97928279308481203</v>
      </c>
      <c r="GV87" s="124">
        <f t="shared" ca="1" si="138"/>
        <v>0</v>
      </c>
      <c r="GW87" s="124">
        <v>0</v>
      </c>
      <c r="GX87" s="32">
        <f t="shared" ca="1" si="139"/>
        <v>0</v>
      </c>
      <c r="GY87" s="100"/>
    </row>
    <row r="88" spans="1:207" s="125" customFormat="1" ht="15" customHeight="1">
      <c r="A88" s="102"/>
      <c r="B88" s="103"/>
      <c r="C88" s="103"/>
      <c r="D88" s="104"/>
      <c r="E88" s="113" t="s">
        <v>388</v>
      </c>
      <c r="F88" s="113" t="s">
        <v>388</v>
      </c>
      <c r="G88" s="104" t="s">
        <v>226</v>
      </c>
      <c r="H88" s="127" t="s">
        <v>426</v>
      </c>
      <c r="I88" s="106" t="s">
        <v>427</v>
      </c>
      <c r="J88" s="104" t="s">
        <v>212</v>
      </c>
      <c r="K88" s="104" t="s">
        <v>218</v>
      </c>
      <c r="L88" s="104" t="s">
        <v>213</v>
      </c>
      <c r="M88" s="104" t="s">
        <v>388</v>
      </c>
      <c r="N88" s="107"/>
      <c r="O88" s="108">
        <v>42611</v>
      </c>
      <c r="P88" s="108">
        <v>42611</v>
      </c>
      <c r="Q88" s="322">
        <f t="shared" si="112"/>
        <v>0</v>
      </c>
      <c r="R88" s="109">
        <f>IF((P88-VLOOKUP(Q88,month!$A$1:$C$13,3,0))&lt;0,Q88,Q88+1)</f>
        <v>0</v>
      </c>
      <c r="S88" s="108"/>
      <c r="T88" s="110" t="str">
        <f t="shared" si="154"/>
        <v/>
      </c>
      <c r="U88" s="107"/>
      <c r="V88" s="107"/>
      <c r="W88" s="107"/>
      <c r="X88" s="107"/>
      <c r="Y88" s="386"/>
      <c r="Z88" s="386" t="s">
        <v>545</v>
      </c>
      <c r="AA88" s="387">
        <v>1000</v>
      </c>
      <c r="AB88" s="387">
        <v>1000</v>
      </c>
      <c r="AC88" s="387">
        <v>1000</v>
      </c>
      <c r="AD88" s="387">
        <v>1000</v>
      </c>
      <c r="AE88" s="387">
        <v>1000</v>
      </c>
      <c r="AF88" s="387">
        <v>1000</v>
      </c>
      <c r="AG88" s="387">
        <v>1000</v>
      </c>
      <c r="AH88" s="387">
        <v>1000</v>
      </c>
      <c r="AI88" s="387">
        <v>1000</v>
      </c>
      <c r="AJ88" s="387">
        <v>1000</v>
      </c>
      <c r="AK88" s="387">
        <v>1000</v>
      </c>
      <c r="AL88" s="387">
        <v>1000</v>
      </c>
      <c r="AM88" s="388">
        <f t="shared" si="92"/>
        <v>12000</v>
      </c>
      <c r="AN88" s="388">
        <f t="shared" si="113"/>
        <v>12000</v>
      </c>
      <c r="AO88" s="389">
        <f t="shared" si="156"/>
        <v>1000</v>
      </c>
      <c r="AP88" s="498" t="s">
        <v>671</v>
      </c>
      <c r="AQ88" s="159">
        <v>0.4</v>
      </c>
      <c r="AR88" s="160" t="s">
        <v>392</v>
      </c>
      <c r="AS88" s="119" t="s">
        <v>210</v>
      </c>
      <c r="AT88" s="111">
        <v>154118.13175840577</v>
      </c>
      <c r="AU88" s="111">
        <v>374071.32421701169</v>
      </c>
      <c r="AV88" s="111">
        <v>301734.93237707467</v>
      </c>
      <c r="AW88" s="111">
        <v>298493.33309197734</v>
      </c>
      <c r="AX88" s="113">
        <v>61973.099999999991</v>
      </c>
      <c r="AY88" s="113">
        <v>89908.74</v>
      </c>
      <c r="AZ88" s="113">
        <v>234363.68999999997</v>
      </c>
      <c r="BA88" s="113">
        <v>258891.56999999998</v>
      </c>
      <c r="BB88" s="113"/>
      <c r="BC88" s="113"/>
      <c r="BD88" s="113"/>
      <c r="BE88" s="113"/>
      <c r="BF88" s="114">
        <f t="shared" si="102"/>
        <v>61973.099999999991</v>
      </c>
      <c r="BG88" s="114">
        <f t="shared" si="102"/>
        <v>89908.74</v>
      </c>
      <c r="BH88" s="114">
        <f t="shared" si="102"/>
        <v>234363.68999999997</v>
      </c>
      <c r="BI88" s="114">
        <f t="shared" si="102"/>
        <v>258891.56999999998</v>
      </c>
      <c r="BJ88" s="114">
        <f t="shared" si="108"/>
        <v>645137.1</v>
      </c>
      <c r="BK88" s="115">
        <f t="shared" si="94"/>
        <v>1128417.7214444694</v>
      </c>
      <c r="BL88" s="115">
        <f t="shared" si="140"/>
        <v>1128417.7214444694</v>
      </c>
      <c r="BM88" s="116">
        <f t="shared" si="141"/>
        <v>0.57169999999999999</v>
      </c>
      <c r="BN88" s="126">
        <f t="shared" ca="1" si="114"/>
        <v>0</v>
      </c>
      <c r="BO88" s="117">
        <f t="shared" ca="1" si="115"/>
        <v>0</v>
      </c>
      <c r="BP88" s="118" t="str">
        <f t="shared" si="116"/>
        <v>Uncapped</v>
      </c>
      <c r="BQ88" s="115">
        <f t="shared" ca="1" si="117"/>
        <v>0</v>
      </c>
      <c r="BR88" s="113" t="s">
        <v>691</v>
      </c>
      <c r="BS88" s="159">
        <v>0.4</v>
      </c>
      <c r="BT88" s="160" t="s">
        <v>211</v>
      </c>
      <c r="BU88" s="160" t="s">
        <v>210</v>
      </c>
      <c r="BV88" s="113">
        <v>455713.73208901437</v>
      </c>
      <c r="BW88" s="113">
        <v>566720.43541389843</v>
      </c>
      <c r="BX88" s="113">
        <v>552429.64427486737</v>
      </c>
      <c r="BY88" s="113">
        <v>635493.00233442453</v>
      </c>
      <c r="BZ88" s="113">
        <v>636747.64379999985</v>
      </c>
      <c r="CA88" s="113">
        <v>650482.56099999894</v>
      </c>
      <c r="CB88" s="113">
        <v>651675.16909999982</v>
      </c>
      <c r="CC88" s="113">
        <v>746763.11639999948</v>
      </c>
      <c r="CD88" s="113"/>
      <c r="CE88" s="113"/>
      <c r="CF88" s="113"/>
      <c r="CG88" s="113"/>
      <c r="CH88" s="114">
        <f t="shared" si="103"/>
        <v>636747.64379999985</v>
      </c>
      <c r="CI88" s="114">
        <f t="shared" si="103"/>
        <v>650482.56099999894</v>
      </c>
      <c r="CJ88" s="120">
        <f t="shared" si="103"/>
        <v>651675.16909999982</v>
      </c>
      <c r="CK88" s="114">
        <f t="shared" si="103"/>
        <v>746763.11639999948</v>
      </c>
      <c r="CL88" s="114">
        <f t="shared" si="118"/>
        <v>2685668.4902999979</v>
      </c>
      <c r="CM88" s="114">
        <f t="shared" si="95"/>
        <v>2210356.8141122051</v>
      </c>
      <c r="CN88" s="114">
        <f t="shared" si="142"/>
        <v>2210356.8141122051</v>
      </c>
      <c r="CO88" s="116">
        <f t="shared" si="143"/>
        <v>1.2150000000000001</v>
      </c>
      <c r="CP88" s="126">
        <f t="shared" ca="1" si="144"/>
        <v>0</v>
      </c>
      <c r="CQ88" s="115">
        <f t="shared" ca="1" si="119"/>
        <v>0</v>
      </c>
      <c r="CR88" s="118" t="str">
        <f t="shared" si="145"/>
        <v>Uncapped</v>
      </c>
      <c r="CS88" s="115">
        <f t="shared" ca="1" si="120"/>
        <v>0</v>
      </c>
      <c r="CT88" s="113" t="s">
        <v>695</v>
      </c>
      <c r="CU88" s="119">
        <v>0.2</v>
      </c>
      <c r="CV88" s="113" t="s">
        <v>217</v>
      </c>
      <c r="CW88" s="113" t="s">
        <v>210</v>
      </c>
      <c r="CX88" s="113">
        <v>1684531.0634844592</v>
      </c>
      <c r="CY88" s="113">
        <v>2940295.572967723</v>
      </c>
      <c r="CZ88" s="113">
        <v>2454540.4501669211</v>
      </c>
      <c r="DA88" s="113">
        <v>2733783.5790788382</v>
      </c>
      <c r="DB88" s="113">
        <v>1213071.3144</v>
      </c>
      <c r="DC88" s="113">
        <v>2676628.4935999992</v>
      </c>
      <c r="DD88" s="113">
        <v>2326677.1224999996</v>
      </c>
      <c r="DE88" s="113">
        <f>VLOOKUP($H88,[2]pivot!$V:$Z,$DE$2,FALSE)</f>
        <v>2217113.5610999996</v>
      </c>
      <c r="DF88" s="113"/>
      <c r="DG88" s="113"/>
      <c r="DH88" s="113"/>
      <c r="DI88" s="113"/>
      <c r="DJ88" s="114">
        <f t="shared" si="104"/>
        <v>1213071.3144</v>
      </c>
      <c r="DK88" s="114">
        <f t="shared" si="104"/>
        <v>2676628.4935999992</v>
      </c>
      <c r="DL88" s="114">
        <f t="shared" si="104"/>
        <v>2326677.1224999996</v>
      </c>
      <c r="DM88" s="114">
        <f t="shared" si="104"/>
        <v>2217113.5610999996</v>
      </c>
      <c r="DN88" s="114">
        <f t="shared" si="84"/>
        <v>8433490.4915999994</v>
      </c>
      <c r="DO88" s="114">
        <f t="shared" si="96"/>
        <v>9813150.6656979416</v>
      </c>
      <c r="DP88" s="114">
        <f t="shared" si="105"/>
        <v>9813150.6656979416</v>
      </c>
      <c r="DQ88" s="116">
        <f t="shared" si="146"/>
        <v>0.85940000000000005</v>
      </c>
      <c r="DR88" s="126">
        <f t="shared" ca="1" si="121"/>
        <v>0</v>
      </c>
      <c r="DS88" s="115">
        <f t="shared" ca="1" si="122"/>
        <v>0</v>
      </c>
      <c r="DT88" s="118" t="str">
        <f t="shared" si="147"/>
        <v>Uncapped</v>
      </c>
      <c r="DU88" s="115">
        <f t="shared" ca="1" si="123"/>
        <v>0</v>
      </c>
      <c r="DV88" s="113"/>
      <c r="DW88" s="119">
        <v>0</v>
      </c>
      <c r="DX88" s="113"/>
      <c r="DY88" s="113"/>
      <c r="DZ88" s="113">
        <v>0</v>
      </c>
      <c r="EA88" s="113">
        <v>0</v>
      </c>
      <c r="EB88" s="113">
        <v>0</v>
      </c>
      <c r="EC88" s="113">
        <v>0</v>
      </c>
      <c r="ED88" s="113">
        <v>0</v>
      </c>
      <c r="EE88" s="113">
        <v>0</v>
      </c>
      <c r="EF88" s="113"/>
      <c r="EG88" s="113"/>
      <c r="EH88" s="113"/>
      <c r="EI88" s="113"/>
      <c r="EJ88" s="113"/>
      <c r="EK88" s="113"/>
      <c r="EL88" s="114">
        <f t="shared" si="106"/>
        <v>0</v>
      </c>
      <c r="EM88" s="114">
        <f t="shared" si="106"/>
        <v>0</v>
      </c>
      <c r="EN88" s="114">
        <f t="shared" si="106"/>
        <v>0</v>
      </c>
      <c r="EO88" s="114">
        <f t="shared" si="106"/>
        <v>0</v>
      </c>
      <c r="EP88" s="114">
        <f t="shared" si="124"/>
        <v>0</v>
      </c>
      <c r="EQ88" s="114">
        <f t="shared" si="97"/>
        <v>0</v>
      </c>
      <c r="ER88" s="114">
        <f t="shared" si="148"/>
        <v>0</v>
      </c>
      <c r="ES88" s="116">
        <f t="shared" si="149"/>
        <v>0</v>
      </c>
      <c r="ET88" s="126">
        <f t="shared" ca="1" si="150"/>
        <v>0</v>
      </c>
      <c r="EU88" s="115">
        <f t="shared" ca="1" si="125"/>
        <v>0</v>
      </c>
      <c r="EV88" s="118" t="str">
        <f t="shared" si="126"/>
        <v>Uncapped</v>
      </c>
      <c r="EW88" s="115">
        <f t="shared" ca="1" si="127"/>
        <v>0</v>
      </c>
      <c r="EX88" s="112">
        <f t="shared" ca="1" si="128"/>
        <v>0</v>
      </c>
      <c r="EY88" s="114">
        <f t="shared" ca="1" si="151"/>
        <v>0</v>
      </c>
      <c r="EZ88" s="115">
        <v>0</v>
      </c>
      <c r="FA88" s="115">
        <v>880000</v>
      </c>
      <c r="FB88" s="115"/>
      <c r="FC88" s="115">
        <v>0</v>
      </c>
      <c r="FD88" s="115">
        <f t="shared" si="98"/>
        <v>880000</v>
      </c>
      <c r="FE88" s="114">
        <f t="shared" si="87"/>
        <v>0</v>
      </c>
      <c r="FF88" s="115">
        <v>0</v>
      </c>
      <c r="FG88" s="115">
        <v>0</v>
      </c>
      <c r="FH88" s="115">
        <v>0</v>
      </c>
      <c r="FI88" s="115">
        <v>0</v>
      </c>
      <c r="FJ88" s="115">
        <f t="shared" si="99"/>
        <v>0</v>
      </c>
      <c r="FK88" s="114">
        <f t="shared" si="88"/>
        <v>0</v>
      </c>
      <c r="FL88" s="113"/>
      <c r="FM88" s="111"/>
      <c r="FN88" s="111"/>
      <c r="FO88" s="111"/>
      <c r="FP88" s="115">
        <f t="shared" si="129"/>
        <v>0</v>
      </c>
      <c r="FQ88" s="115"/>
      <c r="FR88" s="115"/>
      <c r="FS88" s="115"/>
      <c r="FT88" s="114">
        <f t="shared" si="152"/>
        <v>0</v>
      </c>
      <c r="FU88" s="366">
        <f t="shared" ca="1" si="155"/>
        <v>880000</v>
      </c>
      <c r="FV88" s="121">
        <f t="shared" ca="1" si="153"/>
        <v>880000</v>
      </c>
      <c r="FW88" s="114">
        <f t="shared" si="157"/>
        <v>0</v>
      </c>
      <c r="FX88" s="114">
        <f t="shared" si="157"/>
        <v>0</v>
      </c>
      <c r="FY88" s="114">
        <f t="shared" si="157"/>
        <v>0</v>
      </c>
      <c r="FZ88" s="114">
        <f t="shared" si="157"/>
        <v>0</v>
      </c>
      <c r="GA88" s="114">
        <f t="shared" si="130"/>
        <v>0</v>
      </c>
      <c r="GB88" s="114">
        <f t="shared" si="158"/>
        <v>0</v>
      </c>
      <c r="GC88" s="114">
        <f t="shared" si="158"/>
        <v>880000</v>
      </c>
      <c r="GD88" s="114">
        <f t="shared" si="158"/>
        <v>0</v>
      </c>
      <c r="GE88" s="114">
        <f t="shared" si="158"/>
        <v>0</v>
      </c>
      <c r="GF88" s="114">
        <f t="shared" si="159"/>
        <v>0</v>
      </c>
      <c r="GG88" s="114">
        <f t="shared" si="159"/>
        <v>880000</v>
      </c>
      <c r="GH88" s="114">
        <f t="shared" si="159"/>
        <v>0</v>
      </c>
      <c r="GI88" s="114">
        <f t="shared" si="159"/>
        <v>0</v>
      </c>
      <c r="GJ88" s="115">
        <f t="shared" si="100"/>
        <v>880000</v>
      </c>
      <c r="GK88" s="114">
        <f t="shared" si="131"/>
        <v>880000</v>
      </c>
      <c r="GL88" s="114">
        <f t="shared" si="132"/>
        <v>0</v>
      </c>
      <c r="GM88" s="114">
        <f t="shared" si="133"/>
        <v>0</v>
      </c>
      <c r="GN88" s="114">
        <f t="shared" si="134"/>
        <v>0</v>
      </c>
      <c r="GO88" s="114">
        <f t="shared" si="135"/>
        <v>0</v>
      </c>
      <c r="GP88" s="114">
        <f t="shared" si="101"/>
        <v>0</v>
      </c>
      <c r="GQ88" s="114">
        <f t="shared" si="136"/>
        <v>0</v>
      </c>
      <c r="GR88" s="193"/>
      <c r="GS88" s="122">
        <f t="shared" si="109"/>
        <v>11764296.081899997</v>
      </c>
      <c r="GT88" s="122">
        <f t="shared" si="109"/>
        <v>13151925.201254616</v>
      </c>
      <c r="GU88" s="123">
        <f t="shared" si="137"/>
        <v>0.89449231970827758</v>
      </c>
      <c r="GV88" s="124">
        <f t="shared" ca="1" si="138"/>
        <v>0</v>
      </c>
      <c r="GW88" s="124">
        <v>0</v>
      </c>
      <c r="GX88" s="32">
        <f t="shared" ca="1" si="139"/>
        <v>0</v>
      </c>
      <c r="GY88" s="100"/>
    </row>
    <row r="89" spans="1:207" s="125" customFormat="1" ht="15" customHeight="1">
      <c r="A89" s="102"/>
      <c r="B89" s="103"/>
      <c r="C89" s="103"/>
      <c r="D89" s="104"/>
      <c r="E89" s="104" t="s">
        <v>388</v>
      </c>
      <c r="F89" s="104" t="s">
        <v>388</v>
      </c>
      <c r="G89" s="104" t="s">
        <v>226</v>
      </c>
      <c r="H89" s="127" t="s">
        <v>428</v>
      </c>
      <c r="I89" s="106" t="s">
        <v>429</v>
      </c>
      <c r="J89" s="104" t="s">
        <v>212</v>
      </c>
      <c r="K89" s="104" t="s">
        <v>218</v>
      </c>
      <c r="L89" s="104" t="s">
        <v>213</v>
      </c>
      <c r="M89" s="104" t="s">
        <v>388</v>
      </c>
      <c r="N89" s="107"/>
      <c r="O89" s="108">
        <v>42821</v>
      </c>
      <c r="P89" s="108">
        <v>42821</v>
      </c>
      <c r="Q89" s="322">
        <f t="shared" si="112"/>
        <v>0</v>
      </c>
      <c r="R89" s="109">
        <f>IF((P89-VLOOKUP(Q89,month!$A$1:$C$13,3,0))&lt;0,Q89,Q89+1)</f>
        <v>0</v>
      </c>
      <c r="S89" s="108"/>
      <c r="T89" s="127" t="str">
        <f t="shared" si="154"/>
        <v/>
      </c>
      <c r="U89" s="107"/>
      <c r="V89" s="107"/>
      <c r="W89" s="107"/>
      <c r="X89" s="107"/>
      <c r="Y89" s="386"/>
      <c r="Z89" s="386" t="s">
        <v>545</v>
      </c>
      <c r="AA89" s="387">
        <v>1000</v>
      </c>
      <c r="AB89" s="387">
        <v>1000</v>
      </c>
      <c r="AC89" s="387">
        <v>1000</v>
      </c>
      <c r="AD89" s="387">
        <v>1000</v>
      </c>
      <c r="AE89" s="387">
        <v>1000</v>
      </c>
      <c r="AF89" s="387">
        <v>1000</v>
      </c>
      <c r="AG89" s="387">
        <v>1000</v>
      </c>
      <c r="AH89" s="387">
        <v>1000</v>
      </c>
      <c r="AI89" s="387">
        <v>1000</v>
      </c>
      <c r="AJ89" s="387">
        <v>1000</v>
      </c>
      <c r="AK89" s="387">
        <v>1000</v>
      </c>
      <c r="AL89" s="387">
        <v>1000</v>
      </c>
      <c r="AM89" s="388">
        <f t="shared" si="92"/>
        <v>12000</v>
      </c>
      <c r="AN89" s="388">
        <f t="shared" si="113"/>
        <v>12000</v>
      </c>
      <c r="AO89" s="389">
        <f t="shared" si="156"/>
        <v>1000</v>
      </c>
      <c r="AP89" s="498" t="s">
        <v>671</v>
      </c>
      <c r="AQ89" s="159">
        <v>0.4</v>
      </c>
      <c r="AR89" s="160" t="s">
        <v>392</v>
      </c>
      <c r="AS89" s="119" t="s">
        <v>210</v>
      </c>
      <c r="AT89" s="111">
        <v>263303.48451226496</v>
      </c>
      <c r="AU89" s="111">
        <v>636189.91475011222</v>
      </c>
      <c r="AV89" s="111">
        <v>465495.13940788998</v>
      </c>
      <c r="AW89" s="111">
        <v>490214.39956719993</v>
      </c>
      <c r="AX89" s="113">
        <v>18861.480000000003</v>
      </c>
      <c r="AY89" s="113">
        <v>837972.15</v>
      </c>
      <c r="AZ89" s="113">
        <v>632651.10000000009</v>
      </c>
      <c r="BA89" s="113">
        <v>441247.94000000018</v>
      </c>
      <c r="BB89" s="113"/>
      <c r="BC89" s="113"/>
      <c r="BD89" s="113"/>
      <c r="BE89" s="113"/>
      <c r="BF89" s="114">
        <f t="shared" si="102"/>
        <v>18861.480000000003</v>
      </c>
      <c r="BG89" s="114">
        <f t="shared" si="102"/>
        <v>837972.15</v>
      </c>
      <c r="BH89" s="114">
        <f t="shared" si="102"/>
        <v>632651.10000000009</v>
      </c>
      <c r="BI89" s="114">
        <f t="shared" si="102"/>
        <v>441247.94000000018</v>
      </c>
      <c r="BJ89" s="114">
        <f t="shared" si="108"/>
        <v>1930732.6700000002</v>
      </c>
      <c r="BK89" s="115">
        <f t="shared" si="94"/>
        <v>1855202.9382374671</v>
      </c>
      <c r="BL89" s="115">
        <f t="shared" si="140"/>
        <v>1855202.9382374671</v>
      </c>
      <c r="BM89" s="116">
        <f t="shared" si="141"/>
        <v>1.0407</v>
      </c>
      <c r="BN89" s="126">
        <f t="shared" ca="1" si="114"/>
        <v>0</v>
      </c>
      <c r="BO89" s="117">
        <f t="shared" ca="1" si="115"/>
        <v>0</v>
      </c>
      <c r="BP89" s="118" t="str">
        <f t="shared" si="116"/>
        <v>Uncapped</v>
      </c>
      <c r="BQ89" s="115">
        <f t="shared" ca="1" si="117"/>
        <v>0</v>
      </c>
      <c r="BR89" s="113" t="s">
        <v>691</v>
      </c>
      <c r="BS89" s="159">
        <v>0.4</v>
      </c>
      <c r="BT89" s="160" t="s">
        <v>211</v>
      </c>
      <c r="BU89" s="160" t="s">
        <v>210</v>
      </c>
      <c r="BV89" s="113">
        <v>511168.38342075865</v>
      </c>
      <c r="BW89" s="113">
        <v>664334.82681689446</v>
      </c>
      <c r="BX89" s="113">
        <v>621750.36755416926</v>
      </c>
      <c r="BY89" s="113">
        <v>755664.14647578995</v>
      </c>
      <c r="BZ89" s="113">
        <v>614766.62879999995</v>
      </c>
      <c r="CA89" s="113">
        <v>717653.70599999896</v>
      </c>
      <c r="CB89" s="113">
        <v>668888.40709999984</v>
      </c>
      <c r="CC89" s="113">
        <v>709362.5363999994</v>
      </c>
      <c r="CD89" s="113"/>
      <c r="CE89" s="113"/>
      <c r="CF89" s="113"/>
      <c r="CG89" s="113"/>
      <c r="CH89" s="114">
        <f t="shared" si="103"/>
        <v>614766.62879999995</v>
      </c>
      <c r="CI89" s="114">
        <f t="shared" si="103"/>
        <v>717653.70599999896</v>
      </c>
      <c r="CJ89" s="120">
        <f t="shared" si="103"/>
        <v>668888.40709999984</v>
      </c>
      <c r="CK89" s="114">
        <f t="shared" si="103"/>
        <v>709362.5363999994</v>
      </c>
      <c r="CL89" s="114">
        <f t="shared" si="118"/>
        <v>2710671.2782999985</v>
      </c>
      <c r="CM89" s="114">
        <f t="shared" si="95"/>
        <v>2552917.7242676122</v>
      </c>
      <c r="CN89" s="114">
        <f t="shared" si="142"/>
        <v>2552917.7242676122</v>
      </c>
      <c r="CO89" s="116">
        <f t="shared" si="143"/>
        <v>1.0618000000000001</v>
      </c>
      <c r="CP89" s="126">
        <f t="shared" ca="1" si="144"/>
        <v>0</v>
      </c>
      <c r="CQ89" s="115">
        <f t="shared" ca="1" si="119"/>
        <v>0</v>
      </c>
      <c r="CR89" s="118" t="str">
        <f t="shared" si="145"/>
        <v>Uncapped</v>
      </c>
      <c r="CS89" s="115">
        <f t="shared" ca="1" si="120"/>
        <v>0</v>
      </c>
      <c r="CT89" s="113" t="s">
        <v>695</v>
      </c>
      <c r="CU89" s="119">
        <v>0.2</v>
      </c>
      <c r="CV89" s="113" t="s">
        <v>217</v>
      </c>
      <c r="CW89" s="113" t="s">
        <v>210</v>
      </c>
      <c r="CX89" s="113">
        <v>1684531.0634844592</v>
      </c>
      <c r="CY89" s="113">
        <v>2940295.572967723</v>
      </c>
      <c r="CZ89" s="113">
        <v>2454540.4501669211</v>
      </c>
      <c r="DA89" s="113">
        <v>2733783.5790788382</v>
      </c>
      <c r="DB89" s="113">
        <v>1213071.3144</v>
      </c>
      <c r="DC89" s="113">
        <v>2676628.4935999992</v>
      </c>
      <c r="DD89" s="113">
        <v>2326677.1224999996</v>
      </c>
      <c r="DE89" s="113">
        <f>VLOOKUP($H89,[2]pivot!$V:$Z,$DE$2,FALSE)</f>
        <v>2217113.5610999996</v>
      </c>
      <c r="DF89" s="113"/>
      <c r="DG89" s="113"/>
      <c r="DH89" s="113"/>
      <c r="DI89" s="113"/>
      <c r="DJ89" s="114">
        <f t="shared" si="104"/>
        <v>1213071.3144</v>
      </c>
      <c r="DK89" s="114">
        <f t="shared" si="104"/>
        <v>2676628.4935999992</v>
      </c>
      <c r="DL89" s="114">
        <f t="shared" si="104"/>
        <v>2326677.1224999996</v>
      </c>
      <c r="DM89" s="114">
        <f t="shared" si="104"/>
        <v>2217113.5610999996</v>
      </c>
      <c r="DN89" s="114">
        <f t="shared" si="84"/>
        <v>8433490.4915999994</v>
      </c>
      <c r="DO89" s="114">
        <f t="shared" si="96"/>
        <v>9813150.6656979416</v>
      </c>
      <c r="DP89" s="114">
        <f t="shared" si="105"/>
        <v>9813150.6656979416</v>
      </c>
      <c r="DQ89" s="116">
        <f t="shared" si="146"/>
        <v>0.85940000000000005</v>
      </c>
      <c r="DR89" s="126">
        <f t="shared" ca="1" si="121"/>
        <v>0</v>
      </c>
      <c r="DS89" s="115">
        <f t="shared" ca="1" si="122"/>
        <v>0</v>
      </c>
      <c r="DT89" s="118" t="str">
        <f t="shared" si="147"/>
        <v>Uncapped</v>
      </c>
      <c r="DU89" s="115">
        <f t="shared" ca="1" si="123"/>
        <v>0</v>
      </c>
      <c r="DV89" s="113"/>
      <c r="DW89" s="119">
        <v>0</v>
      </c>
      <c r="DX89" s="113"/>
      <c r="DY89" s="113"/>
      <c r="DZ89" s="113">
        <v>0</v>
      </c>
      <c r="EA89" s="113">
        <v>0</v>
      </c>
      <c r="EB89" s="113">
        <v>0</v>
      </c>
      <c r="EC89" s="113">
        <v>0</v>
      </c>
      <c r="ED89" s="113">
        <v>0</v>
      </c>
      <c r="EE89" s="113">
        <v>0</v>
      </c>
      <c r="EF89" s="113"/>
      <c r="EG89" s="113"/>
      <c r="EH89" s="113"/>
      <c r="EI89" s="113"/>
      <c r="EJ89" s="113"/>
      <c r="EK89" s="113"/>
      <c r="EL89" s="114">
        <f t="shared" si="106"/>
        <v>0</v>
      </c>
      <c r="EM89" s="114">
        <f t="shared" si="106"/>
        <v>0</v>
      </c>
      <c r="EN89" s="114">
        <f t="shared" si="106"/>
        <v>0</v>
      </c>
      <c r="EO89" s="114">
        <f t="shared" si="106"/>
        <v>0</v>
      </c>
      <c r="EP89" s="114">
        <f t="shared" si="124"/>
        <v>0</v>
      </c>
      <c r="EQ89" s="114">
        <f t="shared" si="97"/>
        <v>0</v>
      </c>
      <c r="ER89" s="114">
        <f t="shared" si="148"/>
        <v>0</v>
      </c>
      <c r="ES89" s="116">
        <f t="shared" si="149"/>
        <v>0</v>
      </c>
      <c r="ET89" s="126">
        <f t="shared" ca="1" si="150"/>
        <v>0</v>
      </c>
      <c r="EU89" s="115">
        <f t="shared" ca="1" si="125"/>
        <v>0</v>
      </c>
      <c r="EV89" s="118" t="str">
        <f t="shared" si="126"/>
        <v>Uncapped</v>
      </c>
      <c r="EW89" s="115">
        <f t="shared" ca="1" si="127"/>
        <v>0</v>
      </c>
      <c r="EX89" s="112">
        <f t="shared" ca="1" si="128"/>
        <v>0</v>
      </c>
      <c r="EY89" s="114">
        <f t="shared" ca="1" si="151"/>
        <v>0</v>
      </c>
      <c r="EZ89" s="115">
        <v>0</v>
      </c>
      <c r="FA89" s="115"/>
      <c r="FB89" s="115"/>
      <c r="FC89" s="115">
        <v>0</v>
      </c>
      <c r="FD89" s="115">
        <f t="shared" si="98"/>
        <v>0</v>
      </c>
      <c r="FE89" s="114">
        <f t="shared" si="87"/>
        <v>0</v>
      </c>
      <c r="FF89" s="115">
        <v>0</v>
      </c>
      <c r="FG89" s="115">
        <v>0</v>
      </c>
      <c r="FH89" s="115">
        <v>0</v>
      </c>
      <c r="FI89" s="115">
        <v>0</v>
      </c>
      <c r="FJ89" s="115">
        <f t="shared" si="99"/>
        <v>0</v>
      </c>
      <c r="FK89" s="114">
        <f t="shared" si="88"/>
        <v>0</v>
      </c>
      <c r="FL89" s="113"/>
      <c r="FM89" s="111"/>
      <c r="FN89" s="111"/>
      <c r="FO89" s="111"/>
      <c r="FP89" s="115">
        <f t="shared" si="129"/>
        <v>0</v>
      </c>
      <c r="FQ89" s="115"/>
      <c r="FR89" s="115"/>
      <c r="FS89" s="115"/>
      <c r="FT89" s="114">
        <f t="shared" si="152"/>
        <v>0</v>
      </c>
      <c r="FU89" s="366">
        <f t="shared" ca="1" si="155"/>
        <v>0</v>
      </c>
      <c r="FV89" s="121">
        <f t="shared" ca="1" si="153"/>
        <v>0</v>
      </c>
      <c r="FW89" s="114">
        <f t="shared" si="157"/>
        <v>0</v>
      </c>
      <c r="FX89" s="114">
        <f t="shared" si="157"/>
        <v>0</v>
      </c>
      <c r="FY89" s="114">
        <f t="shared" si="157"/>
        <v>0</v>
      </c>
      <c r="FZ89" s="114">
        <f t="shared" si="157"/>
        <v>0</v>
      </c>
      <c r="GA89" s="114">
        <f t="shared" si="130"/>
        <v>0</v>
      </c>
      <c r="GB89" s="114">
        <f t="shared" si="158"/>
        <v>0</v>
      </c>
      <c r="GC89" s="114">
        <f t="shared" si="158"/>
        <v>0</v>
      </c>
      <c r="GD89" s="114">
        <f t="shared" si="158"/>
        <v>0</v>
      </c>
      <c r="GE89" s="114">
        <f t="shared" si="158"/>
        <v>0</v>
      </c>
      <c r="GF89" s="114">
        <f t="shared" si="159"/>
        <v>0</v>
      </c>
      <c r="GG89" s="114">
        <f t="shared" si="159"/>
        <v>0</v>
      </c>
      <c r="GH89" s="114">
        <f t="shared" si="159"/>
        <v>0</v>
      </c>
      <c r="GI89" s="114">
        <f t="shared" si="159"/>
        <v>0</v>
      </c>
      <c r="GJ89" s="115">
        <f t="shared" si="100"/>
        <v>0</v>
      </c>
      <c r="GK89" s="114">
        <f t="shared" si="131"/>
        <v>0</v>
      </c>
      <c r="GL89" s="114">
        <f t="shared" si="132"/>
        <v>0</v>
      </c>
      <c r="GM89" s="114">
        <f t="shared" si="133"/>
        <v>0</v>
      </c>
      <c r="GN89" s="114">
        <f t="shared" si="134"/>
        <v>0</v>
      </c>
      <c r="GO89" s="114">
        <f t="shared" si="135"/>
        <v>0</v>
      </c>
      <c r="GP89" s="114">
        <f t="shared" si="101"/>
        <v>0</v>
      </c>
      <c r="GQ89" s="114">
        <f t="shared" si="136"/>
        <v>0</v>
      </c>
      <c r="GR89" s="193"/>
      <c r="GS89" s="122">
        <f t="shared" si="109"/>
        <v>13074894.439899998</v>
      </c>
      <c r="GT89" s="122">
        <f t="shared" si="109"/>
        <v>14221271.328203021</v>
      </c>
      <c r="GU89" s="123">
        <f t="shared" si="137"/>
        <v>0.91938998547692585</v>
      </c>
      <c r="GV89" s="124">
        <f t="shared" ca="1" si="138"/>
        <v>0</v>
      </c>
      <c r="GW89" s="124">
        <v>0</v>
      </c>
      <c r="GX89" s="32">
        <f t="shared" ca="1" si="139"/>
        <v>0</v>
      </c>
      <c r="GY89" s="100"/>
    </row>
    <row r="90" spans="1:207" s="125" customFormat="1" ht="15" customHeight="1">
      <c r="A90" s="102"/>
      <c r="B90" s="103"/>
      <c r="C90" s="103"/>
      <c r="D90" s="104"/>
      <c r="E90" s="104" t="s">
        <v>388</v>
      </c>
      <c r="F90" s="104" t="s">
        <v>388</v>
      </c>
      <c r="G90" s="104" t="s">
        <v>226</v>
      </c>
      <c r="H90" s="127" t="s">
        <v>430</v>
      </c>
      <c r="I90" s="106" t="s">
        <v>431</v>
      </c>
      <c r="J90" s="104" t="s">
        <v>212</v>
      </c>
      <c r="K90" s="104" t="s">
        <v>218</v>
      </c>
      <c r="L90" s="104" t="s">
        <v>213</v>
      </c>
      <c r="M90" s="104" t="s">
        <v>388</v>
      </c>
      <c r="N90" s="107"/>
      <c r="O90" s="108">
        <v>42989</v>
      </c>
      <c r="P90" s="108">
        <v>42989</v>
      </c>
      <c r="Q90" s="322">
        <f t="shared" si="112"/>
        <v>0</v>
      </c>
      <c r="R90" s="109">
        <f>IF((P90-VLOOKUP(Q90,month!$A$1:$C$13,3,0))&lt;0,Q90,Q90+1)</f>
        <v>0</v>
      </c>
      <c r="S90" s="108"/>
      <c r="T90" s="127" t="str">
        <f t="shared" si="154"/>
        <v/>
      </c>
      <c r="U90" s="107"/>
      <c r="V90" s="107"/>
      <c r="W90" s="107"/>
      <c r="X90" s="107"/>
      <c r="Y90" s="386"/>
      <c r="Z90" s="386" t="s">
        <v>545</v>
      </c>
      <c r="AA90" s="387">
        <v>1000</v>
      </c>
      <c r="AB90" s="387">
        <v>1000</v>
      </c>
      <c r="AC90" s="387">
        <v>1000</v>
      </c>
      <c r="AD90" s="387">
        <v>1000</v>
      </c>
      <c r="AE90" s="387">
        <v>1000</v>
      </c>
      <c r="AF90" s="387">
        <v>1000</v>
      </c>
      <c r="AG90" s="387">
        <v>1000</v>
      </c>
      <c r="AH90" s="387">
        <v>1000</v>
      </c>
      <c r="AI90" s="387">
        <v>1000</v>
      </c>
      <c r="AJ90" s="387">
        <v>1000</v>
      </c>
      <c r="AK90" s="387">
        <v>1000</v>
      </c>
      <c r="AL90" s="387">
        <v>1000</v>
      </c>
      <c r="AM90" s="388">
        <f t="shared" si="92"/>
        <v>12000</v>
      </c>
      <c r="AN90" s="388">
        <f t="shared" si="113"/>
        <v>12000</v>
      </c>
      <c r="AO90" s="389">
        <f t="shared" si="156"/>
        <v>1000</v>
      </c>
      <c r="AP90" s="498" t="s">
        <v>671</v>
      </c>
      <c r="AQ90" s="159">
        <v>0.4</v>
      </c>
      <c r="AR90" s="160" t="s">
        <v>392</v>
      </c>
      <c r="AS90" s="119" t="s">
        <v>210</v>
      </c>
      <c r="AT90" s="111">
        <v>286660.29907014075</v>
      </c>
      <c r="AU90" s="111">
        <v>721810.37244538998</v>
      </c>
      <c r="AV90" s="111">
        <v>519680.36146548868</v>
      </c>
      <c r="AW90" s="111">
        <v>551805.23676638957</v>
      </c>
      <c r="AX90" s="113">
        <v>185153.4</v>
      </c>
      <c r="AY90" s="113">
        <v>753289.17500000005</v>
      </c>
      <c r="AZ90" s="113">
        <v>459128.24</v>
      </c>
      <c r="BA90" s="113">
        <v>444714.83500000008</v>
      </c>
      <c r="BB90" s="113"/>
      <c r="BC90" s="113"/>
      <c r="BD90" s="113"/>
      <c r="BE90" s="113"/>
      <c r="BF90" s="114">
        <f t="shared" si="102"/>
        <v>185153.4</v>
      </c>
      <c r="BG90" s="114">
        <f t="shared" si="102"/>
        <v>753289.17500000005</v>
      </c>
      <c r="BH90" s="114">
        <f t="shared" si="102"/>
        <v>459128.24</v>
      </c>
      <c r="BI90" s="114">
        <f t="shared" si="102"/>
        <v>444714.83500000008</v>
      </c>
      <c r="BJ90" s="114">
        <f t="shared" si="108"/>
        <v>1842285.65</v>
      </c>
      <c r="BK90" s="115">
        <f t="shared" si="94"/>
        <v>2079956.269747409</v>
      </c>
      <c r="BL90" s="115">
        <f t="shared" si="140"/>
        <v>2079956.269747409</v>
      </c>
      <c r="BM90" s="116">
        <f t="shared" si="141"/>
        <v>0.88570000000000004</v>
      </c>
      <c r="BN90" s="126">
        <f t="shared" ca="1" si="114"/>
        <v>0</v>
      </c>
      <c r="BO90" s="117">
        <f t="shared" ca="1" si="115"/>
        <v>0</v>
      </c>
      <c r="BP90" s="118" t="str">
        <f t="shared" si="116"/>
        <v>Uncapped</v>
      </c>
      <c r="BQ90" s="115">
        <f t="shared" ca="1" si="117"/>
        <v>0</v>
      </c>
      <c r="BR90" s="113" t="s">
        <v>691</v>
      </c>
      <c r="BS90" s="159">
        <v>0.4</v>
      </c>
      <c r="BT90" s="160" t="s">
        <v>211</v>
      </c>
      <c r="BU90" s="160" t="s">
        <v>210</v>
      </c>
      <c r="BV90" s="113">
        <v>636978.67468448018</v>
      </c>
      <c r="BW90" s="113">
        <v>802549.88720976899</v>
      </c>
      <c r="BX90" s="113">
        <v>773594.16525400302</v>
      </c>
      <c r="BY90" s="113">
        <v>903844.13879380503</v>
      </c>
      <c r="BZ90" s="113">
        <v>836683.0334999999</v>
      </c>
      <c r="CA90" s="113">
        <v>875812.06359999895</v>
      </c>
      <c r="CB90" s="113">
        <v>878227.69249999977</v>
      </c>
      <c r="CC90" s="113">
        <v>975370.70609999949</v>
      </c>
      <c r="CD90" s="113"/>
      <c r="CE90" s="113"/>
      <c r="CF90" s="113"/>
      <c r="CG90" s="113"/>
      <c r="CH90" s="114">
        <f t="shared" si="103"/>
        <v>836683.0334999999</v>
      </c>
      <c r="CI90" s="114">
        <f t="shared" si="103"/>
        <v>875812.06359999895</v>
      </c>
      <c r="CJ90" s="120">
        <f t="shared" si="103"/>
        <v>878227.69249999977</v>
      </c>
      <c r="CK90" s="114">
        <f t="shared" si="103"/>
        <v>975370.70609999949</v>
      </c>
      <c r="CL90" s="114">
        <f t="shared" si="118"/>
        <v>3566093.4956999985</v>
      </c>
      <c r="CM90" s="114">
        <f t="shared" si="95"/>
        <v>3116966.8659420572</v>
      </c>
      <c r="CN90" s="114">
        <f t="shared" si="142"/>
        <v>3116966.8659420572</v>
      </c>
      <c r="CO90" s="116">
        <f t="shared" si="143"/>
        <v>1.1440999999999999</v>
      </c>
      <c r="CP90" s="126">
        <f t="shared" ca="1" si="144"/>
        <v>0</v>
      </c>
      <c r="CQ90" s="115">
        <f t="shared" ca="1" si="119"/>
        <v>0</v>
      </c>
      <c r="CR90" s="118" t="str">
        <f t="shared" si="145"/>
        <v>Uncapped</v>
      </c>
      <c r="CS90" s="115">
        <f t="shared" ca="1" si="120"/>
        <v>0</v>
      </c>
      <c r="CT90" s="113" t="s">
        <v>695</v>
      </c>
      <c r="CU90" s="119">
        <v>0.2</v>
      </c>
      <c r="CV90" s="113" t="s">
        <v>217</v>
      </c>
      <c r="CW90" s="113" t="s">
        <v>210</v>
      </c>
      <c r="CX90" s="113">
        <v>1684531.0634844592</v>
      </c>
      <c r="CY90" s="113">
        <v>2940295.572967723</v>
      </c>
      <c r="CZ90" s="113">
        <v>2454540.4501669211</v>
      </c>
      <c r="DA90" s="113">
        <v>2733783.5790788382</v>
      </c>
      <c r="DB90" s="113">
        <v>1213071.3144</v>
      </c>
      <c r="DC90" s="113">
        <v>2676628.4935999992</v>
      </c>
      <c r="DD90" s="113">
        <v>2326677.1224999996</v>
      </c>
      <c r="DE90" s="113">
        <f>VLOOKUP($H90,[2]pivot!$V:$Z,$DE$2,FALSE)</f>
        <v>2217113.5610999996</v>
      </c>
      <c r="DF90" s="113"/>
      <c r="DG90" s="113"/>
      <c r="DH90" s="113"/>
      <c r="DI90" s="113"/>
      <c r="DJ90" s="114">
        <f t="shared" si="104"/>
        <v>1213071.3144</v>
      </c>
      <c r="DK90" s="114">
        <f t="shared" si="104"/>
        <v>2676628.4935999992</v>
      </c>
      <c r="DL90" s="114">
        <f t="shared" si="104"/>
        <v>2326677.1224999996</v>
      </c>
      <c r="DM90" s="114">
        <f t="shared" si="104"/>
        <v>2217113.5610999996</v>
      </c>
      <c r="DN90" s="114">
        <f t="shared" si="84"/>
        <v>8433490.4915999994</v>
      </c>
      <c r="DO90" s="114">
        <f t="shared" si="96"/>
        <v>9813150.6656979416</v>
      </c>
      <c r="DP90" s="114">
        <f t="shared" si="105"/>
        <v>9813150.6656979416</v>
      </c>
      <c r="DQ90" s="116">
        <f t="shared" si="146"/>
        <v>0.85940000000000005</v>
      </c>
      <c r="DR90" s="126">
        <f t="shared" ca="1" si="121"/>
        <v>0</v>
      </c>
      <c r="DS90" s="115">
        <f t="shared" ca="1" si="122"/>
        <v>0</v>
      </c>
      <c r="DT90" s="118" t="str">
        <f t="shared" si="147"/>
        <v>Uncapped</v>
      </c>
      <c r="DU90" s="115">
        <f t="shared" ca="1" si="123"/>
        <v>0</v>
      </c>
      <c r="DV90" s="113"/>
      <c r="DW90" s="119">
        <v>0</v>
      </c>
      <c r="DX90" s="113"/>
      <c r="DY90" s="113"/>
      <c r="DZ90" s="113">
        <v>0</v>
      </c>
      <c r="EA90" s="113">
        <v>0</v>
      </c>
      <c r="EB90" s="113">
        <v>0</v>
      </c>
      <c r="EC90" s="113">
        <v>0</v>
      </c>
      <c r="ED90" s="113">
        <v>0</v>
      </c>
      <c r="EE90" s="113">
        <v>0</v>
      </c>
      <c r="EF90" s="113"/>
      <c r="EG90" s="113"/>
      <c r="EH90" s="113"/>
      <c r="EI90" s="113"/>
      <c r="EJ90" s="113"/>
      <c r="EK90" s="113"/>
      <c r="EL90" s="114">
        <f t="shared" si="106"/>
        <v>0</v>
      </c>
      <c r="EM90" s="114">
        <f t="shared" si="106"/>
        <v>0</v>
      </c>
      <c r="EN90" s="114">
        <f t="shared" si="106"/>
        <v>0</v>
      </c>
      <c r="EO90" s="114">
        <f t="shared" si="106"/>
        <v>0</v>
      </c>
      <c r="EP90" s="114">
        <f t="shared" si="124"/>
        <v>0</v>
      </c>
      <c r="EQ90" s="114">
        <f t="shared" si="97"/>
        <v>0</v>
      </c>
      <c r="ER90" s="114">
        <f t="shared" si="148"/>
        <v>0</v>
      </c>
      <c r="ES90" s="116">
        <f t="shared" si="149"/>
        <v>0</v>
      </c>
      <c r="ET90" s="126">
        <f t="shared" ca="1" si="150"/>
        <v>0</v>
      </c>
      <c r="EU90" s="115">
        <f t="shared" ca="1" si="125"/>
        <v>0</v>
      </c>
      <c r="EV90" s="118" t="str">
        <f t="shared" si="126"/>
        <v>Uncapped</v>
      </c>
      <c r="EW90" s="115">
        <f t="shared" ca="1" si="127"/>
        <v>0</v>
      </c>
      <c r="EX90" s="112">
        <f t="shared" ca="1" si="128"/>
        <v>0</v>
      </c>
      <c r="EY90" s="114">
        <f t="shared" ca="1" si="151"/>
        <v>0</v>
      </c>
      <c r="EZ90" s="115">
        <v>0</v>
      </c>
      <c r="FA90" s="115"/>
      <c r="FB90" s="115">
        <v>719558</v>
      </c>
      <c r="FC90" s="115">
        <v>0</v>
      </c>
      <c r="FD90" s="115">
        <f t="shared" si="98"/>
        <v>719558</v>
      </c>
      <c r="FE90" s="114">
        <f t="shared" si="87"/>
        <v>0</v>
      </c>
      <c r="FF90" s="115">
        <v>0</v>
      </c>
      <c r="FG90" s="115">
        <v>0</v>
      </c>
      <c r="FH90" s="115">
        <v>0</v>
      </c>
      <c r="FI90" s="115">
        <v>0</v>
      </c>
      <c r="FJ90" s="115">
        <f t="shared" si="99"/>
        <v>0</v>
      </c>
      <c r="FK90" s="114">
        <f t="shared" si="88"/>
        <v>0</v>
      </c>
      <c r="FL90" s="113"/>
      <c r="FM90" s="111"/>
      <c r="FN90" s="111"/>
      <c r="FO90" s="111"/>
      <c r="FP90" s="115">
        <f t="shared" si="129"/>
        <v>0</v>
      </c>
      <c r="FQ90" s="115"/>
      <c r="FR90" s="115"/>
      <c r="FS90" s="115"/>
      <c r="FT90" s="114">
        <f t="shared" si="152"/>
        <v>0</v>
      </c>
      <c r="FU90" s="366">
        <f t="shared" ca="1" si="155"/>
        <v>719558</v>
      </c>
      <c r="FV90" s="121">
        <f t="shared" ca="1" si="153"/>
        <v>719558</v>
      </c>
      <c r="FW90" s="114">
        <f t="shared" si="157"/>
        <v>0</v>
      </c>
      <c r="FX90" s="114">
        <f t="shared" si="157"/>
        <v>0</v>
      </c>
      <c r="FY90" s="114">
        <f t="shared" si="157"/>
        <v>0</v>
      </c>
      <c r="FZ90" s="114">
        <f t="shared" si="157"/>
        <v>0</v>
      </c>
      <c r="GA90" s="114">
        <f t="shared" si="130"/>
        <v>0</v>
      </c>
      <c r="GB90" s="114">
        <f t="shared" si="158"/>
        <v>0</v>
      </c>
      <c r="GC90" s="114">
        <f t="shared" si="158"/>
        <v>0</v>
      </c>
      <c r="GD90" s="114">
        <f t="shared" si="158"/>
        <v>719558</v>
      </c>
      <c r="GE90" s="114">
        <f t="shared" si="158"/>
        <v>0</v>
      </c>
      <c r="GF90" s="114">
        <f t="shared" si="159"/>
        <v>0</v>
      </c>
      <c r="GG90" s="114">
        <f t="shared" si="159"/>
        <v>0</v>
      </c>
      <c r="GH90" s="114">
        <f t="shared" si="159"/>
        <v>719558</v>
      </c>
      <c r="GI90" s="114">
        <f t="shared" si="159"/>
        <v>0</v>
      </c>
      <c r="GJ90" s="115">
        <f t="shared" si="100"/>
        <v>719558</v>
      </c>
      <c r="GK90" s="114">
        <f t="shared" si="131"/>
        <v>719558</v>
      </c>
      <c r="GL90" s="114">
        <f t="shared" si="132"/>
        <v>0</v>
      </c>
      <c r="GM90" s="114">
        <f t="shared" si="133"/>
        <v>0</v>
      </c>
      <c r="GN90" s="114">
        <f t="shared" si="134"/>
        <v>0</v>
      </c>
      <c r="GO90" s="114">
        <f t="shared" si="135"/>
        <v>0</v>
      </c>
      <c r="GP90" s="114">
        <f t="shared" si="101"/>
        <v>0</v>
      </c>
      <c r="GQ90" s="114">
        <f t="shared" si="136"/>
        <v>0</v>
      </c>
      <c r="GR90" s="193"/>
      <c r="GS90" s="122">
        <f t="shared" si="109"/>
        <v>13841869.637299998</v>
      </c>
      <c r="GT90" s="122">
        <f t="shared" si="109"/>
        <v>15010073.801387407</v>
      </c>
      <c r="GU90" s="123">
        <f t="shared" si="137"/>
        <v>0.92217199065474087</v>
      </c>
      <c r="GV90" s="124">
        <f t="shared" ca="1" si="138"/>
        <v>0</v>
      </c>
      <c r="GW90" s="124">
        <v>0</v>
      </c>
      <c r="GX90" s="32">
        <f t="shared" ca="1" si="139"/>
        <v>0</v>
      </c>
      <c r="GY90" s="100"/>
    </row>
    <row r="91" spans="1:207" s="152" customFormat="1" ht="15" customHeight="1">
      <c r="A91" s="129"/>
      <c r="B91" s="130"/>
      <c r="C91" s="130"/>
      <c r="D91" s="131"/>
      <c r="E91" s="131" t="s">
        <v>432</v>
      </c>
      <c r="F91" s="131" t="s">
        <v>433</v>
      </c>
      <c r="G91" s="131" t="s">
        <v>226</v>
      </c>
      <c r="H91" s="594" t="s">
        <v>434</v>
      </c>
      <c r="I91" s="133" t="s">
        <v>435</v>
      </c>
      <c r="J91" s="131" t="s">
        <v>207</v>
      </c>
      <c r="K91" s="131" t="s">
        <v>218</v>
      </c>
      <c r="L91" s="131" t="s">
        <v>220</v>
      </c>
      <c r="M91" s="131" t="s">
        <v>436</v>
      </c>
      <c r="N91" s="134"/>
      <c r="O91" s="155">
        <v>41430</v>
      </c>
      <c r="P91" s="155">
        <v>43191</v>
      </c>
      <c r="Q91" s="321">
        <f t="shared" si="112"/>
        <v>0</v>
      </c>
      <c r="R91" s="109">
        <f>IF((P91-VLOOKUP(Q91,month!$A$1:$C$13,3,0))&lt;0,Q91,Q91+1)</f>
        <v>0</v>
      </c>
      <c r="S91" s="108"/>
      <c r="T91" s="135" t="str">
        <f t="shared" si="154"/>
        <v/>
      </c>
      <c r="U91" s="134"/>
      <c r="V91" s="134"/>
      <c r="W91" s="134"/>
      <c r="X91" s="134"/>
      <c r="Y91" s="383"/>
      <c r="Z91" s="383" t="s">
        <v>545</v>
      </c>
      <c r="AA91" s="371">
        <v>1000</v>
      </c>
      <c r="AB91" s="371">
        <v>1000</v>
      </c>
      <c r="AC91" s="371">
        <v>1000</v>
      </c>
      <c r="AD91" s="371">
        <v>1000</v>
      </c>
      <c r="AE91" s="371">
        <v>1000</v>
      </c>
      <c r="AF91" s="371">
        <v>1000</v>
      </c>
      <c r="AG91" s="371">
        <v>1000</v>
      </c>
      <c r="AH91" s="371">
        <v>1000</v>
      </c>
      <c r="AI91" s="371">
        <v>1000</v>
      </c>
      <c r="AJ91" s="371">
        <v>1000</v>
      </c>
      <c r="AK91" s="371">
        <v>1000</v>
      </c>
      <c r="AL91" s="371">
        <v>1000</v>
      </c>
      <c r="AM91" s="384">
        <f t="shared" si="92"/>
        <v>12000</v>
      </c>
      <c r="AN91" s="384">
        <f t="shared" si="113"/>
        <v>12000</v>
      </c>
      <c r="AO91" s="385">
        <f t="shared" si="156"/>
        <v>1000</v>
      </c>
      <c r="AP91" s="497" t="s">
        <v>678</v>
      </c>
      <c r="AQ91" s="156">
        <v>0.6</v>
      </c>
      <c r="AR91" s="157" t="s">
        <v>217</v>
      </c>
      <c r="AS91" s="146" t="s">
        <v>210</v>
      </c>
      <c r="AT91" s="136">
        <v>860683.93048418383</v>
      </c>
      <c r="AU91" s="136">
        <v>1485032.7223889697</v>
      </c>
      <c r="AV91" s="136">
        <v>1201920.2574670948</v>
      </c>
      <c r="AW91" s="136">
        <v>1615966.3706384827</v>
      </c>
      <c r="AX91" s="138">
        <v>666700</v>
      </c>
      <c r="AY91" s="138">
        <v>1029054.5640000002</v>
      </c>
      <c r="AZ91" s="138">
        <v>914751.37799999944</v>
      </c>
      <c r="BA91" s="138">
        <v>1954840.7528999997</v>
      </c>
      <c r="BB91" s="138"/>
      <c r="BC91" s="138"/>
      <c r="BD91" s="138"/>
      <c r="BE91" s="138"/>
      <c r="BF91" s="139">
        <f t="shared" si="102"/>
        <v>666700</v>
      </c>
      <c r="BG91" s="139">
        <f t="shared" si="102"/>
        <v>1029054.5640000002</v>
      </c>
      <c r="BH91" s="139">
        <f t="shared" si="102"/>
        <v>914751.37799999944</v>
      </c>
      <c r="BI91" s="139">
        <f t="shared" si="102"/>
        <v>1954840.7528999997</v>
      </c>
      <c r="BJ91" s="139">
        <f t="shared" si="108"/>
        <v>4565346.6948999995</v>
      </c>
      <c r="BK91" s="140">
        <f t="shared" si="94"/>
        <v>5163603.2809787318</v>
      </c>
      <c r="BL91" s="140">
        <f t="shared" si="140"/>
        <v>5163603.2809787318</v>
      </c>
      <c r="BM91" s="141">
        <f t="shared" si="141"/>
        <v>0.8841</v>
      </c>
      <c r="BN91" s="142">
        <f t="shared" ca="1" si="114"/>
        <v>0</v>
      </c>
      <c r="BO91" s="143">
        <f t="shared" ca="1" si="115"/>
        <v>0</v>
      </c>
      <c r="BP91" s="144" t="str">
        <f t="shared" si="116"/>
        <v>Uncapped</v>
      </c>
      <c r="BQ91" s="140">
        <f t="shared" ca="1" si="117"/>
        <v>0</v>
      </c>
      <c r="BR91" s="138" t="s">
        <v>699</v>
      </c>
      <c r="BS91" s="158">
        <v>0.2</v>
      </c>
      <c r="BT91" s="138" t="s">
        <v>211</v>
      </c>
      <c r="BU91" s="157" t="s">
        <v>210</v>
      </c>
      <c r="BV91" s="138">
        <v>11953048.942182608</v>
      </c>
      <c r="BW91" s="138">
        <v>16757506.295401936</v>
      </c>
      <c r="BX91" s="138">
        <v>15470532.140695527</v>
      </c>
      <c r="BY91" s="138">
        <v>16440443.473807694</v>
      </c>
      <c r="BZ91" s="138">
        <v>12211557.946359999</v>
      </c>
      <c r="CA91" s="138">
        <v>15972657.057939999</v>
      </c>
      <c r="CB91" s="138">
        <v>15545756.2063</v>
      </c>
      <c r="CC91" s="138">
        <v>16137299.457686201</v>
      </c>
      <c r="CD91" s="138"/>
      <c r="CE91" s="138"/>
      <c r="CF91" s="138"/>
      <c r="CG91" s="138"/>
      <c r="CH91" s="139">
        <f t="shared" si="103"/>
        <v>12211557.946359999</v>
      </c>
      <c r="CI91" s="139">
        <f t="shared" si="103"/>
        <v>15972657.057939999</v>
      </c>
      <c r="CJ91" s="145">
        <f t="shared" si="103"/>
        <v>15545756.2063</v>
      </c>
      <c r="CK91" s="139">
        <f t="shared" si="103"/>
        <v>16137299.457686201</v>
      </c>
      <c r="CL91" s="139">
        <f t="shared" si="118"/>
        <v>59867270.668286197</v>
      </c>
      <c r="CM91" s="139">
        <f t="shared" si="95"/>
        <v>60621530.852087766</v>
      </c>
      <c r="CN91" s="139">
        <f t="shared" si="142"/>
        <v>60621530.852087766</v>
      </c>
      <c r="CO91" s="141">
        <f t="shared" si="143"/>
        <v>0.98760000000000003</v>
      </c>
      <c r="CP91" s="142">
        <f t="shared" ca="1" si="144"/>
        <v>0</v>
      </c>
      <c r="CQ91" s="140">
        <f t="shared" ca="1" si="119"/>
        <v>0</v>
      </c>
      <c r="CR91" s="144" t="str">
        <f t="shared" si="145"/>
        <v>Uncapped</v>
      </c>
      <c r="CS91" s="140">
        <f t="shared" ca="1" si="120"/>
        <v>0</v>
      </c>
      <c r="CT91" s="138" t="s">
        <v>696</v>
      </c>
      <c r="CU91" s="146">
        <v>0.2</v>
      </c>
      <c r="CV91" s="138" t="s">
        <v>217</v>
      </c>
      <c r="CW91" s="138" t="s">
        <v>210</v>
      </c>
      <c r="CX91" s="138">
        <v>61881722.047854595</v>
      </c>
      <c r="CY91" s="138">
        <v>72180793.063260496</v>
      </c>
      <c r="CZ91" s="138">
        <v>69179032.514420599</v>
      </c>
      <c r="DA91" s="138">
        <v>76323964.015026003</v>
      </c>
      <c r="DB91" s="138">
        <v>63657388.730680585</v>
      </c>
      <c r="DC91" s="138">
        <v>65995192.891159974</v>
      </c>
      <c r="DD91" s="138">
        <v>66410604.684560001</v>
      </c>
      <c r="DE91" s="138">
        <f>VLOOKUP($H91,[2]pivot!$V:$Z,$DE$2,FALSE)</f>
        <v>77591011.898499951</v>
      </c>
      <c r="DF91" s="138"/>
      <c r="DG91" s="138"/>
      <c r="DH91" s="138"/>
      <c r="DI91" s="138"/>
      <c r="DJ91" s="139">
        <f t="shared" si="104"/>
        <v>63657388.730680585</v>
      </c>
      <c r="DK91" s="139">
        <f t="shared" si="104"/>
        <v>65995192.891159974</v>
      </c>
      <c r="DL91" s="139">
        <f t="shared" si="104"/>
        <v>66410604.684560001</v>
      </c>
      <c r="DM91" s="139">
        <f t="shared" si="104"/>
        <v>77591011.898499951</v>
      </c>
      <c r="DN91" s="139">
        <f t="shared" si="84"/>
        <v>273654198.2049005</v>
      </c>
      <c r="DO91" s="139">
        <f t="shared" si="96"/>
        <v>279565511.6405617</v>
      </c>
      <c r="DP91" s="139">
        <f t="shared" si="105"/>
        <v>279565511.6405617</v>
      </c>
      <c r="DQ91" s="141">
        <f t="shared" si="146"/>
        <v>0.97889999999999999</v>
      </c>
      <c r="DR91" s="142">
        <f t="shared" ca="1" si="121"/>
        <v>0</v>
      </c>
      <c r="DS91" s="140">
        <f t="shared" ca="1" si="122"/>
        <v>0</v>
      </c>
      <c r="DT91" s="144" t="str">
        <f t="shared" si="147"/>
        <v>Uncapped</v>
      </c>
      <c r="DU91" s="140">
        <f t="shared" ca="1" si="123"/>
        <v>0</v>
      </c>
      <c r="DV91" s="138"/>
      <c r="DW91" s="146">
        <v>0</v>
      </c>
      <c r="DX91" s="138"/>
      <c r="DY91" s="138"/>
      <c r="DZ91" s="138">
        <v>0</v>
      </c>
      <c r="EA91" s="138">
        <v>0</v>
      </c>
      <c r="EB91" s="138">
        <v>0</v>
      </c>
      <c r="EC91" s="138">
        <v>0</v>
      </c>
      <c r="ED91" s="138">
        <v>0</v>
      </c>
      <c r="EE91" s="138">
        <v>0</v>
      </c>
      <c r="EF91" s="138"/>
      <c r="EG91" s="138"/>
      <c r="EH91" s="138"/>
      <c r="EI91" s="138"/>
      <c r="EJ91" s="138"/>
      <c r="EK91" s="138"/>
      <c r="EL91" s="139">
        <f t="shared" si="106"/>
        <v>0</v>
      </c>
      <c r="EM91" s="139">
        <f t="shared" si="106"/>
        <v>0</v>
      </c>
      <c r="EN91" s="139">
        <f t="shared" si="106"/>
        <v>0</v>
      </c>
      <c r="EO91" s="139">
        <f t="shared" si="106"/>
        <v>0</v>
      </c>
      <c r="EP91" s="139">
        <f t="shared" si="124"/>
        <v>0</v>
      </c>
      <c r="EQ91" s="139">
        <f t="shared" si="97"/>
        <v>0</v>
      </c>
      <c r="ER91" s="139">
        <f t="shared" si="148"/>
        <v>0</v>
      </c>
      <c r="ES91" s="141">
        <f t="shared" si="149"/>
        <v>0</v>
      </c>
      <c r="ET91" s="142">
        <f t="shared" ca="1" si="150"/>
        <v>0</v>
      </c>
      <c r="EU91" s="140">
        <f t="shared" ca="1" si="125"/>
        <v>0</v>
      </c>
      <c r="EV91" s="144" t="str">
        <f t="shared" si="126"/>
        <v>Uncapped</v>
      </c>
      <c r="EW91" s="140">
        <f t="shared" ca="1" si="127"/>
        <v>0</v>
      </c>
      <c r="EX91" s="137">
        <f t="shared" ca="1" si="128"/>
        <v>0</v>
      </c>
      <c r="EY91" s="139">
        <f t="shared" ca="1" si="151"/>
        <v>0</v>
      </c>
      <c r="EZ91" s="140">
        <v>0</v>
      </c>
      <c r="FA91" s="140"/>
      <c r="FB91" s="140"/>
      <c r="FC91" s="140">
        <v>0</v>
      </c>
      <c r="FD91" s="140">
        <f t="shared" si="98"/>
        <v>0</v>
      </c>
      <c r="FE91" s="139">
        <f t="shared" si="87"/>
        <v>0</v>
      </c>
      <c r="FF91" s="140">
        <v>0</v>
      </c>
      <c r="FG91" s="140">
        <v>0</v>
      </c>
      <c r="FH91" s="140">
        <v>0</v>
      </c>
      <c r="FI91" s="140">
        <v>0</v>
      </c>
      <c r="FJ91" s="140">
        <f t="shared" si="99"/>
        <v>0</v>
      </c>
      <c r="FK91" s="139">
        <f t="shared" si="88"/>
        <v>0</v>
      </c>
      <c r="FL91" s="138"/>
      <c r="FM91" s="136"/>
      <c r="FN91" s="136"/>
      <c r="FO91" s="136"/>
      <c r="FP91" s="140">
        <f t="shared" si="129"/>
        <v>0</v>
      </c>
      <c r="FQ91" s="140"/>
      <c r="FR91" s="140"/>
      <c r="FS91" s="140"/>
      <c r="FT91" s="139">
        <f t="shared" si="152"/>
        <v>0</v>
      </c>
      <c r="FU91" s="365">
        <f t="shared" ca="1" si="155"/>
        <v>0</v>
      </c>
      <c r="FV91" s="147">
        <f t="shared" ca="1" si="153"/>
        <v>0</v>
      </c>
      <c r="FW91" s="139">
        <f t="shared" si="157"/>
        <v>0</v>
      </c>
      <c r="FX91" s="139">
        <f t="shared" si="157"/>
        <v>0</v>
      </c>
      <c r="FY91" s="139">
        <f t="shared" si="157"/>
        <v>0</v>
      </c>
      <c r="FZ91" s="139">
        <f t="shared" si="157"/>
        <v>0</v>
      </c>
      <c r="GA91" s="139">
        <f t="shared" si="130"/>
        <v>0</v>
      </c>
      <c r="GB91" s="139">
        <f t="shared" si="158"/>
        <v>0</v>
      </c>
      <c r="GC91" s="139">
        <f t="shared" si="158"/>
        <v>0</v>
      </c>
      <c r="GD91" s="139">
        <f t="shared" si="158"/>
        <v>0</v>
      </c>
      <c r="GE91" s="139">
        <f t="shared" si="158"/>
        <v>0</v>
      </c>
      <c r="GF91" s="139">
        <f t="shared" si="159"/>
        <v>0</v>
      </c>
      <c r="GG91" s="139">
        <f t="shared" si="159"/>
        <v>0</v>
      </c>
      <c r="GH91" s="139">
        <f t="shared" si="159"/>
        <v>0</v>
      </c>
      <c r="GI91" s="139">
        <f t="shared" si="159"/>
        <v>0</v>
      </c>
      <c r="GJ91" s="140">
        <f t="shared" si="100"/>
        <v>0</v>
      </c>
      <c r="GK91" s="139">
        <f t="shared" si="131"/>
        <v>0</v>
      </c>
      <c r="GL91" s="139">
        <f t="shared" si="132"/>
        <v>0</v>
      </c>
      <c r="GM91" s="139">
        <f t="shared" si="133"/>
        <v>0</v>
      </c>
      <c r="GN91" s="139">
        <f t="shared" si="134"/>
        <v>0</v>
      </c>
      <c r="GO91" s="139">
        <f t="shared" si="135"/>
        <v>0</v>
      </c>
      <c r="GP91" s="139">
        <f t="shared" si="101"/>
        <v>0</v>
      </c>
      <c r="GQ91" s="139">
        <f t="shared" si="136"/>
        <v>0</v>
      </c>
      <c r="GR91" s="409"/>
      <c r="GS91" s="148">
        <f t="shared" si="109"/>
        <v>338086815.56808668</v>
      </c>
      <c r="GT91" s="148">
        <f t="shared" si="109"/>
        <v>345350645.77362818</v>
      </c>
      <c r="GU91" s="149">
        <f t="shared" si="137"/>
        <v>0.97896679709612355</v>
      </c>
      <c r="GV91" s="150">
        <f t="shared" ca="1" si="138"/>
        <v>0</v>
      </c>
      <c r="GW91" s="150">
        <v>0</v>
      </c>
      <c r="GX91" s="151">
        <f t="shared" ca="1" si="139"/>
        <v>0</v>
      </c>
      <c r="GY91" s="100"/>
    </row>
    <row r="92" spans="1:207" s="125" customFormat="1" ht="15" customHeight="1">
      <c r="A92" s="102"/>
      <c r="B92" s="103"/>
      <c r="C92" s="103"/>
      <c r="D92" s="104"/>
      <c r="E92" s="104" t="s">
        <v>437</v>
      </c>
      <c r="F92" s="104" t="s">
        <v>438</v>
      </c>
      <c r="G92" s="104" t="s">
        <v>226</v>
      </c>
      <c r="H92" s="127" t="s">
        <v>439</v>
      </c>
      <c r="I92" s="106" t="s">
        <v>440</v>
      </c>
      <c r="J92" s="104" t="s">
        <v>212</v>
      </c>
      <c r="K92" s="104" t="s">
        <v>218</v>
      </c>
      <c r="L92" s="104" t="s">
        <v>213</v>
      </c>
      <c r="M92" s="104" t="s">
        <v>388</v>
      </c>
      <c r="N92" s="107"/>
      <c r="O92" s="108">
        <v>42730</v>
      </c>
      <c r="P92" s="108">
        <v>43191</v>
      </c>
      <c r="Q92" s="322">
        <f t="shared" si="112"/>
        <v>0</v>
      </c>
      <c r="R92" s="109">
        <f>IF((P92-VLOOKUP(Q92,month!$A$1:$C$13,3,0))&lt;0,Q92,Q92+1)</f>
        <v>0</v>
      </c>
      <c r="S92" s="108"/>
      <c r="T92" s="127" t="str">
        <f>IF(S92&gt;0,"Y","")</f>
        <v/>
      </c>
      <c r="U92" s="107"/>
      <c r="V92" s="107"/>
      <c r="W92" s="107"/>
      <c r="X92" s="107"/>
      <c r="Y92" s="386"/>
      <c r="Z92" s="386" t="s">
        <v>545</v>
      </c>
      <c r="AA92" s="387">
        <v>1000</v>
      </c>
      <c r="AB92" s="387">
        <v>1000</v>
      </c>
      <c r="AC92" s="387">
        <v>1000</v>
      </c>
      <c r="AD92" s="387">
        <v>1000</v>
      </c>
      <c r="AE92" s="387">
        <v>1000</v>
      </c>
      <c r="AF92" s="387">
        <v>1000</v>
      </c>
      <c r="AG92" s="387">
        <v>1000</v>
      </c>
      <c r="AH92" s="387">
        <v>1000</v>
      </c>
      <c r="AI92" s="387">
        <v>1000</v>
      </c>
      <c r="AJ92" s="387">
        <v>1000</v>
      </c>
      <c r="AK92" s="387">
        <v>1000</v>
      </c>
      <c r="AL92" s="387">
        <v>1000</v>
      </c>
      <c r="AM92" s="388">
        <f t="shared" si="92"/>
        <v>12000</v>
      </c>
      <c r="AN92" s="388">
        <f t="shared" si="113"/>
        <v>12000</v>
      </c>
      <c r="AO92" s="389">
        <f t="shared" si="156"/>
        <v>1000</v>
      </c>
      <c r="AP92" s="498" t="s">
        <v>679</v>
      </c>
      <c r="AQ92" s="159">
        <v>0.6</v>
      </c>
      <c r="AR92" s="160" t="s">
        <v>217</v>
      </c>
      <c r="AS92" s="119" t="s">
        <v>210</v>
      </c>
      <c r="AT92" s="111">
        <v>511923.19370118791</v>
      </c>
      <c r="AU92" s="111">
        <v>887826.3133218654</v>
      </c>
      <c r="AV92" s="111">
        <v>724049.67183483741</v>
      </c>
      <c r="AW92" s="111">
        <v>955044.60243923403</v>
      </c>
      <c r="AX92" s="113">
        <v>604140</v>
      </c>
      <c r="AY92" s="113">
        <v>764012.60999999987</v>
      </c>
      <c r="AZ92" s="113">
        <v>696951.37799999944</v>
      </c>
      <c r="BA92" s="113">
        <v>1163569.7249999999</v>
      </c>
      <c r="BB92" s="113"/>
      <c r="BC92" s="113"/>
      <c r="BD92" s="113"/>
      <c r="BE92" s="113"/>
      <c r="BF92" s="114">
        <f t="shared" si="102"/>
        <v>604140</v>
      </c>
      <c r="BG92" s="114">
        <f t="shared" si="102"/>
        <v>764012.60999999987</v>
      </c>
      <c r="BH92" s="114">
        <f t="shared" si="102"/>
        <v>696951.37799999944</v>
      </c>
      <c r="BI92" s="114">
        <f t="shared" si="102"/>
        <v>1163569.7249999999</v>
      </c>
      <c r="BJ92" s="114">
        <f t="shared" si="108"/>
        <v>3228673.7129999995</v>
      </c>
      <c r="BK92" s="115">
        <f t="shared" si="94"/>
        <v>3078843.7812971249</v>
      </c>
      <c r="BL92" s="115">
        <f t="shared" si="140"/>
        <v>3078843.7812971249</v>
      </c>
      <c r="BM92" s="116">
        <f t="shared" si="141"/>
        <v>1.0487</v>
      </c>
      <c r="BN92" s="126">
        <f t="shared" ca="1" si="114"/>
        <v>0</v>
      </c>
      <c r="BO92" s="117">
        <f t="shared" ca="1" si="115"/>
        <v>0</v>
      </c>
      <c r="BP92" s="118" t="str">
        <f t="shared" si="116"/>
        <v>Uncapped</v>
      </c>
      <c r="BQ92" s="115">
        <f t="shared" ca="1" si="117"/>
        <v>0</v>
      </c>
      <c r="BR92" s="113" t="s">
        <v>699</v>
      </c>
      <c r="BS92" s="161">
        <v>0.2</v>
      </c>
      <c r="BT92" s="113" t="s">
        <v>211</v>
      </c>
      <c r="BU92" s="160" t="s">
        <v>210</v>
      </c>
      <c r="BV92" s="113">
        <v>11953048.942182608</v>
      </c>
      <c r="BW92" s="113">
        <v>16757506.295401936</v>
      </c>
      <c r="BX92" s="113">
        <v>15470532.140695527</v>
      </c>
      <c r="BY92" s="113">
        <v>16440443.473807694</v>
      </c>
      <c r="BZ92" s="113">
        <v>12211557.946359999</v>
      </c>
      <c r="CA92" s="113">
        <v>15972657.057939999</v>
      </c>
      <c r="CB92" s="113">
        <v>15545756.2063</v>
      </c>
      <c r="CC92" s="113">
        <v>16137299.457686201</v>
      </c>
      <c r="CD92" s="113"/>
      <c r="CE92" s="113"/>
      <c r="CF92" s="113"/>
      <c r="CG92" s="113"/>
      <c r="CH92" s="114">
        <f t="shared" si="103"/>
        <v>12211557.946359999</v>
      </c>
      <c r="CI92" s="114">
        <f t="shared" si="103"/>
        <v>15972657.057939999</v>
      </c>
      <c r="CJ92" s="120">
        <f t="shared" si="103"/>
        <v>15545756.2063</v>
      </c>
      <c r="CK92" s="114">
        <f t="shared" si="103"/>
        <v>16137299.457686201</v>
      </c>
      <c r="CL92" s="114">
        <f t="shared" si="118"/>
        <v>59867270.668286197</v>
      </c>
      <c r="CM92" s="114">
        <f t="shared" si="95"/>
        <v>60621530.852087766</v>
      </c>
      <c r="CN92" s="114">
        <f t="shared" si="142"/>
        <v>60621530.852087766</v>
      </c>
      <c r="CO92" s="116">
        <f t="shared" si="143"/>
        <v>0.98760000000000003</v>
      </c>
      <c r="CP92" s="126">
        <f t="shared" ca="1" si="144"/>
        <v>0</v>
      </c>
      <c r="CQ92" s="115">
        <f t="shared" ca="1" si="119"/>
        <v>0</v>
      </c>
      <c r="CR92" s="118" t="str">
        <f t="shared" si="145"/>
        <v>Uncapped</v>
      </c>
      <c r="CS92" s="115">
        <f t="shared" ca="1" si="120"/>
        <v>0</v>
      </c>
      <c r="CT92" s="113" t="s">
        <v>696</v>
      </c>
      <c r="CU92" s="119">
        <v>0.2</v>
      </c>
      <c r="CV92" s="113" t="s">
        <v>217</v>
      </c>
      <c r="CW92" s="113" t="s">
        <v>210</v>
      </c>
      <c r="CX92" s="113">
        <v>61881722.047854595</v>
      </c>
      <c r="CY92" s="113">
        <v>72180793.063260496</v>
      </c>
      <c r="CZ92" s="113">
        <v>69179032.514420599</v>
      </c>
      <c r="DA92" s="113">
        <v>76323964.015026003</v>
      </c>
      <c r="DB92" s="113">
        <v>63657388.730680585</v>
      </c>
      <c r="DC92" s="113">
        <v>65995192.891159974</v>
      </c>
      <c r="DD92" s="113">
        <v>66410604.684560001</v>
      </c>
      <c r="DE92" s="113">
        <f>VLOOKUP($H92,[2]pivot!$V:$Z,$DE$2,FALSE)</f>
        <v>77591011.898499951</v>
      </c>
      <c r="DF92" s="113"/>
      <c r="DG92" s="113"/>
      <c r="DH92" s="113"/>
      <c r="DI92" s="113"/>
      <c r="DJ92" s="114">
        <f t="shared" si="104"/>
        <v>63657388.730680585</v>
      </c>
      <c r="DK92" s="114">
        <f t="shared" si="104"/>
        <v>65995192.891159974</v>
      </c>
      <c r="DL92" s="114">
        <f t="shared" si="104"/>
        <v>66410604.684560001</v>
      </c>
      <c r="DM92" s="114">
        <f t="shared" si="104"/>
        <v>77591011.898499951</v>
      </c>
      <c r="DN92" s="114">
        <f t="shared" si="84"/>
        <v>273654198.2049005</v>
      </c>
      <c r="DO92" s="114">
        <f t="shared" si="96"/>
        <v>279565511.6405617</v>
      </c>
      <c r="DP92" s="114">
        <f t="shared" si="105"/>
        <v>279565511.6405617</v>
      </c>
      <c r="DQ92" s="116">
        <f t="shared" si="146"/>
        <v>0.97889999999999999</v>
      </c>
      <c r="DR92" s="126">
        <f t="shared" ca="1" si="121"/>
        <v>0</v>
      </c>
      <c r="DS92" s="115">
        <f t="shared" ca="1" si="122"/>
        <v>0</v>
      </c>
      <c r="DT92" s="118" t="str">
        <f t="shared" si="147"/>
        <v>Uncapped</v>
      </c>
      <c r="DU92" s="115">
        <f t="shared" ca="1" si="123"/>
        <v>0</v>
      </c>
      <c r="DV92" s="113"/>
      <c r="DW92" s="119">
        <v>0</v>
      </c>
      <c r="DX92" s="113"/>
      <c r="DY92" s="113"/>
      <c r="DZ92" s="113">
        <v>0</v>
      </c>
      <c r="EA92" s="113">
        <v>0</v>
      </c>
      <c r="EB92" s="113">
        <v>0</v>
      </c>
      <c r="EC92" s="113">
        <v>0</v>
      </c>
      <c r="ED92" s="113">
        <v>0</v>
      </c>
      <c r="EE92" s="113">
        <v>0</v>
      </c>
      <c r="EF92" s="113"/>
      <c r="EG92" s="113"/>
      <c r="EH92" s="113"/>
      <c r="EI92" s="113"/>
      <c r="EJ92" s="113"/>
      <c r="EK92" s="113"/>
      <c r="EL92" s="114">
        <f t="shared" si="106"/>
        <v>0</v>
      </c>
      <c r="EM92" s="114">
        <f t="shared" si="106"/>
        <v>0</v>
      </c>
      <c r="EN92" s="114">
        <f t="shared" si="106"/>
        <v>0</v>
      </c>
      <c r="EO92" s="114">
        <f t="shared" si="106"/>
        <v>0</v>
      </c>
      <c r="EP92" s="114">
        <f t="shared" si="124"/>
        <v>0</v>
      </c>
      <c r="EQ92" s="114">
        <f t="shared" si="97"/>
        <v>0</v>
      </c>
      <c r="ER92" s="114">
        <f t="shared" si="148"/>
        <v>0</v>
      </c>
      <c r="ES92" s="116">
        <f t="shared" si="149"/>
        <v>0</v>
      </c>
      <c r="ET92" s="126">
        <f t="shared" ca="1" si="150"/>
        <v>0</v>
      </c>
      <c r="EU92" s="115">
        <f t="shared" ca="1" si="125"/>
        <v>0</v>
      </c>
      <c r="EV92" s="118" t="str">
        <f t="shared" si="126"/>
        <v>Uncapped</v>
      </c>
      <c r="EW92" s="115">
        <f t="shared" ca="1" si="127"/>
        <v>0</v>
      </c>
      <c r="EX92" s="112">
        <f t="shared" ca="1" si="128"/>
        <v>0</v>
      </c>
      <c r="EY92" s="114">
        <f t="shared" ca="1" si="151"/>
        <v>0</v>
      </c>
      <c r="EZ92" s="115">
        <v>0</v>
      </c>
      <c r="FA92" s="115"/>
      <c r="FB92" s="115"/>
      <c r="FC92" s="115">
        <v>0</v>
      </c>
      <c r="FD92" s="115">
        <f t="shared" si="98"/>
        <v>0</v>
      </c>
      <c r="FE92" s="114">
        <f t="shared" si="87"/>
        <v>0</v>
      </c>
      <c r="FF92" s="115">
        <v>0</v>
      </c>
      <c r="FG92" s="115">
        <v>0</v>
      </c>
      <c r="FH92" s="115">
        <v>0</v>
      </c>
      <c r="FI92" s="115">
        <v>0</v>
      </c>
      <c r="FJ92" s="115">
        <f t="shared" si="99"/>
        <v>0</v>
      </c>
      <c r="FK92" s="114">
        <f t="shared" si="88"/>
        <v>0</v>
      </c>
      <c r="FL92" s="113"/>
      <c r="FM92" s="111"/>
      <c r="FN92" s="111"/>
      <c r="FO92" s="111"/>
      <c r="FP92" s="115">
        <f>SUM(FL92:FO92)</f>
        <v>0</v>
      </c>
      <c r="FQ92" s="115"/>
      <c r="FR92" s="115"/>
      <c r="FS92" s="115"/>
      <c r="FT92" s="114">
        <f t="shared" si="152"/>
        <v>0</v>
      </c>
      <c r="FU92" s="366">
        <f t="shared" ca="1" si="155"/>
        <v>0</v>
      </c>
      <c r="FV92" s="121">
        <f t="shared" ca="1" si="153"/>
        <v>0</v>
      </c>
      <c r="FW92" s="114">
        <f>FF92</f>
        <v>0</v>
      </c>
      <c r="FX92" s="114">
        <f>FG92</f>
        <v>0</v>
      </c>
      <c r="FY92" s="114">
        <f>FH92</f>
        <v>0</v>
      </c>
      <c r="FZ92" s="114">
        <f>FI92</f>
        <v>0</v>
      </c>
      <c r="GA92" s="114">
        <f>SUM(FW92:FZ92)</f>
        <v>0</v>
      </c>
      <c r="GB92" s="114">
        <f>EZ92</f>
        <v>0</v>
      </c>
      <c r="GC92" s="114">
        <f>FA92</f>
        <v>0</v>
      </c>
      <c r="GD92" s="114">
        <f>FB92</f>
        <v>0</v>
      </c>
      <c r="GE92" s="114">
        <f>FC92</f>
        <v>0</v>
      </c>
      <c r="GF92" s="114">
        <f>GB92+FW92</f>
        <v>0</v>
      </c>
      <c r="GG92" s="114">
        <f>GC92+FX92</f>
        <v>0</v>
      </c>
      <c r="GH92" s="114">
        <f>GD92+FY92</f>
        <v>0</v>
      </c>
      <c r="GI92" s="114">
        <f>GE92+FZ92</f>
        <v>0</v>
      </c>
      <c r="GJ92" s="115">
        <f t="shared" si="100"/>
        <v>0</v>
      </c>
      <c r="GK92" s="114">
        <f>SUM(GF92:GI92)</f>
        <v>0</v>
      </c>
      <c r="GL92" s="114">
        <f t="shared" si="132"/>
        <v>0</v>
      </c>
      <c r="GM92" s="114">
        <f t="shared" si="133"/>
        <v>0</v>
      </c>
      <c r="GN92" s="114">
        <f t="shared" si="134"/>
        <v>0</v>
      </c>
      <c r="GO92" s="114">
        <f t="shared" si="135"/>
        <v>0</v>
      </c>
      <c r="GP92" s="114">
        <f t="shared" si="101"/>
        <v>0</v>
      </c>
      <c r="GQ92" s="114">
        <f>SUM(GL92:GO92)</f>
        <v>0</v>
      </c>
      <c r="GR92" s="193"/>
      <c r="GS92" s="122">
        <f t="shared" si="109"/>
        <v>336750142.58618671</v>
      </c>
      <c r="GT92" s="122">
        <f t="shared" si="109"/>
        <v>343265886.27394658</v>
      </c>
      <c r="GU92" s="123">
        <f>IFERROR(GS92/GT92,"")</f>
        <v>0.98101837686673032</v>
      </c>
      <c r="GV92" s="124">
        <f t="shared" ca="1" si="138"/>
        <v>0</v>
      </c>
      <c r="GW92" s="124">
        <v>0</v>
      </c>
      <c r="GX92" s="32">
        <f t="shared" ca="1" si="139"/>
        <v>0</v>
      </c>
      <c r="GY92" s="100"/>
    </row>
    <row r="93" spans="1:207" s="125" customFormat="1" ht="15" customHeight="1">
      <c r="A93" s="102"/>
      <c r="B93" s="103"/>
      <c r="C93" s="103"/>
      <c r="D93" s="104"/>
      <c r="E93" s="104" t="s">
        <v>441</v>
      </c>
      <c r="F93" s="104" t="s">
        <v>442</v>
      </c>
      <c r="G93" s="104" t="s">
        <v>226</v>
      </c>
      <c r="H93" s="127" t="s">
        <v>443</v>
      </c>
      <c r="I93" s="106" t="s">
        <v>444</v>
      </c>
      <c r="J93" s="104" t="s">
        <v>212</v>
      </c>
      <c r="K93" s="104" t="s">
        <v>218</v>
      </c>
      <c r="L93" s="104" t="s">
        <v>213</v>
      </c>
      <c r="M93" s="104" t="s">
        <v>388</v>
      </c>
      <c r="N93" s="107"/>
      <c r="O93" s="108">
        <v>41430</v>
      </c>
      <c r="P93" s="108">
        <v>43191</v>
      </c>
      <c r="Q93" s="322">
        <f t="shared" si="112"/>
        <v>0</v>
      </c>
      <c r="R93" s="109">
        <f>IF((P93-VLOOKUP(Q93,month!$A$1:$C$13,3,0))&lt;0,Q93,Q93+1)</f>
        <v>0</v>
      </c>
      <c r="S93" s="108"/>
      <c r="T93" s="127" t="str">
        <f t="shared" si="154"/>
        <v/>
      </c>
      <c r="U93" s="107"/>
      <c r="V93" s="107"/>
      <c r="W93" s="107"/>
      <c r="X93" s="107"/>
      <c r="Y93" s="386"/>
      <c r="Z93" s="386" t="s">
        <v>545</v>
      </c>
      <c r="AA93" s="387">
        <v>1000</v>
      </c>
      <c r="AB93" s="387">
        <v>1000</v>
      </c>
      <c r="AC93" s="387">
        <v>1000</v>
      </c>
      <c r="AD93" s="387">
        <v>1000</v>
      </c>
      <c r="AE93" s="387">
        <v>1000</v>
      </c>
      <c r="AF93" s="387">
        <v>1000</v>
      </c>
      <c r="AG93" s="387">
        <v>1000</v>
      </c>
      <c r="AH93" s="387">
        <v>1000</v>
      </c>
      <c r="AI93" s="387">
        <v>1000</v>
      </c>
      <c r="AJ93" s="387">
        <v>1000</v>
      </c>
      <c r="AK93" s="387">
        <v>1000</v>
      </c>
      <c r="AL93" s="387">
        <v>1000</v>
      </c>
      <c r="AM93" s="388">
        <f t="shared" si="92"/>
        <v>12000</v>
      </c>
      <c r="AN93" s="388">
        <f t="shared" si="113"/>
        <v>12000</v>
      </c>
      <c r="AO93" s="389">
        <f t="shared" si="156"/>
        <v>1000</v>
      </c>
      <c r="AP93" s="498" t="s">
        <v>687</v>
      </c>
      <c r="AQ93" s="159">
        <v>0.8</v>
      </c>
      <c r="AR93" s="160" t="s">
        <v>211</v>
      </c>
      <c r="AS93" s="119" t="s">
        <v>210</v>
      </c>
      <c r="AT93" s="111">
        <v>2605912.8313427921</v>
      </c>
      <c r="AU93" s="111">
        <v>1984866.1657477398</v>
      </c>
      <c r="AV93" s="111">
        <v>2114904.2976073599</v>
      </c>
      <c r="AW93" s="111">
        <v>1687946.934656464</v>
      </c>
      <c r="AX93" s="113">
        <v>2685275.1410999997</v>
      </c>
      <c r="AY93" s="113">
        <v>2588678.3796501099</v>
      </c>
      <c r="AZ93" s="113">
        <v>2686187.06094814</v>
      </c>
      <c r="BA93" s="113">
        <v>1092201.1711000004</v>
      </c>
      <c r="BB93" s="113"/>
      <c r="BC93" s="113"/>
      <c r="BD93" s="113"/>
      <c r="BE93" s="113"/>
      <c r="BF93" s="114">
        <f t="shared" si="102"/>
        <v>2685275.1410999997</v>
      </c>
      <c r="BG93" s="114">
        <f t="shared" si="102"/>
        <v>2588678.3796501099</v>
      </c>
      <c r="BH93" s="114">
        <f t="shared" si="102"/>
        <v>2686187.06094814</v>
      </c>
      <c r="BI93" s="114">
        <f t="shared" si="102"/>
        <v>1092201.1711000004</v>
      </c>
      <c r="BJ93" s="114">
        <f t="shared" si="108"/>
        <v>9052341.7527982499</v>
      </c>
      <c r="BK93" s="115">
        <f t="shared" si="94"/>
        <v>8393630.2293543555</v>
      </c>
      <c r="BL93" s="115">
        <f t="shared" si="140"/>
        <v>8393630.2293543555</v>
      </c>
      <c r="BM93" s="116">
        <f t="shared" si="141"/>
        <v>1.0785</v>
      </c>
      <c r="BN93" s="126">
        <f t="shared" ca="1" si="114"/>
        <v>0</v>
      </c>
      <c r="BO93" s="117">
        <f t="shared" ca="1" si="115"/>
        <v>0</v>
      </c>
      <c r="BP93" s="118" t="str">
        <f t="shared" si="116"/>
        <v>Uncapped</v>
      </c>
      <c r="BQ93" s="115">
        <f t="shared" ca="1" si="117"/>
        <v>0</v>
      </c>
      <c r="BR93" s="113" t="s">
        <v>699</v>
      </c>
      <c r="BS93" s="161">
        <v>0.2</v>
      </c>
      <c r="BT93" s="113" t="s">
        <v>217</v>
      </c>
      <c r="BU93" s="160" t="s">
        <v>210</v>
      </c>
      <c r="BV93" s="113">
        <v>11953048.942182608</v>
      </c>
      <c r="BW93" s="113">
        <v>16757506.295401936</v>
      </c>
      <c r="BX93" s="113">
        <v>15470532.140695527</v>
      </c>
      <c r="BY93" s="113">
        <v>16440443.473807694</v>
      </c>
      <c r="BZ93" s="113">
        <v>12211557.946359999</v>
      </c>
      <c r="CA93" s="113">
        <v>15972657.057939999</v>
      </c>
      <c r="CB93" s="113">
        <v>15545756.2063</v>
      </c>
      <c r="CC93" s="113">
        <v>16137299.457686201</v>
      </c>
      <c r="CD93" s="113"/>
      <c r="CE93" s="113"/>
      <c r="CF93" s="113"/>
      <c r="CG93" s="113"/>
      <c r="CH93" s="114">
        <f t="shared" si="103"/>
        <v>12211557.946359999</v>
      </c>
      <c r="CI93" s="114">
        <f t="shared" si="103"/>
        <v>15972657.057939999</v>
      </c>
      <c r="CJ93" s="120">
        <f t="shared" si="103"/>
        <v>15545756.2063</v>
      </c>
      <c r="CK93" s="114">
        <f t="shared" si="103"/>
        <v>16137299.457686201</v>
      </c>
      <c r="CL93" s="114">
        <f t="shared" si="118"/>
        <v>59867270.668286197</v>
      </c>
      <c r="CM93" s="114">
        <f t="shared" si="95"/>
        <v>60621530.852087766</v>
      </c>
      <c r="CN93" s="114">
        <f t="shared" si="142"/>
        <v>60621530.852087766</v>
      </c>
      <c r="CO93" s="116">
        <f t="shared" si="143"/>
        <v>0.98760000000000003</v>
      </c>
      <c r="CP93" s="126">
        <f t="shared" ca="1" si="144"/>
        <v>0</v>
      </c>
      <c r="CQ93" s="115">
        <f t="shared" ca="1" si="119"/>
        <v>0</v>
      </c>
      <c r="CR93" s="118" t="str">
        <f t="shared" si="145"/>
        <v>Uncapped</v>
      </c>
      <c r="CS93" s="115">
        <f t="shared" ca="1" si="120"/>
        <v>0</v>
      </c>
      <c r="CT93" s="113"/>
      <c r="CU93" s="119">
        <v>0</v>
      </c>
      <c r="CV93" s="113"/>
      <c r="CW93" s="113"/>
      <c r="CX93" s="113">
        <v>0</v>
      </c>
      <c r="CY93" s="113">
        <v>0</v>
      </c>
      <c r="CZ93" s="113">
        <v>0</v>
      </c>
      <c r="DA93" s="113">
        <v>0</v>
      </c>
      <c r="DB93" s="113">
        <v>0</v>
      </c>
      <c r="DC93" s="113">
        <v>0</v>
      </c>
      <c r="DD93" s="113">
        <v>0</v>
      </c>
      <c r="DE93" s="113">
        <f>VLOOKUP($H93,[2]pivot!$V:$Z,$DE$2,FALSE)</f>
        <v>0</v>
      </c>
      <c r="DF93" s="113"/>
      <c r="DG93" s="113"/>
      <c r="DH93" s="113"/>
      <c r="DI93" s="113"/>
      <c r="DJ93" s="114">
        <f t="shared" si="104"/>
        <v>0</v>
      </c>
      <c r="DK93" s="114">
        <f t="shared" si="104"/>
        <v>0</v>
      </c>
      <c r="DL93" s="114">
        <f t="shared" si="104"/>
        <v>0</v>
      </c>
      <c r="DM93" s="114">
        <f t="shared" si="104"/>
        <v>0</v>
      </c>
      <c r="DN93" s="114">
        <f t="shared" si="84"/>
        <v>0</v>
      </c>
      <c r="DO93" s="114">
        <f t="shared" si="96"/>
        <v>0</v>
      </c>
      <c r="DP93" s="114">
        <f t="shared" si="105"/>
        <v>0</v>
      </c>
      <c r="DQ93" s="116">
        <f t="shared" si="146"/>
        <v>0</v>
      </c>
      <c r="DR93" s="126">
        <f t="shared" ca="1" si="121"/>
        <v>0</v>
      </c>
      <c r="DS93" s="115">
        <f t="shared" ca="1" si="122"/>
        <v>0</v>
      </c>
      <c r="DT93" s="118" t="str">
        <f t="shared" si="147"/>
        <v>Uncapped</v>
      </c>
      <c r="DU93" s="115">
        <f t="shared" ca="1" si="123"/>
        <v>0</v>
      </c>
      <c r="DV93" s="113"/>
      <c r="DW93" s="119">
        <v>0</v>
      </c>
      <c r="DX93" s="113"/>
      <c r="DY93" s="113"/>
      <c r="DZ93" s="113">
        <v>0</v>
      </c>
      <c r="EA93" s="113">
        <v>0</v>
      </c>
      <c r="EB93" s="113">
        <v>0</v>
      </c>
      <c r="EC93" s="113">
        <v>0</v>
      </c>
      <c r="ED93" s="113">
        <v>0</v>
      </c>
      <c r="EE93" s="113">
        <v>0</v>
      </c>
      <c r="EF93" s="113"/>
      <c r="EG93" s="113"/>
      <c r="EH93" s="113"/>
      <c r="EI93" s="113"/>
      <c r="EJ93" s="113"/>
      <c r="EK93" s="113"/>
      <c r="EL93" s="114">
        <f t="shared" si="106"/>
        <v>0</v>
      </c>
      <c r="EM93" s="114">
        <f t="shared" si="106"/>
        <v>0</v>
      </c>
      <c r="EN93" s="114">
        <f t="shared" si="106"/>
        <v>0</v>
      </c>
      <c r="EO93" s="114">
        <f t="shared" si="106"/>
        <v>0</v>
      </c>
      <c r="EP93" s="114">
        <f t="shared" si="124"/>
        <v>0</v>
      </c>
      <c r="EQ93" s="114">
        <f t="shared" si="97"/>
        <v>0</v>
      </c>
      <c r="ER93" s="114">
        <f t="shared" si="148"/>
        <v>0</v>
      </c>
      <c r="ES93" s="116">
        <f t="shared" si="149"/>
        <v>0</v>
      </c>
      <c r="ET93" s="126">
        <f t="shared" ca="1" si="150"/>
        <v>0</v>
      </c>
      <c r="EU93" s="115">
        <f t="shared" ca="1" si="125"/>
        <v>0</v>
      </c>
      <c r="EV93" s="118" t="str">
        <f t="shared" si="126"/>
        <v>Uncapped</v>
      </c>
      <c r="EW93" s="115">
        <f t="shared" ca="1" si="127"/>
        <v>0</v>
      </c>
      <c r="EX93" s="112">
        <f t="shared" ca="1" si="128"/>
        <v>0</v>
      </c>
      <c r="EY93" s="114">
        <f t="shared" ca="1" si="151"/>
        <v>0</v>
      </c>
      <c r="EZ93" s="115">
        <v>0</v>
      </c>
      <c r="FA93" s="115">
        <f>147305+95327.5555555556</f>
        <v>242632.55555555562</v>
      </c>
      <c r="FB93" s="115">
        <f>547305</f>
        <v>547305</v>
      </c>
      <c r="FC93" s="115">
        <v>0</v>
      </c>
      <c r="FD93" s="115">
        <f t="shared" si="98"/>
        <v>789937.55555555562</v>
      </c>
      <c r="FE93" s="114">
        <f t="shared" si="87"/>
        <v>0</v>
      </c>
      <c r="FF93" s="115">
        <v>0</v>
      </c>
      <c r="FG93" s="115">
        <v>0</v>
      </c>
      <c r="FH93" s="115">
        <v>0</v>
      </c>
      <c r="FI93" s="115">
        <v>0</v>
      </c>
      <c r="FJ93" s="115">
        <f t="shared" si="99"/>
        <v>0</v>
      </c>
      <c r="FK93" s="114">
        <f t="shared" si="88"/>
        <v>0</v>
      </c>
      <c r="FL93" s="113"/>
      <c r="FM93" s="111"/>
      <c r="FN93" s="111"/>
      <c r="FO93" s="111"/>
      <c r="FP93" s="115">
        <f t="shared" si="129"/>
        <v>0</v>
      </c>
      <c r="FQ93" s="115"/>
      <c r="FR93" s="488"/>
      <c r="FS93" s="115"/>
      <c r="FT93" s="114">
        <f t="shared" si="152"/>
        <v>0</v>
      </c>
      <c r="FU93" s="366">
        <f t="shared" ca="1" si="155"/>
        <v>789937.56</v>
      </c>
      <c r="FV93" s="121">
        <f t="shared" ca="1" si="153"/>
        <v>789937.55555555562</v>
      </c>
      <c r="FW93" s="114">
        <f t="shared" si="157"/>
        <v>0</v>
      </c>
      <c r="FX93" s="114">
        <f t="shared" si="157"/>
        <v>0</v>
      </c>
      <c r="FY93" s="114">
        <f t="shared" si="157"/>
        <v>0</v>
      </c>
      <c r="FZ93" s="114">
        <f t="shared" si="157"/>
        <v>0</v>
      </c>
      <c r="GA93" s="114">
        <f t="shared" si="130"/>
        <v>0</v>
      </c>
      <c r="GB93" s="114">
        <f t="shared" si="158"/>
        <v>0</v>
      </c>
      <c r="GC93" s="114">
        <f t="shared" si="158"/>
        <v>242632.55555555562</v>
      </c>
      <c r="GD93" s="114">
        <f t="shared" si="158"/>
        <v>547305</v>
      </c>
      <c r="GE93" s="114">
        <f t="shared" si="158"/>
        <v>0</v>
      </c>
      <c r="GF93" s="114">
        <f t="shared" si="159"/>
        <v>0</v>
      </c>
      <c r="GG93" s="114">
        <f t="shared" si="159"/>
        <v>242632.55555555562</v>
      </c>
      <c r="GH93" s="114">
        <f t="shared" si="159"/>
        <v>547305</v>
      </c>
      <c r="GI93" s="114">
        <f t="shared" si="159"/>
        <v>0</v>
      </c>
      <c r="GJ93" s="115">
        <f t="shared" si="100"/>
        <v>789937.55555555562</v>
      </c>
      <c r="GK93" s="114">
        <f t="shared" si="131"/>
        <v>789937.55555555562</v>
      </c>
      <c r="GL93" s="114">
        <f t="shared" si="132"/>
        <v>0</v>
      </c>
      <c r="GM93" s="114">
        <f t="shared" si="133"/>
        <v>0</v>
      </c>
      <c r="GN93" s="114">
        <f t="shared" si="134"/>
        <v>0</v>
      </c>
      <c r="GO93" s="114">
        <f t="shared" si="135"/>
        <v>0</v>
      </c>
      <c r="GP93" s="114">
        <f t="shared" si="101"/>
        <v>0</v>
      </c>
      <c r="GQ93" s="114">
        <f t="shared" si="136"/>
        <v>0</v>
      </c>
      <c r="GR93" s="216"/>
      <c r="GS93" s="122">
        <f t="shared" si="109"/>
        <v>68919612.421084449</v>
      </c>
      <c r="GT93" s="122">
        <f t="shared" si="109"/>
        <v>69015161.081442118</v>
      </c>
      <c r="GU93" s="123">
        <f t="shared" si="137"/>
        <v>0.99861554100779515</v>
      </c>
      <c r="GV93" s="124">
        <f t="shared" ca="1" si="138"/>
        <v>0</v>
      </c>
      <c r="GW93" s="124">
        <v>0</v>
      </c>
      <c r="GX93" s="32">
        <f t="shared" ca="1" si="139"/>
        <v>0</v>
      </c>
      <c r="GY93" s="100"/>
    </row>
    <row r="94" spans="1:207" s="152" customFormat="1" ht="15" customHeight="1">
      <c r="A94" s="129"/>
      <c r="B94" s="130"/>
      <c r="C94" s="130"/>
      <c r="D94" s="131"/>
      <c r="E94" s="169" t="s">
        <v>445</v>
      </c>
      <c r="F94" s="169" t="s">
        <v>404</v>
      </c>
      <c r="G94" s="131" t="s">
        <v>226</v>
      </c>
      <c r="H94" s="135" t="s">
        <v>446</v>
      </c>
      <c r="I94" s="133" t="s">
        <v>447</v>
      </c>
      <c r="J94" s="131" t="s">
        <v>207</v>
      </c>
      <c r="K94" s="131" t="s">
        <v>218</v>
      </c>
      <c r="L94" s="131" t="s">
        <v>222</v>
      </c>
      <c r="M94" s="131" t="s">
        <v>448</v>
      </c>
      <c r="N94" s="134"/>
      <c r="O94" s="155">
        <v>40452</v>
      </c>
      <c r="P94" s="155">
        <v>43191</v>
      </c>
      <c r="Q94" s="321">
        <f t="shared" si="112"/>
        <v>0</v>
      </c>
      <c r="R94" s="109">
        <f>IF((P94-VLOOKUP(Q94,month!$A$1:$C$13,3,0))&lt;0,Q94,Q94+1)</f>
        <v>0</v>
      </c>
      <c r="S94" s="108"/>
      <c r="T94" s="135" t="str">
        <f t="shared" si="154"/>
        <v/>
      </c>
      <c r="U94" s="134"/>
      <c r="V94" s="134"/>
      <c r="W94" s="134"/>
      <c r="X94" s="134"/>
      <c r="Y94" s="383"/>
      <c r="Z94" s="383" t="s">
        <v>545</v>
      </c>
      <c r="AA94" s="371">
        <v>1000</v>
      </c>
      <c r="AB94" s="371">
        <v>1000</v>
      </c>
      <c r="AC94" s="371">
        <v>1000</v>
      </c>
      <c r="AD94" s="371">
        <v>1000</v>
      </c>
      <c r="AE94" s="371">
        <v>1000</v>
      </c>
      <c r="AF94" s="371">
        <v>1000</v>
      </c>
      <c r="AG94" s="371">
        <v>1000</v>
      </c>
      <c r="AH94" s="371">
        <v>1000</v>
      </c>
      <c r="AI94" s="371">
        <v>1000</v>
      </c>
      <c r="AJ94" s="371">
        <v>1000</v>
      </c>
      <c r="AK94" s="371">
        <v>1000</v>
      </c>
      <c r="AL94" s="371">
        <v>1000</v>
      </c>
      <c r="AM94" s="384">
        <f t="shared" si="92"/>
        <v>12000</v>
      </c>
      <c r="AN94" s="384">
        <f t="shared" si="113"/>
        <v>12000</v>
      </c>
      <c r="AO94" s="385">
        <f t="shared" si="156"/>
        <v>1000</v>
      </c>
      <c r="AP94" s="497" t="s">
        <v>672</v>
      </c>
      <c r="AQ94" s="156">
        <v>0.4</v>
      </c>
      <c r="AR94" s="157" t="s">
        <v>211</v>
      </c>
      <c r="AS94" s="146" t="s">
        <v>210</v>
      </c>
      <c r="AT94" s="136">
        <v>3379521.1219363259</v>
      </c>
      <c r="AU94" s="136">
        <v>7327548.5634185346</v>
      </c>
      <c r="AV94" s="136">
        <v>5599955.3026327584</v>
      </c>
      <c r="AW94" s="136">
        <v>6039590.4343528077</v>
      </c>
      <c r="AX94" s="138">
        <v>3463592.7112599993</v>
      </c>
      <c r="AY94" s="138">
        <v>7899234.3228099998</v>
      </c>
      <c r="AZ94" s="138">
        <v>6302483.1859700009</v>
      </c>
      <c r="BA94" s="138">
        <v>6588538.9955100007</v>
      </c>
      <c r="BB94" s="138"/>
      <c r="BC94" s="138"/>
      <c r="BD94" s="138"/>
      <c r="BE94" s="138"/>
      <c r="BF94" s="139">
        <f t="shared" si="102"/>
        <v>3463592.7112599993</v>
      </c>
      <c r="BG94" s="139">
        <f t="shared" si="102"/>
        <v>7899234.3228099998</v>
      </c>
      <c r="BH94" s="139">
        <f t="shared" si="102"/>
        <v>6302483.1859700009</v>
      </c>
      <c r="BI94" s="139">
        <f t="shared" si="102"/>
        <v>6588538.9955100007</v>
      </c>
      <c r="BJ94" s="139">
        <f t="shared" si="108"/>
        <v>24253849.215550002</v>
      </c>
      <c r="BK94" s="140">
        <f t="shared" si="94"/>
        <v>22346615.422340427</v>
      </c>
      <c r="BL94" s="140">
        <f t="shared" si="140"/>
        <v>22346615.422340427</v>
      </c>
      <c r="BM94" s="141">
        <f t="shared" si="141"/>
        <v>1.0852999999999999</v>
      </c>
      <c r="BN94" s="142">
        <f t="shared" ca="1" si="114"/>
        <v>0</v>
      </c>
      <c r="BO94" s="143">
        <f t="shared" ca="1" si="115"/>
        <v>0</v>
      </c>
      <c r="BP94" s="144" t="str">
        <f t="shared" si="116"/>
        <v>Uncapped</v>
      </c>
      <c r="BQ94" s="140">
        <f t="shared" ca="1" si="117"/>
        <v>0</v>
      </c>
      <c r="BR94" s="138" t="s">
        <v>692</v>
      </c>
      <c r="BS94" s="158">
        <v>0.4</v>
      </c>
      <c r="BT94" s="138" t="s">
        <v>211</v>
      </c>
      <c r="BU94" s="157" t="s">
        <v>210</v>
      </c>
      <c r="BV94" s="138">
        <v>7503606.8202462839</v>
      </c>
      <c r="BW94" s="138">
        <v>8053589.731983399</v>
      </c>
      <c r="BX94" s="138">
        <v>8496001.8380627688</v>
      </c>
      <c r="BY94" s="138">
        <v>8697930.0394548904</v>
      </c>
      <c r="BZ94" s="138">
        <v>7755486.3438000018</v>
      </c>
      <c r="CA94" s="138">
        <v>6815255.5627299994</v>
      </c>
      <c r="CB94" s="138">
        <v>8017330.7311999984</v>
      </c>
      <c r="CC94" s="138">
        <v>8207270.3578199986</v>
      </c>
      <c r="CD94" s="138"/>
      <c r="CE94" s="138"/>
      <c r="CF94" s="138"/>
      <c r="CG94" s="138"/>
      <c r="CH94" s="139">
        <f t="shared" si="103"/>
        <v>7755486.3438000018</v>
      </c>
      <c r="CI94" s="139">
        <f t="shared" si="103"/>
        <v>6815255.5627299994</v>
      </c>
      <c r="CJ94" s="145">
        <f t="shared" si="103"/>
        <v>8017330.7311999984</v>
      </c>
      <c r="CK94" s="139">
        <f t="shared" si="103"/>
        <v>8207270.3578199986</v>
      </c>
      <c r="CL94" s="139">
        <f t="shared" si="118"/>
        <v>30795342.995549999</v>
      </c>
      <c r="CM94" s="139">
        <f t="shared" si="95"/>
        <v>32751128.429747343</v>
      </c>
      <c r="CN94" s="139">
        <f t="shared" si="142"/>
        <v>32751128.429747343</v>
      </c>
      <c r="CO94" s="141">
        <f t="shared" si="143"/>
        <v>0.94030000000000002</v>
      </c>
      <c r="CP94" s="142">
        <f t="shared" ca="1" si="144"/>
        <v>0</v>
      </c>
      <c r="CQ94" s="140">
        <f t="shared" ca="1" si="119"/>
        <v>0</v>
      </c>
      <c r="CR94" s="144" t="str">
        <f t="shared" si="145"/>
        <v>Uncapped</v>
      </c>
      <c r="CS94" s="140">
        <f t="shared" ca="1" si="120"/>
        <v>0</v>
      </c>
      <c r="CT94" s="138" t="s">
        <v>696</v>
      </c>
      <c r="CU94" s="158">
        <v>0.2</v>
      </c>
      <c r="CV94" s="138" t="s">
        <v>217</v>
      </c>
      <c r="CW94" s="138" t="s">
        <v>210</v>
      </c>
      <c r="CX94" s="138">
        <v>61881722.047854595</v>
      </c>
      <c r="CY94" s="138">
        <v>72180793.063260496</v>
      </c>
      <c r="CZ94" s="138">
        <v>69179032.514420599</v>
      </c>
      <c r="DA94" s="138">
        <v>76323964.015026003</v>
      </c>
      <c r="DB94" s="138">
        <v>63657388.730680585</v>
      </c>
      <c r="DC94" s="138">
        <v>65995192.891159974</v>
      </c>
      <c r="DD94" s="138">
        <v>66410604.684560001</v>
      </c>
      <c r="DE94" s="138">
        <f>VLOOKUP($H94,[2]pivot!$V:$Z,$DE$2,FALSE)</f>
        <v>77591011.898499951</v>
      </c>
      <c r="DF94" s="138"/>
      <c r="DG94" s="138"/>
      <c r="DH94" s="138"/>
      <c r="DI94" s="138"/>
      <c r="DJ94" s="139">
        <f t="shared" si="104"/>
        <v>63657388.730680585</v>
      </c>
      <c r="DK94" s="139">
        <f t="shared" si="104"/>
        <v>65995192.891159974</v>
      </c>
      <c r="DL94" s="139">
        <f t="shared" si="104"/>
        <v>66410604.684560001</v>
      </c>
      <c r="DM94" s="139">
        <f t="shared" si="104"/>
        <v>77591011.898499951</v>
      </c>
      <c r="DN94" s="139">
        <f t="shared" si="84"/>
        <v>273654198.2049005</v>
      </c>
      <c r="DO94" s="139">
        <f t="shared" si="96"/>
        <v>279565511.6405617</v>
      </c>
      <c r="DP94" s="139">
        <f t="shared" si="105"/>
        <v>279565511.6405617</v>
      </c>
      <c r="DQ94" s="141">
        <f t="shared" si="146"/>
        <v>0.97889999999999999</v>
      </c>
      <c r="DR94" s="142">
        <f t="shared" ca="1" si="121"/>
        <v>0</v>
      </c>
      <c r="DS94" s="140">
        <f t="shared" ca="1" si="122"/>
        <v>0</v>
      </c>
      <c r="DT94" s="144" t="str">
        <f t="shared" si="147"/>
        <v>Uncapped</v>
      </c>
      <c r="DU94" s="140">
        <f t="shared" ca="1" si="123"/>
        <v>0</v>
      </c>
      <c r="DV94" s="138"/>
      <c r="DW94" s="146">
        <v>0</v>
      </c>
      <c r="DX94" s="138"/>
      <c r="DY94" s="138"/>
      <c r="DZ94" s="138">
        <v>0</v>
      </c>
      <c r="EA94" s="138">
        <v>0</v>
      </c>
      <c r="EB94" s="138">
        <v>0</v>
      </c>
      <c r="EC94" s="138">
        <v>0</v>
      </c>
      <c r="ED94" s="138">
        <v>0</v>
      </c>
      <c r="EE94" s="138">
        <v>0</v>
      </c>
      <c r="EF94" s="138"/>
      <c r="EG94" s="138"/>
      <c r="EH94" s="138"/>
      <c r="EI94" s="138"/>
      <c r="EJ94" s="138"/>
      <c r="EK94" s="138"/>
      <c r="EL94" s="139">
        <f t="shared" si="106"/>
        <v>0</v>
      </c>
      <c r="EM94" s="139">
        <f t="shared" si="106"/>
        <v>0</v>
      </c>
      <c r="EN94" s="139">
        <f t="shared" si="106"/>
        <v>0</v>
      </c>
      <c r="EO94" s="139">
        <f t="shared" si="106"/>
        <v>0</v>
      </c>
      <c r="EP94" s="139">
        <f t="shared" si="124"/>
        <v>0</v>
      </c>
      <c r="EQ94" s="139">
        <f t="shared" si="97"/>
        <v>0</v>
      </c>
      <c r="ER94" s="139">
        <f t="shared" si="148"/>
        <v>0</v>
      </c>
      <c r="ES94" s="141">
        <f t="shared" si="149"/>
        <v>0</v>
      </c>
      <c r="ET94" s="142">
        <f t="shared" ca="1" si="150"/>
        <v>0</v>
      </c>
      <c r="EU94" s="140">
        <f t="shared" ca="1" si="125"/>
        <v>0</v>
      </c>
      <c r="EV94" s="144" t="str">
        <f t="shared" si="126"/>
        <v>Uncapped</v>
      </c>
      <c r="EW94" s="140">
        <f t="shared" ca="1" si="127"/>
        <v>0</v>
      </c>
      <c r="EX94" s="137">
        <f t="shared" ca="1" si="128"/>
        <v>0</v>
      </c>
      <c r="EY94" s="139">
        <f t="shared" ca="1" si="151"/>
        <v>0</v>
      </c>
      <c r="EZ94" s="140">
        <v>0</v>
      </c>
      <c r="FA94" s="140"/>
      <c r="FB94" s="140"/>
      <c r="FC94" s="140">
        <v>0</v>
      </c>
      <c r="FD94" s="140">
        <f t="shared" si="98"/>
        <v>0</v>
      </c>
      <c r="FE94" s="139">
        <f t="shared" si="87"/>
        <v>0</v>
      </c>
      <c r="FF94" s="140">
        <v>0</v>
      </c>
      <c r="FG94" s="140">
        <v>0</v>
      </c>
      <c r="FH94" s="140">
        <v>0</v>
      </c>
      <c r="FI94" s="140">
        <v>0</v>
      </c>
      <c r="FJ94" s="140">
        <f t="shared" si="99"/>
        <v>0</v>
      </c>
      <c r="FK94" s="139">
        <f t="shared" si="88"/>
        <v>0</v>
      </c>
      <c r="FL94" s="138"/>
      <c r="FM94" s="136"/>
      <c r="FN94" s="136"/>
      <c r="FO94" s="136"/>
      <c r="FP94" s="140">
        <f t="shared" si="129"/>
        <v>0</v>
      </c>
      <c r="FQ94" s="140"/>
      <c r="FR94" s="140"/>
      <c r="FS94" s="140"/>
      <c r="FT94" s="139">
        <f t="shared" si="152"/>
        <v>0</v>
      </c>
      <c r="FU94" s="365">
        <f t="shared" ca="1" si="155"/>
        <v>0</v>
      </c>
      <c r="FV94" s="147">
        <f t="shared" ca="1" si="153"/>
        <v>0</v>
      </c>
      <c r="FW94" s="139">
        <f t="shared" si="157"/>
        <v>0</v>
      </c>
      <c r="FX94" s="139">
        <f t="shared" si="157"/>
        <v>0</v>
      </c>
      <c r="FY94" s="139">
        <f t="shared" si="157"/>
        <v>0</v>
      </c>
      <c r="FZ94" s="139">
        <f t="shared" si="157"/>
        <v>0</v>
      </c>
      <c r="GA94" s="139">
        <f t="shared" si="130"/>
        <v>0</v>
      </c>
      <c r="GB94" s="139">
        <f t="shared" si="158"/>
        <v>0</v>
      </c>
      <c r="GC94" s="139">
        <f t="shared" si="158"/>
        <v>0</v>
      </c>
      <c r="GD94" s="139">
        <f t="shared" si="158"/>
        <v>0</v>
      </c>
      <c r="GE94" s="139">
        <f t="shared" si="158"/>
        <v>0</v>
      </c>
      <c r="GF94" s="139">
        <f t="shared" si="159"/>
        <v>0</v>
      </c>
      <c r="GG94" s="139">
        <f t="shared" si="159"/>
        <v>0</v>
      </c>
      <c r="GH94" s="139">
        <f t="shared" si="159"/>
        <v>0</v>
      </c>
      <c r="GI94" s="139">
        <f t="shared" si="159"/>
        <v>0</v>
      </c>
      <c r="GJ94" s="140">
        <f t="shared" si="100"/>
        <v>0</v>
      </c>
      <c r="GK94" s="139">
        <f t="shared" si="131"/>
        <v>0</v>
      </c>
      <c r="GL94" s="139">
        <f t="shared" si="132"/>
        <v>0</v>
      </c>
      <c r="GM94" s="139">
        <f t="shared" si="133"/>
        <v>0</v>
      </c>
      <c r="GN94" s="139">
        <f t="shared" si="134"/>
        <v>0</v>
      </c>
      <c r="GO94" s="139">
        <f t="shared" si="135"/>
        <v>0</v>
      </c>
      <c r="GP94" s="139">
        <f t="shared" si="101"/>
        <v>0</v>
      </c>
      <c r="GQ94" s="139">
        <f t="shared" si="136"/>
        <v>0</v>
      </c>
      <c r="GR94" s="409"/>
      <c r="GS94" s="148">
        <f t="shared" si="109"/>
        <v>328703390.41600049</v>
      </c>
      <c r="GT94" s="148">
        <f t="shared" si="109"/>
        <v>334663255.49264944</v>
      </c>
      <c r="GU94" s="149">
        <f t="shared" si="137"/>
        <v>0.98219145669913599</v>
      </c>
      <c r="GV94" s="150">
        <f t="shared" ca="1" si="138"/>
        <v>0</v>
      </c>
      <c r="GW94" s="150">
        <v>0</v>
      </c>
      <c r="GX94" s="151">
        <f t="shared" ca="1" si="139"/>
        <v>0</v>
      </c>
      <c r="GY94" s="100"/>
    </row>
    <row r="95" spans="1:207" s="125" customFormat="1" ht="15" customHeight="1">
      <c r="A95" s="102"/>
      <c r="B95" s="103"/>
      <c r="C95" s="103"/>
      <c r="D95" s="104"/>
      <c r="E95" s="104" t="s">
        <v>449</v>
      </c>
      <c r="F95" s="170" t="s">
        <v>445</v>
      </c>
      <c r="G95" s="104" t="s">
        <v>226</v>
      </c>
      <c r="H95" s="127" t="s">
        <v>450</v>
      </c>
      <c r="I95" s="106" t="s">
        <v>451</v>
      </c>
      <c r="J95" s="104" t="s">
        <v>207</v>
      </c>
      <c r="K95" s="104" t="s">
        <v>218</v>
      </c>
      <c r="L95" s="104" t="s">
        <v>223</v>
      </c>
      <c r="M95" s="104" t="s">
        <v>223</v>
      </c>
      <c r="N95" s="107"/>
      <c r="O95" s="108">
        <v>41211</v>
      </c>
      <c r="P95" s="108">
        <v>41211</v>
      </c>
      <c r="Q95" s="322">
        <f t="shared" si="112"/>
        <v>0</v>
      </c>
      <c r="R95" s="109">
        <f>IF((P95-VLOOKUP(Q95,month!$A$1:$C$13,3,0))&lt;0,Q95,Q95+1)</f>
        <v>0</v>
      </c>
      <c r="S95" s="108"/>
      <c r="T95" s="110" t="str">
        <f t="shared" si="154"/>
        <v/>
      </c>
      <c r="U95" s="107"/>
      <c r="V95" s="107"/>
      <c r="W95" s="107"/>
      <c r="X95" s="107"/>
      <c r="Y95" s="386"/>
      <c r="Z95" s="386" t="s">
        <v>545</v>
      </c>
      <c r="AA95" s="387">
        <v>1000</v>
      </c>
      <c r="AB95" s="387">
        <v>1000</v>
      </c>
      <c r="AC95" s="387">
        <v>1000</v>
      </c>
      <c r="AD95" s="387">
        <v>1000</v>
      </c>
      <c r="AE95" s="387">
        <v>1000</v>
      </c>
      <c r="AF95" s="387">
        <v>1000</v>
      </c>
      <c r="AG95" s="387">
        <v>1000</v>
      </c>
      <c r="AH95" s="387">
        <v>1000</v>
      </c>
      <c r="AI95" s="387">
        <v>1000</v>
      </c>
      <c r="AJ95" s="387">
        <v>1000</v>
      </c>
      <c r="AK95" s="387">
        <v>1000</v>
      </c>
      <c r="AL95" s="387">
        <v>1000</v>
      </c>
      <c r="AM95" s="388">
        <f t="shared" ref="AM95:AM122" si="164">IF($H$2=1,SUM(AA95:AC95),IF($H$2=2,SUM(AA95:AF95),IF($H$2=3,SUM(AA95:AI95),SUM(AA95:AL95))))</f>
        <v>12000</v>
      </c>
      <c r="AN95" s="388">
        <f t="shared" si="113"/>
        <v>12000</v>
      </c>
      <c r="AO95" s="389">
        <f t="shared" si="156"/>
        <v>1000</v>
      </c>
      <c r="AP95" s="498" t="s">
        <v>672</v>
      </c>
      <c r="AQ95" s="159">
        <v>0.5</v>
      </c>
      <c r="AR95" s="160" t="s">
        <v>211</v>
      </c>
      <c r="AS95" s="119" t="s">
        <v>210</v>
      </c>
      <c r="AT95" s="111">
        <v>3379521.1219363259</v>
      </c>
      <c r="AU95" s="111">
        <v>7327548.5634185346</v>
      </c>
      <c r="AV95" s="111">
        <v>5599955.3026327584</v>
      </c>
      <c r="AW95" s="111">
        <v>6039590.4343528077</v>
      </c>
      <c r="AX95" s="113">
        <v>3463592.7112599993</v>
      </c>
      <c r="AY95" s="113">
        <v>7899234.3228099998</v>
      </c>
      <c r="AZ95" s="113">
        <v>6302483.1859700009</v>
      </c>
      <c r="BA95" s="113">
        <v>6588538.9955100007</v>
      </c>
      <c r="BB95" s="113"/>
      <c r="BC95" s="113"/>
      <c r="BD95" s="113"/>
      <c r="BE95" s="113"/>
      <c r="BF95" s="114">
        <f t="shared" si="102"/>
        <v>3463592.7112599993</v>
      </c>
      <c r="BG95" s="114">
        <f t="shared" si="102"/>
        <v>7899234.3228099998</v>
      </c>
      <c r="BH95" s="114">
        <f t="shared" si="102"/>
        <v>6302483.1859700009</v>
      </c>
      <c r="BI95" s="114">
        <f t="shared" si="102"/>
        <v>6588538.9955100007</v>
      </c>
      <c r="BJ95" s="114">
        <f t="shared" si="108"/>
        <v>24253849.215550002</v>
      </c>
      <c r="BK95" s="115">
        <f t="shared" si="94"/>
        <v>22346615.422340427</v>
      </c>
      <c r="BL95" s="115">
        <f t="shared" si="140"/>
        <v>22346615.422340427</v>
      </c>
      <c r="BM95" s="116">
        <f t="shared" si="141"/>
        <v>1.0852999999999999</v>
      </c>
      <c r="BN95" s="126">
        <f t="shared" ca="1" si="114"/>
        <v>0</v>
      </c>
      <c r="BO95" s="117">
        <f t="shared" ca="1" si="115"/>
        <v>0</v>
      </c>
      <c r="BP95" s="118" t="str">
        <f t="shared" si="116"/>
        <v>Uncapped</v>
      </c>
      <c r="BQ95" s="115">
        <f t="shared" ca="1" si="117"/>
        <v>0</v>
      </c>
      <c r="BR95" s="113" t="s">
        <v>692</v>
      </c>
      <c r="BS95" s="161">
        <v>0.3</v>
      </c>
      <c r="BT95" s="113" t="s">
        <v>211</v>
      </c>
      <c r="BU95" s="160" t="s">
        <v>210</v>
      </c>
      <c r="BV95" s="113">
        <v>7503606.8202462839</v>
      </c>
      <c r="BW95" s="113">
        <v>8053589.731983399</v>
      </c>
      <c r="BX95" s="113">
        <v>8496001.8380627688</v>
      </c>
      <c r="BY95" s="113">
        <v>8697930.0394548904</v>
      </c>
      <c r="BZ95" s="113">
        <v>7755486.3438000018</v>
      </c>
      <c r="CA95" s="113">
        <v>6815255.5627299994</v>
      </c>
      <c r="CB95" s="113">
        <v>8017330.7311999984</v>
      </c>
      <c r="CC95" s="113">
        <v>8207270.3578199986</v>
      </c>
      <c r="CD95" s="113"/>
      <c r="CE95" s="113"/>
      <c r="CF95" s="113"/>
      <c r="CG95" s="113"/>
      <c r="CH95" s="114">
        <f t="shared" si="103"/>
        <v>7755486.3438000018</v>
      </c>
      <c r="CI95" s="114">
        <f t="shared" si="103"/>
        <v>6815255.5627299994</v>
      </c>
      <c r="CJ95" s="120">
        <f t="shared" si="103"/>
        <v>8017330.7311999984</v>
      </c>
      <c r="CK95" s="114">
        <f t="shared" si="103"/>
        <v>8207270.3578199986</v>
      </c>
      <c r="CL95" s="114">
        <f t="shared" si="118"/>
        <v>30795342.995549999</v>
      </c>
      <c r="CM95" s="114">
        <f t="shared" si="95"/>
        <v>32751128.429747343</v>
      </c>
      <c r="CN95" s="114">
        <f t="shared" si="142"/>
        <v>32751128.429747343</v>
      </c>
      <c r="CO95" s="116">
        <f t="shared" si="143"/>
        <v>0.94030000000000002</v>
      </c>
      <c r="CP95" s="126">
        <f t="shared" ca="1" si="144"/>
        <v>0</v>
      </c>
      <c r="CQ95" s="115">
        <f t="shared" ca="1" si="119"/>
        <v>0</v>
      </c>
      <c r="CR95" s="118" t="str">
        <f t="shared" si="145"/>
        <v>Uncapped</v>
      </c>
      <c r="CS95" s="115">
        <f t="shared" ca="1" si="120"/>
        <v>0</v>
      </c>
      <c r="CT95" s="113" t="s">
        <v>696</v>
      </c>
      <c r="CU95" s="119">
        <v>0.2</v>
      </c>
      <c r="CV95" s="113" t="s">
        <v>217</v>
      </c>
      <c r="CW95" s="113" t="s">
        <v>210</v>
      </c>
      <c r="CX95" s="113">
        <v>61881722.047854595</v>
      </c>
      <c r="CY95" s="113">
        <v>72180793.063260496</v>
      </c>
      <c r="CZ95" s="113">
        <v>69179032.514420599</v>
      </c>
      <c r="DA95" s="113">
        <v>76323964.015026003</v>
      </c>
      <c r="DB95" s="113">
        <v>63657388.730680585</v>
      </c>
      <c r="DC95" s="113">
        <v>65995192.891159974</v>
      </c>
      <c r="DD95" s="113">
        <v>66410604.684560001</v>
      </c>
      <c r="DE95" s="113">
        <f>VLOOKUP($H95,[2]pivot!$V:$Z,$DE$2,FALSE)</f>
        <v>77591011.898499951</v>
      </c>
      <c r="DF95" s="113"/>
      <c r="DG95" s="113"/>
      <c r="DH95" s="113"/>
      <c r="DI95" s="113"/>
      <c r="DJ95" s="114">
        <f t="shared" si="104"/>
        <v>63657388.730680585</v>
      </c>
      <c r="DK95" s="114">
        <f t="shared" si="104"/>
        <v>65995192.891159974</v>
      </c>
      <c r="DL95" s="114">
        <f t="shared" si="104"/>
        <v>66410604.684560001</v>
      </c>
      <c r="DM95" s="114">
        <f t="shared" si="104"/>
        <v>77591011.898499951</v>
      </c>
      <c r="DN95" s="114">
        <f t="shared" si="84"/>
        <v>273654198.2049005</v>
      </c>
      <c r="DO95" s="114">
        <f t="shared" si="96"/>
        <v>279565511.6405617</v>
      </c>
      <c r="DP95" s="114">
        <f t="shared" si="105"/>
        <v>279565511.6405617</v>
      </c>
      <c r="DQ95" s="116">
        <f t="shared" si="146"/>
        <v>0.97889999999999999</v>
      </c>
      <c r="DR95" s="126">
        <f t="shared" ca="1" si="121"/>
        <v>0</v>
      </c>
      <c r="DS95" s="115">
        <f t="shared" ca="1" si="122"/>
        <v>0</v>
      </c>
      <c r="DT95" s="118" t="str">
        <f t="shared" si="147"/>
        <v>Uncapped</v>
      </c>
      <c r="DU95" s="115">
        <f t="shared" ca="1" si="123"/>
        <v>0</v>
      </c>
      <c r="DV95" s="113"/>
      <c r="DW95" s="119">
        <v>0</v>
      </c>
      <c r="DX95" s="113"/>
      <c r="DY95" s="113"/>
      <c r="DZ95" s="113">
        <v>0</v>
      </c>
      <c r="EA95" s="113">
        <v>0</v>
      </c>
      <c r="EB95" s="113">
        <v>0</v>
      </c>
      <c r="EC95" s="113">
        <v>0</v>
      </c>
      <c r="ED95" s="113">
        <v>0</v>
      </c>
      <c r="EE95" s="113">
        <v>0</v>
      </c>
      <c r="EF95" s="113"/>
      <c r="EG95" s="113"/>
      <c r="EH95" s="113"/>
      <c r="EI95" s="113"/>
      <c r="EJ95" s="113"/>
      <c r="EK95" s="113"/>
      <c r="EL95" s="114">
        <f t="shared" si="106"/>
        <v>0</v>
      </c>
      <c r="EM95" s="114">
        <f t="shared" si="106"/>
        <v>0</v>
      </c>
      <c r="EN95" s="114">
        <f t="shared" si="106"/>
        <v>0</v>
      </c>
      <c r="EO95" s="114">
        <f t="shared" si="106"/>
        <v>0</v>
      </c>
      <c r="EP95" s="114">
        <f t="shared" si="124"/>
        <v>0</v>
      </c>
      <c r="EQ95" s="114">
        <f t="shared" si="97"/>
        <v>0</v>
      </c>
      <c r="ER95" s="114">
        <f t="shared" si="148"/>
        <v>0</v>
      </c>
      <c r="ES95" s="116">
        <f t="shared" si="149"/>
        <v>0</v>
      </c>
      <c r="ET95" s="126">
        <f t="shared" ca="1" si="150"/>
        <v>0</v>
      </c>
      <c r="EU95" s="115">
        <f t="shared" ca="1" si="125"/>
        <v>0</v>
      </c>
      <c r="EV95" s="118" t="str">
        <f t="shared" si="126"/>
        <v>Uncapped</v>
      </c>
      <c r="EW95" s="115">
        <f t="shared" ca="1" si="127"/>
        <v>0</v>
      </c>
      <c r="EX95" s="112">
        <f t="shared" ca="1" si="128"/>
        <v>0</v>
      </c>
      <c r="EY95" s="114">
        <f t="shared" ca="1" si="151"/>
        <v>0</v>
      </c>
      <c r="EZ95" s="115">
        <v>0</v>
      </c>
      <c r="FA95" s="115"/>
      <c r="FB95" s="115"/>
      <c r="FC95" s="115">
        <v>0</v>
      </c>
      <c r="FD95" s="115">
        <f t="shared" si="98"/>
        <v>0</v>
      </c>
      <c r="FE95" s="114">
        <f t="shared" si="87"/>
        <v>0</v>
      </c>
      <c r="FF95" s="115">
        <v>0</v>
      </c>
      <c r="FG95" s="115">
        <v>0</v>
      </c>
      <c r="FH95" s="115">
        <v>0</v>
      </c>
      <c r="FI95" s="115">
        <v>0</v>
      </c>
      <c r="FJ95" s="115">
        <f t="shared" si="99"/>
        <v>0</v>
      </c>
      <c r="FK95" s="114">
        <f t="shared" si="88"/>
        <v>0</v>
      </c>
      <c r="FL95" s="113"/>
      <c r="FM95" s="111"/>
      <c r="FN95" s="111"/>
      <c r="FO95" s="111"/>
      <c r="FP95" s="115">
        <f t="shared" si="129"/>
        <v>0</v>
      </c>
      <c r="FQ95" s="115"/>
      <c r="FR95" s="115"/>
      <c r="FS95" s="115"/>
      <c r="FT95" s="114">
        <f t="shared" si="152"/>
        <v>0</v>
      </c>
      <c r="FU95" s="366">
        <f t="shared" ca="1" si="155"/>
        <v>0</v>
      </c>
      <c r="FV95" s="121">
        <f t="shared" ca="1" si="153"/>
        <v>0</v>
      </c>
      <c r="FW95" s="114">
        <f t="shared" si="157"/>
        <v>0</v>
      </c>
      <c r="FX95" s="114">
        <f t="shared" si="157"/>
        <v>0</v>
      </c>
      <c r="FY95" s="114">
        <f t="shared" si="157"/>
        <v>0</v>
      </c>
      <c r="FZ95" s="114">
        <f t="shared" si="157"/>
        <v>0</v>
      </c>
      <c r="GA95" s="114">
        <f t="shared" si="130"/>
        <v>0</v>
      </c>
      <c r="GB95" s="114">
        <f t="shared" si="158"/>
        <v>0</v>
      </c>
      <c r="GC95" s="114">
        <f t="shared" si="158"/>
        <v>0</v>
      </c>
      <c r="GD95" s="114">
        <f t="shared" si="158"/>
        <v>0</v>
      </c>
      <c r="GE95" s="114">
        <f t="shared" si="158"/>
        <v>0</v>
      </c>
      <c r="GF95" s="114">
        <f t="shared" si="159"/>
        <v>0</v>
      </c>
      <c r="GG95" s="114">
        <f t="shared" si="159"/>
        <v>0</v>
      </c>
      <c r="GH95" s="114">
        <f t="shared" si="159"/>
        <v>0</v>
      </c>
      <c r="GI95" s="114">
        <f t="shared" si="159"/>
        <v>0</v>
      </c>
      <c r="GJ95" s="115">
        <f t="shared" si="100"/>
        <v>0</v>
      </c>
      <c r="GK95" s="114">
        <f t="shared" si="131"/>
        <v>0</v>
      </c>
      <c r="GL95" s="114">
        <f t="shared" si="132"/>
        <v>0</v>
      </c>
      <c r="GM95" s="114">
        <f t="shared" si="133"/>
        <v>0</v>
      </c>
      <c r="GN95" s="114">
        <f t="shared" si="134"/>
        <v>0</v>
      </c>
      <c r="GO95" s="114">
        <f t="shared" si="135"/>
        <v>0</v>
      </c>
      <c r="GP95" s="114">
        <f t="shared" si="101"/>
        <v>0</v>
      </c>
      <c r="GQ95" s="114">
        <f t="shared" si="136"/>
        <v>0</v>
      </c>
      <c r="GR95" s="193"/>
      <c r="GS95" s="122">
        <f t="shared" si="109"/>
        <v>328703390.41600049</v>
      </c>
      <c r="GT95" s="122">
        <f t="shared" si="109"/>
        <v>334663255.49264944</v>
      </c>
      <c r="GU95" s="123">
        <f t="shared" si="137"/>
        <v>0.98219145669913599</v>
      </c>
      <c r="GV95" s="124">
        <f t="shared" ca="1" si="138"/>
        <v>0</v>
      </c>
      <c r="GW95" s="124">
        <v>0</v>
      </c>
      <c r="GX95" s="32">
        <f t="shared" ca="1" si="139"/>
        <v>0</v>
      </c>
      <c r="GY95" s="100"/>
    </row>
    <row r="96" spans="1:207" s="125" customFormat="1" ht="15" customHeight="1">
      <c r="A96" s="102"/>
      <c r="B96" s="103"/>
      <c r="C96" s="103"/>
      <c r="D96" s="104"/>
      <c r="E96" s="104" t="s">
        <v>449</v>
      </c>
      <c r="F96" s="104" t="s">
        <v>449</v>
      </c>
      <c r="G96" s="104" t="s">
        <v>226</v>
      </c>
      <c r="H96" s="127" t="s">
        <v>452</v>
      </c>
      <c r="I96" s="106" t="s">
        <v>453</v>
      </c>
      <c r="J96" s="104" t="s">
        <v>212</v>
      </c>
      <c r="K96" s="104" t="s">
        <v>218</v>
      </c>
      <c r="L96" s="104" t="s">
        <v>223</v>
      </c>
      <c r="M96" s="104" t="s">
        <v>223</v>
      </c>
      <c r="N96" s="107"/>
      <c r="O96" s="108">
        <v>42926</v>
      </c>
      <c r="P96" s="108">
        <v>42926</v>
      </c>
      <c r="Q96" s="322">
        <f t="shared" si="112"/>
        <v>0</v>
      </c>
      <c r="R96" s="109">
        <f>IF((P96-VLOOKUP(Q96,month!$A$1:$C$13,3,0))&lt;0,Q96,Q96+1)</f>
        <v>0</v>
      </c>
      <c r="S96" s="108"/>
      <c r="T96" s="127" t="str">
        <f t="shared" si="154"/>
        <v/>
      </c>
      <c r="U96" s="107"/>
      <c r="V96" s="107"/>
      <c r="W96" s="107"/>
      <c r="X96" s="107"/>
      <c r="Y96" s="386"/>
      <c r="Z96" s="386" t="s">
        <v>545</v>
      </c>
      <c r="AA96" s="387">
        <v>1000</v>
      </c>
      <c r="AB96" s="387">
        <v>1000</v>
      </c>
      <c r="AC96" s="387">
        <v>1000</v>
      </c>
      <c r="AD96" s="387">
        <v>1000</v>
      </c>
      <c r="AE96" s="387">
        <v>1000</v>
      </c>
      <c r="AF96" s="387">
        <v>1000</v>
      </c>
      <c r="AG96" s="387">
        <v>1000</v>
      </c>
      <c r="AH96" s="387">
        <v>1000</v>
      </c>
      <c r="AI96" s="387">
        <v>1000</v>
      </c>
      <c r="AJ96" s="387">
        <v>1000</v>
      </c>
      <c r="AK96" s="387">
        <v>1000</v>
      </c>
      <c r="AL96" s="387">
        <v>1000</v>
      </c>
      <c r="AM96" s="388">
        <f t="shared" si="164"/>
        <v>12000</v>
      </c>
      <c r="AN96" s="388">
        <f t="shared" si="113"/>
        <v>12000</v>
      </c>
      <c r="AO96" s="389">
        <f t="shared" si="156"/>
        <v>1000</v>
      </c>
      <c r="AP96" s="498" t="s">
        <v>672</v>
      </c>
      <c r="AQ96" s="159">
        <v>0.5</v>
      </c>
      <c r="AR96" s="160" t="s">
        <v>392</v>
      </c>
      <c r="AS96" s="119" t="s">
        <v>210</v>
      </c>
      <c r="AT96" s="111">
        <v>3379521.1219363259</v>
      </c>
      <c r="AU96" s="111">
        <v>7327548.5634185346</v>
      </c>
      <c r="AV96" s="111">
        <v>5599955.3026327584</v>
      </c>
      <c r="AW96" s="111">
        <v>6039590.4343528077</v>
      </c>
      <c r="AX96" s="113">
        <v>3463592.7112599993</v>
      </c>
      <c r="AY96" s="113">
        <v>7899234.3228099998</v>
      </c>
      <c r="AZ96" s="113">
        <v>6302483.1859700009</v>
      </c>
      <c r="BA96" s="113">
        <v>6588538.9955100007</v>
      </c>
      <c r="BB96" s="113"/>
      <c r="BC96" s="113"/>
      <c r="BD96" s="113"/>
      <c r="BE96" s="113"/>
      <c r="BF96" s="114">
        <f t="shared" si="102"/>
        <v>3463592.7112599993</v>
      </c>
      <c r="BG96" s="114">
        <f t="shared" si="102"/>
        <v>7899234.3228099998</v>
      </c>
      <c r="BH96" s="114">
        <f t="shared" si="102"/>
        <v>6302483.1859700009</v>
      </c>
      <c r="BI96" s="114">
        <f t="shared" si="102"/>
        <v>6588538.9955100007</v>
      </c>
      <c r="BJ96" s="114">
        <f t="shared" ref="BJ96:BJ124" si="165">IF($BB$3="After AR Adjustment",IF($H$2=1,BF96,IF($H$2=2,SUM(BF96:BG96),IF($H$2=3,SUM(BF96:BH96),SUM(BF96:BI96)))),IF($H$2=1,AX96,IF($H$2=2,SUM(AX96:AY96),IF($H$2=3,SUM(AX96:AZ96),SUM(AX96:BA96)))))</f>
        <v>24253849.215550002</v>
      </c>
      <c r="BK96" s="115">
        <f t="shared" si="94"/>
        <v>22346615.422340427</v>
      </c>
      <c r="BL96" s="115">
        <f t="shared" si="140"/>
        <v>22346615.422340427</v>
      </c>
      <c r="BM96" s="116">
        <f t="shared" si="141"/>
        <v>1.0852999999999999</v>
      </c>
      <c r="BN96" s="126">
        <f t="shared" ca="1" si="114"/>
        <v>0</v>
      </c>
      <c r="BO96" s="117">
        <f t="shared" ca="1" si="115"/>
        <v>0</v>
      </c>
      <c r="BP96" s="118" t="str">
        <f t="shared" si="116"/>
        <v>Uncapped</v>
      </c>
      <c r="BQ96" s="115">
        <f t="shared" ca="1" si="117"/>
        <v>0</v>
      </c>
      <c r="BR96" s="113" t="s">
        <v>692</v>
      </c>
      <c r="BS96" s="161">
        <v>0.3</v>
      </c>
      <c r="BT96" s="113" t="s">
        <v>211</v>
      </c>
      <c r="BU96" s="160" t="s">
        <v>210</v>
      </c>
      <c r="BV96" s="113">
        <v>7503606.8202462839</v>
      </c>
      <c r="BW96" s="113">
        <v>8053589.731983399</v>
      </c>
      <c r="BX96" s="113">
        <v>8496001.8380627688</v>
      </c>
      <c r="BY96" s="113">
        <v>8697930.0394548904</v>
      </c>
      <c r="BZ96" s="113">
        <v>7755486.3438000018</v>
      </c>
      <c r="CA96" s="113">
        <v>6815255.5627299994</v>
      </c>
      <c r="CB96" s="113">
        <v>8017330.7311999984</v>
      </c>
      <c r="CC96" s="113">
        <v>8207270.3578199986</v>
      </c>
      <c r="CD96" s="113"/>
      <c r="CE96" s="113"/>
      <c r="CF96" s="113"/>
      <c r="CG96" s="113"/>
      <c r="CH96" s="114">
        <f t="shared" si="103"/>
        <v>7755486.3438000018</v>
      </c>
      <c r="CI96" s="114">
        <f t="shared" si="103"/>
        <v>6815255.5627299994</v>
      </c>
      <c r="CJ96" s="120">
        <f t="shared" si="103"/>
        <v>8017330.7311999984</v>
      </c>
      <c r="CK96" s="114">
        <f t="shared" si="103"/>
        <v>8207270.3578199986</v>
      </c>
      <c r="CL96" s="114">
        <f t="shared" si="118"/>
        <v>30795342.995549999</v>
      </c>
      <c r="CM96" s="114">
        <f t="shared" si="95"/>
        <v>32751128.429747343</v>
      </c>
      <c r="CN96" s="114">
        <f t="shared" si="142"/>
        <v>32751128.429747343</v>
      </c>
      <c r="CO96" s="116">
        <f t="shared" si="143"/>
        <v>0.94030000000000002</v>
      </c>
      <c r="CP96" s="126">
        <f t="shared" ca="1" si="144"/>
        <v>0</v>
      </c>
      <c r="CQ96" s="115">
        <f t="shared" ca="1" si="119"/>
        <v>0</v>
      </c>
      <c r="CR96" s="118" t="str">
        <f t="shared" si="145"/>
        <v>Uncapped</v>
      </c>
      <c r="CS96" s="115">
        <f t="shared" ca="1" si="120"/>
        <v>0</v>
      </c>
      <c r="CT96" s="113" t="s">
        <v>696</v>
      </c>
      <c r="CU96" s="119">
        <v>0.2</v>
      </c>
      <c r="CV96" s="113" t="s">
        <v>217</v>
      </c>
      <c r="CW96" s="113" t="s">
        <v>210</v>
      </c>
      <c r="CX96" s="113">
        <v>61881722.047854595</v>
      </c>
      <c r="CY96" s="113">
        <v>72180793.063260496</v>
      </c>
      <c r="CZ96" s="113">
        <v>69179032.514420599</v>
      </c>
      <c r="DA96" s="113">
        <v>76323964.015026003</v>
      </c>
      <c r="DB96" s="113">
        <v>63657388.730680585</v>
      </c>
      <c r="DC96" s="113">
        <v>65995192.891159974</v>
      </c>
      <c r="DD96" s="113">
        <v>66410604.684560001</v>
      </c>
      <c r="DE96" s="113">
        <f>VLOOKUP($H96,[2]pivot!$V:$Z,$DE$2,FALSE)</f>
        <v>77591011.898499951</v>
      </c>
      <c r="DF96" s="113"/>
      <c r="DG96" s="113"/>
      <c r="DH96" s="113"/>
      <c r="DI96" s="113"/>
      <c r="DJ96" s="114">
        <f t="shared" si="104"/>
        <v>63657388.730680585</v>
      </c>
      <c r="DK96" s="114">
        <f t="shared" si="104"/>
        <v>65995192.891159974</v>
      </c>
      <c r="DL96" s="114">
        <f t="shared" si="104"/>
        <v>66410604.684560001</v>
      </c>
      <c r="DM96" s="114">
        <f t="shared" si="104"/>
        <v>77591011.898499951</v>
      </c>
      <c r="DN96" s="114">
        <f t="shared" si="84"/>
        <v>273654198.2049005</v>
      </c>
      <c r="DO96" s="114">
        <f t="shared" si="96"/>
        <v>279565511.6405617</v>
      </c>
      <c r="DP96" s="114">
        <f t="shared" si="105"/>
        <v>279565511.6405617</v>
      </c>
      <c r="DQ96" s="116">
        <f t="shared" si="146"/>
        <v>0.97889999999999999</v>
      </c>
      <c r="DR96" s="126">
        <f t="shared" ca="1" si="121"/>
        <v>0</v>
      </c>
      <c r="DS96" s="115">
        <f t="shared" ca="1" si="122"/>
        <v>0</v>
      </c>
      <c r="DT96" s="118" t="str">
        <f t="shared" si="147"/>
        <v>Uncapped</v>
      </c>
      <c r="DU96" s="115">
        <f t="shared" ca="1" si="123"/>
        <v>0</v>
      </c>
      <c r="DV96" s="113"/>
      <c r="DW96" s="119">
        <v>0</v>
      </c>
      <c r="DX96" s="113"/>
      <c r="DY96" s="113"/>
      <c r="DZ96" s="113">
        <v>0</v>
      </c>
      <c r="EA96" s="113">
        <v>0</v>
      </c>
      <c r="EB96" s="113">
        <v>0</v>
      </c>
      <c r="EC96" s="113">
        <v>0</v>
      </c>
      <c r="ED96" s="113">
        <v>0</v>
      </c>
      <c r="EE96" s="113">
        <v>0</v>
      </c>
      <c r="EF96" s="113"/>
      <c r="EG96" s="113"/>
      <c r="EH96" s="113"/>
      <c r="EI96" s="113"/>
      <c r="EJ96" s="113"/>
      <c r="EK96" s="113"/>
      <c r="EL96" s="114">
        <f t="shared" si="106"/>
        <v>0</v>
      </c>
      <c r="EM96" s="114">
        <f t="shared" si="106"/>
        <v>0</v>
      </c>
      <c r="EN96" s="114">
        <f t="shared" si="106"/>
        <v>0</v>
      </c>
      <c r="EO96" s="114">
        <f t="shared" si="106"/>
        <v>0</v>
      </c>
      <c r="EP96" s="114">
        <f t="shared" si="124"/>
        <v>0</v>
      </c>
      <c r="EQ96" s="114">
        <f t="shared" si="97"/>
        <v>0</v>
      </c>
      <c r="ER96" s="114">
        <f t="shared" si="148"/>
        <v>0</v>
      </c>
      <c r="ES96" s="116">
        <f t="shared" si="149"/>
        <v>0</v>
      </c>
      <c r="ET96" s="126">
        <f t="shared" ca="1" si="150"/>
        <v>0</v>
      </c>
      <c r="EU96" s="115">
        <f t="shared" ca="1" si="125"/>
        <v>0</v>
      </c>
      <c r="EV96" s="118" t="str">
        <f t="shared" si="126"/>
        <v>Uncapped</v>
      </c>
      <c r="EW96" s="115">
        <f t="shared" ca="1" si="127"/>
        <v>0</v>
      </c>
      <c r="EX96" s="112">
        <f t="shared" ca="1" si="128"/>
        <v>0</v>
      </c>
      <c r="EY96" s="114">
        <f t="shared" ca="1" si="151"/>
        <v>0</v>
      </c>
      <c r="EZ96" s="115">
        <v>0</v>
      </c>
      <c r="FA96" s="115"/>
      <c r="FB96" s="115"/>
      <c r="FC96" s="115">
        <v>0</v>
      </c>
      <c r="FD96" s="115">
        <f t="shared" si="98"/>
        <v>0</v>
      </c>
      <c r="FE96" s="114">
        <f t="shared" si="87"/>
        <v>0</v>
      </c>
      <c r="FF96" s="115">
        <v>0</v>
      </c>
      <c r="FG96" s="115">
        <v>0</v>
      </c>
      <c r="FH96" s="115">
        <v>0</v>
      </c>
      <c r="FI96" s="115">
        <v>0</v>
      </c>
      <c r="FJ96" s="115">
        <f t="shared" si="99"/>
        <v>0</v>
      </c>
      <c r="FK96" s="114">
        <f t="shared" si="88"/>
        <v>0</v>
      </c>
      <c r="FL96" s="113"/>
      <c r="FM96" s="111"/>
      <c r="FN96" s="111"/>
      <c r="FO96" s="111"/>
      <c r="FP96" s="115">
        <f t="shared" si="129"/>
        <v>0</v>
      </c>
      <c r="FQ96" s="115"/>
      <c r="FR96" s="115"/>
      <c r="FS96" s="115"/>
      <c r="FT96" s="114">
        <f t="shared" si="152"/>
        <v>0</v>
      </c>
      <c r="FU96" s="366">
        <f t="shared" ca="1" si="155"/>
        <v>0</v>
      </c>
      <c r="FV96" s="121">
        <f t="shared" ca="1" si="153"/>
        <v>0</v>
      </c>
      <c r="FW96" s="114">
        <f t="shared" si="157"/>
        <v>0</v>
      </c>
      <c r="FX96" s="114">
        <f t="shared" si="157"/>
        <v>0</v>
      </c>
      <c r="FY96" s="114">
        <f t="shared" si="157"/>
        <v>0</v>
      </c>
      <c r="FZ96" s="114">
        <f t="shared" si="157"/>
        <v>0</v>
      </c>
      <c r="GA96" s="114">
        <f t="shared" si="130"/>
        <v>0</v>
      </c>
      <c r="GB96" s="114">
        <f t="shared" si="158"/>
        <v>0</v>
      </c>
      <c r="GC96" s="114">
        <f t="shared" si="158"/>
        <v>0</v>
      </c>
      <c r="GD96" s="114">
        <f t="shared" si="158"/>
        <v>0</v>
      </c>
      <c r="GE96" s="114">
        <f t="shared" si="158"/>
        <v>0</v>
      </c>
      <c r="GF96" s="114">
        <f t="shared" si="159"/>
        <v>0</v>
      </c>
      <c r="GG96" s="114">
        <f t="shared" si="159"/>
        <v>0</v>
      </c>
      <c r="GH96" s="114">
        <f t="shared" si="159"/>
        <v>0</v>
      </c>
      <c r="GI96" s="114">
        <f t="shared" si="159"/>
        <v>0</v>
      </c>
      <c r="GJ96" s="115">
        <f t="shared" si="100"/>
        <v>0</v>
      </c>
      <c r="GK96" s="114">
        <f t="shared" si="131"/>
        <v>0</v>
      </c>
      <c r="GL96" s="114">
        <f t="shared" si="132"/>
        <v>0</v>
      </c>
      <c r="GM96" s="114">
        <f t="shared" si="133"/>
        <v>0</v>
      </c>
      <c r="GN96" s="114">
        <f t="shared" si="134"/>
        <v>0</v>
      </c>
      <c r="GO96" s="114">
        <f t="shared" si="135"/>
        <v>0</v>
      </c>
      <c r="GP96" s="114">
        <f t="shared" si="101"/>
        <v>0</v>
      </c>
      <c r="GQ96" s="114">
        <f t="shared" si="136"/>
        <v>0</v>
      </c>
      <c r="GR96" s="216"/>
      <c r="GS96" s="122">
        <f t="shared" si="109"/>
        <v>328703390.41600049</v>
      </c>
      <c r="GT96" s="122">
        <f t="shared" si="109"/>
        <v>334663255.49264944</v>
      </c>
      <c r="GU96" s="123">
        <f t="shared" si="137"/>
        <v>0.98219145669913599</v>
      </c>
      <c r="GV96" s="124">
        <f t="shared" ca="1" si="138"/>
        <v>0</v>
      </c>
      <c r="GW96" s="124">
        <v>0</v>
      </c>
      <c r="GX96" s="32">
        <f t="shared" ca="1" si="139"/>
        <v>0</v>
      </c>
      <c r="GY96" s="100"/>
    </row>
    <row r="97" spans="1:207" s="125" customFormat="1" ht="15" customHeight="1">
      <c r="A97" s="102"/>
      <c r="B97" s="103"/>
      <c r="C97" s="103"/>
      <c r="D97" s="104"/>
      <c r="E97" s="104" t="s">
        <v>449</v>
      </c>
      <c r="F97" s="104" t="s">
        <v>449</v>
      </c>
      <c r="G97" s="104" t="s">
        <v>226</v>
      </c>
      <c r="H97" s="127" t="s">
        <v>454</v>
      </c>
      <c r="I97" s="106" t="s">
        <v>455</v>
      </c>
      <c r="J97" s="104" t="s">
        <v>212</v>
      </c>
      <c r="K97" s="104" t="s">
        <v>218</v>
      </c>
      <c r="L97" s="104" t="s">
        <v>223</v>
      </c>
      <c r="M97" s="104" t="s">
        <v>223</v>
      </c>
      <c r="N97" s="107"/>
      <c r="O97" s="108">
        <v>41430</v>
      </c>
      <c r="P97" s="108">
        <v>41640</v>
      </c>
      <c r="Q97" s="322">
        <f t="shared" si="112"/>
        <v>0</v>
      </c>
      <c r="R97" s="109">
        <f>IF((P97-VLOOKUP(Q97,month!$A$1:$C$13,3,0))&lt;0,Q97,Q97+1)</f>
        <v>0</v>
      </c>
      <c r="S97" s="108"/>
      <c r="T97" s="110" t="str">
        <f t="shared" si="154"/>
        <v/>
      </c>
      <c r="U97" s="107"/>
      <c r="V97" s="107"/>
      <c r="W97" s="107"/>
      <c r="X97" s="107"/>
      <c r="Y97" s="386"/>
      <c r="Z97" s="386" t="s">
        <v>545</v>
      </c>
      <c r="AA97" s="387">
        <v>1000</v>
      </c>
      <c r="AB97" s="387">
        <v>1000</v>
      </c>
      <c r="AC97" s="387">
        <v>1000</v>
      </c>
      <c r="AD97" s="387">
        <v>1000</v>
      </c>
      <c r="AE97" s="387">
        <v>1000</v>
      </c>
      <c r="AF97" s="387">
        <v>1000</v>
      </c>
      <c r="AG97" s="387">
        <v>1000</v>
      </c>
      <c r="AH97" s="387">
        <v>1000</v>
      </c>
      <c r="AI97" s="387">
        <v>1000</v>
      </c>
      <c r="AJ97" s="387">
        <v>1000</v>
      </c>
      <c r="AK97" s="387">
        <v>1000</v>
      </c>
      <c r="AL97" s="387">
        <v>1000</v>
      </c>
      <c r="AM97" s="388">
        <f t="shared" si="164"/>
        <v>12000</v>
      </c>
      <c r="AN97" s="388">
        <f t="shared" si="113"/>
        <v>12000</v>
      </c>
      <c r="AO97" s="389">
        <f t="shared" si="156"/>
        <v>1000</v>
      </c>
      <c r="AP97" s="498" t="s">
        <v>672</v>
      </c>
      <c r="AQ97" s="159">
        <v>0.5</v>
      </c>
      <c r="AR97" s="160" t="s">
        <v>392</v>
      </c>
      <c r="AS97" s="119" t="s">
        <v>210</v>
      </c>
      <c r="AT97" s="111">
        <v>3379521.1219363259</v>
      </c>
      <c r="AU97" s="111">
        <v>7327548.5634185346</v>
      </c>
      <c r="AV97" s="111">
        <v>5599955.3026327584</v>
      </c>
      <c r="AW97" s="111">
        <v>6039590.4343528077</v>
      </c>
      <c r="AX97" s="113">
        <v>3463592.7112599993</v>
      </c>
      <c r="AY97" s="113">
        <v>7899234.3228099998</v>
      </c>
      <c r="AZ97" s="113">
        <v>6302483.1859700009</v>
      </c>
      <c r="BA97" s="113">
        <v>6588538.9955100007</v>
      </c>
      <c r="BB97" s="113"/>
      <c r="BC97" s="113"/>
      <c r="BD97" s="113"/>
      <c r="BE97" s="113"/>
      <c r="BF97" s="114">
        <f t="shared" si="102"/>
        <v>3463592.7112599993</v>
      </c>
      <c r="BG97" s="114">
        <f t="shared" si="102"/>
        <v>7899234.3228099998</v>
      </c>
      <c r="BH97" s="114">
        <f t="shared" si="102"/>
        <v>6302483.1859700009</v>
      </c>
      <c r="BI97" s="114">
        <f t="shared" si="102"/>
        <v>6588538.9955100007</v>
      </c>
      <c r="BJ97" s="114">
        <f t="shared" si="165"/>
        <v>24253849.215550002</v>
      </c>
      <c r="BK97" s="115">
        <f t="shared" si="94"/>
        <v>22346615.422340427</v>
      </c>
      <c r="BL97" s="115">
        <f t="shared" si="140"/>
        <v>22346615.422340427</v>
      </c>
      <c r="BM97" s="116">
        <f t="shared" si="141"/>
        <v>1.0852999999999999</v>
      </c>
      <c r="BN97" s="126">
        <f t="shared" ca="1" si="114"/>
        <v>0</v>
      </c>
      <c r="BO97" s="117">
        <f t="shared" ca="1" si="115"/>
        <v>0</v>
      </c>
      <c r="BP97" s="118" t="str">
        <f t="shared" si="116"/>
        <v>Uncapped</v>
      </c>
      <c r="BQ97" s="115">
        <f t="shared" ca="1" si="117"/>
        <v>0</v>
      </c>
      <c r="BR97" s="113" t="s">
        <v>692</v>
      </c>
      <c r="BS97" s="161">
        <v>0.3</v>
      </c>
      <c r="BT97" s="113" t="s">
        <v>211</v>
      </c>
      <c r="BU97" s="160" t="s">
        <v>210</v>
      </c>
      <c r="BV97" s="113">
        <v>7503606.8202462839</v>
      </c>
      <c r="BW97" s="113">
        <v>8053589.731983399</v>
      </c>
      <c r="BX97" s="113">
        <v>8496001.8380627688</v>
      </c>
      <c r="BY97" s="113">
        <v>8697930.0394548904</v>
      </c>
      <c r="BZ97" s="113">
        <v>7755486.3438000018</v>
      </c>
      <c r="CA97" s="113">
        <v>6815255.5627299994</v>
      </c>
      <c r="CB97" s="113">
        <v>8017330.7311999984</v>
      </c>
      <c r="CC97" s="113">
        <v>8207270.3578199986</v>
      </c>
      <c r="CD97" s="113"/>
      <c r="CE97" s="113"/>
      <c r="CF97" s="113"/>
      <c r="CG97" s="113"/>
      <c r="CH97" s="114">
        <f t="shared" si="103"/>
        <v>7755486.3438000018</v>
      </c>
      <c r="CI97" s="114">
        <f t="shared" si="103"/>
        <v>6815255.5627299994</v>
      </c>
      <c r="CJ97" s="120">
        <f t="shared" si="103"/>
        <v>8017330.7311999984</v>
      </c>
      <c r="CK97" s="114">
        <f t="shared" si="103"/>
        <v>8207270.3578199986</v>
      </c>
      <c r="CL97" s="114">
        <f t="shared" si="118"/>
        <v>30795342.995549999</v>
      </c>
      <c r="CM97" s="114">
        <f t="shared" si="95"/>
        <v>32751128.429747343</v>
      </c>
      <c r="CN97" s="114">
        <f t="shared" si="142"/>
        <v>32751128.429747343</v>
      </c>
      <c r="CO97" s="116">
        <f t="shared" si="143"/>
        <v>0.94030000000000002</v>
      </c>
      <c r="CP97" s="126">
        <f t="shared" ca="1" si="144"/>
        <v>0</v>
      </c>
      <c r="CQ97" s="115">
        <f t="shared" ca="1" si="119"/>
        <v>0</v>
      </c>
      <c r="CR97" s="118" t="str">
        <f t="shared" si="145"/>
        <v>Uncapped</v>
      </c>
      <c r="CS97" s="115">
        <f t="shared" ca="1" si="120"/>
        <v>0</v>
      </c>
      <c r="CT97" s="113" t="s">
        <v>696</v>
      </c>
      <c r="CU97" s="119">
        <v>0.2</v>
      </c>
      <c r="CV97" s="113" t="s">
        <v>217</v>
      </c>
      <c r="CW97" s="113" t="s">
        <v>210</v>
      </c>
      <c r="CX97" s="113">
        <v>61881722.047854595</v>
      </c>
      <c r="CY97" s="113">
        <v>72180793.063260496</v>
      </c>
      <c r="CZ97" s="113">
        <v>69179032.514420599</v>
      </c>
      <c r="DA97" s="113">
        <v>76323964.015026003</v>
      </c>
      <c r="DB97" s="113">
        <v>63657388.730680585</v>
      </c>
      <c r="DC97" s="113">
        <v>65995192.891159974</v>
      </c>
      <c r="DD97" s="113">
        <v>66410604.684560001</v>
      </c>
      <c r="DE97" s="113">
        <f>VLOOKUP($H97,[2]pivot!$V:$Z,$DE$2,FALSE)</f>
        <v>77591011.898499951</v>
      </c>
      <c r="DF97" s="113"/>
      <c r="DG97" s="113"/>
      <c r="DH97" s="113"/>
      <c r="DI97" s="113"/>
      <c r="DJ97" s="114">
        <f t="shared" si="104"/>
        <v>63657388.730680585</v>
      </c>
      <c r="DK97" s="114">
        <f t="shared" si="104"/>
        <v>65995192.891159974</v>
      </c>
      <c r="DL97" s="114">
        <f t="shared" si="104"/>
        <v>66410604.684560001</v>
      </c>
      <c r="DM97" s="114">
        <f t="shared" si="104"/>
        <v>77591011.898499951</v>
      </c>
      <c r="DN97" s="114">
        <f t="shared" si="84"/>
        <v>273654198.2049005</v>
      </c>
      <c r="DO97" s="114">
        <f t="shared" si="96"/>
        <v>279565511.6405617</v>
      </c>
      <c r="DP97" s="114">
        <f t="shared" si="105"/>
        <v>279565511.6405617</v>
      </c>
      <c r="DQ97" s="116">
        <f t="shared" si="146"/>
        <v>0.97889999999999999</v>
      </c>
      <c r="DR97" s="126">
        <f t="shared" ca="1" si="121"/>
        <v>0</v>
      </c>
      <c r="DS97" s="115">
        <f t="shared" ca="1" si="122"/>
        <v>0</v>
      </c>
      <c r="DT97" s="118" t="str">
        <f t="shared" si="147"/>
        <v>Uncapped</v>
      </c>
      <c r="DU97" s="115">
        <f t="shared" ca="1" si="123"/>
        <v>0</v>
      </c>
      <c r="DV97" s="113"/>
      <c r="DW97" s="119">
        <v>0</v>
      </c>
      <c r="DX97" s="113"/>
      <c r="DY97" s="113"/>
      <c r="DZ97" s="113">
        <v>0</v>
      </c>
      <c r="EA97" s="113">
        <v>0</v>
      </c>
      <c r="EB97" s="113">
        <v>0</v>
      </c>
      <c r="EC97" s="113">
        <v>0</v>
      </c>
      <c r="ED97" s="113">
        <v>0</v>
      </c>
      <c r="EE97" s="113">
        <v>0</v>
      </c>
      <c r="EF97" s="113"/>
      <c r="EG97" s="113"/>
      <c r="EH97" s="113"/>
      <c r="EI97" s="113"/>
      <c r="EJ97" s="113"/>
      <c r="EK97" s="113"/>
      <c r="EL97" s="114">
        <f t="shared" si="106"/>
        <v>0</v>
      </c>
      <c r="EM97" s="114">
        <f t="shared" si="106"/>
        <v>0</v>
      </c>
      <c r="EN97" s="114">
        <f t="shared" si="106"/>
        <v>0</v>
      </c>
      <c r="EO97" s="114">
        <f t="shared" si="106"/>
        <v>0</v>
      </c>
      <c r="EP97" s="114">
        <f t="shared" si="124"/>
        <v>0</v>
      </c>
      <c r="EQ97" s="114">
        <f t="shared" si="97"/>
        <v>0</v>
      </c>
      <c r="ER97" s="114">
        <f t="shared" si="148"/>
        <v>0</v>
      </c>
      <c r="ES97" s="116">
        <f t="shared" si="149"/>
        <v>0</v>
      </c>
      <c r="ET97" s="126">
        <f t="shared" ca="1" si="150"/>
        <v>0</v>
      </c>
      <c r="EU97" s="115">
        <f t="shared" ca="1" si="125"/>
        <v>0</v>
      </c>
      <c r="EV97" s="118" t="str">
        <f t="shared" si="126"/>
        <v>Uncapped</v>
      </c>
      <c r="EW97" s="115">
        <f t="shared" ca="1" si="127"/>
        <v>0</v>
      </c>
      <c r="EX97" s="112">
        <f t="shared" ca="1" si="128"/>
        <v>0</v>
      </c>
      <c r="EY97" s="114">
        <f t="shared" ca="1" si="151"/>
        <v>0</v>
      </c>
      <c r="EZ97" s="115">
        <v>0</v>
      </c>
      <c r="FA97" s="115"/>
      <c r="FB97" s="115"/>
      <c r="FC97" s="115">
        <v>0</v>
      </c>
      <c r="FD97" s="115">
        <f t="shared" si="98"/>
        <v>0</v>
      </c>
      <c r="FE97" s="114">
        <f t="shared" si="87"/>
        <v>0</v>
      </c>
      <c r="FF97" s="115">
        <v>0</v>
      </c>
      <c r="FG97" s="115">
        <v>0</v>
      </c>
      <c r="FH97" s="115">
        <v>0</v>
      </c>
      <c r="FI97" s="115">
        <v>0</v>
      </c>
      <c r="FJ97" s="115">
        <f t="shared" si="99"/>
        <v>0</v>
      </c>
      <c r="FK97" s="114">
        <f t="shared" si="88"/>
        <v>0</v>
      </c>
      <c r="FL97" s="113"/>
      <c r="FM97" s="111"/>
      <c r="FN97" s="111"/>
      <c r="FO97" s="111"/>
      <c r="FP97" s="115">
        <f t="shared" si="129"/>
        <v>0</v>
      </c>
      <c r="FQ97" s="115"/>
      <c r="FR97" s="115"/>
      <c r="FS97" s="115"/>
      <c r="FT97" s="114">
        <f t="shared" si="152"/>
        <v>0</v>
      </c>
      <c r="FU97" s="366">
        <f t="shared" ca="1" si="155"/>
        <v>0</v>
      </c>
      <c r="FV97" s="121">
        <f t="shared" ca="1" si="153"/>
        <v>0</v>
      </c>
      <c r="FW97" s="114">
        <f t="shared" si="157"/>
        <v>0</v>
      </c>
      <c r="FX97" s="114">
        <f t="shared" si="157"/>
        <v>0</v>
      </c>
      <c r="FY97" s="114">
        <f t="shared" si="157"/>
        <v>0</v>
      </c>
      <c r="FZ97" s="114">
        <f t="shared" si="157"/>
        <v>0</v>
      </c>
      <c r="GA97" s="114">
        <f t="shared" si="130"/>
        <v>0</v>
      </c>
      <c r="GB97" s="114">
        <f t="shared" si="158"/>
        <v>0</v>
      </c>
      <c r="GC97" s="114">
        <f t="shared" si="158"/>
        <v>0</v>
      </c>
      <c r="GD97" s="114">
        <f t="shared" si="158"/>
        <v>0</v>
      </c>
      <c r="GE97" s="114">
        <f t="shared" si="158"/>
        <v>0</v>
      </c>
      <c r="GF97" s="114">
        <f t="shared" si="159"/>
        <v>0</v>
      </c>
      <c r="GG97" s="114">
        <f t="shared" si="159"/>
        <v>0</v>
      </c>
      <c r="GH97" s="114">
        <f t="shared" si="159"/>
        <v>0</v>
      </c>
      <c r="GI97" s="114">
        <f t="shared" si="159"/>
        <v>0</v>
      </c>
      <c r="GJ97" s="115">
        <f t="shared" si="100"/>
        <v>0</v>
      </c>
      <c r="GK97" s="114">
        <f t="shared" si="131"/>
        <v>0</v>
      </c>
      <c r="GL97" s="114">
        <f t="shared" si="132"/>
        <v>0</v>
      </c>
      <c r="GM97" s="114">
        <f t="shared" si="133"/>
        <v>0</v>
      </c>
      <c r="GN97" s="114">
        <f t="shared" si="134"/>
        <v>0</v>
      </c>
      <c r="GO97" s="114">
        <f t="shared" si="135"/>
        <v>0</v>
      </c>
      <c r="GP97" s="114">
        <f t="shared" si="101"/>
        <v>0</v>
      </c>
      <c r="GQ97" s="114">
        <f t="shared" si="136"/>
        <v>0</v>
      </c>
      <c r="GR97" s="193"/>
      <c r="GS97" s="122">
        <f t="shared" ref="GS97:GT125" si="166">IFERROR(BJ97+CL97+DN97+EP97,0)</f>
        <v>328703390.41600049</v>
      </c>
      <c r="GT97" s="122">
        <f t="shared" si="166"/>
        <v>334663255.49264944</v>
      </c>
      <c r="GU97" s="123">
        <f t="shared" si="137"/>
        <v>0.98219145669913599</v>
      </c>
      <c r="GV97" s="124">
        <f t="shared" ca="1" si="138"/>
        <v>0</v>
      </c>
      <c r="GW97" s="124">
        <v>0</v>
      </c>
      <c r="GX97" s="32">
        <f t="shared" ca="1" si="139"/>
        <v>0</v>
      </c>
      <c r="GY97" s="100"/>
    </row>
    <row r="98" spans="1:207" s="125" customFormat="1" ht="15" customHeight="1">
      <c r="A98" s="102"/>
      <c r="B98" s="103"/>
      <c r="C98" s="103"/>
      <c r="D98" s="104"/>
      <c r="E98" s="104" t="s">
        <v>449</v>
      </c>
      <c r="F98" s="104" t="s">
        <v>449</v>
      </c>
      <c r="G98" s="104" t="s">
        <v>226</v>
      </c>
      <c r="H98" s="127" t="s">
        <v>456</v>
      </c>
      <c r="I98" s="106" t="s">
        <v>457</v>
      </c>
      <c r="J98" s="104" t="s">
        <v>212</v>
      </c>
      <c r="K98" s="104" t="s">
        <v>218</v>
      </c>
      <c r="L98" s="104" t="s">
        <v>223</v>
      </c>
      <c r="M98" s="104" t="s">
        <v>223</v>
      </c>
      <c r="N98" s="107"/>
      <c r="O98" s="108">
        <v>41430</v>
      </c>
      <c r="P98" s="108">
        <v>41640</v>
      </c>
      <c r="Q98" s="322">
        <f t="shared" si="112"/>
        <v>0</v>
      </c>
      <c r="R98" s="109">
        <f>IF((P98-VLOOKUP(Q98,month!$A$1:$C$13,3,0))&lt;0,Q98,Q98+1)</f>
        <v>0</v>
      </c>
      <c r="S98" s="108"/>
      <c r="T98" s="110" t="str">
        <f t="shared" si="154"/>
        <v/>
      </c>
      <c r="U98" s="107"/>
      <c r="V98" s="107"/>
      <c r="W98" s="107"/>
      <c r="X98" s="107"/>
      <c r="Y98" s="386"/>
      <c r="Z98" s="386" t="s">
        <v>545</v>
      </c>
      <c r="AA98" s="387">
        <v>1000</v>
      </c>
      <c r="AB98" s="387">
        <v>1000</v>
      </c>
      <c r="AC98" s="387">
        <v>1000</v>
      </c>
      <c r="AD98" s="387">
        <v>1000</v>
      </c>
      <c r="AE98" s="387">
        <v>1000</v>
      </c>
      <c r="AF98" s="387">
        <v>1000</v>
      </c>
      <c r="AG98" s="387">
        <v>1000</v>
      </c>
      <c r="AH98" s="387">
        <v>1000</v>
      </c>
      <c r="AI98" s="387">
        <v>1000</v>
      </c>
      <c r="AJ98" s="387">
        <v>1000</v>
      </c>
      <c r="AK98" s="387">
        <v>1000</v>
      </c>
      <c r="AL98" s="387">
        <v>1000</v>
      </c>
      <c r="AM98" s="388">
        <f t="shared" si="164"/>
        <v>12000</v>
      </c>
      <c r="AN98" s="388">
        <f t="shared" si="113"/>
        <v>12000</v>
      </c>
      <c r="AO98" s="389">
        <f t="shared" si="156"/>
        <v>1000</v>
      </c>
      <c r="AP98" s="498" t="s">
        <v>672</v>
      </c>
      <c r="AQ98" s="159">
        <v>0.5</v>
      </c>
      <c r="AR98" s="160" t="s">
        <v>392</v>
      </c>
      <c r="AS98" s="119" t="s">
        <v>210</v>
      </c>
      <c r="AT98" s="111">
        <v>3379521.1219363259</v>
      </c>
      <c r="AU98" s="111">
        <v>7327548.5634185346</v>
      </c>
      <c r="AV98" s="111">
        <v>5599955.3026327584</v>
      </c>
      <c r="AW98" s="111">
        <v>6039590.4343528077</v>
      </c>
      <c r="AX98" s="113">
        <v>3463592.7112599993</v>
      </c>
      <c r="AY98" s="113">
        <v>7899234.3228099998</v>
      </c>
      <c r="AZ98" s="113">
        <v>6302483.1859700009</v>
      </c>
      <c r="BA98" s="113">
        <v>6588538.9955100007</v>
      </c>
      <c r="BB98" s="113"/>
      <c r="BC98" s="113"/>
      <c r="BD98" s="113"/>
      <c r="BE98" s="113"/>
      <c r="BF98" s="114">
        <f t="shared" si="102"/>
        <v>3463592.7112599993</v>
      </c>
      <c r="BG98" s="114">
        <f t="shared" si="102"/>
        <v>7899234.3228099998</v>
      </c>
      <c r="BH98" s="114">
        <f t="shared" si="102"/>
        <v>6302483.1859700009</v>
      </c>
      <c r="BI98" s="114">
        <f t="shared" si="102"/>
        <v>6588538.9955100007</v>
      </c>
      <c r="BJ98" s="114">
        <f t="shared" si="165"/>
        <v>24253849.215550002</v>
      </c>
      <c r="BK98" s="115">
        <f t="shared" si="94"/>
        <v>22346615.422340427</v>
      </c>
      <c r="BL98" s="115">
        <f t="shared" si="140"/>
        <v>22346615.422340427</v>
      </c>
      <c r="BM98" s="116">
        <f t="shared" si="141"/>
        <v>1.0852999999999999</v>
      </c>
      <c r="BN98" s="126">
        <f t="shared" ca="1" si="114"/>
        <v>0</v>
      </c>
      <c r="BO98" s="117">
        <f t="shared" ca="1" si="115"/>
        <v>0</v>
      </c>
      <c r="BP98" s="118" t="str">
        <f t="shared" si="116"/>
        <v>Uncapped</v>
      </c>
      <c r="BQ98" s="115">
        <f t="shared" ca="1" si="117"/>
        <v>0</v>
      </c>
      <c r="BR98" s="113" t="s">
        <v>692</v>
      </c>
      <c r="BS98" s="161">
        <v>0.3</v>
      </c>
      <c r="BT98" s="113" t="s">
        <v>211</v>
      </c>
      <c r="BU98" s="160" t="s">
        <v>210</v>
      </c>
      <c r="BV98" s="113">
        <v>7503606.8202462839</v>
      </c>
      <c r="BW98" s="113">
        <v>8053589.731983399</v>
      </c>
      <c r="BX98" s="113">
        <v>8496001.8380627688</v>
      </c>
      <c r="BY98" s="113">
        <v>8697930.0394548904</v>
      </c>
      <c r="BZ98" s="113">
        <v>7755486.3438000018</v>
      </c>
      <c r="CA98" s="113">
        <v>6815255.5627299994</v>
      </c>
      <c r="CB98" s="113">
        <v>8017330.7311999984</v>
      </c>
      <c r="CC98" s="113">
        <v>8207270.3578199986</v>
      </c>
      <c r="CD98" s="113"/>
      <c r="CE98" s="113"/>
      <c r="CF98" s="113"/>
      <c r="CG98" s="113"/>
      <c r="CH98" s="114">
        <f t="shared" si="103"/>
        <v>7755486.3438000018</v>
      </c>
      <c r="CI98" s="114">
        <f t="shared" si="103"/>
        <v>6815255.5627299994</v>
      </c>
      <c r="CJ98" s="120">
        <f t="shared" si="103"/>
        <v>8017330.7311999984</v>
      </c>
      <c r="CK98" s="114">
        <f t="shared" si="103"/>
        <v>8207270.3578199986</v>
      </c>
      <c r="CL98" s="114">
        <f t="shared" si="118"/>
        <v>30795342.995549999</v>
      </c>
      <c r="CM98" s="114">
        <f t="shared" si="95"/>
        <v>32751128.429747343</v>
      </c>
      <c r="CN98" s="114">
        <f t="shared" si="142"/>
        <v>32751128.429747343</v>
      </c>
      <c r="CO98" s="116">
        <f t="shared" si="143"/>
        <v>0.94030000000000002</v>
      </c>
      <c r="CP98" s="126">
        <f t="shared" ca="1" si="144"/>
        <v>0</v>
      </c>
      <c r="CQ98" s="115">
        <f t="shared" ca="1" si="119"/>
        <v>0</v>
      </c>
      <c r="CR98" s="118" t="str">
        <f t="shared" si="145"/>
        <v>Uncapped</v>
      </c>
      <c r="CS98" s="115">
        <f t="shared" ca="1" si="120"/>
        <v>0</v>
      </c>
      <c r="CT98" s="113" t="s">
        <v>696</v>
      </c>
      <c r="CU98" s="119">
        <v>0.2</v>
      </c>
      <c r="CV98" s="113" t="s">
        <v>217</v>
      </c>
      <c r="CW98" s="113" t="s">
        <v>210</v>
      </c>
      <c r="CX98" s="113">
        <v>61881722.047854595</v>
      </c>
      <c r="CY98" s="113">
        <v>72180793.063260496</v>
      </c>
      <c r="CZ98" s="113">
        <v>69179032.514420599</v>
      </c>
      <c r="DA98" s="113">
        <v>76323964.015026003</v>
      </c>
      <c r="DB98" s="113">
        <v>63657388.730680585</v>
      </c>
      <c r="DC98" s="113">
        <v>65995192.891159974</v>
      </c>
      <c r="DD98" s="113">
        <v>66410604.684560001</v>
      </c>
      <c r="DE98" s="113">
        <f>VLOOKUP($H98,[2]pivot!$V:$Z,$DE$2,FALSE)</f>
        <v>77591011.898499951</v>
      </c>
      <c r="DF98" s="113"/>
      <c r="DG98" s="113"/>
      <c r="DH98" s="113"/>
      <c r="DI98" s="113"/>
      <c r="DJ98" s="114">
        <f t="shared" si="104"/>
        <v>63657388.730680585</v>
      </c>
      <c r="DK98" s="114">
        <f t="shared" si="104"/>
        <v>65995192.891159974</v>
      </c>
      <c r="DL98" s="114">
        <f t="shared" si="104"/>
        <v>66410604.684560001</v>
      </c>
      <c r="DM98" s="114">
        <f t="shared" si="104"/>
        <v>77591011.898499951</v>
      </c>
      <c r="DN98" s="114">
        <f t="shared" si="84"/>
        <v>273654198.2049005</v>
      </c>
      <c r="DO98" s="114">
        <f t="shared" si="96"/>
        <v>279565511.6405617</v>
      </c>
      <c r="DP98" s="114">
        <f t="shared" si="105"/>
        <v>279565511.6405617</v>
      </c>
      <c r="DQ98" s="116">
        <f t="shared" si="146"/>
        <v>0.97889999999999999</v>
      </c>
      <c r="DR98" s="126">
        <f t="shared" ca="1" si="121"/>
        <v>0</v>
      </c>
      <c r="DS98" s="115">
        <f t="shared" ca="1" si="122"/>
        <v>0</v>
      </c>
      <c r="DT98" s="118" t="str">
        <f t="shared" si="147"/>
        <v>Uncapped</v>
      </c>
      <c r="DU98" s="115">
        <f t="shared" ca="1" si="123"/>
        <v>0</v>
      </c>
      <c r="DV98" s="113"/>
      <c r="DW98" s="119">
        <v>0</v>
      </c>
      <c r="DX98" s="113"/>
      <c r="DY98" s="113"/>
      <c r="DZ98" s="113">
        <v>0</v>
      </c>
      <c r="EA98" s="113">
        <v>0</v>
      </c>
      <c r="EB98" s="113">
        <v>0</v>
      </c>
      <c r="EC98" s="113">
        <v>0</v>
      </c>
      <c r="ED98" s="113">
        <v>0</v>
      </c>
      <c r="EE98" s="113">
        <v>0</v>
      </c>
      <c r="EF98" s="113"/>
      <c r="EG98" s="113"/>
      <c r="EH98" s="113"/>
      <c r="EI98" s="113"/>
      <c r="EJ98" s="113"/>
      <c r="EK98" s="113"/>
      <c r="EL98" s="114">
        <f t="shared" si="106"/>
        <v>0</v>
      </c>
      <c r="EM98" s="114">
        <f t="shared" si="106"/>
        <v>0</v>
      </c>
      <c r="EN98" s="114">
        <f t="shared" si="106"/>
        <v>0</v>
      </c>
      <c r="EO98" s="114">
        <f t="shared" si="106"/>
        <v>0</v>
      </c>
      <c r="EP98" s="114">
        <f t="shared" si="124"/>
        <v>0</v>
      </c>
      <c r="EQ98" s="114">
        <f t="shared" si="97"/>
        <v>0</v>
      </c>
      <c r="ER98" s="114">
        <f t="shared" si="148"/>
        <v>0</v>
      </c>
      <c r="ES98" s="116">
        <f t="shared" si="149"/>
        <v>0</v>
      </c>
      <c r="ET98" s="126">
        <f t="shared" ca="1" si="150"/>
        <v>0</v>
      </c>
      <c r="EU98" s="115">
        <f t="shared" ca="1" si="125"/>
        <v>0</v>
      </c>
      <c r="EV98" s="118" t="str">
        <f t="shared" si="126"/>
        <v>Uncapped</v>
      </c>
      <c r="EW98" s="115">
        <f t="shared" ca="1" si="127"/>
        <v>0</v>
      </c>
      <c r="EX98" s="112">
        <f t="shared" ca="1" si="128"/>
        <v>0</v>
      </c>
      <c r="EY98" s="114">
        <f t="shared" ca="1" si="151"/>
        <v>0</v>
      </c>
      <c r="EZ98" s="115">
        <v>0</v>
      </c>
      <c r="FA98" s="115"/>
      <c r="FB98" s="115"/>
      <c r="FC98" s="115">
        <v>0</v>
      </c>
      <c r="FD98" s="115">
        <f t="shared" si="98"/>
        <v>0</v>
      </c>
      <c r="FE98" s="114">
        <f t="shared" si="87"/>
        <v>0</v>
      </c>
      <c r="FF98" s="115">
        <v>0</v>
      </c>
      <c r="FG98" s="115">
        <v>0</v>
      </c>
      <c r="FH98" s="115">
        <v>0</v>
      </c>
      <c r="FI98" s="115">
        <v>0</v>
      </c>
      <c r="FJ98" s="115">
        <f t="shared" si="99"/>
        <v>0</v>
      </c>
      <c r="FK98" s="114">
        <f t="shared" si="88"/>
        <v>0</v>
      </c>
      <c r="FL98" s="113"/>
      <c r="FM98" s="111"/>
      <c r="FN98" s="111"/>
      <c r="FO98" s="111"/>
      <c r="FP98" s="115">
        <f t="shared" si="129"/>
        <v>0</v>
      </c>
      <c r="FQ98" s="115"/>
      <c r="FR98" s="115"/>
      <c r="FS98" s="115"/>
      <c r="FT98" s="114">
        <f t="shared" si="152"/>
        <v>0</v>
      </c>
      <c r="FU98" s="366">
        <f t="shared" ca="1" si="155"/>
        <v>0</v>
      </c>
      <c r="FV98" s="121">
        <f t="shared" ca="1" si="153"/>
        <v>0</v>
      </c>
      <c r="FW98" s="114">
        <f t="shared" si="157"/>
        <v>0</v>
      </c>
      <c r="FX98" s="114">
        <f t="shared" si="157"/>
        <v>0</v>
      </c>
      <c r="FY98" s="114">
        <f t="shared" si="157"/>
        <v>0</v>
      </c>
      <c r="FZ98" s="114">
        <f t="shared" si="157"/>
        <v>0</v>
      </c>
      <c r="GA98" s="114">
        <f t="shared" si="130"/>
        <v>0</v>
      </c>
      <c r="GB98" s="114">
        <f t="shared" si="158"/>
        <v>0</v>
      </c>
      <c r="GC98" s="114">
        <f t="shared" si="158"/>
        <v>0</v>
      </c>
      <c r="GD98" s="114">
        <f t="shared" si="158"/>
        <v>0</v>
      </c>
      <c r="GE98" s="114">
        <f t="shared" si="158"/>
        <v>0</v>
      </c>
      <c r="GF98" s="114">
        <f t="shared" si="159"/>
        <v>0</v>
      </c>
      <c r="GG98" s="114">
        <f t="shared" si="159"/>
        <v>0</v>
      </c>
      <c r="GH98" s="114">
        <f t="shared" si="159"/>
        <v>0</v>
      </c>
      <c r="GI98" s="114">
        <f t="shared" si="159"/>
        <v>0</v>
      </c>
      <c r="GJ98" s="115">
        <f t="shared" si="100"/>
        <v>0</v>
      </c>
      <c r="GK98" s="114">
        <f t="shared" si="131"/>
        <v>0</v>
      </c>
      <c r="GL98" s="114">
        <f t="shared" si="132"/>
        <v>0</v>
      </c>
      <c r="GM98" s="114">
        <f t="shared" si="133"/>
        <v>0</v>
      </c>
      <c r="GN98" s="114">
        <f t="shared" si="134"/>
        <v>0</v>
      </c>
      <c r="GO98" s="114">
        <f t="shared" si="135"/>
        <v>0</v>
      </c>
      <c r="GP98" s="114">
        <f t="shared" si="101"/>
        <v>0</v>
      </c>
      <c r="GQ98" s="114">
        <f t="shared" si="136"/>
        <v>0</v>
      </c>
      <c r="GR98" s="193"/>
      <c r="GS98" s="122">
        <f t="shared" si="166"/>
        <v>328703390.41600049</v>
      </c>
      <c r="GT98" s="122">
        <f t="shared" si="166"/>
        <v>334663255.49264944</v>
      </c>
      <c r="GU98" s="123">
        <f t="shared" si="137"/>
        <v>0.98219145669913599</v>
      </c>
      <c r="GV98" s="124">
        <f t="shared" ca="1" si="138"/>
        <v>0</v>
      </c>
      <c r="GW98" s="124">
        <v>0</v>
      </c>
      <c r="GX98" s="32">
        <f t="shared" ca="1" si="139"/>
        <v>0</v>
      </c>
      <c r="GY98" s="100"/>
    </row>
    <row r="99" spans="1:207" s="125" customFormat="1" ht="15" customHeight="1">
      <c r="A99" s="102"/>
      <c r="B99" s="103"/>
      <c r="C99" s="103"/>
      <c r="D99" s="104"/>
      <c r="E99" s="104" t="s">
        <v>449</v>
      </c>
      <c r="F99" s="104" t="s">
        <v>449</v>
      </c>
      <c r="G99" s="104" t="s">
        <v>226</v>
      </c>
      <c r="H99" s="127" t="s">
        <v>458</v>
      </c>
      <c r="I99" s="106" t="s">
        <v>459</v>
      </c>
      <c r="J99" s="104" t="s">
        <v>212</v>
      </c>
      <c r="K99" s="104" t="s">
        <v>218</v>
      </c>
      <c r="L99" s="104" t="s">
        <v>223</v>
      </c>
      <c r="M99" s="104" t="s">
        <v>223</v>
      </c>
      <c r="N99" s="107"/>
      <c r="O99" s="108">
        <v>42821</v>
      </c>
      <c r="P99" s="108">
        <v>42821</v>
      </c>
      <c r="Q99" s="322">
        <f t="shared" si="112"/>
        <v>0</v>
      </c>
      <c r="R99" s="109">
        <f>IF((P99-VLOOKUP(Q99,month!$A$1:$C$13,3,0))&lt;0,Q99,Q99+1)</f>
        <v>0</v>
      </c>
      <c r="S99" s="108"/>
      <c r="T99" s="127" t="str">
        <f t="shared" si="154"/>
        <v/>
      </c>
      <c r="U99" s="107"/>
      <c r="V99" s="107"/>
      <c r="W99" s="107"/>
      <c r="X99" s="107"/>
      <c r="Y99" s="386"/>
      <c r="Z99" s="386" t="s">
        <v>545</v>
      </c>
      <c r="AA99" s="387">
        <v>1000</v>
      </c>
      <c r="AB99" s="387">
        <v>1000</v>
      </c>
      <c r="AC99" s="387">
        <v>1000</v>
      </c>
      <c r="AD99" s="387">
        <v>1000</v>
      </c>
      <c r="AE99" s="387">
        <v>1000</v>
      </c>
      <c r="AF99" s="387">
        <v>1000</v>
      </c>
      <c r="AG99" s="387">
        <v>1000</v>
      </c>
      <c r="AH99" s="387">
        <v>1000</v>
      </c>
      <c r="AI99" s="387">
        <v>1000</v>
      </c>
      <c r="AJ99" s="387">
        <v>1000</v>
      </c>
      <c r="AK99" s="387">
        <v>1000</v>
      </c>
      <c r="AL99" s="387">
        <v>1000</v>
      </c>
      <c r="AM99" s="388">
        <f t="shared" si="164"/>
        <v>12000</v>
      </c>
      <c r="AN99" s="388">
        <f t="shared" si="113"/>
        <v>12000</v>
      </c>
      <c r="AO99" s="389">
        <f t="shared" si="156"/>
        <v>1000</v>
      </c>
      <c r="AP99" s="498" t="s">
        <v>672</v>
      </c>
      <c r="AQ99" s="159">
        <v>0.5</v>
      </c>
      <c r="AR99" s="160" t="s">
        <v>392</v>
      </c>
      <c r="AS99" s="119" t="s">
        <v>210</v>
      </c>
      <c r="AT99" s="111">
        <v>3379521.1219363259</v>
      </c>
      <c r="AU99" s="111">
        <v>7327548.5634185346</v>
      </c>
      <c r="AV99" s="111">
        <v>5599955.3026327584</v>
      </c>
      <c r="AW99" s="111">
        <v>6039590.4343528077</v>
      </c>
      <c r="AX99" s="113">
        <v>3463592.7112599993</v>
      </c>
      <c r="AY99" s="113">
        <v>7899234.3228099998</v>
      </c>
      <c r="AZ99" s="113">
        <v>6302483.1859700009</v>
      </c>
      <c r="BA99" s="113">
        <v>6588538.9955100007</v>
      </c>
      <c r="BB99" s="113"/>
      <c r="BC99" s="113"/>
      <c r="BD99" s="113"/>
      <c r="BE99" s="113"/>
      <c r="BF99" s="114">
        <f t="shared" si="102"/>
        <v>3463592.7112599993</v>
      </c>
      <c r="BG99" s="114">
        <f t="shared" si="102"/>
        <v>7899234.3228099998</v>
      </c>
      <c r="BH99" s="114">
        <f t="shared" si="102"/>
        <v>6302483.1859700009</v>
      </c>
      <c r="BI99" s="114">
        <f t="shared" si="102"/>
        <v>6588538.9955100007</v>
      </c>
      <c r="BJ99" s="114">
        <f t="shared" si="165"/>
        <v>24253849.215550002</v>
      </c>
      <c r="BK99" s="115">
        <f t="shared" si="94"/>
        <v>22346615.422340427</v>
      </c>
      <c r="BL99" s="115">
        <f t="shared" si="140"/>
        <v>22346615.422340427</v>
      </c>
      <c r="BM99" s="116">
        <f t="shared" si="141"/>
        <v>1.0852999999999999</v>
      </c>
      <c r="BN99" s="126">
        <f t="shared" ca="1" si="114"/>
        <v>0</v>
      </c>
      <c r="BO99" s="117">
        <f t="shared" ca="1" si="115"/>
        <v>0</v>
      </c>
      <c r="BP99" s="118" t="str">
        <f t="shared" si="116"/>
        <v>Uncapped</v>
      </c>
      <c r="BQ99" s="115">
        <f t="shared" ca="1" si="117"/>
        <v>0</v>
      </c>
      <c r="BR99" s="113" t="s">
        <v>692</v>
      </c>
      <c r="BS99" s="161">
        <v>0.3</v>
      </c>
      <c r="BT99" s="113" t="s">
        <v>211</v>
      </c>
      <c r="BU99" s="160" t="s">
        <v>210</v>
      </c>
      <c r="BV99" s="113">
        <v>7503606.8202462839</v>
      </c>
      <c r="BW99" s="113">
        <v>8053589.731983399</v>
      </c>
      <c r="BX99" s="113">
        <v>8496001.8380627688</v>
      </c>
      <c r="BY99" s="113">
        <v>8697930.0394548904</v>
      </c>
      <c r="BZ99" s="113">
        <v>7755486.3438000018</v>
      </c>
      <c r="CA99" s="113">
        <v>6815255.5627299994</v>
      </c>
      <c r="CB99" s="113">
        <v>8017330.7311999984</v>
      </c>
      <c r="CC99" s="113">
        <v>8207270.3578199986</v>
      </c>
      <c r="CD99" s="113"/>
      <c r="CE99" s="113"/>
      <c r="CF99" s="113"/>
      <c r="CG99" s="113"/>
      <c r="CH99" s="114">
        <f t="shared" si="103"/>
        <v>7755486.3438000018</v>
      </c>
      <c r="CI99" s="114">
        <f t="shared" si="103"/>
        <v>6815255.5627299994</v>
      </c>
      <c r="CJ99" s="120">
        <f t="shared" si="103"/>
        <v>8017330.7311999984</v>
      </c>
      <c r="CK99" s="114">
        <f t="shared" si="103"/>
        <v>8207270.3578199986</v>
      </c>
      <c r="CL99" s="114">
        <f t="shared" si="118"/>
        <v>30795342.995549999</v>
      </c>
      <c r="CM99" s="114">
        <f t="shared" si="95"/>
        <v>32751128.429747343</v>
      </c>
      <c r="CN99" s="114">
        <f t="shared" si="142"/>
        <v>32751128.429747343</v>
      </c>
      <c r="CO99" s="116">
        <f t="shared" si="143"/>
        <v>0.94030000000000002</v>
      </c>
      <c r="CP99" s="126">
        <f t="shared" ca="1" si="144"/>
        <v>0</v>
      </c>
      <c r="CQ99" s="115">
        <f t="shared" ca="1" si="119"/>
        <v>0</v>
      </c>
      <c r="CR99" s="118" t="str">
        <f t="shared" si="145"/>
        <v>Uncapped</v>
      </c>
      <c r="CS99" s="115">
        <f t="shared" ca="1" si="120"/>
        <v>0</v>
      </c>
      <c r="CT99" s="113" t="s">
        <v>696</v>
      </c>
      <c r="CU99" s="119">
        <v>0.2</v>
      </c>
      <c r="CV99" s="113" t="s">
        <v>217</v>
      </c>
      <c r="CW99" s="113" t="s">
        <v>210</v>
      </c>
      <c r="CX99" s="113">
        <v>61881722.047854595</v>
      </c>
      <c r="CY99" s="113">
        <v>72180793.063260496</v>
      </c>
      <c r="CZ99" s="113">
        <v>69179032.514420599</v>
      </c>
      <c r="DA99" s="113">
        <v>76323964.015026003</v>
      </c>
      <c r="DB99" s="113">
        <v>63657388.730680585</v>
      </c>
      <c r="DC99" s="113">
        <v>65995192.891159974</v>
      </c>
      <c r="DD99" s="113">
        <v>66410604.684560001</v>
      </c>
      <c r="DE99" s="113">
        <f>VLOOKUP($H99,[2]pivot!$V:$Z,$DE$2,FALSE)</f>
        <v>77591011.898499951</v>
      </c>
      <c r="DF99" s="113"/>
      <c r="DG99" s="113"/>
      <c r="DH99" s="113"/>
      <c r="DI99" s="113"/>
      <c r="DJ99" s="114">
        <f t="shared" si="104"/>
        <v>63657388.730680585</v>
      </c>
      <c r="DK99" s="114">
        <f t="shared" si="104"/>
        <v>65995192.891159974</v>
      </c>
      <c r="DL99" s="114">
        <f t="shared" si="104"/>
        <v>66410604.684560001</v>
      </c>
      <c r="DM99" s="114">
        <f t="shared" si="104"/>
        <v>77591011.898499951</v>
      </c>
      <c r="DN99" s="114">
        <f t="shared" si="84"/>
        <v>273654198.2049005</v>
      </c>
      <c r="DO99" s="114">
        <f t="shared" si="96"/>
        <v>279565511.6405617</v>
      </c>
      <c r="DP99" s="114">
        <f t="shared" si="105"/>
        <v>279565511.6405617</v>
      </c>
      <c r="DQ99" s="116">
        <f t="shared" si="146"/>
        <v>0.97889999999999999</v>
      </c>
      <c r="DR99" s="126">
        <f t="shared" ca="1" si="121"/>
        <v>0</v>
      </c>
      <c r="DS99" s="115">
        <f t="shared" ca="1" si="122"/>
        <v>0</v>
      </c>
      <c r="DT99" s="118" t="str">
        <f t="shared" si="147"/>
        <v>Uncapped</v>
      </c>
      <c r="DU99" s="115">
        <f t="shared" ca="1" si="123"/>
        <v>0</v>
      </c>
      <c r="DV99" s="113"/>
      <c r="DW99" s="119">
        <v>0</v>
      </c>
      <c r="DX99" s="113"/>
      <c r="DY99" s="113"/>
      <c r="DZ99" s="113">
        <v>0</v>
      </c>
      <c r="EA99" s="113">
        <v>0</v>
      </c>
      <c r="EB99" s="113">
        <v>0</v>
      </c>
      <c r="EC99" s="113">
        <v>0</v>
      </c>
      <c r="ED99" s="113">
        <v>0</v>
      </c>
      <c r="EE99" s="113">
        <v>0</v>
      </c>
      <c r="EF99" s="113"/>
      <c r="EG99" s="113"/>
      <c r="EH99" s="113"/>
      <c r="EI99" s="113"/>
      <c r="EJ99" s="113"/>
      <c r="EK99" s="113"/>
      <c r="EL99" s="114">
        <f t="shared" si="106"/>
        <v>0</v>
      </c>
      <c r="EM99" s="114">
        <f t="shared" si="106"/>
        <v>0</v>
      </c>
      <c r="EN99" s="114">
        <f t="shared" si="106"/>
        <v>0</v>
      </c>
      <c r="EO99" s="114">
        <f t="shared" si="106"/>
        <v>0</v>
      </c>
      <c r="EP99" s="114">
        <f t="shared" si="124"/>
        <v>0</v>
      </c>
      <c r="EQ99" s="114">
        <f t="shared" si="97"/>
        <v>0</v>
      </c>
      <c r="ER99" s="114">
        <f t="shared" si="148"/>
        <v>0</v>
      </c>
      <c r="ES99" s="116">
        <f t="shared" si="149"/>
        <v>0</v>
      </c>
      <c r="ET99" s="126">
        <f t="shared" ca="1" si="150"/>
        <v>0</v>
      </c>
      <c r="EU99" s="115">
        <f t="shared" ca="1" si="125"/>
        <v>0</v>
      </c>
      <c r="EV99" s="118" t="str">
        <f t="shared" si="126"/>
        <v>Uncapped</v>
      </c>
      <c r="EW99" s="115">
        <f t="shared" ca="1" si="127"/>
        <v>0</v>
      </c>
      <c r="EX99" s="112">
        <f t="shared" ca="1" si="128"/>
        <v>0</v>
      </c>
      <c r="EY99" s="114">
        <f t="shared" ca="1" si="151"/>
        <v>0</v>
      </c>
      <c r="EZ99" s="115">
        <v>0</v>
      </c>
      <c r="FA99" s="115"/>
      <c r="FB99" s="115"/>
      <c r="FC99" s="115">
        <v>0</v>
      </c>
      <c r="FD99" s="115">
        <f t="shared" si="98"/>
        <v>0</v>
      </c>
      <c r="FE99" s="114">
        <f t="shared" si="87"/>
        <v>0</v>
      </c>
      <c r="FF99" s="115">
        <v>0</v>
      </c>
      <c r="FG99" s="115">
        <v>0</v>
      </c>
      <c r="FH99" s="115">
        <v>0</v>
      </c>
      <c r="FI99" s="115">
        <v>0</v>
      </c>
      <c r="FJ99" s="115">
        <f t="shared" si="99"/>
        <v>0</v>
      </c>
      <c r="FK99" s="114">
        <f t="shared" si="88"/>
        <v>0</v>
      </c>
      <c r="FL99" s="113"/>
      <c r="FM99" s="111"/>
      <c r="FN99" s="111"/>
      <c r="FO99" s="111"/>
      <c r="FP99" s="115">
        <f t="shared" si="129"/>
        <v>0</v>
      </c>
      <c r="FQ99" s="115"/>
      <c r="FR99" s="115"/>
      <c r="FS99" s="115"/>
      <c r="FT99" s="114">
        <f t="shared" si="152"/>
        <v>0</v>
      </c>
      <c r="FU99" s="366">
        <f t="shared" ca="1" si="155"/>
        <v>0</v>
      </c>
      <c r="FV99" s="121">
        <f t="shared" ca="1" si="153"/>
        <v>0</v>
      </c>
      <c r="FW99" s="114">
        <f t="shared" si="157"/>
        <v>0</v>
      </c>
      <c r="FX99" s="114">
        <f t="shared" si="157"/>
        <v>0</v>
      </c>
      <c r="FY99" s="114">
        <f t="shared" si="157"/>
        <v>0</v>
      </c>
      <c r="FZ99" s="114">
        <f t="shared" si="157"/>
        <v>0</v>
      </c>
      <c r="GA99" s="114">
        <f t="shared" si="130"/>
        <v>0</v>
      </c>
      <c r="GB99" s="114">
        <f t="shared" si="158"/>
        <v>0</v>
      </c>
      <c r="GC99" s="114">
        <f t="shared" si="158"/>
        <v>0</v>
      </c>
      <c r="GD99" s="114">
        <f t="shared" si="158"/>
        <v>0</v>
      </c>
      <c r="GE99" s="114">
        <f t="shared" si="158"/>
        <v>0</v>
      </c>
      <c r="GF99" s="114">
        <f t="shared" si="159"/>
        <v>0</v>
      </c>
      <c r="GG99" s="114">
        <f t="shared" si="159"/>
        <v>0</v>
      </c>
      <c r="GH99" s="114">
        <f t="shared" si="159"/>
        <v>0</v>
      </c>
      <c r="GI99" s="114">
        <f t="shared" si="159"/>
        <v>0</v>
      </c>
      <c r="GJ99" s="115">
        <f t="shared" si="100"/>
        <v>0</v>
      </c>
      <c r="GK99" s="114">
        <f t="shared" si="131"/>
        <v>0</v>
      </c>
      <c r="GL99" s="114">
        <f t="shared" si="132"/>
        <v>0</v>
      </c>
      <c r="GM99" s="114">
        <f t="shared" si="133"/>
        <v>0</v>
      </c>
      <c r="GN99" s="114">
        <f t="shared" si="134"/>
        <v>0</v>
      </c>
      <c r="GO99" s="114">
        <f t="shared" si="135"/>
        <v>0</v>
      </c>
      <c r="GP99" s="114">
        <f t="shared" si="101"/>
        <v>0</v>
      </c>
      <c r="GQ99" s="114">
        <f t="shared" si="136"/>
        <v>0</v>
      </c>
      <c r="GR99" s="193"/>
      <c r="GS99" s="122">
        <f t="shared" si="166"/>
        <v>328703390.41600049</v>
      </c>
      <c r="GT99" s="122">
        <f t="shared" si="166"/>
        <v>334663255.49264944</v>
      </c>
      <c r="GU99" s="123">
        <f t="shared" si="137"/>
        <v>0.98219145669913599</v>
      </c>
      <c r="GV99" s="124">
        <f t="shared" ca="1" si="138"/>
        <v>0</v>
      </c>
      <c r="GW99" s="124">
        <v>0</v>
      </c>
      <c r="GX99" s="32">
        <f t="shared" ca="1" si="139"/>
        <v>0</v>
      </c>
      <c r="GY99" s="100"/>
    </row>
    <row r="100" spans="1:207" s="125" customFormat="1" ht="15" customHeight="1">
      <c r="A100" s="102"/>
      <c r="B100" s="103"/>
      <c r="C100" s="103" t="s">
        <v>74</v>
      </c>
      <c r="D100" s="104"/>
      <c r="E100" s="104"/>
      <c r="F100" s="170" t="s">
        <v>449</v>
      </c>
      <c r="G100" s="104" t="s">
        <v>226</v>
      </c>
      <c r="H100" s="127" t="s">
        <v>460</v>
      </c>
      <c r="I100" s="547" t="s">
        <v>645</v>
      </c>
      <c r="J100" s="104" t="s">
        <v>212</v>
      </c>
      <c r="K100" s="544" t="s">
        <v>218</v>
      </c>
      <c r="L100" s="104" t="s">
        <v>223</v>
      </c>
      <c r="M100" s="104" t="s">
        <v>223</v>
      </c>
      <c r="N100" s="107"/>
      <c r="O100" s="537">
        <v>43525</v>
      </c>
      <c r="P100" s="359">
        <v>43525</v>
      </c>
      <c r="Q100" s="322">
        <f t="shared" si="112"/>
        <v>3</v>
      </c>
      <c r="R100" s="109">
        <f>IF((P100-VLOOKUP(Q100,month!$A$1:$C$13,3,0))&lt;0,Q100,Q100+1)</f>
        <v>3</v>
      </c>
      <c r="S100" s="108"/>
      <c r="T100" s="127" t="str">
        <f t="shared" si="154"/>
        <v/>
      </c>
      <c r="U100" s="320" t="s">
        <v>214</v>
      </c>
      <c r="V100" s="320">
        <v>1</v>
      </c>
      <c r="W100" s="320">
        <v>2</v>
      </c>
      <c r="X100" s="107"/>
      <c r="Y100" s="386"/>
      <c r="Z100" s="386" t="s">
        <v>545</v>
      </c>
      <c r="AA100" s="387">
        <v>1000</v>
      </c>
      <c r="AB100" s="387">
        <v>1000</v>
      </c>
      <c r="AC100" s="387">
        <v>1000</v>
      </c>
      <c r="AD100" s="387">
        <v>1000</v>
      </c>
      <c r="AE100" s="387">
        <v>1000</v>
      </c>
      <c r="AF100" s="387">
        <v>1000</v>
      </c>
      <c r="AG100" s="387">
        <v>1000</v>
      </c>
      <c r="AH100" s="387">
        <v>1000</v>
      </c>
      <c r="AI100" s="387">
        <v>1000</v>
      </c>
      <c r="AJ100" s="387">
        <v>1000</v>
      </c>
      <c r="AK100" s="387">
        <v>1000</v>
      </c>
      <c r="AL100" s="387">
        <v>1000</v>
      </c>
      <c r="AM100" s="388">
        <f t="shared" si="164"/>
        <v>12000</v>
      </c>
      <c r="AN100" s="388">
        <f t="shared" si="113"/>
        <v>12000</v>
      </c>
      <c r="AO100" s="389">
        <f>AC100</f>
        <v>1000</v>
      </c>
      <c r="AP100" s="498" t="s">
        <v>672</v>
      </c>
      <c r="AQ100" s="159">
        <v>0.5</v>
      </c>
      <c r="AR100" s="160" t="s">
        <v>392</v>
      </c>
      <c r="AS100" s="119" t="s">
        <v>210</v>
      </c>
      <c r="AT100" s="111">
        <v>1858736.6170649817</v>
      </c>
      <c r="AU100" s="111">
        <v>7327548.5634185346</v>
      </c>
      <c r="AV100" s="111">
        <v>5599955.3026327584</v>
      </c>
      <c r="AW100" s="111">
        <v>6039590.4343528077</v>
      </c>
      <c r="AX100" s="113">
        <v>1967591.9781200001</v>
      </c>
      <c r="AY100" s="113">
        <v>7899234.3228099998</v>
      </c>
      <c r="AZ100" s="113">
        <v>6302483.1859700009</v>
      </c>
      <c r="BA100" s="581">
        <v>6588538.9955100007</v>
      </c>
      <c r="BB100" s="113"/>
      <c r="BC100" s="113"/>
      <c r="BD100" s="113"/>
      <c r="BE100" s="113"/>
      <c r="BF100" s="114">
        <f t="shared" si="102"/>
        <v>1967591.9781200001</v>
      </c>
      <c r="BG100" s="114">
        <f t="shared" si="102"/>
        <v>7899234.3228099998</v>
      </c>
      <c r="BH100" s="114">
        <f t="shared" si="102"/>
        <v>6302483.1859700009</v>
      </c>
      <c r="BI100" s="114">
        <f t="shared" si="102"/>
        <v>6588538.9955100007</v>
      </c>
      <c r="BJ100" s="114">
        <f t="shared" si="165"/>
        <v>22757848.482410002</v>
      </c>
      <c r="BK100" s="115">
        <f t="shared" si="94"/>
        <v>20825830.917469084</v>
      </c>
      <c r="BL100" s="115">
        <f t="shared" si="140"/>
        <v>20825830.917469084</v>
      </c>
      <c r="BM100" s="116">
        <f t="shared" si="141"/>
        <v>1.0928</v>
      </c>
      <c r="BN100" s="126">
        <f t="shared" ca="1" si="114"/>
        <v>0</v>
      </c>
      <c r="BO100" s="117">
        <f t="shared" ca="1" si="115"/>
        <v>0</v>
      </c>
      <c r="BP100" s="118" t="str">
        <f t="shared" si="116"/>
        <v>Uncapped</v>
      </c>
      <c r="BQ100" s="115">
        <f t="shared" ca="1" si="117"/>
        <v>0</v>
      </c>
      <c r="BR100" s="113" t="s">
        <v>692</v>
      </c>
      <c r="BS100" s="161">
        <v>0.3</v>
      </c>
      <c r="BT100" s="113" t="s">
        <v>211</v>
      </c>
      <c r="BU100" s="160" t="s">
        <v>210</v>
      </c>
      <c r="BV100" s="113">
        <v>4126983.7511354545</v>
      </c>
      <c r="BW100" s="113">
        <v>8053589.731983399</v>
      </c>
      <c r="BX100" s="113">
        <v>8496001.8380627688</v>
      </c>
      <c r="BY100" s="113">
        <v>8697930.0394548904</v>
      </c>
      <c r="BZ100" s="113">
        <v>4726932.0570099996</v>
      </c>
      <c r="CA100" s="113">
        <v>6815255.5627299994</v>
      </c>
      <c r="CB100" s="113">
        <v>8017330.7311999984</v>
      </c>
      <c r="CC100" s="581">
        <v>8207270.3578199986</v>
      </c>
      <c r="CD100" s="113"/>
      <c r="CE100" s="113"/>
      <c r="CF100" s="113"/>
      <c r="CG100" s="113"/>
      <c r="CH100" s="114">
        <f t="shared" si="103"/>
        <v>4726932.0570099996</v>
      </c>
      <c r="CI100" s="114">
        <f t="shared" si="103"/>
        <v>6815255.5627299994</v>
      </c>
      <c r="CJ100" s="120">
        <f t="shared" si="103"/>
        <v>8017330.7311999984</v>
      </c>
      <c r="CK100" s="114">
        <f t="shared" si="103"/>
        <v>8207270.3578199986</v>
      </c>
      <c r="CL100" s="114">
        <f t="shared" si="118"/>
        <v>27766788.708759993</v>
      </c>
      <c r="CM100" s="114">
        <f t="shared" si="95"/>
        <v>29374505.360636517</v>
      </c>
      <c r="CN100" s="114">
        <f t="shared" si="142"/>
        <v>29374505.360636517</v>
      </c>
      <c r="CO100" s="116">
        <f t="shared" si="143"/>
        <v>0.94530000000000003</v>
      </c>
      <c r="CP100" s="126">
        <f t="shared" ca="1" si="144"/>
        <v>0</v>
      </c>
      <c r="CQ100" s="115">
        <f t="shared" ca="1" si="119"/>
        <v>0</v>
      </c>
      <c r="CR100" s="118" t="str">
        <f t="shared" si="145"/>
        <v>Uncapped</v>
      </c>
      <c r="CS100" s="115">
        <f t="shared" ca="1" si="120"/>
        <v>0</v>
      </c>
      <c r="CT100" s="113" t="s">
        <v>696</v>
      </c>
      <c r="CU100" s="119">
        <v>0.2</v>
      </c>
      <c r="CV100" s="113" t="s">
        <v>217</v>
      </c>
      <c r="CW100" s="113" t="s">
        <v>210</v>
      </c>
      <c r="CX100" s="113">
        <v>34034947.126320034</v>
      </c>
      <c r="CY100" s="113">
        <v>72180793.063260496</v>
      </c>
      <c r="CZ100" s="113">
        <v>69179032.514420599</v>
      </c>
      <c r="DA100" s="113">
        <v>76323964.015026003</v>
      </c>
      <c r="DB100" s="113">
        <v>33496468.269340005</v>
      </c>
      <c r="DC100" s="113">
        <v>65995192.891159974</v>
      </c>
      <c r="DD100" s="113">
        <v>66410604.684560001</v>
      </c>
      <c r="DE100" s="581">
        <f>VLOOKUP($H100,[2]pivot!$V:$Z,$DE$2,FALSE)</f>
        <v>77591011.898499951</v>
      </c>
      <c r="DF100" s="113"/>
      <c r="DG100" s="113"/>
      <c r="DH100" s="113"/>
      <c r="DI100" s="113"/>
      <c r="DJ100" s="114">
        <f t="shared" si="104"/>
        <v>33496468.269340005</v>
      </c>
      <c r="DK100" s="114">
        <f t="shared" si="104"/>
        <v>65995192.891159974</v>
      </c>
      <c r="DL100" s="114">
        <f t="shared" si="104"/>
        <v>66410604.684560001</v>
      </c>
      <c r="DM100" s="114">
        <f t="shared" si="104"/>
        <v>77591011.898499951</v>
      </c>
      <c r="DN100" s="114">
        <f t="shared" si="84"/>
        <v>243493277.74355996</v>
      </c>
      <c r="DO100" s="114">
        <f t="shared" si="96"/>
        <v>251718736.71902713</v>
      </c>
      <c r="DP100" s="114">
        <f t="shared" si="105"/>
        <v>251718736.71902713</v>
      </c>
      <c r="DQ100" s="116">
        <f t="shared" si="146"/>
        <v>0.96730000000000005</v>
      </c>
      <c r="DR100" s="126">
        <f t="shared" ca="1" si="121"/>
        <v>0</v>
      </c>
      <c r="DS100" s="115">
        <f t="shared" ca="1" si="122"/>
        <v>0</v>
      </c>
      <c r="DT100" s="118" t="str">
        <f t="shared" si="147"/>
        <v>Uncapped</v>
      </c>
      <c r="DU100" s="115">
        <f t="shared" ca="1" si="123"/>
        <v>0</v>
      </c>
      <c r="DV100" s="113"/>
      <c r="DW100" s="119">
        <v>0</v>
      </c>
      <c r="DX100" s="113"/>
      <c r="DY100" s="113"/>
      <c r="DZ100" s="113">
        <v>0</v>
      </c>
      <c r="EA100" s="113">
        <v>0</v>
      </c>
      <c r="EB100" s="113">
        <v>0</v>
      </c>
      <c r="EC100" s="113">
        <v>0</v>
      </c>
      <c r="ED100" s="113">
        <v>0</v>
      </c>
      <c r="EE100" s="113">
        <v>0</v>
      </c>
      <c r="EF100" s="113"/>
      <c r="EG100" s="113"/>
      <c r="EH100" s="113"/>
      <c r="EI100" s="113"/>
      <c r="EJ100" s="113"/>
      <c r="EK100" s="113"/>
      <c r="EL100" s="114">
        <f t="shared" si="106"/>
        <v>0</v>
      </c>
      <c r="EM100" s="114">
        <f t="shared" si="106"/>
        <v>0</v>
      </c>
      <c r="EN100" s="114">
        <f t="shared" si="106"/>
        <v>0</v>
      </c>
      <c r="EO100" s="114">
        <f t="shared" si="106"/>
        <v>0</v>
      </c>
      <c r="EP100" s="114">
        <f t="shared" si="124"/>
        <v>0</v>
      </c>
      <c r="EQ100" s="114">
        <f t="shared" si="97"/>
        <v>0</v>
      </c>
      <c r="ER100" s="114">
        <f t="shared" si="148"/>
        <v>0</v>
      </c>
      <c r="ES100" s="116">
        <f t="shared" si="149"/>
        <v>0</v>
      </c>
      <c r="ET100" s="126">
        <f t="shared" ca="1" si="150"/>
        <v>0</v>
      </c>
      <c r="EU100" s="115">
        <f t="shared" ca="1" si="125"/>
        <v>0</v>
      </c>
      <c r="EV100" s="118" t="str">
        <f t="shared" si="126"/>
        <v>Uncapped</v>
      </c>
      <c r="EW100" s="115">
        <f t="shared" ca="1" si="127"/>
        <v>0</v>
      </c>
      <c r="EX100" s="112">
        <f t="shared" ca="1" si="128"/>
        <v>0</v>
      </c>
      <c r="EY100" s="114">
        <f t="shared" ca="1" si="151"/>
        <v>3000</v>
      </c>
      <c r="EZ100" s="115">
        <v>0</v>
      </c>
      <c r="FA100" s="115"/>
      <c r="FB100" s="115"/>
      <c r="FC100" s="115">
        <v>0</v>
      </c>
      <c r="FD100" s="115">
        <f t="shared" si="98"/>
        <v>0</v>
      </c>
      <c r="FE100" s="114">
        <f t="shared" si="87"/>
        <v>0</v>
      </c>
      <c r="FF100" s="115">
        <v>0</v>
      </c>
      <c r="FG100" s="115">
        <v>0</v>
      </c>
      <c r="FH100" s="115">
        <v>0</v>
      </c>
      <c r="FI100" s="115">
        <v>0</v>
      </c>
      <c r="FJ100" s="115">
        <f t="shared" si="99"/>
        <v>0</v>
      </c>
      <c r="FK100" s="114">
        <f t="shared" si="88"/>
        <v>0</v>
      </c>
      <c r="FL100" s="113"/>
      <c r="FM100" s="111"/>
      <c r="FN100" s="111"/>
      <c r="FO100" s="111"/>
      <c r="FP100" s="115">
        <f t="shared" si="129"/>
        <v>0</v>
      </c>
      <c r="FQ100" s="115"/>
      <c r="FR100" s="115"/>
      <c r="FS100" s="115"/>
      <c r="FT100" s="114">
        <f t="shared" si="152"/>
        <v>0</v>
      </c>
      <c r="FU100" s="366">
        <f t="shared" ca="1" si="155"/>
        <v>3000</v>
      </c>
      <c r="FV100" s="121">
        <f t="shared" ca="1" si="153"/>
        <v>3000</v>
      </c>
      <c r="FW100" s="114">
        <f t="shared" si="157"/>
        <v>0</v>
      </c>
      <c r="FX100" s="114">
        <f t="shared" si="157"/>
        <v>0</v>
      </c>
      <c r="FY100" s="114">
        <f t="shared" si="157"/>
        <v>0</v>
      </c>
      <c r="FZ100" s="114">
        <f t="shared" si="157"/>
        <v>0</v>
      </c>
      <c r="GA100" s="114">
        <f t="shared" si="130"/>
        <v>0</v>
      </c>
      <c r="GB100" s="114">
        <f t="shared" si="158"/>
        <v>0</v>
      </c>
      <c r="GC100" s="114">
        <f t="shared" si="158"/>
        <v>0</v>
      </c>
      <c r="GD100" s="114">
        <f t="shared" si="158"/>
        <v>0</v>
      </c>
      <c r="GE100" s="114">
        <f t="shared" si="158"/>
        <v>0</v>
      </c>
      <c r="GF100" s="114">
        <f t="shared" si="159"/>
        <v>0</v>
      </c>
      <c r="GG100" s="114">
        <f t="shared" si="159"/>
        <v>0</v>
      </c>
      <c r="GH100" s="114">
        <f t="shared" si="159"/>
        <v>0</v>
      </c>
      <c r="GI100" s="114">
        <f t="shared" si="159"/>
        <v>0</v>
      </c>
      <c r="GJ100" s="115">
        <f t="shared" si="100"/>
        <v>0</v>
      </c>
      <c r="GK100" s="114">
        <f t="shared" si="131"/>
        <v>0</v>
      </c>
      <c r="GL100" s="114">
        <f t="shared" si="132"/>
        <v>1000</v>
      </c>
      <c r="GM100" s="114">
        <f t="shared" si="133"/>
        <v>2000</v>
      </c>
      <c r="GN100" s="114">
        <f t="shared" si="134"/>
        <v>0</v>
      </c>
      <c r="GO100" s="114">
        <f t="shared" si="135"/>
        <v>0</v>
      </c>
      <c r="GP100" s="114">
        <f t="shared" si="101"/>
        <v>3000</v>
      </c>
      <c r="GQ100" s="114">
        <f t="shared" si="136"/>
        <v>3000</v>
      </c>
      <c r="GR100" s="193"/>
      <c r="GS100" s="122">
        <f t="shared" si="166"/>
        <v>294017914.93472993</v>
      </c>
      <c r="GT100" s="122">
        <f t="shared" si="166"/>
        <v>301919072.99713272</v>
      </c>
      <c r="GU100" s="123">
        <f t="shared" si="137"/>
        <v>0.97383021223545618</v>
      </c>
      <c r="GV100" s="124">
        <f t="shared" ca="1" si="138"/>
        <v>0</v>
      </c>
      <c r="GW100" s="124">
        <v>0</v>
      </c>
      <c r="GX100" s="32">
        <f t="shared" ca="1" si="139"/>
        <v>0</v>
      </c>
      <c r="GY100" s="100"/>
    </row>
    <row r="101" spans="1:207" s="125" customFormat="1" ht="15" customHeight="1">
      <c r="A101" s="102"/>
      <c r="B101" s="103"/>
      <c r="C101" s="103"/>
      <c r="D101" s="104"/>
      <c r="E101" s="104" t="s">
        <v>461</v>
      </c>
      <c r="F101" s="104" t="s">
        <v>462</v>
      </c>
      <c r="G101" s="104" t="s">
        <v>226</v>
      </c>
      <c r="H101" s="127" t="s">
        <v>463</v>
      </c>
      <c r="I101" s="106" t="s">
        <v>464</v>
      </c>
      <c r="J101" s="104" t="s">
        <v>212</v>
      </c>
      <c r="K101" s="104" t="s">
        <v>218</v>
      </c>
      <c r="L101" s="104" t="s">
        <v>465</v>
      </c>
      <c r="M101" s="104" t="s">
        <v>465</v>
      </c>
      <c r="N101" s="107"/>
      <c r="O101" s="108">
        <v>40917</v>
      </c>
      <c r="P101" s="108">
        <v>43252</v>
      </c>
      <c r="Q101" s="322">
        <f t="shared" si="112"/>
        <v>0</v>
      </c>
      <c r="R101" s="109">
        <f>IF((P101-VLOOKUP(Q101,month!$A$1:$C$13,3,0))&lt;0,Q101,Q101+1)</f>
        <v>0</v>
      </c>
      <c r="S101" s="108"/>
      <c r="T101" s="127" t="str">
        <f t="shared" si="154"/>
        <v/>
      </c>
      <c r="U101" s="107"/>
      <c r="V101" s="107"/>
      <c r="W101" s="107"/>
      <c r="X101" s="107"/>
      <c r="Y101" s="386"/>
      <c r="Z101" s="386" t="s">
        <v>545</v>
      </c>
      <c r="AA101" s="387">
        <v>1000</v>
      </c>
      <c r="AB101" s="387">
        <v>1000</v>
      </c>
      <c r="AC101" s="387">
        <v>1000</v>
      </c>
      <c r="AD101" s="387">
        <v>1000</v>
      </c>
      <c r="AE101" s="387">
        <v>1000</v>
      </c>
      <c r="AF101" s="387">
        <v>1000</v>
      </c>
      <c r="AG101" s="387">
        <v>1000</v>
      </c>
      <c r="AH101" s="387">
        <v>1000</v>
      </c>
      <c r="AI101" s="387">
        <v>1000</v>
      </c>
      <c r="AJ101" s="387">
        <v>1000</v>
      </c>
      <c r="AK101" s="387">
        <v>1000</v>
      </c>
      <c r="AL101" s="387">
        <v>1000</v>
      </c>
      <c r="AM101" s="388">
        <f t="shared" si="164"/>
        <v>12000</v>
      </c>
      <c r="AN101" s="388">
        <f t="shared" si="113"/>
        <v>12000</v>
      </c>
      <c r="AO101" s="389">
        <f t="shared" ref="AO101:AO108" si="167">AI101</f>
        <v>1000</v>
      </c>
      <c r="AP101" s="498" t="s">
        <v>672</v>
      </c>
      <c r="AQ101" s="159">
        <v>0.4</v>
      </c>
      <c r="AR101" s="160" t="s">
        <v>211</v>
      </c>
      <c r="AS101" s="119" t="s">
        <v>210</v>
      </c>
      <c r="AT101" s="111">
        <v>3379521.1219363259</v>
      </c>
      <c r="AU101" s="111">
        <v>7327548.5634185346</v>
      </c>
      <c r="AV101" s="111">
        <v>5599955.3026327584</v>
      </c>
      <c r="AW101" s="111">
        <v>6039590.4343528077</v>
      </c>
      <c r="AX101" s="113">
        <v>3463592.7112599993</v>
      </c>
      <c r="AY101" s="113">
        <v>7899234.3228099998</v>
      </c>
      <c r="AZ101" s="113">
        <v>6302483.1859700009</v>
      </c>
      <c r="BA101" s="113">
        <v>6588538.9955100007</v>
      </c>
      <c r="BB101" s="113"/>
      <c r="BC101" s="113"/>
      <c r="BD101" s="113"/>
      <c r="BE101" s="113"/>
      <c r="BF101" s="114">
        <f t="shared" si="102"/>
        <v>3463592.7112599993</v>
      </c>
      <c r="BG101" s="114">
        <f t="shared" si="102"/>
        <v>7899234.3228099998</v>
      </c>
      <c r="BH101" s="114">
        <f t="shared" si="102"/>
        <v>6302483.1859700009</v>
      </c>
      <c r="BI101" s="114">
        <f t="shared" si="102"/>
        <v>6588538.9955100007</v>
      </c>
      <c r="BJ101" s="114">
        <f t="shared" si="165"/>
        <v>24253849.215550002</v>
      </c>
      <c r="BK101" s="115">
        <f t="shared" si="94"/>
        <v>22346615.422340427</v>
      </c>
      <c r="BL101" s="115">
        <f t="shared" si="140"/>
        <v>22346615.422340427</v>
      </c>
      <c r="BM101" s="116">
        <f t="shared" si="141"/>
        <v>1.0852999999999999</v>
      </c>
      <c r="BN101" s="126">
        <f t="shared" ca="1" si="114"/>
        <v>0</v>
      </c>
      <c r="BO101" s="117">
        <f t="shared" ca="1" si="115"/>
        <v>0</v>
      </c>
      <c r="BP101" s="118" t="str">
        <f t="shared" si="116"/>
        <v>Uncapped</v>
      </c>
      <c r="BQ101" s="115">
        <f t="shared" ca="1" si="117"/>
        <v>0</v>
      </c>
      <c r="BR101" s="113" t="s">
        <v>692</v>
      </c>
      <c r="BS101" s="161">
        <v>0.4</v>
      </c>
      <c r="BT101" s="113" t="s">
        <v>211</v>
      </c>
      <c r="BU101" s="160" t="s">
        <v>210</v>
      </c>
      <c r="BV101" s="113">
        <v>7503606.8202462839</v>
      </c>
      <c r="BW101" s="113">
        <v>8053589.731983399</v>
      </c>
      <c r="BX101" s="113">
        <v>8496001.8380627688</v>
      </c>
      <c r="BY101" s="113">
        <v>8697930.0394548904</v>
      </c>
      <c r="BZ101" s="113">
        <v>7755486.3438000018</v>
      </c>
      <c r="CA101" s="113">
        <v>6815255.5627299994</v>
      </c>
      <c r="CB101" s="113">
        <v>8017330.7311999984</v>
      </c>
      <c r="CC101" s="113">
        <v>8207270.3578199986</v>
      </c>
      <c r="CD101" s="113"/>
      <c r="CE101" s="113"/>
      <c r="CF101" s="113"/>
      <c r="CG101" s="113"/>
      <c r="CH101" s="114">
        <f t="shared" si="103"/>
        <v>7755486.3438000018</v>
      </c>
      <c r="CI101" s="114">
        <f t="shared" si="103"/>
        <v>6815255.5627299994</v>
      </c>
      <c r="CJ101" s="120">
        <f t="shared" si="103"/>
        <v>8017330.7311999984</v>
      </c>
      <c r="CK101" s="114">
        <f t="shared" si="103"/>
        <v>8207270.3578199986</v>
      </c>
      <c r="CL101" s="114">
        <f t="shared" si="118"/>
        <v>30795342.995549999</v>
      </c>
      <c r="CM101" s="114">
        <f t="shared" si="95"/>
        <v>32751128.429747343</v>
      </c>
      <c r="CN101" s="114">
        <f t="shared" si="142"/>
        <v>32751128.429747343</v>
      </c>
      <c r="CO101" s="116">
        <f t="shared" si="143"/>
        <v>0.94030000000000002</v>
      </c>
      <c r="CP101" s="126">
        <f t="shared" ca="1" si="144"/>
        <v>0</v>
      </c>
      <c r="CQ101" s="115">
        <f t="shared" ca="1" si="119"/>
        <v>0</v>
      </c>
      <c r="CR101" s="118" t="str">
        <f t="shared" si="145"/>
        <v>Uncapped</v>
      </c>
      <c r="CS101" s="115">
        <f t="shared" ca="1" si="120"/>
        <v>0</v>
      </c>
      <c r="CT101" s="113" t="s">
        <v>696</v>
      </c>
      <c r="CU101" s="119">
        <v>0.2</v>
      </c>
      <c r="CV101" s="113" t="s">
        <v>217</v>
      </c>
      <c r="CW101" s="113" t="s">
        <v>210</v>
      </c>
      <c r="CX101" s="113">
        <v>61881722.047854595</v>
      </c>
      <c r="CY101" s="113">
        <v>72180793.063260496</v>
      </c>
      <c r="CZ101" s="113">
        <v>69179032.514420599</v>
      </c>
      <c r="DA101" s="113">
        <v>76323964.015026003</v>
      </c>
      <c r="DB101" s="113">
        <v>63657388.730680585</v>
      </c>
      <c r="DC101" s="113">
        <v>65995192.891159974</v>
      </c>
      <c r="DD101" s="113">
        <v>66410604.684560001</v>
      </c>
      <c r="DE101" s="113">
        <f>VLOOKUP($H101,[2]pivot!$V:$Z,$DE$2,FALSE)</f>
        <v>77591011.898499951</v>
      </c>
      <c r="DF101" s="113"/>
      <c r="DG101" s="113"/>
      <c r="DH101" s="113"/>
      <c r="DI101" s="113"/>
      <c r="DJ101" s="114">
        <f t="shared" si="104"/>
        <v>63657388.730680585</v>
      </c>
      <c r="DK101" s="114">
        <f t="shared" si="104"/>
        <v>65995192.891159974</v>
      </c>
      <c r="DL101" s="114">
        <f t="shared" si="104"/>
        <v>66410604.684560001</v>
      </c>
      <c r="DM101" s="114">
        <f t="shared" si="104"/>
        <v>77591011.898499951</v>
      </c>
      <c r="DN101" s="114">
        <f t="shared" si="84"/>
        <v>273654198.2049005</v>
      </c>
      <c r="DO101" s="114">
        <f t="shared" si="96"/>
        <v>279565511.6405617</v>
      </c>
      <c r="DP101" s="114">
        <f t="shared" si="105"/>
        <v>279565511.6405617</v>
      </c>
      <c r="DQ101" s="116">
        <f t="shared" si="146"/>
        <v>0.97889999999999999</v>
      </c>
      <c r="DR101" s="126">
        <f t="shared" ca="1" si="121"/>
        <v>0</v>
      </c>
      <c r="DS101" s="115">
        <f t="shared" ca="1" si="122"/>
        <v>0</v>
      </c>
      <c r="DT101" s="118" t="str">
        <f t="shared" si="147"/>
        <v>Uncapped</v>
      </c>
      <c r="DU101" s="115">
        <f t="shared" ca="1" si="123"/>
        <v>0</v>
      </c>
      <c r="DV101" s="113"/>
      <c r="DW101" s="119">
        <v>0</v>
      </c>
      <c r="DX101" s="113"/>
      <c r="DY101" s="113"/>
      <c r="DZ101" s="113">
        <v>0</v>
      </c>
      <c r="EA101" s="113">
        <v>0</v>
      </c>
      <c r="EB101" s="113">
        <v>0</v>
      </c>
      <c r="EC101" s="113">
        <v>0</v>
      </c>
      <c r="ED101" s="113">
        <v>0</v>
      </c>
      <c r="EE101" s="113">
        <v>0</v>
      </c>
      <c r="EF101" s="113"/>
      <c r="EG101" s="113"/>
      <c r="EH101" s="113"/>
      <c r="EI101" s="113"/>
      <c r="EJ101" s="113"/>
      <c r="EK101" s="113"/>
      <c r="EL101" s="114">
        <f t="shared" si="106"/>
        <v>0</v>
      </c>
      <c r="EM101" s="114">
        <f t="shared" si="106"/>
        <v>0</v>
      </c>
      <c r="EN101" s="114">
        <f t="shared" si="106"/>
        <v>0</v>
      </c>
      <c r="EO101" s="114">
        <f t="shared" si="106"/>
        <v>0</v>
      </c>
      <c r="EP101" s="114">
        <f t="shared" si="124"/>
        <v>0</v>
      </c>
      <c r="EQ101" s="114">
        <f t="shared" si="97"/>
        <v>0</v>
      </c>
      <c r="ER101" s="114">
        <f t="shared" si="148"/>
        <v>0</v>
      </c>
      <c r="ES101" s="116">
        <f t="shared" si="149"/>
        <v>0</v>
      </c>
      <c r="ET101" s="126">
        <f t="shared" ca="1" si="150"/>
        <v>0</v>
      </c>
      <c r="EU101" s="115">
        <f t="shared" ca="1" si="125"/>
        <v>0</v>
      </c>
      <c r="EV101" s="118" t="str">
        <f t="shared" si="126"/>
        <v>Uncapped</v>
      </c>
      <c r="EW101" s="115">
        <f t="shared" ca="1" si="127"/>
        <v>0</v>
      </c>
      <c r="EX101" s="112">
        <f t="shared" ca="1" si="128"/>
        <v>0</v>
      </c>
      <c r="EY101" s="114">
        <f t="shared" ca="1" si="151"/>
        <v>0</v>
      </c>
      <c r="EZ101" s="115">
        <v>0</v>
      </c>
      <c r="FA101" s="115"/>
      <c r="FB101" s="115"/>
      <c r="FC101" s="115">
        <v>0</v>
      </c>
      <c r="FD101" s="115">
        <f t="shared" si="98"/>
        <v>0</v>
      </c>
      <c r="FE101" s="114">
        <f t="shared" si="87"/>
        <v>0</v>
      </c>
      <c r="FF101" s="115">
        <v>0</v>
      </c>
      <c r="FG101" s="115">
        <v>0</v>
      </c>
      <c r="FH101" s="115">
        <v>0</v>
      </c>
      <c r="FI101" s="115">
        <v>0</v>
      </c>
      <c r="FJ101" s="115">
        <f t="shared" si="99"/>
        <v>0</v>
      </c>
      <c r="FK101" s="114">
        <f t="shared" si="88"/>
        <v>0</v>
      </c>
      <c r="FL101" s="113"/>
      <c r="FM101" s="111"/>
      <c r="FN101" s="111"/>
      <c r="FO101" s="111"/>
      <c r="FP101" s="115">
        <f t="shared" si="129"/>
        <v>0</v>
      </c>
      <c r="FQ101" s="115"/>
      <c r="FR101" s="115"/>
      <c r="FS101" s="115"/>
      <c r="FT101" s="114">
        <f t="shared" si="152"/>
        <v>0</v>
      </c>
      <c r="FU101" s="366">
        <f t="shared" ca="1" si="155"/>
        <v>0</v>
      </c>
      <c r="FV101" s="121">
        <f t="shared" ca="1" si="153"/>
        <v>0</v>
      </c>
      <c r="FW101" s="114">
        <f t="shared" si="157"/>
        <v>0</v>
      </c>
      <c r="FX101" s="114">
        <f t="shared" si="157"/>
        <v>0</v>
      </c>
      <c r="FY101" s="114">
        <f t="shared" si="157"/>
        <v>0</v>
      </c>
      <c r="FZ101" s="114">
        <f t="shared" si="157"/>
        <v>0</v>
      </c>
      <c r="GA101" s="114">
        <f>SUM(FW101:FZ101)</f>
        <v>0</v>
      </c>
      <c r="GB101" s="114">
        <f t="shared" si="158"/>
        <v>0</v>
      </c>
      <c r="GC101" s="114">
        <f t="shared" si="158"/>
        <v>0</v>
      </c>
      <c r="GD101" s="114">
        <f t="shared" si="158"/>
        <v>0</v>
      </c>
      <c r="GE101" s="114">
        <f t="shared" si="158"/>
        <v>0</v>
      </c>
      <c r="GF101" s="114">
        <f t="shared" si="159"/>
        <v>0</v>
      </c>
      <c r="GG101" s="114">
        <f t="shared" si="159"/>
        <v>0</v>
      </c>
      <c r="GH101" s="114">
        <f t="shared" si="159"/>
        <v>0</v>
      </c>
      <c r="GI101" s="114">
        <f t="shared" si="159"/>
        <v>0</v>
      </c>
      <c r="GJ101" s="115">
        <f t="shared" si="100"/>
        <v>0</v>
      </c>
      <c r="GK101" s="114">
        <f>SUM(GF101:GI101)</f>
        <v>0</v>
      </c>
      <c r="GL101" s="114">
        <f t="shared" si="132"/>
        <v>0</v>
      </c>
      <c r="GM101" s="114">
        <f t="shared" si="133"/>
        <v>0</v>
      </c>
      <c r="GN101" s="114">
        <f t="shared" si="134"/>
        <v>0</v>
      </c>
      <c r="GO101" s="114">
        <f t="shared" si="135"/>
        <v>0</v>
      </c>
      <c r="GP101" s="114">
        <f t="shared" si="101"/>
        <v>0</v>
      </c>
      <c r="GQ101" s="114">
        <f>SUM(GL101:GO101)</f>
        <v>0</v>
      </c>
      <c r="GR101" s="193"/>
      <c r="GS101" s="122">
        <f t="shared" si="166"/>
        <v>328703390.41600049</v>
      </c>
      <c r="GT101" s="122">
        <f t="shared" si="166"/>
        <v>334663255.49264944</v>
      </c>
      <c r="GU101" s="123">
        <f>IFERROR(GS101/GT101,"")</f>
        <v>0.98219145669913599</v>
      </c>
      <c r="GV101" s="124">
        <f t="shared" ca="1" si="138"/>
        <v>0</v>
      </c>
      <c r="GW101" s="124">
        <v>0</v>
      </c>
      <c r="GX101" s="32">
        <f t="shared" ca="1" si="139"/>
        <v>0</v>
      </c>
      <c r="GY101" s="100"/>
    </row>
    <row r="102" spans="1:207" s="125" customFormat="1" ht="15" customHeight="1">
      <c r="A102" s="102"/>
      <c r="B102" s="103"/>
      <c r="C102" s="103"/>
      <c r="D102" s="104"/>
      <c r="E102" s="104" t="s">
        <v>461</v>
      </c>
      <c r="F102" s="104" t="s">
        <v>462</v>
      </c>
      <c r="G102" s="104" t="s">
        <v>226</v>
      </c>
      <c r="H102" s="593" t="s">
        <v>466</v>
      </c>
      <c r="I102" s="106" t="s">
        <v>467</v>
      </c>
      <c r="J102" s="104" t="s">
        <v>212</v>
      </c>
      <c r="K102" s="104" t="s">
        <v>218</v>
      </c>
      <c r="L102" s="104" t="s">
        <v>465</v>
      </c>
      <c r="M102" s="104" t="s">
        <v>465</v>
      </c>
      <c r="N102" s="107"/>
      <c r="O102" s="108">
        <v>41430</v>
      </c>
      <c r="P102" s="108">
        <v>43252</v>
      </c>
      <c r="Q102" s="322">
        <f t="shared" si="112"/>
        <v>0</v>
      </c>
      <c r="R102" s="109">
        <f>IF((P102-VLOOKUP(Q102,month!$A$1:$C$13,3,0))&lt;0,Q102,Q102+1)</f>
        <v>0</v>
      </c>
      <c r="S102" s="108"/>
      <c r="T102" s="127" t="str">
        <f t="shared" si="154"/>
        <v/>
      </c>
      <c r="U102" s="107"/>
      <c r="V102" s="107"/>
      <c r="W102" s="107"/>
      <c r="X102" s="107"/>
      <c r="Y102" s="386"/>
      <c r="Z102" s="386" t="s">
        <v>545</v>
      </c>
      <c r="AA102" s="387">
        <v>1000</v>
      </c>
      <c r="AB102" s="387">
        <v>1000</v>
      </c>
      <c r="AC102" s="387">
        <v>1000</v>
      </c>
      <c r="AD102" s="387">
        <v>1000</v>
      </c>
      <c r="AE102" s="387">
        <v>1000</v>
      </c>
      <c r="AF102" s="387">
        <v>1000</v>
      </c>
      <c r="AG102" s="387">
        <v>1000</v>
      </c>
      <c r="AH102" s="387">
        <v>1000</v>
      </c>
      <c r="AI102" s="387">
        <v>1000</v>
      </c>
      <c r="AJ102" s="387">
        <v>1000</v>
      </c>
      <c r="AK102" s="387">
        <v>1000</v>
      </c>
      <c r="AL102" s="387">
        <v>1000</v>
      </c>
      <c r="AM102" s="388">
        <f t="shared" si="164"/>
        <v>12000</v>
      </c>
      <c r="AN102" s="388">
        <f t="shared" si="113"/>
        <v>12000</v>
      </c>
      <c r="AO102" s="389">
        <f t="shared" si="167"/>
        <v>1000</v>
      </c>
      <c r="AP102" s="498" t="s">
        <v>672</v>
      </c>
      <c r="AQ102" s="159">
        <v>0.4</v>
      </c>
      <c r="AR102" s="160" t="s">
        <v>211</v>
      </c>
      <c r="AS102" s="119" t="s">
        <v>210</v>
      </c>
      <c r="AT102" s="111">
        <v>3379521.1219363259</v>
      </c>
      <c r="AU102" s="111">
        <v>7327548.5634185346</v>
      </c>
      <c r="AV102" s="111">
        <v>5599955.3026327584</v>
      </c>
      <c r="AW102" s="111">
        <v>6039590.4343528077</v>
      </c>
      <c r="AX102" s="113">
        <v>3463592.7112599993</v>
      </c>
      <c r="AY102" s="113">
        <v>7899234.3228099998</v>
      </c>
      <c r="AZ102" s="113">
        <v>6302483.1859700009</v>
      </c>
      <c r="BA102" s="113">
        <v>6588538.9955100007</v>
      </c>
      <c r="BB102" s="113"/>
      <c r="BC102" s="113"/>
      <c r="BD102" s="113"/>
      <c r="BE102" s="113"/>
      <c r="BF102" s="114">
        <f t="shared" si="102"/>
        <v>3463592.7112599993</v>
      </c>
      <c r="BG102" s="114">
        <f t="shared" si="102"/>
        <v>7899234.3228099998</v>
      </c>
      <c r="BH102" s="114">
        <f t="shared" si="102"/>
        <v>6302483.1859700009</v>
      </c>
      <c r="BI102" s="114">
        <f t="shared" si="102"/>
        <v>6588538.9955100007</v>
      </c>
      <c r="BJ102" s="114">
        <f t="shared" si="165"/>
        <v>24253849.215550002</v>
      </c>
      <c r="BK102" s="115">
        <f t="shared" si="94"/>
        <v>22346615.422340427</v>
      </c>
      <c r="BL102" s="115">
        <f t="shared" si="140"/>
        <v>22346615.422340427</v>
      </c>
      <c r="BM102" s="116">
        <f t="shared" si="141"/>
        <v>1.0852999999999999</v>
      </c>
      <c r="BN102" s="126">
        <f t="shared" ca="1" si="114"/>
        <v>0</v>
      </c>
      <c r="BO102" s="117">
        <f t="shared" ca="1" si="115"/>
        <v>0</v>
      </c>
      <c r="BP102" s="118" t="str">
        <f t="shared" si="116"/>
        <v>Uncapped</v>
      </c>
      <c r="BQ102" s="115">
        <f t="shared" ca="1" si="117"/>
        <v>0</v>
      </c>
      <c r="BR102" s="113" t="s">
        <v>692</v>
      </c>
      <c r="BS102" s="161">
        <v>0.4</v>
      </c>
      <c r="BT102" s="113" t="s">
        <v>211</v>
      </c>
      <c r="BU102" s="160" t="s">
        <v>210</v>
      </c>
      <c r="BV102" s="113">
        <v>7503606.8202462839</v>
      </c>
      <c r="BW102" s="113">
        <v>8053589.731983399</v>
      </c>
      <c r="BX102" s="113">
        <v>8496001.8380627688</v>
      </c>
      <c r="BY102" s="113">
        <v>8697930.0394548904</v>
      </c>
      <c r="BZ102" s="113">
        <v>7755486.3438000018</v>
      </c>
      <c r="CA102" s="113">
        <v>6815255.5627299994</v>
      </c>
      <c r="CB102" s="113">
        <v>8017330.7311999984</v>
      </c>
      <c r="CC102" s="113">
        <v>8207270.3578199986</v>
      </c>
      <c r="CD102" s="113"/>
      <c r="CE102" s="113"/>
      <c r="CF102" s="113"/>
      <c r="CG102" s="113"/>
      <c r="CH102" s="114">
        <f t="shared" si="103"/>
        <v>7755486.3438000018</v>
      </c>
      <c r="CI102" s="114">
        <f t="shared" si="103"/>
        <v>6815255.5627299994</v>
      </c>
      <c r="CJ102" s="120">
        <f t="shared" si="103"/>
        <v>8017330.7311999984</v>
      </c>
      <c r="CK102" s="114">
        <f t="shared" si="103"/>
        <v>8207270.3578199986</v>
      </c>
      <c r="CL102" s="114">
        <f t="shared" si="118"/>
        <v>30795342.995549999</v>
      </c>
      <c r="CM102" s="114">
        <f t="shared" si="95"/>
        <v>32751128.429747343</v>
      </c>
      <c r="CN102" s="114">
        <f t="shared" si="142"/>
        <v>32751128.429747343</v>
      </c>
      <c r="CO102" s="116">
        <f t="shared" si="143"/>
        <v>0.94030000000000002</v>
      </c>
      <c r="CP102" s="126">
        <f t="shared" ca="1" si="144"/>
        <v>0</v>
      </c>
      <c r="CQ102" s="115">
        <f t="shared" ca="1" si="119"/>
        <v>0</v>
      </c>
      <c r="CR102" s="118" t="str">
        <f t="shared" si="145"/>
        <v>Uncapped</v>
      </c>
      <c r="CS102" s="115">
        <f t="shared" ca="1" si="120"/>
        <v>0</v>
      </c>
      <c r="CT102" s="113" t="s">
        <v>696</v>
      </c>
      <c r="CU102" s="119">
        <v>0.2</v>
      </c>
      <c r="CV102" s="113" t="s">
        <v>217</v>
      </c>
      <c r="CW102" s="113" t="s">
        <v>210</v>
      </c>
      <c r="CX102" s="113">
        <v>61881722.047854595</v>
      </c>
      <c r="CY102" s="113">
        <v>72180793.063260496</v>
      </c>
      <c r="CZ102" s="113">
        <v>69179032.514420599</v>
      </c>
      <c r="DA102" s="113">
        <v>76323964.015026003</v>
      </c>
      <c r="DB102" s="113">
        <v>63657388.730680585</v>
      </c>
      <c r="DC102" s="113">
        <v>65995192.891159974</v>
      </c>
      <c r="DD102" s="113">
        <v>66410604.684560001</v>
      </c>
      <c r="DE102" s="113">
        <f>VLOOKUP($H102,[2]pivot!$V:$Z,$DE$2,FALSE)</f>
        <v>77591011.898499951</v>
      </c>
      <c r="DF102" s="113"/>
      <c r="DG102" s="113"/>
      <c r="DH102" s="113"/>
      <c r="DI102" s="113"/>
      <c r="DJ102" s="114">
        <f t="shared" si="104"/>
        <v>63657388.730680585</v>
      </c>
      <c r="DK102" s="114">
        <f t="shared" si="104"/>
        <v>65995192.891159974</v>
      </c>
      <c r="DL102" s="114">
        <f t="shared" si="104"/>
        <v>66410604.684560001</v>
      </c>
      <c r="DM102" s="114">
        <f t="shared" si="104"/>
        <v>77591011.898499951</v>
      </c>
      <c r="DN102" s="114">
        <f t="shared" ref="DN102:DN165" si="168">IF($BB$3="After AR Adjustment",IF($H$2=1,DJ102,IF($H$2=2,SUM(DJ102:DK102),IF($H$2=3,SUM(DJ102:DL102),SUM(DJ102:DM102)))),IF($H$2=1,DB102,IF($H$2=2,SUM(DB102:DC102),IF($H$2=3,SUM(DB102:DD102),SUM(DB102:DE102)))))</f>
        <v>273654198.2049005</v>
      </c>
      <c r="DO102" s="114">
        <f t="shared" si="96"/>
        <v>279565511.6405617</v>
      </c>
      <c r="DP102" s="114">
        <f t="shared" si="105"/>
        <v>279565511.6405617</v>
      </c>
      <c r="DQ102" s="116">
        <f t="shared" si="146"/>
        <v>0.97889999999999999</v>
      </c>
      <c r="DR102" s="126">
        <f t="shared" ca="1" si="121"/>
        <v>0</v>
      </c>
      <c r="DS102" s="115">
        <f t="shared" ca="1" si="122"/>
        <v>0</v>
      </c>
      <c r="DT102" s="118" t="str">
        <f t="shared" si="147"/>
        <v>Uncapped</v>
      </c>
      <c r="DU102" s="115">
        <f t="shared" ca="1" si="123"/>
        <v>0</v>
      </c>
      <c r="DV102" s="113"/>
      <c r="DW102" s="119">
        <v>0</v>
      </c>
      <c r="DX102" s="113"/>
      <c r="DY102" s="113"/>
      <c r="DZ102" s="113">
        <v>0</v>
      </c>
      <c r="EA102" s="113">
        <v>0</v>
      </c>
      <c r="EB102" s="113">
        <v>0</v>
      </c>
      <c r="EC102" s="113">
        <v>0</v>
      </c>
      <c r="ED102" s="113">
        <v>0</v>
      </c>
      <c r="EE102" s="113">
        <v>0</v>
      </c>
      <c r="EF102" s="113"/>
      <c r="EG102" s="113"/>
      <c r="EH102" s="113"/>
      <c r="EI102" s="113"/>
      <c r="EJ102" s="113"/>
      <c r="EK102" s="113"/>
      <c r="EL102" s="114">
        <f t="shared" si="106"/>
        <v>0</v>
      </c>
      <c r="EM102" s="114">
        <f t="shared" si="106"/>
        <v>0</v>
      </c>
      <c r="EN102" s="114">
        <f t="shared" si="106"/>
        <v>0</v>
      </c>
      <c r="EO102" s="114">
        <f t="shared" si="106"/>
        <v>0</v>
      </c>
      <c r="EP102" s="114">
        <f t="shared" si="124"/>
        <v>0</v>
      </c>
      <c r="EQ102" s="114">
        <f t="shared" si="97"/>
        <v>0</v>
      </c>
      <c r="ER102" s="114">
        <f t="shared" si="148"/>
        <v>0</v>
      </c>
      <c r="ES102" s="116">
        <f t="shared" si="149"/>
        <v>0</v>
      </c>
      <c r="ET102" s="126">
        <f t="shared" ca="1" si="150"/>
        <v>0</v>
      </c>
      <c r="EU102" s="115">
        <f t="shared" ca="1" si="125"/>
        <v>0</v>
      </c>
      <c r="EV102" s="118" t="str">
        <f t="shared" si="126"/>
        <v>Uncapped</v>
      </c>
      <c r="EW102" s="115">
        <f t="shared" ca="1" si="127"/>
        <v>0</v>
      </c>
      <c r="EX102" s="112">
        <f t="shared" ca="1" si="128"/>
        <v>0</v>
      </c>
      <c r="EY102" s="114">
        <f t="shared" ca="1" si="151"/>
        <v>0</v>
      </c>
      <c r="EZ102" s="115">
        <v>0</v>
      </c>
      <c r="FA102" s="115"/>
      <c r="FB102" s="115"/>
      <c r="FC102" s="115">
        <v>0</v>
      </c>
      <c r="FD102" s="115">
        <f t="shared" si="98"/>
        <v>0</v>
      </c>
      <c r="FE102" s="114">
        <f t="shared" si="87"/>
        <v>0</v>
      </c>
      <c r="FF102" s="115">
        <v>0</v>
      </c>
      <c r="FG102" s="115">
        <v>0</v>
      </c>
      <c r="FH102" s="115">
        <v>0</v>
      </c>
      <c r="FI102" s="115">
        <v>0</v>
      </c>
      <c r="FJ102" s="115">
        <f t="shared" si="99"/>
        <v>0</v>
      </c>
      <c r="FK102" s="114">
        <f t="shared" si="88"/>
        <v>0</v>
      </c>
      <c r="FL102" s="113"/>
      <c r="FM102" s="111"/>
      <c r="FN102" s="111"/>
      <c r="FO102" s="111"/>
      <c r="FP102" s="115">
        <f t="shared" si="129"/>
        <v>0</v>
      </c>
      <c r="FQ102" s="115"/>
      <c r="FR102" s="115"/>
      <c r="FS102" s="115"/>
      <c r="FT102" s="114">
        <f t="shared" si="152"/>
        <v>0</v>
      </c>
      <c r="FU102" s="366">
        <f t="shared" ca="1" si="155"/>
        <v>0</v>
      </c>
      <c r="FV102" s="121">
        <f t="shared" ca="1" si="153"/>
        <v>0</v>
      </c>
      <c r="FW102" s="114">
        <f t="shared" si="157"/>
        <v>0</v>
      </c>
      <c r="FX102" s="114">
        <f t="shared" si="157"/>
        <v>0</v>
      </c>
      <c r="FY102" s="114">
        <f t="shared" si="157"/>
        <v>0</v>
      </c>
      <c r="FZ102" s="114">
        <f t="shared" si="157"/>
        <v>0</v>
      </c>
      <c r="GA102" s="114">
        <f>SUM(FW102:FZ102)</f>
        <v>0</v>
      </c>
      <c r="GB102" s="114">
        <f t="shared" si="158"/>
        <v>0</v>
      </c>
      <c r="GC102" s="114">
        <f t="shared" si="158"/>
        <v>0</v>
      </c>
      <c r="GD102" s="114">
        <f t="shared" si="158"/>
        <v>0</v>
      </c>
      <c r="GE102" s="114">
        <f t="shared" si="158"/>
        <v>0</v>
      </c>
      <c r="GF102" s="114">
        <f t="shared" si="159"/>
        <v>0</v>
      </c>
      <c r="GG102" s="114">
        <f t="shared" si="159"/>
        <v>0</v>
      </c>
      <c r="GH102" s="114">
        <f t="shared" si="159"/>
        <v>0</v>
      </c>
      <c r="GI102" s="114">
        <f t="shared" si="159"/>
        <v>0</v>
      </c>
      <c r="GJ102" s="115">
        <f t="shared" si="100"/>
        <v>0</v>
      </c>
      <c r="GK102" s="114">
        <f>SUM(GF102:GI102)</f>
        <v>0</v>
      </c>
      <c r="GL102" s="114">
        <f t="shared" si="132"/>
        <v>0</v>
      </c>
      <c r="GM102" s="114">
        <f t="shared" si="133"/>
        <v>0</v>
      </c>
      <c r="GN102" s="114">
        <f t="shared" si="134"/>
        <v>0</v>
      </c>
      <c r="GO102" s="114">
        <f t="shared" si="135"/>
        <v>0</v>
      </c>
      <c r="GP102" s="114">
        <f t="shared" si="101"/>
        <v>0</v>
      </c>
      <c r="GQ102" s="114">
        <f>SUM(GL102:GO102)</f>
        <v>0</v>
      </c>
      <c r="GR102" s="216"/>
      <c r="GS102" s="122">
        <f t="shared" si="166"/>
        <v>328703390.41600049</v>
      </c>
      <c r="GT102" s="122">
        <f t="shared" si="166"/>
        <v>334663255.49264944</v>
      </c>
      <c r="GU102" s="123">
        <f>IFERROR(GS102/GT102,"")</f>
        <v>0.98219145669913599</v>
      </c>
      <c r="GV102" s="124">
        <f t="shared" ca="1" si="138"/>
        <v>0</v>
      </c>
      <c r="GW102" s="124">
        <v>0</v>
      </c>
      <c r="GX102" s="32">
        <f t="shared" ca="1" si="139"/>
        <v>0</v>
      </c>
      <c r="GY102" s="100"/>
    </row>
    <row r="103" spans="1:207" s="152" customFormat="1" ht="15" hidden="1" customHeight="1">
      <c r="A103" s="129"/>
      <c r="B103" s="130"/>
      <c r="C103" s="130"/>
      <c r="D103" s="131"/>
      <c r="E103" s="131"/>
      <c r="F103" s="131" t="s">
        <v>617</v>
      </c>
      <c r="G103" s="131" t="s">
        <v>226</v>
      </c>
      <c r="H103" s="172" t="s">
        <v>619</v>
      </c>
      <c r="I103" s="133" t="s">
        <v>620</v>
      </c>
      <c r="J103" s="131" t="s">
        <v>471</v>
      </c>
      <c r="K103" s="508" t="s">
        <v>618</v>
      </c>
      <c r="L103" s="131" t="s">
        <v>471</v>
      </c>
      <c r="M103" s="131" t="s">
        <v>472</v>
      </c>
      <c r="N103" s="134"/>
      <c r="O103" s="540">
        <v>41376</v>
      </c>
      <c r="P103" s="155">
        <v>39600</v>
      </c>
      <c r="Q103" s="321">
        <f t="shared" si="112"/>
        <v>0</v>
      </c>
      <c r="R103" s="109">
        <f>IF((P103-VLOOKUP(Q103,month!$A$1:$C$13,3,0))&lt;0,Q103,Q103+1)</f>
        <v>0</v>
      </c>
      <c r="S103" s="108"/>
      <c r="T103" s="135" t="str">
        <f t="shared" si="154"/>
        <v/>
      </c>
      <c r="U103" s="134"/>
      <c r="V103" s="134"/>
      <c r="W103" s="134"/>
      <c r="X103" s="134"/>
      <c r="Y103" s="383"/>
      <c r="Z103" s="383" t="s">
        <v>545</v>
      </c>
      <c r="AA103" s="371">
        <v>1000</v>
      </c>
      <c r="AB103" s="371">
        <v>1000</v>
      </c>
      <c r="AC103" s="371">
        <v>1000</v>
      </c>
      <c r="AD103" s="371">
        <v>1000</v>
      </c>
      <c r="AE103" s="371">
        <v>1000</v>
      </c>
      <c r="AF103" s="371">
        <v>1000</v>
      </c>
      <c r="AG103" s="371">
        <v>1000</v>
      </c>
      <c r="AH103" s="371">
        <v>1000</v>
      </c>
      <c r="AI103" s="371">
        <v>1000</v>
      </c>
      <c r="AJ103" s="371">
        <v>1000</v>
      </c>
      <c r="AK103" s="371">
        <v>1000</v>
      </c>
      <c r="AL103" s="371">
        <v>1000</v>
      </c>
      <c r="AM103" s="384">
        <f t="shared" si="164"/>
        <v>12000</v>
      </c>
      <c r="AN103" s="384">
        <f t="shared" si="113"/>
        <v>12000</v>
      </c>
      <c r="AO103" s="385">
        <f t="shared" si="167"/>
        <v>1000</v>
      </c>
      <c r="AP103" s="497" t="s">
        <v>688</v>
      </c>
      <c r="AQ103" s="158">
        <v>0.5</v>
      </c>
      <c r="AR103" s="138" t="s">
        <v>211</v>
      </c>
      <c r="AS103" s="146" t="s">
        <v>210</v>
      </c>
      <c r="AT103" s="136">
        <v>19653413.080999997</v>
      </c>
      <c r="AU103" s="136">
        <v>22848780.235100001</v>
      </c>
      <c r="AV103" s="136"/>
      <c r="AW103" s="136"/>
      <c r="AX103" s="138">
        <v>19427532.107000571</v>
      </c>
      <c r="AY103" s="138">
        <v>22270538.357580002</v>
      </c>
      <c r="AZ103" s="138"/>
      <c r="BA103" s="138"/>
      <c r="BB103" s="138"/>
      <c r="BC103" s="138"/>
      <c r="BD103" s="138"/>
      <c r="BE103" s="138"/>
      <c r="BF103" s="139">
        <f t="shared" si="102"/>
        <v>19427532.107000571</v>
      </c>
      <c r="BG103" s="139">
        <f t="shared" si="102"/>
        <v>22270538.357580002</v>
      </c>
      <c r="BH103" s="139">
        <f t="shared" si="102"/>
        <v>0</v>
      </c>
      <c r="BI103" s="139">
        <f t="shared" si="102"/>
        <v>0</v>
      </c>
      <c r="BJ103" s="139">
        <f t="shared" si="165"/>
        <v>41698070.464580573</v>
      </c>
      <c r="BK103" s="140">
        <f t="shared" si="94"/>
        <v>42502193.316100001</v>
      </c>
      <c r="BL103" s="140">
        <f t="shared" si="140"/>
        <v>42502193.316100001</v>
      </c>
      <c r="BM103" s="141">
        <f t="shared" si="141"/>
        <v>0.98109999999999997</v>
      </c>
      <c r="BN103" s="142">
        <f t="shared" ca="1" si="114"/>
        <v>0</v>
      </c>
      <c r="BO103" s="143">
        <f t="shared" ca="1" si="115"/>
        <v>0</v>
      </c>
      <c r="BP103" s="144" t="str">
        <f t="shared" si="116"/>
        <v>Uncapped</v>
      </c>
      <c r="BQ103" s="140">
        <f t="shared" ca="1" si="117"/>
        <v>0</v>
      </c>
      <c r="BR103" s="138" t="s">
        <v>730</v>
      </c>
      <c r="BS103" s="146">
        <v>0.3</v>
      </c>
      <c r="BT103" s="138" t="s">
        <v>211</v>
      </c>
      <c r="BU103" s="138" t="s">
        <v>210</v>
      </c>
      <c r="BV103" s="138">
        <v>13631298.3753272</v>
      </c>
      <c r="BW103" s="138">
        <v>15463517.626933601</v>
      </c>
      <c r="BX103" s="138">
        <v>0</v>
      </c>
      <c r="BY103" s="138">
        <v>0</v>
      </c>
      <c r="BZ103" s="138">
        <v>13485327.436090879</v>
      </c>
      <c r="CA103" s="138">
        <v>13198690.521689992</v>
      </c>
      <c r="CB103" s="138">
        <v>0</v>
      </c>
      <c r="CC103" s="138"/>
      <c r="CD103" s="138"/>
      <c r="CE103" s="138"/>
      <c r="CF103" s="138"/>
      <c r="CG103" s="138"/>
      <c r="CH103" s="139">
        <f t="shared" si="103"/>
        <v>13485327.436090879</v>
      </c>
      <c r="CI103" s="139">
        <f t="shared" si="103"/>
        <v>13198690.521689992</v>
      </c>
      <c r="CJ103" s="145">
        <f t="shared" si="103"/>
        <v>0</v>
      </c>
      <c r="CK103" s="139">
        <f t="shared" si="103"/>
        <v>0</v>
      </c>
      <c r="CL103" s="139">
        <f t="shared" si="118"/>
        <v>26684017.957780872</v>
      </c>
      <c r="CM103" s="139">
        <f t="shared" si="95"/>
        <v>29094816.0022608</v>
      </c>
      <c r="CN103" s="139">
        <f t="shared" si="142"/>
        <v>29094816.0022608</v>
      </c>
      <c r="CO103" s="141">
        <f t="shared" si="143"/>
        <v>0.91710000000000003</v>
      </c>
      <c r="CP103" s="142">
        <f t="shared" ca="1" si="144"/>
        <v>0</v>
      </c>
      <c r="CQ103" s="140">
        <f t="shared" ca="1" si="119"/>
        <v>0</v>
      </c>
      <c r="CR103" s="144" t="str">
        <f t="shared" si="145"/>
        <v>Uncapped</v>
      </c>
      <c r="CS103" s="140">
        <f t="shared" ca="1" si="120"/>
        <v>0</v>
      </c>
      <c r="CT103" s="138" t="s">
        <v>696</v>
      </c>
      <c r="CU103" s="146">
        <v>0.2</v>
      </c>
      <c r="CV103" s="138" t="s">
        <v>217</v>
      </c>
      <c r="CW103" s="138" t="s">
        <v>667</v>
      </c>
      <c r="CX103" s="138">
        <v>61881722.047854595</v>
      </c>
      <c r="CY103" s="138">
        <v>72180793.063260496</v>
      </c>
      <c r="CZ103" s="138"/>
      <c r="DA103" s="138"/>
      <c r="DB103" s="138">
        <v>63657388.730680585</v>
      </c>
      <c r="DC103" s="138">
        <v>65995192.891159989</v>
      </c>
      <c r="DD103" s="138"/>
      <c r="DE103" s="138"/>
      <c r="DF103" s="138"/>
      <c r="DG103" s="138"/>
      <c r="DH103" s="138"/>
      <c r="DI103" s="138"/>
      <c r="DJ103" s="139">
        <f t="shared" si="104"/>
        <v>63657388.730680585</v>
      </c>
      <c r="DK103" s="139">
        <f t="shared" si="104"/>
        <v>65995192.891159989</v>
      </c>
      <c r="DL103" s="139">
        <f t="shared" si="104"/>
        <v>0</v>
      </c>
      <c r="DM103" s="139">
        <f t="shared" si="104"/>
        <v>0</v>
      </c>
      <c r="DN103" s="139">
        <f t="shared" si="168"/>
        <v>129652581.62184057</v>
      </c>
      <c r="DO103" s="139">
        <f t="shared" si="96"/>
        <v>134062515.1111151</v>
      </c>
      <c r="DP103" s="139">
        <f t="shared" si="105"/>
        <v>134062515.1111151</v>
      </c>
      <c r="DQ103" s="141">
        <f t="shared" si="146"/>
        <v>0.96709999999999996</v>
      </c>
      <c r="DR103" s="142">
        <f t="shared" ca="1" si="121"/>
        <v>0</v>
      </c>
      <c r="DS103" s="140">
        <f t="shared" ca="1" si="122"/>
        <v>0</v>
      </c>
      <c r="DT103" s="144" t="str">
        <f t="shared" si="147"/>
        <v>Uncapped</v>
      </c>
      <c r="DU103" s="140">
        <f t="shared" ca="1" si="123"/>
        <v>0</v>
      </c>
      <c r="DV103" s="138"/>
      <c r="DW103" s="146">
        <v>0</v>
      </c>
      <c r="DX103" s="138"/>
      <c r="DY103" s="138"/>
      <c r="DZ103" s="138">
        <v>0</v>
      </c>
      <c r="EA103" s="138">
        <v>0</v>
      </c>
      <c r="EB103" s="138">
        <v>0</v>
      </c>
      <c r="EC103" s="138">
        <v>0</v>
      </c>
      <c r="ED103" s="138">
        <v>0</v>
      </c>
      <c r="EE103" s="138">
        <v>0</v>
      </c>
      <c r="EF103" s="138"/>
      <c r="EG103" s="138"/>
      <c r="EH103" s="138"/>
      <c r="EI103" s="138"/>
      <c r="EJ103" s="138"/>
      <c r="EK103" s="138"/>
      <c r="EL103" s="139">
        <f t="shared" si="106"/>
        <v>0</v>
      </c>
      <c r="EM103" s="139">
        <f t="shared" si="106"/>
        <v>0</v>
      </c>
      <c r="EN103" s="139">
        <f t="shared" si="106"/>
        <v>0</v>
      </c>
      <c r="EO103" s="139">
        <f t="shared" si="106"/>
        <v>0</v>
      </c>
      <c r="EP103" s="139">
        <f t="shared" si="124"/>
        <v>0</v>
      </c>
      <c r="EQ103" s="139">
        <f t="shared" si="97"/>
        <v>0</v>
      </c>
      <c r="ER103" s="139">
        <f t="shared" si="148"/>
        <v>0</v>
      </c>
      <c r="ES103" s="141">
        <f t="shared" si="149"/>
        <v>0</v>
      </c>
      <c r="ET103" s="142">
        <f t="shared" ca="1" si="150"/>
        <v>0</v>
      </c>
      <c r="EU103" s="140">
        <f t="shared" ca="1" si="125"/>
        <v>0</v>
      </c>
      <c r="EV103" s="144" t="str">
        <f t="shared" si="126"/>
        <v>Uncapped</v>
      </c>
      <c r="EW103" s="140">
        <f t="shared" ca="1" si="127"/>
        <v>0</v>
      </c>
      <c r="EX103" s="137">
        <f t="shared" ca="1" si="128"/>
        <v>0</v>
      </c>
      <c r="EY103" s="139">
        <f t="shared" ca="1" si="151"/>
        <v>0</v>
      </c>
      <c r="EZ103" s="140">
        <v>0</v>
      </c>
      <c r="FA103" s="140"/>
      <c r="FB103" s="140"/>
      <c r="FC103" s="140">
        <v>0</v>
      </c>
      <c r="FD103" s="140">
        <f t="shared" si="98"/>
        <v>0</v>
      </c>
      <c r="FE103" s="139">
        <f t="shared" si="87"/>
        <v>0</v>
      </c>
      <c r="FF103" s="140">
        <v>0</v>
      </c>
      <c r="FG103" s="140">
        <v>0</v>
      </c>
      <c r="FH103" s="140">
        <v>0</v>
      </c>
      <c r="FI103" s="140">
        <v>0</v>
      </c>
      <c r="FJ103" s="140">
        <f t="shared" si="99"/>
        <v>0</v>
      </c>
      <c r="FK103" s="139">
        <f t="shared" si="88"/>
        <v>0</v>
      </c>
      <c r="FL103" s="138"/>
      <c r="FM103" s="136"/>
      <c r="FN103" s="136"/>
      <c r="FO103" s="136"/>
      <c r="FP103" s="140">
        <f t="shared" si="129"/>
        <v>0</v>
      </c>
      <c r="FQ103" s="488"/>
      <c r="FR103" s="140"/>
      <c r="FS103" s="140"/>
      <c r="FT103" s="139">
        <f t="shared" si="152"/>
        <v>0</v>
      </c>
      <c r="FU103" s="365">
        <f t="shared" ca="1" si="155"/>
        <v>0</v>
      </c>
      <c r="FV103" s="147">
        <f t="shared" ca="1" si="153"/>
        <v>0</v>
      </c>
      <c r="FW103" s="139">
        <f t="shared" si="157"/>
        <v>0</v>
      </c>
      <c r="FX103" s="139">
        <f t="shared" si="157"/>
        <v>0</v>
      </c>
      <c r="FY103" s="139">
        <f t="shared" si="157"/>
        <v>0</v>
      </c>
      <c r="FZ103" s="139">
        <f t="shared" si="157"/>
        <v>0</v>
      </c>
      <c r="GA103" s="139">
        <f t="shared" ref="GA103:GA112" si="169">SUM(FW103:FZ103)</f>
        <v>0</v>
      </c>
      <c r="GB103" s="139">
        <f t="shared" si="158"/>
        <v>0</v>
      </c>
      <c r="GC103" s="139">
        <f t="shared" si="158"/>
        <v>0</v>
      </c>
      <c r="GD103" s="139">
        <f t="shared" si="158"/>
        <v>0</v>
      </c>
      <c r="GE103" s="139">
        <f t="shared" si="158"/>
        <v>0</v>
      </c>
      <c r="GF103" s="139">
        <f t="shared" si="159"/>
        <v>0</v>
      </c>
      <c r="GG103" s="139">
        <f t="shared" si="159"/>
        <v>0</v>
      </c>
      <c r="GH103" s="139">
        <f t="shared" si="159"/>
        <v>0</v>
      </c>
      <c r="GI103" s="139">
        <f t="shared" si="159"/>
        <v>0</v>
      </c>
      <c r="GJ103" s="140">
        <f t="shared" si="100"/>
        <v>0</v>
      </c>
      <c r="GK103" s="139">
        <f t="shared" ref="GK103:GK112" si="170">SUM(GF103:GI103)</f>
        <v>0</v>
      </c>
      <c r="GL103" s="139">
        <f t="shared" si="132"/>
        <v>0</v>
      </c>
      <c r="GM103" s="139">
        <f t="shared" si="133"/>
        <v>0</v>
      </c>
      <c r="GN103" s="139">
        <f t="shared" si="134"/>
        <v>0</v>
      </c>
      <c r="GO103" s="139">
        <f t="shared" si="135"/>
        <v>0</v>
      </c>
      <c r="GP103" s="139">
        <f t="shared" si="101"/>
        <v>0</v>
      </c>
      <c r="GQ103" s="139">
        <f t="shared" ref="GQ103:GQ112" si="171">SUM(GL103:GO103)</f>
        <v>0</v>
      </c>
      <c r="GR103" s="409"/>
      <c r="GS103" s="148">
        <f t="shared" si="166"/>
        <v>198034670.04420203</v>
      </c>
      <c r="GT103" s="148">
        <f t="shared" si="166"/>
        <v>205659524.4294759</v>
      </c>
      <c r="GU103" s="149">
        <f t="shared" ref="GU103:GU112" si="172">IFERROR(GS103/GT103,"")</f>
        <v>0.96292486620093998</v>
      </c>
      <c r="GV103" s="150">
        <f t="shared" ca="1" si="138"/>
        <v>0</v>
      </c>
      <c r="GW103" s="150">
        <v>0</v>
      </c>
      <c r="GX103" s="151">
        <f t="shared" ca="1" si="139"/>
        <v>0</v>
      </c>
      <c r="GY103" s="100"/>
    </row>
    <row r="104" spans="1:207" s="125" customFormat="1" ht="15" hidden="1" customHeight="1">
      <c r="A104" s="102"/>
      <c r="B104" s="103"/>
      <c r="C104" s="103"/>
      <c r="D104" s="104"/>
      <c r="E104" s="104"/>
      <c r="F104" s="104" t="s">
        <v>468</v>
      </c>
      <c r="G104" s="104" t="s">
        <v>226</v>
      </c>
      <c r="H104" s="154" t="s">
        <v>469</v>
      </c>
      <c r="I104" s="106" t="s">
        <v>470</v>
      </c>
      <c r="J104" s="104" t="s">
        <v>471</v>
      </c>
      <c r="K104" s="104" t="s">
        <v>208</v>
      </c>
      <c r="L104" s="104" t="s">
        <v>471</v>
      </c>
      <c r="M104" s="104" t="s">
        <v>472</v>
      </c>
      <c r="N104" s="107"/>
      <c r="O104" s="108">
        <v>43255</v>
      </c>
      <c r="P104" s="108">
        <v>43313</v>
      </c>
      <c r="Q104" s="322">
        <f t="shared" si="112"/>
        <v>0</v>
      </c>
      <c r="R104" s="109">
        <f>IF((P104-VLOOKUP(Q104,month!$A$1:$C$13,3,0))&lt;0,Q104,Q104+1)</f>
        <v>0</v>
      </c>
      <c r="S104" s="108"/>
      <c r="T104" s="127" t="str">
        <f t="shared" si="154"/>
        <v/>
      </c>
      <c r="U104" s="107"/>
      <c r="V104" s="107"/>
      <c r="W104" s="107"/>
      <c r="X104" s="107"/>
      <c r="Y104" s="386"/>
      <c r="Z104" s="386" t="s">
        <v>545</v>
      </c>
      <c r="AA104" s="387">
        <v>1000</v>
      </c>
      <c r="AB104" s="387">
        <v>1000</v>
      </c>
      <c r="AC104" s="387">
        <v>1000</v>
      </c>
      <c r="AD104" s="387">
        <v>1000</v>
      </c>
      <c r="AE104" s="387">
        <v>1000</v>
      </c>
      <c r="AF104" s="387">
        <v>1000</v>
      </c>
      <c r="AG104" s="387">
        <v>1000</v>
      </c>
      <c r="AH104" s="387">
        <v>1000</v>
      </c>
      <c r="AI104" s="387">
        <v>1000</v>
      </c>
      <c r="AJ104" s="387">
        <v>1000</v>
      </c>
      <c r="AK104" s="387">
        <v>1000</v>
      </c>
      <c r="AL104" s="387">
        <v>1000</v>
      </c>
      <c r="AM104" s="388">
        <f t="shared" si="164"/>
        <v>12000</v>
      </c>
      <c r="AN104" s="388">
        <f t="shared" si="113"/>
        <v>12000</v>
      </c>
      <c r="AO104" s="389">
        <f t="shared" si="167"/>
        <v>1000</v>
      </c>
      <c r="AP104" s="498" t="s">
        <v>688</v>
      </c>
      <c r="AQ104" s="159">
        <v>0.8</v>
      </c>
      <c r="AR104" s="160" t="s">
        <v>211</v>
      </c>
      <c r="AS104" s="119" t="s">
        <v>210</v>
      </c>
      <c r="AT104" s="111">
        <v>19653413.080999997</v>
      </c>
      <c r="AU104" s="111">
        <v>22848780.235100001</v>
      </c>
      <c r="AV104" s="111">
        <v>22618799.574099999</v>
      </c>
      <c r="AW104" s="111">
        <v>27098464.121500004</v>
      </c>
      <c r="AX104" s="113">
        <v>19427532.107000571</v>
      </c>
      <c r="AY104" s="113">
        <v>22270538.357580002</v>
      </c>
      <c r="AZ104" s="113">
        <v>22879083.486580007</v>
      </c>
      <c r="BA104" s="113"/>
      <c r="BB104" s="113"/>
      <c r="BC104" s="113"/>
      <c r="BD104" s="113"/>
      <c r="BE104" s="113"/>
      <c r="BF104" s="139">
        <f>AX104+BB104</f>
        <v>19427532.107000571</v>
      </c>
      <c r="BG104" s="139">
        <f>AY104+BC104</f>
        <v>22270538.357580002</v>
      </c>
      <c r="BH104" s="139">
        <f>AZ104+BD104</f>
        <v>22879083.486580007</v>
      </c>
      <c r="BI104" s="139">
        <f>BA104+BE104</f>
        <v>0</v>
      </c>
      <c r="BJ104" s="139">
        <f t="shared" si="165"/>
        <v>64577153.95116058</v>
      </c>
      <c r="BK104" s="140">
        <f>IF($H$2=1,AT104,IF($H$2=2,SUM(AT104:AU104),IF($H$2=3,SUM(AT104:AV104),SUM(AT104:AW104))))</f>
        <v>92219457.011700004</v>
      </c>
      <c r="BL104" s="140">
        <f>SUM(AT104:AW104)</f>
        <v>92219457.011700004</v>
      </c>
      <c r="BM104" s="141">
        <f>IFERROR(ROUND(BJ104/BK104,4),0)</f>
        <v>0.70030000000000003</v>
      </c>
      <c r="BN104" s="142">
        <f ca="1">IF(OR(AP104="MBO",AP104="10% Realized Price"),BM104,SUMPRODUCT(Lower_Payout*(Curve=AR104)*(Lower_Attain&lt;=BM104)*(Upper_Attain&gt;BM104))+(BM104-SUMPRODUCT(Lower_Attain*(Curve=AR104)*(Lower_Attain&lt;=BM104)*(Upper_Attain&gt;BM104)))*SUMPRODUCT(Slope*(Curve=AR104)*(Lower_Attain&lt;=BM104)*(Upper_Attain&gt;BM104)))</f>
        <v>0</v>
      </c>
      <c r="BO104" s="143">
        <f ca="1">IFERROR(AM104*AQ104*BN104,0)</f>
        <v>0</v>
      </c>
      <c r="BP104" s="118">
        <v>0.75</v>
      </c>
      <c r="BQ104" s="140">
        <f t="shared" si="117"/>
        <v>7200</v>
      </c>
      <c r="BR104" s="113" t="s">
        <v>696</v>
      </c>
      <c r="BS104" s="161">
        <v>0.2</v>
      </c>
      <c r="BT104" s="113" t="s">
        <v>217</v>
      </c>
      <c r="BU104" s="160" t="s">
        <v>210</v>
      </c>
      <c r="BV104" s="113">
        <v>61881722.047854595</v>
      </c>
      <c r="BW104" s="113">
        <v>72180793.063260496</v>
      </c>
      <c r="BX104" s="113">
        <v>69179032.514420599</v>
      </c>
      <c r="BY104" s="113">
        <v>76323964.015026003</v>
      </c>
      <c r="BZ104" s="113">
        <v>63657388.730680585</v>
      </c>
      <c r="CA104" s="113">
        <v>65995192.891159989</v>
      </c>
      <c r="CB104" s="113">
        <v>66410604.684560001</v>
      </c>
      <c r="CC104" s="113"/>
      <c r="CD104" s="113"/>
      <c r="CE104" s="113"/>
      <c r="CF104" s="113"/>
      <c r="CG104" s="113"/>
      <c r="CH104" s="114">
        <f t="shared" si="103"/>
        <v>63657388.730680585</v>
      </c>
      <c r="CI104" s="114">
        <f t="shared" si="103"/>
        <v>65995192.891159989</v>
      </c>
      <c r="CJ104" s="120">
        <f t="shared" si="103"/>
        <v>66410604.684560001</v>
      </c>
      <c r="CK104" s="114">
        <f t="shared" si="103"/>
        <v>0</v>
      </c>
      <c r="CL104" s="114">
        <f t="shared" si="118"/>
        <v>196063186.30640057</v>
      </c>
      <c r="CM104" s="114">
        <f t="shared" si="95"/>
        <v>279565511.6405617</v>
      </c>
      <c r="CN104" s="114">
        <f t="shared" si="142"/>
        <v>279565511.6405617</v>
      </c>
      <c r="CO104" s="116">
        <f t="shared" si="143"/>
        <v>0.70130000000000003</v>
      </c>
      <c r="CP104" s="126">
        <f t="shared" ca="1" si="144"/>
        <v>0</v>
      </c>
      <c r="CQ104" s="115">
        <f t="shared" ca="1" si="119"/>
        <v>0</v>
      </c>
      <c r="CR104" s="118" t="str">
        <f t="shared" si="145"/>
        <v>Uncapped</v>
      </c>
      <c r="CS104" s="115">
        <f t="shared" ca="1" si="120"/>
        <v>0</v>
      </c>
      <c r="CT104" s="113"/>
      <c r="CU104" s="119">
        <v>0</v>
      </c>
      <c r="CV104" s="113"/>
      <c r="CW104" s="113"/>
      <c r="CX104" s="113">
        <v>0</v>
      </c>
      <c r="CY104" s="113">
        <v>0</v>
      </c>
      <c r="CZ104" s="113">
        <v>0</v>
      </c>
      <c r="DA104" s="113">
        <v>0</v>
      </c>
      <c r="DB104" s="113">
        <v>0</v>
      </c>
      <c r="DC104" s="113">
        <v>0</v>
      </c>
      <c r="DD104" s="113">
        <v>0</v>
      </c>
      <c r="DE104" s="113"/>
      <c r="DF104" s="113"/>
      <c r="DG104" s="113"/>
      <c r="DH104" s="113"/>
      <c r="DI104" s="113"/>
      <c r="DJ104" s="114">
        <f t="shared" si="104"/>
        <v>0</v>
      </c>
      <c r="DK104" s="114">
        <f t="shared" si="104"/>
        <v>0</v>
      </c>
      <c r="DL104" s="114">
        <f t="shared" si="104"/>
        <v>0</v>
      </c>
      <c r="DM104" s="114">
        <f t="shared" si="104"/>
        <v>0</v>
      </c>
      <c r="DN104" s="114">
        <f t="shared" si="168"/>
        <v>0</v>
      </c>
      <c r="DO104" s="114">
        <f t="shared" si="96"/>
        <v>0</v>
      </c>
      <c r="DP104" s="114">
        <f t="shared" si="105"/>
        <v>0</v>
      </c>
      <c r="DQ104" s="116">
        <f t="shared" si="146"/>
        <v>0</v>
      </c>
      <c r="DR104" s="126">
        <f t="shared" ca="1" si="121"/>
        <v>0</v>
      </c>
      <c r="DS104" s="115">
        <f t="shared" ca="1" si="122"/>
        <v>0</v>
      </c>
      <c r="DT104" s="118" t="str">
        <f t="shared" si="147"/>
        <v>Uncapped</v>
      </c>
      <c r="DU104" s="115">
        <f t="shared" ca="1" si="123"/>
        <v>0</v>
      </c>
      <c r="DV104" s="113"/>
      <c r="DW104" s="119">
        <v>0</v>
      </c>
      <c r="DX104" s="113"/>
      <c r="DY104" s="113"/>
      <c r="DZ104" s="113">
        <v>0</v>
      </c>
      <c r="EA104" s="113">
        <v>0</v>
      </c>
      <c r="EB104" s="113">
        <v>0</v>
      </c>
      <c r="EC104" s="113">
        <v>0</v>
      </c>
      <c r="ED104" s="113">
        <v>0</v>
      </c>
      <c r="EE104" s="113">
        <v>0</v>
      </c>
      <c r="EF104" s="113"/>
      <c r="EG104" s="113"/>
      <c r="EH104" s="113"/>
      <c r="EI104" s="113"/>
      <c r="EJ104" s="113"/>
      <c r="EK104" s="113"/>
      <c r="EL104" s="114">
        <f t="shared" si="106"/>
        <v>0</v>
      </c>
      <c r="EM104" s="114">
        <f t="shared" si="106"/>
        <v>0</v>
      </c>
      <c r="EN104" s="114">
        <f t="shared" si="106"/>
        <v>0</v>
      </c>
      <c r="EO104" s="114">
        <f t="shared" si="106"/>
        <v>0</v>
      </c>
      <c r="EP104" s="114">
        <f t="shared" si="124"/>
        <v>0</v>
      </c>
      <c r="EQ104" s="114">
        <f t="shared" si="97"/>
        <v>0</v>
      </c>
      <c r="ER104" s="114">
        <f t="shared" si="148"/>
        <v>0</v>
      </c>
      <c r="ES104" s="116">
        <f t="shared" si="149"/>
        <v>0</v>
      </c>
      <c r="ET104" s="126">
        <f t="shared" ca="1" si="150"/>
        <v>0</v>
      </c>
      <c r="EU104" s="115">
        <f t="shared" ca="1" si="125"/>
        <v>0</v>
      </c>
      <c r="EV104" s="118" t="str">
        <f t="shared" si="126"/>
        <v>Uncapped</v>
      </c>
      <c r="EW104" s="115">
        <f t="shared" ca="1" si="127"/>
        <v>0</v>
      </c>
      <c r="EX104" s="112">
        <f t="shared" ca="1" si="128"/>
        <v>0</v>
      </c>
      <c r="EY104" s="114">
        <f t="shared" ca="1" si="151"/>
        <v>0</v>
      </c>
      <c r="EZ104" s="115">
        <v>0</v>
      </c>
      <c r="FA104" s="115"/>
      <c r="FB104" s="115"/>
      <c r="FC104" s="115">
        <v>0</v>
      </c>
      <c r="FD104" s="115">
        <f t="shared" si="98"/>
        <v>0</v>
      </c>
      <c r="FE104" s="114">
        <f t="shared" si="87"/>
        <v>0</v>
      </c>
      <c r="FF104" s="115">
        <v>0</v>
      </c>
      <c r="FG104" s="115">
        <v>0</v>
      </c>
      <c r="FH104" s="115">
        <v>0</v>
      </c>
      <c r="FI104" s="115">
        <v>0</v>
      </c>
      <c r="FJ104" s="115">
        <f t="shared" si="99"/>
        <v>0</v>
      </c>
      <c r="FK104" s="114">
        <f t="shared" si="88"/>
        <v>0</v>
      </c>
      <c r="FL104" s="113"/>
      <c r="FM104" s="111"/>
      <c r="FN104" s="111"/>
      <c r="FO104" s="111"/>
      <c r="FP104" s="115">
        <f t="shared" si="129"/>
        <v>0</v>
      </c>
      <c r="FQ104" s="115"/>
      <c r="FR104" s="115"/>
      <c r="FS104" s="115"/>
      <c r="FT104" s="114">
        <f t="shared" si="152"/>
        <v>0</v>
      </c>
      <c r="FU104" s="366">
        <f t="shared" ca="1" si="155"/>
        <v>0</v>
      </c>
      <c r="FV104" s="121">
        <f t="shared" ca="1" si="153"/>
        <v>0</v>
      </c>
      <c r="FW104" s="114">
        <f t="shared" si="157"/>
        <v>0</v>
      </c>
      <c r="FX104" s="114">
        <f t="shared" si="157"/>
        <v>0</v>
      </c>
      <c r="FY104" s="114">
        <f t="shared" si="157"/>
        <v>0</v>
      </c>
      <c r="FZ104" s="114">
        <f t="shared" si="157"/>
        <v>0</v>
      </c>
      <c r="GA104" s="114">
        <f t="shared" si="169"/>
        <v>0</v>
      </c>
      <c r="GB104" s="114">
        <f t="shared" si="158"/>
        <v>0</v>
      </c>
      <c r="GC104" s="114">
        <f t="shared" si="158"/>
        <v>0</v>
      </c>
      <c r="GD104" s="114">
        <f t="shared" si="158"/>
        <v>0</v>
      </c>
      <c r="GE104" s="114">
        <f t="shared" si="158"/>
        <v>0</v>
      </c>
      <c r="GF104" s="114">
        <f t="shared" si="159"/>
        <v>0</v>
      </c>
      <c r="GG104" s="114">
        <f t="shared" si="159"/>
        <v>0</v>
      </c>
      <c r="GH104" s="114">
        <f t="shared" si="159"/>
        <v>0</v>
      </c>
      <c r="GI104" s="114">
        <f t="shared" si="159"/>
        <v>0</v>
      </c>
      <c r="GJ104" s="115">
        <f t="shared" si="100"/>
        <v>0</v>
      </c>
      <c r="GK104" s="114">
        <f t="shared" si="170"/>
        <v>0</v>
      </c>
      <c r="GL104" s="114">
        <f t="shared" si="132"/>
        <v>0</v>
      </c>
      <c r="GM104" s="114">
        <f t="shared" si="133"/>
        <v>0</v>
      </c>
      <c r="GN104" s="114">
        <f t="shared" si="134"/>
        <v>0</v>
      </c>
      <c r="GO104" s="114">
        <f t="shared" si="135"/>
        <v>0</v>
      </c>
      <c r="GP104" s="114">
        <f t="shared" si="101"/>
        <v>0</v>
      </c>
      <c r="GQ104" s="114">
        <f t="shared" si="171"/>
        <v>0</v>
      </c>
      <c r="GR104" s="216"/>
      <c r="GS104" s="122">
        <f t="shared" si="166"/>
        <v>260640340.25756115</v>
      </c>
      <c r="GT104" s="122">
        <f t="shared" si="166"/>
        <v>371784968.65226173</v>
      </c>
      <c r="GU104" s="123">
        <f t="shared" si="172"/>
        <v>0.70105131254336295</v>
      </c>
      <c r="GV104" s="124">
        <f t="shared" ca="1" si="138"/>
        <v>0</v>
      </c>
      <c r="GW104" s="124">
        <v>0</v>
      </c>
      <c r="GX104" s="32">
        <f t="shared" ca="1" si="139"/>
        <v>0</v>
      </c>
      <c r="GY104" s="100"/>
    </row>
    <row r="105" spans="1:207" s="125" customFormat="1" ht="15" hidden="1" customHeight="1">
      <c r="A105" s="102"/>
      <c r="B105" s="103"/>
      <c r="C105" s="103"/>
      <c r="D105" s="104"/>
      <c r="E105" s="104"/>
      <c r="F105" s="104" t="s">
        <v>473</v>
      </c>
      <c r="G105" s="104" t="s">
        <v>226</v>
      </c>
      <c r="H105" s="154" t="s">
        <v>474</v>
      </c>
      <c r="I105" s="106" t="s">
        <v>475</v>
      </c>
      <c r="J105" s="104" t="s">
        <v>471</v>
      </c>
      <c r="K105" s="104" t="s">
        <v>208</v>
      </c>
      <c r="L105" s="104" t="s">
        <v>471</v>
      </c>
      <c r="M105" s="104" t="s">
        <v>472</v>
      </c>
      <c r="N105" s="107"/>
      <c r="O105" s="108">
        <v>41376</v>
      </c>
      <c r="P105" s="108">
        <v>42979</v>
      </c>
      <c r="Q105" s="322">
        <f t="shared" si="112"/>
        <v>0</v>
      </c>
      <c r="R105" s="109">
        <f>IF((P105-VLOOKUP(Q105,month!$A$1:$C$13,3,0))&lt;0,Q105,Q105+1)</f>
        <v>0</v>
      </c>
      <c r="S105" s="108"/>
      <c r="T105" s="127" t="str">
        <f t="shared" si="154"/>
        <v/>
      </c>
      <c r="U105" s="107"/>
      <c r="V105" s="107"/>
      <c r="W105" s="107"/>
      <c r="X105" s="107"/>
      <c r="Y105" s="386"/>
      <c r="Z105" s="386" t="s">
        <v>545</v>
      </c>
      <c r="AA105" s="387">
        <v>1000</v>
      </c>
      <c r="AB105" s="387">
        <v>1000</v>
      </c>
      <c r="AC105" s="387">
        <v>1000</v>
      </c>
      <c r="AD105" s="387">
        <v>1000</v>
      </c>
      <c r="AE105" s="387">
        <v>1000</v>
      </c>
      <c r="AF105" s="387">
        <v>1000</v>
      </c>
      <c r="AG105" s="387">
        <v>1000</v>
      </c>
      <c r="AH105" s="387">
        <v>1000</v>
      </c>
      <c r="AI105" s="387">
        <v>1000</v>
      </c>
      <c r="AJ105" s="387">
        <v>1000</v>
      </c>
      <c r="AK105" s="387">
        <v>1000</v>
      </c>
      <c r="AL105" s="387">
        <v>1000</v>
      </c>
      <c r="AM105" s="388">
        <f t="shared" si="164"/>
        <v>12000</v>
      </c>
      <c r="AN105" s="388">
        <f t="shared" si="113"/>
        <v>12000</v>
      </c>
      <c r="AO105" s="389">
        <f t="shared" si="167"/>
        <v>1000</v>
      </c>
      <c r="AP105" s="498" t="s">
        <v>680</v>
      </c>
      <c r="AQ105" s="159">
        <v>0.6</v>
      </c>
      <c r="AR105" s="160" t="s">
        <v>211</v>
      </c>
      <c r="AS105" s="119" t="s">
        <v>210</v>
      </c>
      <c r="AT105" s="111">
        <v>2047786.8211907696</v>
      </c>
      <c r="AU105" s="111">
        <v>2376743.5325880973</v>
      </c>
      <c r="AV105" s="111">
        <v>2852172.2391057168</v>
      </c>
      <c r="AW105" s="111">
        <v>3413126.7666677767</v>
      </c>
      <c r="AX105" s="113">
        <v>1993460.35</v>
      </c>
      <c r="AY105" s="113">
        <v>2409498.1449000011</v>
      </c>
      <c r="AZ105" s="113">
        <v>2510174.9574000025</v>
      </c>
      <c r="BA105" s="113"/>
      <c r="BB105" s="113"/>
      <c r="BC105" s="113"/>
      <c r="BD105" s="113"/>
      <c r="BE105" s="113"/>
      <c r="BF105" s="114">
        <f t="shared" si="102"/>
        <v>1993460.35</v>
      </c>
      <c r="BG105" s="114">
        <f t="shared" si="102"/>
        <v>2409498.1449000011</v>
      </c>
      <c r="BH105" s="114">
        <f t="shared" si="102"/>
        <v>2510174.9574000025</v>
      </c>
      <c r="BI105" s="114">
        <f t="shared" si="102"/>
        <v>0</v>
      </c>
      <c r="BJ105" s="114">
        <f t="shared" si="165"/>
        <v>6913133.4523000037</v>
      </c>
      <c r="BK105" s="115">
        <f t="shared" ref="BK105:BK134" si="173">IF($H$2=1,AT105,IF($H$2=2,SUM(AT105:AU105),IF($H$2=3,SUM(AT105:AV105),SUM(AT105:AW105))))</f>
        <v>10689829.359552361</v>
      </c>
      <c r="BL105" s="115">
        <f t="shared" si="140"/>
        <v>10689829.359552361</v>
      </c>
      <c r="BM105" s="116">
        <f t="shared" si="141"/>
        <v>0.64670000000000005</v>
      </c>
      <c r="BN105" s="126">
        <f t="shared" ref="BN105:BN168" ca="1" si="174">IF(OR(AP105="MBO",AP105="10% Realized Price"),BM105,SUMPRODUCT(Lower_Payout*(Curve=AR105)*(Lower_Attain&lt;=BM105)*(Upper_Attain&gt;BM105))+(BM105-SUMPRODUCT(Lower_Attain*(Curve=AR105)*(Lower_Attain&lt;=BM105)*(Upper_Attain&gt;BM105)))*SUMPRODUCT(Slope*(Curve=AR105)*(Lower_Attain&lt;=BM105)*(Upper_Attain&gt;BM105)))</f>
        <v>0</v>
      </c>
      <c r="BO105" s="117">
        <f t="shared" ref="BO105:BO168" ca="1" si="175">IFERROR(AM105*AQ105*BN105,0)</f>
        <v>0</v>
      </c>
      <c r="BP105" s="118" t="str">
        <f t="shared" ref="BP105:BP168" si="176">IF($T105="Y","100%",IF($H$2=4,"Uncapped",IF(N105="Y","100%",IF($G105="AA","50%",IF($G105="SA","90%",IF($G105="APJ Regional-AA","50%",IF($G105="APJ Regional-SA","90%",75%)))))))</f>
        <v>Uncapped</v>
      </c>
      <c r="BQ105" s="115">
        <f t="shared" ca="1" si="117"/>
        <v>0</v>
      </c>
      <c r="BR105" s="113" t="s">
        <v>688</v>
      </c>
      <c r="BS105" s="161">
        <v>0.2</v>
      </c>
      <c r="BT105" s="113" t="s">
        <v>211</v>
      </c>
      <c r="BU105" s="160" t="s">
        <v>210</v>
      </c>
      <c r="BV105" s="113">
        <v>19653413.080999997</v>
      </c>
      <c r="BW105" s="113">
        <v>22848780.235100001</v>
      </c>
      <c r="BX105" s="113">
        <v>22618799.574099999</v>
      </c>
      <c r="BY105" s="113">
        <v>27098464.121500004</v>
      </c>
      <c r="BZ105" s="113">
        <v>19427532.107000571</v>
      </c>
      <c r="CA105" s="113">
        <v>22270538.357580002</v>
      </c>
      <c r="CB105" s="113">
        <v>22879083.486580007</v>
      </c>
      <c r="CC105" s="113"/>
      <c r="CD105" s="113"/>
      <c r="CE105" s="113"/>
      <c r="CF105" s="113"/>
      <c r="CG105" s="113"/>
      <c r="CH105" s="114">
        <f t="shared" si="103"/>
        <v>19427532.107000571</v>
      </c>
      <c r="CI105" s="114">
        <f t="shared" si="103"/>
        <v>22270538.357580002</v>
      </c>
      <c r="CJ105" s="120">
        <f t="shared" si="103"/>
        <v>22879083.486580007</v>
      </c>
      <c r="CK105" s="114">
        <f t="shared" si="103"/>
        <v>0</v>
      </c>
      <c r="CL105" s="114">
        <f t="shared" si="118"/>
        <v>64577153.95116058</v>
      </c>
      <c r="CM105" s="114">
        <f t="shared" si="95"/>
        <v>92219457.011700004</v>
      </c>
      <c r="CN105" s="114">
        <f t="shared" si="142"/>
        <v>92219457.011700004</v>
      </c>
      <c r="CO105" s="116">
        <f t="shared" si="143"/>
        <v>0.70030000000000003</v>
      </c>
      <c r="CP105" s="126">
        <f t="shared" ca="1" si="144"/>
        <v>0</v>
      </c>
      <c r="CQ105" s="115">
        <f t="shared" ca="1" si="119"/>
        <v>0</v>
      </c>
      <c r="CR105" s="118" t="str">
        <f t="shared" si="145"/>
        <v>Uncapped</v>
      </c>
      <c r="CS105" s="115">
        <f t="shared" ca="1" si="120"/>
        <v>0</v>
      </c>
      <c r="CT105" s="113" t="s">
        <v>696</v>
      </c>
      <c r="CU105" s="119">
        <v>0.2</v>
      </c>
      <c r="CV105" s="113" t="s">
        <v>217</v>
      </c>
      <c r="CW105" s="113" t="s">
        <v>210</v>
      </c>
      <c r="CX105" s="113">
        <v>61881722.047854595</v>
      </c>
      <c r="CY105" s="113">
        <v>72180793.063260496</v>
      </c>
      <c r="CZ105" s="113">
        <v>69179032.514420599</v>
      </c>
      <c r="DA105" s="113">
        <v>76323964.015026003</v>
      </c>
      <c r="DB105" s="113">
        <v>63657388.730680585</v>
      </c>
      <c r="DC105" s="113">
        <v>65995192.891159989</v>
      </c>
      <c r="DD105" s="113">
        <v>66410604.684560001</v>
      </c>
      <c r="DE105" s="113"/>
      <c r="DF105" s="113"/>
      <c r="DG105" s="113"/>
      <c r="DH105" s="113"/>
      <c r="DI105" s="113"/>
      <c r="DJ105" s="114">
        <f t="shared" si="104"/>
        <v>63657388.730680585</v>
      </c>
      <c r="DK105" s="114">
        <f t="shared" si="104"/>
        <v>65995192.891159989</v>
      </c>
      <c r="DL105" s="114">
        <f t="shared" si="104"/>
        <v>66410604.684560001</v>
      </c>
      <c r="DM105" s="114">
        <f t="shared" si="104"/>
        <v>0</v>
      </c>
      <c r="DN105" s="114">
        <f t="shared" si="168"/>
        <v>196063186.30640057</v>
      </c>
      <c r="DO105" s="114">
        <f t="shared" si="96"/>
        <v>279565511.6405617</v>
      </c>
      <c r="DP105" s="114">
        <f t="shared" si="105"/>
        <v>279565511.6405617</v>
      </c>
      <c r="DQ105" s="116">
        <f t="shared" si="146"/>
        <v>0.70130000000000003</v>
      </c>
      <c r="DR105" s="126">
        <f t="shared" ca="1" si="121"/>
        <v>0</v>
      </c>
      <c r="DS105" s="115">
        <f t="shared" ca="1" si="122"/>
        <v>0</v>
      </c>
      <c r="DT105" s="118" t="str">
        <f t="shared" si="147"/>
        <v>Uncapped</v>
      </c>
      <c r="DU105" s="115">
        <f t="shared" ca="1" si="123"/>
        <v>0</v>
      </c>
      <c r="DV105" s="113"/>
      <c r="DW105" s="119">
        <v>0</v>
      </c>
      <c r="DX105" s="113"/>
      <c r="DY105" s="113"/>
      <c r="DZ105" s="113">
        <v>0</v>
      </c>
      <c r="EA105" s="113">
        <v>0</v>
      </c>
      <c r="EB105" s="113">
        <v>0</v>
      </c>
      <c r="EC105" s="113">
        <v>0</v>
      </c>
      <c r="ED105" s="113">
        <v>0</v>
      </c>
      <c r="EE105" s="113">
        <v>0</v>
      </c>
      <c r="EF105" s="113"/>
      <c r="EG105" s="113"/>
      <c r="EH105" s="113"/>
      <c r="EI105" s="113"/>
      <c r="EJ105" s="113"/>
      <c r="EK105" s="113"/>
      <c r="EL105" s="114">
        <f t="shared" si="106"/>
        <v>0</v>
      </c>
      <c r="EM105" s="114">
        <f t="shared" si="106"/>
        <v>0</v>
      </c>
      <c r="EN105" s="114">
        <f t="shared" si="106"/>
        <v>0</v>
      </c>
      <c r="EO105" s="114">
        <f t="shared" si="106"/>
        <v>0</v>
      </c>
      <c r="EP105" s="114">
        <f t="shared" si="124"/>
        <v>0</v>
      </c>
      <c r="EQ105" s="114">
        <f t="shared" si="97"/>
        <v>0</v>
      </c>
      <c r="ER105" s="114">
        <f t="shared" si="148"/>
        <v>0</v>
      </c>
      <c r="ES105" s="116">
        <f t="shared" si="149"/>
        <v>0</v>
      </c>
      <c r="ET105" s="126">
        <f t="shared" ca="1" si="150"/>
        <v>0</v>
      </c>
      <c r="EU105" s="115">
        <f t="shared" ca="1" si="125"/>
        <v>0</v>
      </c>
      <c r="EV105" s="118" t="str">
        <f t="shared" si="126"/>
        <v>Uncapped</v>
      </c>
      <c r="EW105" s="115">
        <f t="shared" ca="1" si="127"/>
        <v>0</v>
      </c>
      <c r="EX105" s="112">
        <f t="shared" ca="1" si="128"/>
        <v>0</v>
      </c>
      <c r="EY105" s="114">
        <f t="shared" ca="1" si="151"/>
        <v>0</v>
      </c>
      <c r="EZ105" s="115">
        <v>0</v>
      </c>
      <c r="FA105" s="115"/>
      <c r="FB105" s="115"/>
      <c r="FC105" s="115">
        <v>0</v>
      </c>
      <c r="FD105" s="115">
        <f t="shared" si="98"/>
        <v>0</v>
      </c>
      <c r="FE105" s="114">
        <f t="shared" si="87"/>
        <v>0</v>
      </c>
      <c r="FF105" s="115">
        <v>0</v>
      </c>
      <c r="FG105" s="115">
        <v>0</v>
      </c>
      <c r="FH105" s="115">
        <v>0</v>
      </c>
      <c r="FI105" s="115">
        <v>0</v>
      </c>
      <c r="FJ105" s="115">
        <f t="shared" si="99"/>
        <v>0</v>
      </c>
      <c r="FK105" s="114">
        <f t="shared" si="88"/>
        <v>0</v>
      </c>
      <c r="FL105" s="113"/>
      <c r="FM105" s="111"/>
      <c r="FN105" s="111"/>
      <c r="FO105" s="111"/>
      <c r="FP105" s="115">
        <f t="shared" si="129"/>
        <v>0</v>
      </c>
      <c r="FQ105" s="115"/>
      <c r="FR105" s="115"/>
      <c r="FS105" s="115"/>
      <c r="FT105" s="114">
        <f t="shared" si="152"/>
        <v>0</v>
      </c>
      <c r="FU105" s="366">
        <f t="shared" ca="1" si="155"/>
        <v>0</v>
      </c>
      <c r="FV105" s="121">
        <f t="shared" ca="1" si="153"/>
        <v>0</v>
      </c>
      <c r="FW105" s="114">
        <f t="shared" si="157"/>
        <v>0</v>
      </c>
      <c r="FX105" s="114">
        <f t="shared" si="157"/>
        <v>0</v>
      </c>
      <c r="FY105" s="114">
        <f t="shared" si="157"/>
        <v>0</v>
      </c>
      <c r="FZ105" s="114">
        <f t="shared" si="157"/>
        <v>0</v>
      </c>
      <c r="GA105" s="114">
        <f t="shared" si="169"/>
        <v>0</v>
      </c>
      <c r="GB105" s="114">
        <f t="shared" si="158"/>
        <v>0</v>
      </c>
      <c r="GC105" s="114">
        <f t="shared" si="158"/>
        <v>0</v>
      </c>
      <c r="GD105" s="114">
        <f t="shared" si="158"/>
        <v>0</v>
      </c>
      <c r="GE105" s="114">
        <f t="shared" si="158"/>
        <v>0</v>
      </c>
      <c r="GF105" s="114">
        <f t="shared" si="159"/>
        <v>0</v>
      </c>
      <c r="GG105" s="114">
        <f t="shared" si="159"/>
        <v>0</v>
      </c>
      <c r="GH105" s="114">
        <f t="shared" si="159"/>
        <v>0</v>
      </c>
      <c r="GI105" s="114">
        <f t="shared" si="159"/>
        <v>0</v>
      </c>
      <c r="GJ105" s="115">
        <f t="shared" si="100"/>
        <v>0</v>
      </c>
      <c r="GK105" s="114">
        <f t="shared" si="170"/>
        <v>0</v>
      </c>
      <c r="GL105" s="114">
        <f t="shared" si="132"/>
        <v>0</v>
      </c>
      <c r="GM105" s="114">
        <f t="shared" si="133"/>
        <v>0</v>
      </c>
      <c r="GN105" s="114">
        <f t="shared" si="134"/>
        <v>0</v>
      </c>
      <c r="GO105" s="114">
        <f t="shared" si="135"/>
        <v>0</v>
      </c>
      <c r="GP105" s="114">
        <f t="shared" si="101"/>
        <v>0</v>
      </c>
      <c r="GQ105" s="114">
        <f t="shared" si="171"/>
        <v>0</v>
      </c>
      <c r="GR105" s="216"/>
      <c r="GS105" s="122">
        <f t="shared" si="166"/>
        <v>267553473.70986116</v>
      </c>
      <c r="GT105" s="122">
        <f t="shared" si="166"/>
        <v>382474798.01181406</v>
      </c>
      <c r="GU105" s="123">
        <f t="shared" si="172"/>
        <v>0.69953229624712909</v>
      </c>
      <c r="GV105" s="124">
        <f t="shared" ca="1" si="138"/>
        <v>0</v>
      </c>
      <c r="GW105" s="124">
        <v>0</v>
      </c>
      <c r="GX105" s="32">
        <f t="shared" ca="1" si="139"/>
        <v>0</v>
      </c>
      <c r="GY105" s="100"/>
    </row>
    <row r="106" spans="1:207" s="125" customFormat="1" ht="15" hidden="1" customHeight="1">
      <c r="A106" s="102"/>
      <c r="B106" s="103"/>
      <c r="C106" s="103"/>
      <c r="D106" s="104"/>
      <c r="E106" s="104"/>
      <c r="F106" s="104" t="s">
        <v>473</v>
      </c>
      <c r="G106" s="104" t="s">
        <v>226</v>
      </c>
      <c r="H106" s="154" t="s">
        <v>476</v>
      </c>
      <c r="I106" s="106" t="s">
        <v>477</v>
      </c>
      <c r="J106" s="104" t="s">
        <v>471</v>
      </c>
      <c r="K106" s="104" t="s">
        <v>208</v>
      </c>
      <c r="L106" s="104" t="s">
        <v>471</v>
      </c>
      <c r="M106" s="104" t="s">
        <v>472</v>
      </c>
      <c r="N106" s="107"/>
      <c r="O106" s="108">
        <v>42730</v>
      </c>
      <c r="P106" s="108">
        <v>42730</v>
      </c>
      <c r="Q106" s="322">
        <f t="shared" si="112"/>
        <v>0</v>
      </c>
      <c r="R106" s="109">
        <f>IF((P106-VLOOKUP(Q106,month!$A$1:$C$13,3,0))&lt;0,Q106,Q106+1)</f>
        <v>0</v>
      </c>
      <c r="S106" s="108"/>
      <c r="T106" s="127" t="str">
        <f t="shared" si="154"/>
        <v/>
      </c>
      <c r="U106" s="107"/>
      <c r="V106" s="107"/>
      <c r="W106" s="107"/>
      <c r="X106" s="107"/>
      <c r="Y106" s="386"/>
      <c r="Z106" s="386" t="s">
        <v>545</v>
      </c>
      <c r="AA106" s="387">
        <v>1000</v>
      </c>
      <c r="AB106" s="387">
        <v>1000</v>
      </c>
      <c r="AC106" s="387">
        <v>1000</v>
      </c>
      <c r="AD106" s="387">
        <v>1000</v>
      </c>
      <c r="AE106" s="387">
        <v>1000</v>
      </c>
      <c r="AF106" s="387">
        <v>1000</v>
      </c>
      <c r="AG106" s="387">
        <v>1000</v>
      </c>
      <c r="AH106" s="387">
        <v>1000</v>
      </c>
      <c r="AI106" s="387">
        <v>1000</v>
      </c>
      <c r="AJ106" s="387">
        <v>1000</v>
      </c>
      <c r="AK106" s="387">
        <v>1000</v>
      </c>
      <c r="AL106" s="387">
        <v>1000</v>
      </c>
      <c r="AM106" s="388">
        <f t="shared" si="164"/>
        <v>12000</v>
      </c>
      <c r="AN106" s="388">
        <f t="shared" si="113"/>
        <v>12000</v>
      </c>
      <c r="AO106" s="389">
        <f t="shared" si="167"/>
        <v>1000</v>
      </c>
      <c r="AP106" s="498" t="s">
        <v>680</v>
      </c>
      <c r="AQ106" s="159">
        <v>0.6</v>
      </c>
      <c r="AR106" s="160" t="s">
        <v>211</v>
      </c>
      <c r="AS106" s="119" t="s">
        <v>210</v>
      </c>
      <c r="AT106" s="111">
        <v>1563244.5121300949</v>
      </c>
      <c r="AU106" s="111">
        <v>1757795.2590942476</v>
      </c>
      <c r="AV106" s="111">
        <v>1743153.9664260403</v>
      </c>
      <c r="AW106" s="111">
        <v>2179606.5179943647</v>
      </c>
      <c r="AX106" s="113">
        <v>1374410.2129342754</v>
      </c>
      <c r="AY106" s="113">
        <v>1647376.8032239999</v>
      </c>
      <c r="AZ106" s="113">
        <v>1954662.830295078</v>
      </c>
      <c r="BA106" s="113"/>
      <c r="BB106" s="113"/>
      <c r="BC106" s="113"/>
      <c r="BD106" s="113"/>
      <c r="BE106" s="113"/>
      <c r="BF106" s="114">
        <f t="shared" si="102"/>
        <v>1374410.2129342754</v>
      </c>
      <c r="BG106" s="114">
        <f t="shared" si="102"/>
        <v>1647376.8032239999</v>
      </c>
      <c r="BH106" s="114">
        <f t="shared" si="102"/>
        <v>1954662.830295078</v>
      </c>
      <c r="BI106" s="114">
        <f t="shared" si="102"/>
        <v>0</v>
      </c>
      <c r="BJ106" s="114">
        <f t="shared" si="165"/>
        <v>4976449.8464533538</v>
      </c>
      <c r="BK106" s="115">
        <f t="shared" si="173"/>
        <v>7243800.2556447471</v>
      </c>
      <c r="BL106" s="115">
        <f t="shared" si="140"/>
        <v>7243800.2556447471</v>
      </c>
      <c r="BM106" s="116">
        <f t="shared" si="141"/>
        <v>0.68700000000000006</v>
      </c>
      <c r="BN106" s="126">
        <f t="shared" ca="1" si="174"/>
        <v>0</v>
      </c>
      <c r="BO106" s="117">
        <f t="shared" ca="1" si="175"/>
        <v>0</v>
      </c>
      <c r="BP106" s="118" t="str">
        <f t="shared" si="176"/>
        <v>Uncapped</v>
      </c>
      <c r="BQ106" s="115">
        <f t="shared" ca="1" si="117"/>
        <v>0</v>
      </c>
      <c r="BR106" s="113" t="s">
        <v>688</v>
      </c>
      <c r="BS106" s="161">
        <v>0.2</v>
      </c>
      <c r="BT106" s="113" t="s">
        <v>211</v>
      </c>
      <c r="BU106" s="160" t="s">
        <v>210</v>
      </c>
      <c r="BV106" s="113">
        <v>19653413.080999997</v>
      </c>
      <c r="BW106" s="113">
        <v>22848780.235100001</v>
      </c>
      <c r="BX106" s="113">
        <v>22618799.574099999</v>
      </c>
      <c r="BY106" s="113">
        <v>27098464.121500004</v>
      </c>
      <c r="BZ106" s="113">
        <v>19427532.107000571</v>
      </c>
      <c r="CA106" s="113">
        <v>22270538.357580002</v>
      </c>
      <c r="CB106" s="113">
        <v>22879083.486580007</v>
      </c>
      <c r="CC106" s="113"/>
      <c r="CD106" s="113"/>
      <c r="CE106" s="113"/>
      <c r="CF106" s="113"/>
      <c r="CG106" s="113"/>
      <c r="CH106" s="114">
        <f t="shared" si="103"/>
        <v>19427532.107000571</v>
      </c>
      <c r="CI106" s="114">
        <f t="shared" si="103"/>
        <v>22270538.357580002</v>
      </c>
      <c r="CJ106" s="120">
        <f t="shared" si="103"/>
        <v>22879083.486580007</v>
      </c>
      <c r="CK106" s="114">
        <f t="shared" si="103"/>
        <v>0</v>
      </c>
      <c r="CL106" s="114">
        <f t="shared" si="118"/>
        <v>64577153.95116058</v>
      </c>
      <c r="CM106" s="114">
        <f t="shared" si="95"/>
        <v>92219457.011700004</v>
      </c>
      <c r="CN106" s="114">
        <f t="shared" si="142"/>
        <v>92219457.011700004</v>
      </c>
      <c r="CO106" s="116">
        <f t="shared" si="143"/>
        <v>0.70030000000000003</v>
      </c>
      <c r="CP106" s="126">
        <f t="shared" ca="1" si="144"/>
        <v>0</v>
      </c>
      <c r="CQ106" s="115">
        <f t="shared" ca="1" si="119"/>
        <v>0</v>
      </c>
      <c r="CR106" s="118" t="str">
        <f t="shared" si="145"/>
        <v>Uncapped</v>
      </c>
      <c r="CS106" s="115">
        <f t="shared" ca="1" si="120"/>
        <v>0</v>
      </c>
      <c r="CT106" s="113" t="s">
        <v>696</v>
      </c>
      <c r="CU106" s="119">
        <v>0.2</v>
      </c>
      <c r="CV106" s="113" t="s">
        <v>217</v>
      </c>
      <c r="CW106" s="113" t="s">
        <v>210</v>
      </c>
      <c r="CX106" s="113">
        <v>61881722.047854595</v>
      </c>
      <c r="CY106" s="113">
        <v>72180793.063260496</v>
      </c>
      <c r="CZ106" s="113">
        <v>69179032.514420599</v>
      </c>
      <c r="DA106" s="113">
        <v>76323964.015026003</v>
      </c>
      <c r="DB106" s="113">
        <v>63657388.730680585</v>
      </c>
      <c r="DC106" s="113">
        <v>65995192.891159989</v>
      </c>
      <c r="DD106" s="113">
        <v>66410604.684560001</v>
      </c>
      <c r="DE106" s="113"/>
      <c r="DF106" s="113"/>
      <c r="DG106" s="113"/>
      <c r="DH106" s="113"/>
      <c r="DI106" s="113"/>
      <c r="DJ106" s="114">
        <f t="shared" si="104"/>
        <v>63657388.730680585</v>
      </c>
      <c r="DK106" s="114">
        <f t="shared" si="104"/>
        <v>65995192.891159989</v>
      </c>
      <c r="DL106" s="114">
        <f t="shared" si="104"/>
        <v>66410604.684560001</v>
      </c>
      <c r="DM106" s="114">
        <f t="shared" si="104"/>
        <v>0</v>
      </c>
      <c r="DN106" s="114">
        <f t="shared" si="168"/>
        <v>196063186.30640057</v>
      </c>
      <c r="DO106" s="114">
        <f t="shared" si="96"/>
        <v>279565511.6405617</v>
      </c>
      <c r="DP106" s="114">
        <f t="shared" si="105"/>
        <v>279565511.6405617</v>
      </c>
      <c r="DQ106" s="116">
        <f t="shared" si="146"/>
        <v>0.70130000000000003</v>
      </c>
      <c r="DR106" s="126">
        <f t="shared" ca="1" si="121"/>
        <v>0</v>
      </c>
      <c r="DS106" s="115">
        <f t="shared" ca="1" si="122"/>
        <v>0</v>
      </c>
      <c r="DT106" s="118" t="str">
        <f t="shared" si="147"/>
        <v>Uncapped</v>
      </c>
      <c r="DU106" s="115">
        <f t="shared" ca="1" si="123"/>
        <v>0</v>
      </c>
      <c r="DV106" s="113"/>
      <c r="DW106" s="119">
        <v>0</v>
      </c>
      <c r="DX106" s="113"/>
      <c r="DY106" s="113"/>
      <c r="DZ106" s="113">
        <v>0</v>
      </c>
      <c r="EA106" s="113">
        <v>0</v>
      </c>
      <c r="EB106" s="113">
        <v>0</v>
      </c>
      <c r="EC106" s="113">
        <v>0</v>
      </c>
      <c r="ED106" s="113">
        <v>0</v>
      </c>
      <c r="EE106" s="113">
        <v>0</v>
      </c>
      <c r="EF106" s="113"/>
      <c r="EG106" s="113"/>
      <c r="EH106" s="113"/>
      <c r="EI106" s="113"/>
      <c r="EJ106" s="113"/>
      <c r="EK106" s="113"/>
      <c r="EL106" s="114">
        <f t="shared" si="106"/>
        <v>0</v>
      </c>
      <c r="EM106" s="114">
        <f t="shared" si="106"/>
        <v>0</v>
      </c>
      <c r="EN106" s="114">
        <f t="shared" si="106"/>
        <v>0</v>
      </c>
      <c r="EO106" s="114">
        <f t="shared" si="106"/>
        <v>0</v>
      </c>
      <c r="EP106" s="114">
        <f t="shared" si="124"/>
        <v>0</v>
      </c>
      <c r="EQ106" s="114">
        <f t="shared" si="97"/>
        <v>0</v>
      </c>
      <c r="ER106" s="114">
        <f t="shared" si="148"/>
        <v>0</v>
      </c>
      <c r="ES106" s="116">
        <f t="shared" si="149"/>
        <v>0</v>
      </c>
      <c r="ET106" s="126">
        <f t="shared" ca="1" si="150"/>
        <v>0</v>
      </c>
      <c r="EU106" s="115">
        <f t="shared" ca="1" si="125"/>
        <v>0</v>
      </c>
      <c r="EV106" s="118" t="str">
        <f t="shared" si="126"/>
        <v>Uncapped</v>
      </c>
      <c r="EW106" s="115">
        <f t="shared" ca="1" si="127"/>
        <v>0</v>
      </c>
      <c r="EX106" s="112">
        <f t="shared" ca="1" si="128"/>
        <v>0</v>
      </c>
      <c r="EY106" s="114">
        <f t="shared" ca="1" si="151"/>
        <v>0</v>
      </c>
      <c r="EZ106" s="115">
        <v>0</v>
      </c>
      <c r="FA106" s="115"/>
      <c r="FB106" s="115"/>
      <c r="FC106" s="115">
        <v>0</v>
      </c>
      <c r="FD106" s="115">
        <f t="shared" si="98"/>
        <v>0</v>
      </c>
      <c r="FE106" s="114">
        <f t="shared" si="87"/>
        <v>0</v>
      </c>
      <c r="FF106" s="115">
        <v>0</v>
      </c>
      <c r="FG106" s="115">
        <v>0</v>
      </c>
      <c r="FH106" s="115">
        <v>0</v>
      </c>
      <c r="FI106" s="115">
        <v>0</v>
      </c>
      <c r="FJ106" s="115">
        <f t="shared" si="99"/>
        <v>0</v>
      </c>
      <c r="FK106" s="114">
        <f t="shared" si="88"/>
        <v>0</v>
      </c>
      <c r="FL106" s="113"/>
      <c r="FM106" s="111"/>
      <c r="FN106" s="111"/>
      <c r="FO106" s="111"/>
      <c r="FP106" s="115">
        <f t="shared" si="129"/>
        <v>0</v>
      </c>
      <c r="FQ106" s="115"/>
      <c r="FR106" s="115"/>
      <c r="FS106" s="115"/>
      <c r="FT106" s="114">
        <f t="shared" si="152"/>
        <v>0</v>
      </c>
      <c r="FU106" s="366">
        <f t="shared" ca="1" si="155"/>
        <v>0</v>
      </c>
      <c r="FV106" s="121">
        <f t="shared" ca="1" si="153"/>
        <v>0</v>
      </c>
      <c r="FW106" s="114">
        <f t="shared" si="157"/>
        <v>0</v>
      </c>
      <c r="FX106" s="114">
        <f t="shared" si="157"/>
        <v>0</v>
      </c>
      <c r="FY106" s="114">
        <f t="shared" si="157"/>
        <v>0</v>
      </c>
      <c r="FZ106" s="114">
        <f t="shared" si="157"/>
        <v>0</v>
      </c>
      <c r="GA106" s="114">
        <f t="shared" si="169"/>
        <v>0</v>
      </c>
      <c r="GB106" s="114">
        <f t="shared" si="158"/>
        <v>0</v>
      </c>
      <c r="GC106" s="114">
        <f t="shared" si="158"/>
        <v>0</v>
      </c>
      <c r="GD106" s="114">
        <f t="shared" si="158"/>
        <v>0</v>
      </c>
      <c r="GE106" s="114">
        <f t="shared" si="158"/>
        <v>0</v>
      </c>
      <c r="GF106" s="114">
        <f t="shared" si="159"/>
        <v>0</v>
      </c>
      <c r="GG106" s="114">
        <f t="shared" si="159"/>
        <v>0</v>
      </c>
      <c r="GH106" s="114">
        <f t="shared" si="159"/>
        <v>0</v>
      </c>
      <c r="GI106" s="114">
        <f t="shared" si="159"/>
        <v>0</v>
      </c>
      <c r="GJ106" s="115">
        <f t="shared" si="100"/>
        <v>0</v>
      </c>
      <c r="GK106" s="114">
        <f t="shared" si="170"/>
        <v>0</v>
      </c>
      <c r="GL106" s="114">
        <f t="shared" si="132"/>
        <v>0</v>
      </c>
      <c r="GM106" s="114">
        <f t="shared" si="133"/>
        <v>0</v>
      </c>
      <c r="GN106" s="114">
        <f t="shared" si="134"/>
        <v>0</v>
      </c>
      <c r="GO106" s="114">
        <f t="shared" si="135"/>
        <v>0</v>
      </c>
      <c r="GP106" s="114">
        <f t="shared" si="101"/>
        <v>0</v>
      </c>
      <c r="GQ106" s="114">
        <f t="shared" si="171"/>
        <v>0</v>
      </c>
      <c r="GR106" s="216"/>
      <c r="GS106" s="122">
        <f t="shared" si="166"/>
        <v>265616790.10401452</v>
      </c>
      <c r="GT106" s="122">
        <f t="shared" si="166"/>
        <v>379028768.90790647</v>
      </c>
      <c r="GU106" s="123">
        <f t="shared" si="172"/>
        <v>0.70078266319819138</v>
      </c>
      <c r="GV106" s="124">
        <f t="shared" ca="1" si="138"/>
        <v>0</v>
      </c>
      <c r="GW106" s="124">
        <v>0</v>
      </c>
      <c r="GX106" s="32">
        <f t="shared" ca="1" si="139"/>
        <v>0</v>
      </c>
      <c r="GY106" s="100"/>
    </row>
    <row r="107" spans="1:207" s="125" customFormat="1" ht="15" hidden="1" customHeight="1">
      <c r="A107" s="102"/>
      <c r="B107" s="103"/>
      <c r="C107" s="103"/>
      <c r="D107" s="104"/>
      <c r="E107" s="104"/>
      <c r="F107" s="104" t="s">
        <v>473</v>
      </c>
      <c r="G107" s="104" t="s">
        <v>226</v>
      </c>
      <c r="H107" s="154" t="s">
        <v>478</v>
      </c>
      <c r="I107" s="106" t="s">
        <v>479</v>
      </c>
      <c r="J107" s="104" t="s">
        <v>471</v>
      </c>
      <c r="K107" s="104" t="s">
        <v>208</v>
      </c>
      <c r="L107" s="104" t="s">
        <v>471</v>
      </c>
      <c r="M107" s="104" t="s">
        <v>472</v>
      </c>
      <c r="N107" s="107"/>
      <c r="O107" s="108">
        <v>42954</v>
      </c>
      <c r="P107" s="108">
        <v>43313</v>
      </c>
      <c r="Q107" s="322">
        <f t="shared" si="112"/>
        <v>0</v>
      </c>
      <c r="R107" s="109">
        <f>IF((P107-VLOOKUP(Q107,month!$A$1:$C$13,3,0))&lt;0,Q107,Q107+1)</f>
        <v>0</v>
      </c>
      <c r="S107" s="108"/>
      <c r="T107" s="127" t="str">
        <f t="shared" si="154"/>
        <v/>
      </c>
      <c r="U107" s="107"/>
      <c r="V107" s="107"/>
      <c r="W107" s="107"/>
      <c r="X107" s="107"/>
      <c r="Y107" s="386"/>
      <c r="Z107" s="386" t="s">
        <v>545</v>
      </c>
      <c r="AA107" s="387">
        <v>1000</v>
      </c>
      <c r="AB107" s="387">
        <v>1000</v>
      </c>
      <c r="AC107" s="387">
        <v>1000</v>
      </c>
      <c r="AD107" s="387">
        <v>1000</v>
      </c>
      <c r="AE107" s="387">
        <v>1000</v>
      </c>
      <c r="AF107" s="387">
        <v>1000</v>
      </c>
      <c r="AG107" s="387">
        <v>1000</v>
      </c>
      <c r="AH107" s="387">
        <v>1000</v>
      </c>
      <c r="AI107" s="387">
        <v>1000</v>
      </c>
      <c r="AJ107" s="387">
        <v>1000</v>
      </c>
      <c r="AK107" s="387">
        <v>1000</v>
      </c>
      <c r="AL107" s="387">
        <v>1000</v>
      </c>
      <c r="AM107" s="388">
        <f t="shared" si="164"/>
        <v>12000</v>
      </c>
      <c r="AN107" s="388">
        <f t="shared" si="113"/>
        <v>12000</v>
      </c>
      <c r="AO107" s="389">
        <f t="shared" si="167"/>
        <v>1000</v>
      </c>
      <c r="AP107" s="498" t="s">
        <v>680</v>
      </c>
      <c r="AQ107" s="159">
        <v>0.6</v>
      </c>
      <c r="AR107" s="160" t="s">
        <v>211</v>
      </c>
      <c r="AS107" s="119" t="s">
        <v>210</v>
      </c>
      <c r="AT107" s="111">
        <v>4133700.6165920887</v>
      </c>
      <c r="AU107" s="111">
        <v>4929875.5321350498</v>
      </c>
      <c r="AV107" s="111">
        <v>4871778.1374610988</v>
      </c>
      <c r="AW107" s="111">
        <v>5848995.4736821419</v>
      </c>
      <c r="AX107" s="113">
        <v>4219181.96</v>
      </c>
      <c r="AY107" s="113">
        <v>4541761.5374999698</v>
      </c>
      <c r="AZ107" s="113">
        <v>4643093.8821030408</v>
      </c>
      <c r="BA107" s="113"/>
      <c r="BB107" s="113"/>
      <c r="BC107" s="113"/>
      <c r="BD107" s="113"/>
      <c r="BE107" s="113"/>
      <c r="BF107" s="114">
        <f t="shared" si="102"/>
        <v>4219181.96</v>
      </c>
      <c r="BG107" s="114">
        <f t="shared" si="102"/>
        <v>4541761.5374999698</v>
      </c>
      <c r="BH107" s="114">
        <f t="shared" si="102"/>
        <v>4643093.8821030408</v>
      </c>
      <c r="BI107" s="114">
        <f t="shared" si="102"/>
        <v>0</v>
      </c>
      <c r="BJ107" s="114">
        <f t="shared" si="165"/>
        <v>13404037.37960301</v>
      </c>
      <c r="BK107" s="115">
        <f t="shared" si="173"/>
        <v>19784349.75987038</v>
      </c>
      <c r="BL107" s="115">
        <f t="shared" si="140"/>
        <v>19784349.75987038</v>
      </c>
      <c r="BM107" s="116">
        <f t="shared" si="141"/>
        <v>0.67749999999999999</v>
      </c>
      <c r="BN107" s="126">
        <f t="shared" ca="1" si="174"/>
        <v>0</v>
      </c>
      <c r="BO107" s="117">
        <f t="shared" ca="1" si="175"/>
        <v>0</v>
      </c>
      <c r="BP107" s="118" t="str">
        <f t="shared" si="176"/>
        <v>Uncapped</v>
      </c>
      <c r="BQ107" s="115">
        <f t="shared" ca="1" si="117"/>
        <v>0</v>
      </c>
      <c r="BR107" s="113" t="s">
        <v>688</v>
      </c>
      <c r="BS107" s="161">
        <v>0.2</v>
      </c>
      <c r="BT107" s="113" t="s">
        <v>211</v>
      </c>
      <c r="BU107" s="160" t="s">
        <v>210</v>
      </c>
      <c r="BV107" s="113">
        <v>19653413.080999997</v>
      </c>
      <c r="BW107" s="113">
        <v>22848780.235100001</v>
      </c>
      <c r="BX107" s="113">
        <v>22618799.574099999</v>
      </c>
      <c r="BY107" s="113">
        <v>27098464.121500004</v>
      </c>
      <c r="BZ107" s="113">
        <v>19427532.107000571</v>
      </c>
      <c r="CA107" s="113">
        <v>22270538.357580002</v>
      </c>
      <c r="CB107" s="113">
        <v>22879083.486580007</v>
      </c>
      <c r="CC107" s="113"/>
      <c r="CD107" s="113"/>
      <c r="CE107" s="113"/>
      <c r="CF107" s="113"/>
      <c r="CG107" s="113"/>
      <c r="CH107" s="114">
        <f t="shared" si="103"/>
        <v>19427532.107000571</v>
      </c>
      <c r="CI107" s="114">
        <f t="shared" si="103"/>
        <v>22270538.357580002</v>
      </c>
      <c r="CJ107" s="120">
        <f t="shared" si="103"/>
        <v>22879083.486580007</v>
      </c>
      <c r="CK107" s="114">
        <f t="shared" si="103"/>
        <v>0</v>
      </c>
      <c r="CL107" s="114">
        <f t="shared" si="118"/>
        <v>64577153.95116058</v>
      </c>
      <c r="CM107" s="114">
        <f t="shared" si="95"/>
        <v>92219457.011700004</v>
      </c>
      <c r="CN107" s="114">
        <f t="shared" si="142"/>
        <v>92219457.011700004</v>
      </c>
      <c r="CO107" s="116">
        <f t="shared" si="143"/>
        <v>0.70030000000000003</v>
      </c>
      <c r="CP107" s="126">
        <f t="shared" ca="1" si="144"/>
        <v>0</v>
      </c>
      <c r="CQ107" s="115">
        <f t="shared" ca="1" si="119"/>
        <v>0</v>
      </c>
      <c r="CR107" s="118" t="str">
        <f t="shared" si="145"/>
        <v>Uncapped</v>
      </c>
      <c r="CS107" s="115">
        <f t="shared" ca="1" si="120"/>
        <v>0</v>
      </c>
      <c r="CT107" s="113" t="s">
        <v>696</v>
      </c>
      <c r="CU107" s="119">
        <v>0.2</v>
      </c>
      <c r="CV107" s="113" t="s">
        <v>217</v>
      </c>
      <c r="CW107" s="113" t="s">
        <v>210</v>
      </c>
      <c r="CX107" s="113">
        <v>61881722.047854595</v>
      </c>
      <c r="CY107" s="113">
        <v>72180793.063260496</v>
      </c>
      <c r="CZ107" s="113">
        <v>69179032.514420599</v>
      </c>
      <c r="DA107" s="113">
        <v>76323964.015026003</v>
      </c>
      <c r="DB107" s="113">
        <v>63657388.730680585</v>
      </c>
      <c r="DC107" s="113">
        <v>65995192.891159989</v>
      </c>
      <c r="DD107" s="113">
        <v>66410604.684560001</v>
      </c>
      <c r="DE107" s="113"/>
      <c r="DF107" s="113"/>
      <c r="DG107" s="113"/>
      <c r="DH107" s="113"/>
      <c r="DI107" s="113"/>
      <c r="DJ107" s="114">
        <f t="shared" si="104"/>
        <v>63657388.730680585</v>
      </c>
      <c r="DK107" s="114">
        <f t="shared" si="104"/>
        <v>65995192.891159989</v>
      </c>
      <c r="DL107" s="114">
        <f t="shared" si="104"/>
        <v>66410604.684560001</v>
      </c>
      <c r="DM107" s="114">
        <f t="shared" si="104"/>
        <v>0</v>
      </c>
      <c r="DN107" s="114">
        <f t="shared" si="168"/>
        <v>196063186.30640057</v>
      </c>
      <c r="DO107" s="114">
        <f t="shared" si="96"/>
        <v>279565511.6405617</v>
      </c>
      <c r="DP107" s="114">
        <f t="shared" si="105"/>
        <v>279565511.6405617</v>
      </c>
      <c r="DQ107" s="116">
        <f t="shared" si="146"/>
        <v>0.70130000000000003</v>
      </c>
      <c r="DR107" s="126">
        <f t="shared" ca="1" si="121"/>
        <v>0</v>
      </c>
      <c r="DS107" s="115">
        <f t="shared" ca="1" si="122"/>
        <v>0</v>
      </c>
      <c r="DT107" s="118" t="str">
        <f t="shared" si="147"/>
        <v>Uncapped</v>
      </c>
      <c r="DU107" s="115">
        <f t="shared" ca="1" si="123"/>
        <v>0</v>
      </c>
      <c r="DV107" s="113"/>
      <c r="DW107" s="119">
        <v>0</v>
      </c>
      <c r="DX107" s="113"/>
      <c r="DY107" s="113"/>
      <c r="DZ107" s="113">
        <v>0</v>
      </c>
      <c r="EA107" s="113">
        <v>0</v>
      </c>
      <c r="EB107" s="113">
        <v>0</v>
      </c>
      <c r="EC107" s="113">
        <v>0</v>
      </c>
      <c r="ED107" s="113">
        <v>0</v>
      </c>
      <c r="EE107" s="113">
        <v>0</v>
      </c>
      <c r="EF107" s="113"/>
      <c r="EG107" s="113"/>
      <c r="EH107" s="113"/>
      <c r="EI107" s="113"/>
      <c r="EJ107" s="113"/>
      <c r="EK107" s="113"/>
      <c r="EL107" s="114">
        <f t="shared" si="106"/>
        <v>0</v>
      </c>
      <c r="EM107" s="114">
        <f t="shared" si="106"/>
        <v>0</v>
      </c>
      <c r="EN107" s="114">
        <f t="shared" si="106"/>
        <v>0</v>
      </c>
      <c r="EO107" s="114">
        <f t="shared" si="106"/>
        <v>0</v>
      </c>
      <c r="EP107" s="114">
        <f t="shared" si="124"/>
        <v>0</v>
      </c>
      <c r="EQ107" s="114">
        <f t="shared" si="97"/>
        <v>0</v>
      </c>
      <c r="ER107" s="114">
        <f t="shared" si="148"/>
        <v>0</v>
      </c>
      <c r="ES107" s="116">
        <f t="shared" si="149"/>
        <v>0</v>
      </c>
      <c r="ET107" s="126">
        <f t="shared" ca="1" si="150"/>
        <v>0</v>
      </c>
      <c r="EU107" s="115">
        <f t="shared" ca="1" si="125"/>
        <v>0</v>
      </c>
      <c r="EV107" s="118" t="str">
        <f t="shared" si="126"/>
        <v>Uncapped</v>
      </c>
      <c r="EW107" s="115">
        <f t="shared" ca="1" si="127"/>
        <v>0</v>
      </c>
      <c r="EX107" s="112">
        <f t="shared" ca="1" si="128"/>
        <v>0</v>
      </c>
      <c r="EY107" s="114">
        <f t="shared" ca="1" si="151"/>
        <v>0</v>
      </c>
      <c r="EZ107" s="115">
        <v>0</v>
      </c>
      <c r="FA107" s="115"/>
      <c r="FB107" s="115"/>
      <c r="FC107" s="115">
        <v>0</v>
      </c>
      <c r="FD107" s="115">
        <f t="shared" si="98"/>
        <v>0</v>
      </c>
      <c r="FE107" s="114">
        <f t="shared" ref="FE107:FE170" si="177">SUMIFS(107:107,$5:$5,"SPIFF payout $ (Local CCY)",$4:$4,CONCATENATE("Q",$H$2))</f>
        <v>0</v>
      </c>
      <c r="FF107" s="115">
        <v>0</v>
      </c>
      <c r="FG107" s="115">
        <v>0</v>
      </c>
      <c r="FH107" s="115">
        <v>0</v>
      </c>
      <c r="FI107" s="115">
        <v>0</v>
      </c>
      <c r="FJ107" s="115">
        <f t="shared" si="99"/>
        <v>0</v>
      </c>
      <c r="FK107" s="114">
        <f t="shared" ref="FK107:FK170" si="178">SUMIFS(107:107,$5:$5,"Other payout $ (Local CCY)",$4:$4,CONCATENATE("Q",$H$2))</f>
        <v>0</v>
      </c>
      <c r="FL107" s="113"/>
      <c r="FM107" s="111"/>
      <c r="FN107" s="111"/>
      <c r="FO107" s="111"/>
      <c r="FP107" s="115">
        <f t="shared" si="129"/>
        <v>0</v>
      </c>
      <c r="FQ107" s="115"/>
      <c r="FR107" s="115"/>
      <c r="FS107" s="115"/>
      <c r="FT107" s="114">
        <f t="shared" si="152"/>
        <v>0</v>
      </c>
      <c r="FU107" s="366">
        <f t="shared" ca="1" si="155"/>
        <v>0</v>
      </c>
      <c r="FV107" s="121">
        <f t="shared" ca="1" si="153"/>
        <v>0</v>
      </c>
      <c r="FW107" s="114">
        <f t="shared" si="157"/>
        <v>0</v>
      </c>
      <c r="FX107" s="114">
        <f t="shared" si="157"/>
        <v>0</v>
      </c>
      <c r="FY107" s="114">
        <f t="shared" si="157"/>
        <v>0</v>
      </c>
      <c r="FZ107" s="114">
        <f t="shared" si="157"/>
        <v>0</v>
      </c>
      <c r="GA107" s="114">
        <f t="shared" si="169"/>
        <v>0</v>
      </c>
      <c r="GB107" s="114">
        <f t="shared" si="158"/>
        <v>0</v>
      </c>
      <c r="GC107" s="114">
        <f t="shared" si="158"/>
        <v>0</v>
      </c>
      <c r="GD107" s="114">
        <f t="shared" si="158"/>
        <v>0</v>
      </c>
      <c r="GE107" s="114">
        <f t="shared" si="158"/>
        <v>0</v>
      </c>
      <c r="GF107" s="114">
        <f t="shared" si="159"/>
        <v>0</v>
      </c>
      <c r="GG107" s="114">
        <f t="shared" si="159"/>
        <v>0</v>
      </c>
      <c r="GH107" s="114">
        <f t="shared" si="159"/>
        <v>0</v>
      </c>
      <c r="GI107" s="114">
        <f t="shared" si="159"/>
        <v>0</v>
      </c>
      <c r="GJ107" s="115">
        <f t="shared" si="100"/>
        <v>0</v>
      </c>
      <c r="GK107" s="114">
        <f t="shared" si="170"/>
        <v>0</v>
      </c>
      <c r="GL107" s="114">
        <f t="shared" si="132"/>
        <v>0</v>
      </c>
      <c r="GM107" s="114">
        <f t="shared" si="133"/>
        <v>0</v>
      </c>
      <c r="GN107" s="114">
        <f t="shared" si="134"/>
        <v>0</v>
      </c>
      <c r="GO107" s="114">
        <f t="shared" si="135"/>
        <v>0</v>
      </c>
      <c r="GP107" s="114">
        <f t="shared" si="101"/>
        <v>0</v>
      </c>
      <c r="GQ107" s="114">
        <f t="shared" si="171"/>
        <v>0</v>
      </c>
      <c r="GR107" s="216"/>
      <c r="GS107" s="122">
        <f t="shared" si="166"/>
        <v>274044377.63716418</v>
      </c>
      <c r="GT107" s="122">
        <f t="shared" si="166"/>
        <v>391569318.41213208</v>
      </c>
      <c r="GU107" s="123">
        <f t="shared" si="172"/>
        <v>0.69986172243640576</v>
      </c>
      <c r="GV107" s="124">
        <f t="shared" ca="1" si="138"/>
        <v>0</v>
      </c>
      <c r="GW107" s="124">
        <v>0</v>
      </c>
      <c r="GX107" s="32">
        <f t="shared" ca="1" si="139"/>
        <v>0</v>
      </c>
      <c r="GY107" s="100"/>
    </row>
    <row r="108" spans="1:207" s="125" customFormat="1" ht="15" hidden="1" customHeight="1">
      <c r="A108" s="102"/>
      <c r="B108" s="103"/>
      <c r="C108" s="103"/>
      <c r="D108" s="104"/>
      <c r="E108" s="104"/>
      <c r="F108" s="104" t="s">
        <v>473</v>
      </c>
      <c r="G108" s="104" t="s">
        <v>226</v>
      </c>
      <c r="H108" s="154" t="s">
        <v>480</v>
      </c>
      <c r="I108" s="106" t="s">
        <v>481</v>
      </c>
      <c r="J108" s="104" t="s">
        <v>471</v>
      </c>
      <c r="K108" s="104" t="s">
        <v>208</v>
      </c>
      <c r="L108" s="104" t="s">
        <v>471</v>
      </c>
      <c r="M108" s="104" t="s">
        <v>472</v>
      </c>
      <c r="N108" s="107"/>
      <c r="O108" s="108">
        <v>43374</v>
      </c>
      <c r="P108" s="108">
        <v>43374</v>
      </c>
      <c r="Q108" s="322">
        <f t="shared" si="112"/>
        <v>0</v>
      </c>
      <c r="R108" s="109">
        <f>IF((P108-VLOOKUP(Q108,month!$A$1:$C$13,3,0))&lt;0,Q108,Q108+1)</f>
        <v>0</v>
      </c>
      <c r="S108" s="108"/>
      <c r="T108" s="127" t="str">
        <f t="shared" si="154"/>
        <v/>
      </c>
      <c r="U108" s="107"/>
      <c r="V108" s="107"/>
      <c r="W108" s="107"/>
      <c r="X108" s="107"/>
      <c r="Y108" s="386"/>
      <c r="Z108" s="386" t="s">
        <v>545</v>
      </c>
      <c r="AA108" s="387">
        <v>1000</v>
      </c>
      <c r="AB108" s="387">
        <v>1000</v>
      </c>
      <c r="AC108" s="387">
        <v>1000</v>
      </c>
      <c r="AD108" s="387">
        <v>1000</v>
      </c>
      <c r="AE108" s="387">
        <v>1000</v>
      </c>
      <c r="AF108" s="387">
        <v>1000</v>
      </c>
      <c r="AG108" s="387">
        <v>1000</v>
      </c>
      <c r="AH108" s="387">
        <v>1000</v>
      </c>
      <c r="AI108" s="387">
        <v>1000</v>
      </c>
      <c r="AJ108" s="387">
        <v>1000</v>
      </c>
      <c r="AK108" s="387">
        <v>1000</v>
      </c>
      <c r="AL108" s="387">
        <v>1000</v>
      </c>
      <c r="AM108" s="388">
        <f t="shared" si="164"/>
        <v>12000</v>
      </c>
      <c r="AN108" s="388">
        <f t="shared" si="113"/>
        <v>12000</v>
      </c>
      <c r="AO108" s="389">
        <f t="shared" si="167"/>
        <v>1000</v>
      </c>
      <c r="AP108" s="498" t="s">
        <v>680</v>
      </c>
      <c r="AQ108" s="159">
        <v>0.6</v>
      </c>
      <c r="AR108" s="160" t="s">
        <v>211</v>
      </c>
      <c r="AS108" s="119" t="s">
        <v>210</v>
      </c>
      <c r="AT108" s="111">
        <v>1994755.2887983986</v>
      </c>
      <c r="AU108" s="111">
        <v>2563059.656397935</v>
      </c>
      <c r="AV108" s="111">
        <v>2609082.0839978927</v>
      </c>
      <c r="AW108" s="111">
        <v>3242503.7071358101</v>
      </c>
      <c r="AX108" s="113">
        <v>2046043.5048</v>
      </c>
      <c r="AY108" s="113">
        <v>2402753.4727757704</v>
      </c>
      <c r="AZ108" s="113">
        <v>2365723.2495999997</v>
      </c>
      <c r="BA108" s="113"/>
      <c r="BB108" s="113"/>
      <c r="BC108" s="113"/>
      <c r="BD108" s="113"/>
      <c r="BE108" s="113"/>
      <c r="BF108" s="114">
        <f t="shared" si="102"/>
        <v>2046043.5048</v>
      </c>
      <c r="BG108" s="114">
        <f t="shared" si="102"/>
        <v>2402753.4727757704</v>
      </c>
      <c r="BH108" s="114">
        <f t="shared" si="102"/>
        <v>2365723.2495999997</v>
      </c>
      <c r="BI108" s="114">
        <f t="shared" si="102"/>
        <v>0</v>
      </c>
      <c r="BJ108" s="114">
        <f t="shared" si="165"/>
        <v>6814520.2271757703</v>
      </c>
      <c r="BK108" s="115">
        <f t="shared" si="173"/>
        <v>10409400.736330036</v>
      </c>
      <c r="BL108" s="115">
        <f t="shared" si="140"/>
        <v>10409400.736330036</v>
      </c>
      <c r="BM108" s="116">
        <f t="shared" si="141"/>
        <v>0.65469999999999995</v>
      </c>
      <c r="BN108" s="126">
        <f t="shared" ca="1" si="174"/>
        <v>0</v>
      </c>
      <c r="BO108" s="117">
        <f t="shared" ca="1" si="175"/>
        <v>0</v>
      </c>
      <c r="BP108" s="118" t="str">
        <f t="shared" si="176"/>
        <v>Uncapped</v>
      </c>
      <c r="BQ108" s="115">
        <f t="shared" ca="1" si="117"/>
        <v>0</v>
      </c>
      <c r="BR108" s="113" t="s">
        <v>688</v>
      </c>
      <c r="BS108" s="161">
        <v>0.2</v>
      </c>
      <c r="BT108" s="113" t="s">
        <v>211</v>
      </c>
      <c r="BU108" s="160" t="s">
        <v>210</v>
      </c>
      <c r="BV108" s="113">
        <v>19653413.080999997</v>
      </c>
      <c r="BW108" s="113">
        <v>22848780.235100001</v>
      </c>
      <c r="BX108" s="113">
        <v>22618799.574099999</v>
      </c>
      <c r="BY108" s="113">
        <v>27098464.121500004</v>
      </c>
      <c r="BZ108" s="113">
        <v>19427532.107000571</v>
      </c>
      <c r="CA108" s="113">
        <v>22270538.357580002</v>
      </c>
      <c r="CB108" s="113">
        <v>22879083.486580007</v>
      </c>
      <c r="CC108" s="113"/>
      <c r="CD108" s="113"/>
      <c r="CE108" s="113"/>
      <c r="CF108" s="113"/>
      <c r="CG108" s="113"/>
      <c r="CH108" s="114">
        <f t="shared" si="103"/>
        <v>19427532.107000571</v>
      </c>
      <c r="CI108" s="114">
        <f t="shared" si="103"/>
        <v>22270538.357580002</v>
      </c>
      <c r="CJ108" s="120">
        <f t="shared" si="103"/>
        <v>22879083.486580007</v>
      </c>
      <c r="CK108" s="114">
        <f t="shared" si="103"/>
        <v>0</v>
      </c>
      <c r="CL108" s="114">
        <f t="shared" si="118"/>
        <v>64577153.95116058</v>
      </c>
      <c r="CM108" s="114">
        <f t="shared" si="95"/>
        <v>92219457.011700004</v>
      </c>
      <c r="CN108" s="114">
        <f t="shared" si="142"/>
        <v>92219457.011700004</v>
      </c>
      <c r="CO108" s="116">
        <f t="shared" si="143"/>
        <v>0.70030000000000003</v>
      </c>
      <c r="CP108" s="126">
        <f t="shared" ca="1" si="144"/>
        <v>0</v>
      </c>
      <c r="CQ108" s="115">
        <f t="shared" ca="1" si="119"/>
        <v>0</v>
      </c>
      <c r="CR108" s="118" t="str">
        <f t="shared" si="145"/>
        <v>Uncapped</v>
      </c>
      <c r="CS108" s="115">
        <f t="shared" ca="1" si="120"/>
        <v>0</v>
      </c>
      <c r="CT108" s="113" t="s">
        <v>696</v>
      </c>
      <c r="CU108" s="119">
        <v>0.2</v>
      </c>
      <c r="CV108" s="113" t="s">
        <v>217</v>
      </c>
      <c r="CW108" s="113" t="s">
        <v>210</v>
      </c>
      <c r="CX108" s="113">
        <v>61881722.047854595</v>
      </c>
      <c r="CY108" s="113">
        <v>72180793.063260496</v>
      </c>
      <c r="CZ108" s="113">
        <v>69179032.514420599</v>
      </c>
      <c r="DA108" s="113">
        <v>76323964.015026003</v>
      </c>
      <c r="DB108" s="113">
        <v>63657388.730680585</v>
      </c>
      <c r="DC108" s="113">
        <v>65995192.891159989</v>
      </c>
      <c r="DD108" s="113">
        <v>66410604.684560001</v>
      </c>
      <c r="DE108" s="113"/>
      <c r="DF108" s="113"/>
      <c r="DG108" s="113"/>
      <c r="DH108" s="113"/>
      <c r="DI108" s="113"/>
      <c r="DJ108" s="114">
        <f t="shared" si="104"/>
        <v>63657388.730680585</v>
      </c>
      <c r="DK108" s="114">
        <f t="shared" si="104"/>
        <v>65995192.891159989</v>
      </c>
      <c r="DL108" s="114">
        <f t="shared" si="104"/>
        <v>66410604.684560001</v>
      </c>
      <c r="DM108" s="114">
        <f t="shared" si="104"/>
        <v>0</v>
      </c>
      <c r="DN108" s="114">
        <f t="shared" si="168"/>
        <v>196063186.30640057</v>
      </c>
      <c r="DO108" s="114">
        <f t="shared" si="96"/>
        <v>279565511.6405617</v>
      </c>
      <c r="DP108" s="114">
        <f t="shared" si="105"/>
        <v>279565511.6405617</v>
      </c>
      <c r="DQ108" s="116">
        <f t="shared" si="146"/>
        <v>0.70130000000000003</v>
      </c>
      <c r="DR108" s="126">
        <f t="shared" ca="1" si="121"/>
        <v>0</v>
      </c>
      <c r="DS108" s="115">
        <f t="shared" ca="1" si="122"/>
        <v>0</v>
      </c>
      <c r="DT108" s="118" t="str">
        <f t="shared" si="147"/>
        <v>Uncapped</v>
      </c>
      <c r="DU108" s="115">
        <f t="shared" ca="1" si="123"/>
        <v>0</v>
      </c>
      <c r="DV108" s="113"/>
      <c r="DW108" s="119">
        <v>0</v>
      </c>
      <c r="DX108" s="113"/>
      <c r="DY108" s="113"/>
      <c r="DZ108" s="113">
        <v>0</v>
      </c>
      <c r="EA108" s="113">
        <v>0</v>
      </c>
      <c r="EB108" s="113">
        <v>0</v>
      </c>
      <c r="EC108" s="113">
        <v>0</v>
      </c>
      <c r="ED108" s="113">
        <v>0</v>
      </c>
      <c r="EE108" s="113">
        <v>0</v>
      </c>
      <c r="EF108" s="113"/>
      <c r="EG108" s="113"/>
      <c r="EH108" s="113"/>
      <c r="EI108" s="113"/>
      <c r="EJ108" s="113"/>
      <c r="EK108" s="113"/>
      <c r="EL108" s="114">
        <f t="shared" si="106"/>
        <v>0</v>
      </c>
      <c r="EM108" s="114">
        <f t="shared" si="106"/>
        <v>0</v>
      </c>
      <c r="EN108" s="114">
        <f t="shared" si="106"/>
        <v>0</v>
      </c>
      <c r="EO108" s="114">
        <f t="shared" si="106"/>
        <v>0</v>
      </c>
      <c r="EP108" s="114">
        <f t="shared" si="124"/>
        <v>0</v>
      </c>
      <c r="EQ108" s="114">
        <f t="shared" si="97"/>
        <v>0</v>
      </c>
      <c r="ER108" s="114">
        <f t="shared" si="148"/>
        <v>0</v>
      </c>
      <c r="ES108" s="116">
        <f t="shared" si="149"/>
        <v>0</v>
      </c>
      <c r="ET108" s="126">
        <f t="shared" ca="1" si="150"/>
        <v>0</v>
      </c>
      <c r="EU108" s="115">
        <f t="shared" ca="1" si="125"/>
        <v>0</v>
      </c>
      <c r="EV108" s="118" t="str">
        <f t="shared" si="126"/>
        <v>Uncapped</v>
      </c>
      <c r="EW108" s="115">
        <f t="shared" ca="1" si="127"/>
        <v>0</v>
      </c>
      <c r="EX108" s="112">
        <f t="shared" ca="1" si="128"/>
        <v>0</v>
      </c>
      <c r="EY108" s="114">
        <f t="shared" ca="1" si="151"/>
        <v>0</v>
      </c>
      <c r="EZ108" s="115">
        <v>0</v>
      </c>
      <c r="FA108" s="115"/>
      <c r="FB108" s="115"/>
      <c r="FC108" s="115">
        <v>0</v>
      </c>
      <c r="FD108" s="115">
        <f t="shared" si="98"/>
        <v>0</v>
      </c>
      <c r="FE108" s="114">
        <f t="shared" si="177"/>
        <v>0</v>
      </c>
      <c r="FF108" s="115">
        <v>0</v>
      </c>
      <c r="FG108" s="115">
        <v>0</v>
      </c>
      <c r="FH108" s="115">
        <v>0</v>
      </c>
      <c r="FI108" s="115">
        <v>0</v>
      </c>
      <c r="FJ108" s="115">
        <f t="shared" si="99"/>
        <v>0</v>
      </c>
      <c r="FK108" s="114">
        <f t="shared" si="178"/>
        <v>0</v>
      </c>
      <c r="FL108" s="113"/>
      <c r="FM108" s="111"/>
      <c r="FN108" s="111"/>
      <c r="FO108" s="111"/>
      <c r="FP108" s="115">
        <f t="shared" si="129"/>
        <v>0</v>
      </c>
      <c r="FQ108" s="115"/>
      <c r="FR108" s="115"/>
      <c r="FS108" s="115"/>
      <c r="FT108" s="114">
        <f t="shared" si="152"/>
        <v>0</v>
      </c>
      <c r="FU108" s="366">
        <f t="shared" ca="1" si="155"/>
        <v>0</v>
      </c>
      <c r="FV108" s="121">
        <f t="shared" ca="1" si="153"/>
        <v>0</v>
      </c>
      <c r="FW108" s="114">
        <f t="shared" si="157"/>
        <v>0</v>
      </c>
      <c r="FX108" s="114">
        <f t="shared" si="157"/>
        <v>0</v>
      </c>
      <c r="FY108" s="114">
        <f t="shared" si="157"/>
        <v>0</v>
      </c>
      <c r="FZ108" s="114">
        <f t="shared" si="157"/>
        <v>0</v>
      </c>
      <c r="GA108" s="114">
        <f t="shared" si="169"/>
        <v>0</v>
      </c>
      <c r="GB108" s="114">
        <f t="shared" si="158"/>
        <v>0</v>
      </c>
      <c r="GC108" s="114">
        <f t="shared" si="158"/>
        <v>0</v>
      </c>
      <c r="GD108" s="114">
        <f t="shared" si="158"/>
        <v>0</v>
      </c>
      <c r="GE108" s="114">
        <f t="shared" si="158"/>
        <v>0</v>
      </c>
      <c r="GF108" s="114">
        <f t="shared" si="159"/>
        <v>0</v>
      </c>
      <c r="GG108" s="114">
        <f t="shared" si="159"/>
        <v>0</v>
      </c>
      <c r="GH108" s="114">
        <f t="shared" si="159"/>
        <v>0</v>
      </c>
      <c r="GI108" s="114">
        <f t="shared" si="159"/>
        <v>0</v>
      </c>
      <c r="GJ108" s="115">
        <f t="shared" si="100"/>
        <v>0</v>
      </c>
      <c r="GK108" s="114">
        <f t="shared" si="170"/>
        <v>0</v>
      </c>
      <c r="GL108" s="114">
        <f t="shared" si="132"/>
        <v>0</v>
      </c>
      <c r="GM108" s="114">
        <f t="shared" si="133"/>
        <v>0</v>
      </c>
      <c r="GN108" s="114">
        <f t="shared" si="134"/>
        <v>0</v>
      </c>
      <c r="GO108" s="114">
        <f t="shared" si="135"/>
        <v>0</v>
      </c>
      <c r="GP108" s="114">
        <f t="shared" si="101"/>
        <v>0</v>
      </c>
      <c r="GQ108" s="114">
        <f t="shared" si="171"/>
        <v>0</v>
      </c>
      <c r="GR108" s="216"/>
      <c r="GS108" s="122">
        <f t="shared" si="166"/>
        <v>267454860.48473692</v>
      </c>
      <c r="GT108" s="122">
        <f t="shared" si="166"/>
        <v>382194369.38859177</v>
      </c>
      <c r="GU108" s="123">
        <f t="shared" si="172"/>
        <v>0.69978754766218243</v>
      </c>
      <c r="GV108" s="124">
        <f t="shared" ca="1" si="138"/>
        <v>0</v>
      </c>
      <c r="GW108" s="124">
        <v>0</v>
      </c>
      <c r="GX108" s="32">
        <f t="shared" ca="1" si="139"/>
        <v>0</v>
      </c>
      <c r="GY108" s="100"/>
    </row>
    <row r="109" spans="1:207" s="125" customFormat="1" ht="15" hidden="1" customHeight="1">
      <c r="A109" s="102"/>
      <c r="B109" s="103"/>
      <c r="C109" s="103"/>
      <c r="D109" s="104"/>
      <c r="E109" s="104"/>
      <c r="F109" s="104" t="s">
        <v>473</v>
      </c>
      <c r="G109" s="104" t="s">
        <v>226</v>
      </c>
      <c r="H109" s="154" t="s">
        <v>482</v>
      </c>
      <c r="I109" s="106" t="s">
        <v>483</v>
      </c>
      <c r="J109" s="104" t="s">
        <v>471</v>
      </c>
      <c r="K109" s="104" t="s">
        <v>208</v>
      </c>
      <c r="L109" s="104" t="s">
        <v>471</v>
      </c>
      <c r="M109" s="104" t="s">
        <v>472</v>
      </c>
      <c r="N109" s="107"/>
      <c r="O109" s="108">
        <v>43430</v>
      </c>
      <c r="P109" s="108">
        <v>43430</v>
      </c>
      <c r="Q109" s="322">
        <f t="shared" si="112"/>
        <v>0</v>
      </c>
      <c r="R109" s="109">
        <f>IF((P109-VLOOKUP(Q109,month!$A$1:$C$13,3,0))&lt;0,Q109,Q109+1)</f>
        <v>0</v>
      </c>
      <c r="S109" s="108"/>
      <c r="T109" s="127" t="str">
        <f t="shared" si="154"/>
        <v/>
      </c>
      <c r="U109" s="320" t="s">
        <v>652</v>
      </c>
      <c r="V109" s="320">
        <v>2</v>
      </c>
      <c r="W109" s="107"/>
      <c r="X109" s="107"/>
      <c r="Y109" s="386"/>
      <c r="Z109" s="386" t="s">
        <v>545</v>
      </c>
      <c r="AA109" s="387">
        <v>1000</v>
      </c>
      <c r="AB109" s="387">
        <v>1000</v>
      </c>
      <c r="AC109" s="387">
        <v>1000</v>
      </c>
      <c r="AD109" s="387">
        <v>1000</v>
      </c>
      <c r="AE109" s="387">
        <v>1000</v>
      </c>
      <c r="AF109" s="387">
        <v>1000</v>
      </c>
      <c r="AG109" s="387">
        <v>1000</v>
      </c>
      <c r="AH109" s="387">
        <v>1000</v>
      </c>
      <c r="AI109" s="387">
        <v>1000</v>
      </c>
      <c r="AJ109" s="387">
        <v>1000</v>
      </c>
      <c r="AK109" s="387">
        <v>1000</v>
      </c>
      <c r="AL109" s="387">
        <v>1000</v>
      </c>
      <c r="AM109" s="388">
        <f t="shared" si="164"/>
        <v>12000</v>
      </c>
      <c r="AN109" s="388">
        <f t="shared" si="113"/>
        <v>12000</v>
      </c>
      <c r="AO109" s="389">
        <f>AA109</f>
        <v>1000</v>
      </c>
      <c r="AP109" s="498" t="s">
        <v>748</v>
      </c>
      <c r="AQ109" s="159">
        <v>0.6</v>
      </c>
      <c r="AR109" s="160" t="s">
        <v>211</v>
      </c>
      <c r="AS109" s="119" t="s">
        <v>210</v>
      </c>
      <c r="AT109" s="111">
        <v>9801477.2720816769</v>
      </c>
      <c r="AU109" s="111">
        <v>11014485.153327817</v>
      </c>
      <c r="AV109" s="111">
        <v>10373523.907550756</v>
      </c>
      <c r="AW109" s="111">
        <v>12420501.906991746</v>
      </c>
      <c r="AX109" s="113">
        <v>9512651.4881999772</v>
      </c>
      <c r="AY109" s="113">
        <v>11012743.072410025</v>
      </c>
      <c r="AZ109" s="113">
        <v>11092650.930600051</v>
      </c>
      <c r="BA109" s="113"/>
      <c r="BB109" s="113"/>
      <c r="BC109" s="113"/>
      <c r="BD109" s="113"/>
      <c r="BE109" s="113"/>
      <c r="BF109" s="114">
        <f t="shared" si="102"/>
        <v>9512651.4881999772</v>
      </c>
      <c r="BG109" s="114">
        <f t="shared" si="102"/>
        <v>11012743.072410025</v>
      </c>
      <c r="BH109" s="114">
        <f t="shared" si="102"/>
        <v>11092650.930600051</v>
      </c>
      <c r="BI109" s="114">
        <f t="shared" si="102"/>
        <v>0</v>
      </c>
      <c r="BJ109" s="114">
        <f t="shared" si="165"/>
        <v>31618045.491210055</v>
      </c>
      <c r="BK109" s="115">
        <f t="shared" si="173"/>
        <v>43609988.239951998</v>
      </c>
      <c r="BL109" s="115">
        <f t="shared" si="140"/>
        <v>43609988.239951998</v>
      </c>
      <c r="BM109" s="116">
        <f t="shared" si="141"/>
        <v>0.72499999999999998</v>
      </c>
      <c r="BN109" s="126">
        <f t="shared" ca="1" si="174"/>
        <v>0</v>
      </c>
      <c r="BO109" s="117">
        <f t="shared" ca="1" si="175"/>
        <v>0</v>
      </c>
      <c r="BP109" s="118" t="str">
        <f t="shared" si="176"/>
        <v>Uncapped</v>
      </c>
      <c r="BQ109" s="115">
        <f t="shared" ca="1" si="117"/>
        <v>0</v>
      </c>
      <c r="BR109" s="113" t="s">
        <v>688</v>
      </c>
      <c r="BS109" s="161">
        <v>0.2</v>
      </c>
      <c r="BT109" s="113" t="s">
        <v>211</v>
      </c>
      <c r="BU109" s="160" t="s">
        <v>210</v>
      </c>
      <c r="BV109" s="113">
        <v>19653413.080999997</v>
      </c>
      <c r="BW109" s="113">
        <v>22848780.235100001</v>
      </c>
      <c r="BX109" s="113">
        <v>22618799.574099999</v>
      </c>
      <c r="BY109" s="113">
        <v>27098464.121500004</v>
      </c>
      <c r="BZ109" s="113">
        <v>19427532.107000571</v>
      </c>
      <c r="CA109" s="113">
        <v>22270538.357580002</v>
      </c>
      <c r="CB109" s="113">
        <v>22879083.486580007</v>
      </c>
      <c r="CC109" s="113"/>
      <c r="CD109" s="113"/>
      <c r="CE109" s="113"/>
      <c r="CF109" s="113"/>
      <c r="CG109" s="113"/>
      <c r="CH109" s="114">
        <f t="shared" si="103"/>
        <v>19427532.107000571</v>
      </c>
      <c r="CI109" s="114">
        <f t="shared" si="103"/>
        <v>22270538.357580002</v>
      </c>
      <c r="CJ109" s="120">
        <f t="shared" si="103"/>
        <v>22879083.486580007</v>
      </c>
      <c r="CK109" s="114">
        <f t="shared" si="103"/>
        <v>0</v>
      </c>
      <c r="CL109" s="114">
        <f t="shared" si="118"/>
        <v>64577153.95116058</v>
      </c>
      <c r="CM109" s="114">
        <f t="shared" si="95"/>
        <v>92219457.011700004</v>
      </c>
      <c r="CN109" s="114">
        <f t="shared" si="142"/>
        <v>92219457.011700004</v>
      </c>
      <c r="CO109" s="116">
        <f t="shared" si="143"/>
        <v>0.70030000000000003</v>
      </c>
      <c r="CP109" s="126">
        <f t="shared" ca="1" si="144"/>
        <v>0</v>
      </c>
      <c r="CQ109" s="115">
        <f t="shared" ca="1" si="119"/>
        <v>0</v>
      </c>
      <c r="CR109" s="118" t="str">
        <f t="shared" si="145"/>
        <v>Uncapped</v>
      </c>
      <c r="CS109" s="115">
        <f t="shared" ca="1" si="120"/>
        <v>0</v>
      </c>
      <c r="CT109" s="113" t="s">
        <v>696</v>
      </c>
      <c r="CU109" s="119">
        <v>0.2</v>
      </c>
      <c r="CV109" s="113" t="s">
        <v>217</v>
      </c>
      <c r="CW109" s="113" t="s">
        <v>667</v>
      </c>
      <c r="CX109" s="113">
        <v>61881722.047854595</v>
      </c>
      <c r="CY109" s="113">
        <v>72180793.063260496</v>
      </c>
      <c r="CZ109" s="113">
        <v>69179032.514420599</v>
      </c>
      <c r="DA109" s="113">
        <v>76323964.015026003</v>
      </c>
      <c r="DB109" s="113">
        <v>63657388.730680585</v>
      </c>
      <c r="DC109" s="113">
        <v>65995192.891159989</v>
      </c>
      <c r="DD109" s="113">
        <v>66410604.684560001</v>
      </c>
      <c r="DE109" s="113"/>
      <c r="DF109" s="113"/>
      <c r="DG109" s="113"/>
      <c r="DH109" s="113"/>
      <c r="DI109" s="113"/>
      <c r="DJ109" s="114">
        <f t="shared" si="104"/>
        <v>63657388.730680585</v>
      </c>
      <c r="DK109" s="114">
        <f t="shared" si="104"/>
        <v>65995192.891159989</v>
      </c>
      <c r="DL109" s="114">
        <f t="shared" si="104"/>
        <v>66410604.684560001</v>
      </c>
      <c r="DM109" s="114">
        <f t="shared" si="104"/>
        <v>0</v>
      </c>
      <c r="DN109" s="114">
        <f t="shared" si="168"/>
        <v>196063186.30640057</v>
      </c>
      <c r="DO109" s="114">
        <f t="shared" si="96"/>
        <v>279565511.6405617</v>
      </c>
      <c r="DP109" s="114">
        <f t="shared" si="105"/>
        <v>279565511.6405617</v>
      </c>
      <c r="DQ109" s="116">
        <f t="shared" si="146"/>
        <v>0.70130000000000003</v>
      </c>
      <c r="DR109" s="126">
        <f t="shared" ca="1" si="121"/>
        <v>0</v>
      </c>
      <c r="DS109" s="115">
        <f t="shared" ca="1" si="122"/>
        <v>0</v>
      </c>
      <c r="DT109" s="118" t="str">
        <f t="shared" si="147"/>
        <v>Uncapped</v>
      </c>
      <c r="DU109" s="115">
        <f t="shared" ca="1" si="123"/>
        <v>0</v>
      </c>
      <c r="DV109" s="113"/>
      <c r="DW109" s="119">
        <v>0</v>
      </c>
      <c r="DX109" s="113"/>
      <c r="DY109" s="113"/>
      <c r="DZ109" s="113">
        <v>0</v>
      </c>
      <c r="EA109" s="113">
        <v>0</v>
      </c>
      <c r="EB109" s="113">
        <v>0</v>
      </c>
      <c r="EC109" s="113">
        <v>0</v>
      </c>
      <c r="ED109" s="113">
        <v>0</v>
      </c>
      <c r="EE109" s="113">
        <v>0</v>
      </c>
      <c r="EF109" s="113"/>
      <c r="EG109" s="113"/>
      <c r="EH109" s="113"/>
      <c r="EI109" s="113"/>
      <c r="EJ109" s="113"/>
      <c r="EK109" s="113"/>
      <c r="EL109" s="114">
        <f t="shared" si="106"/>
        <v>0</v>
      </c>
      <c r="EM109" s="114">
        <f t="shared" si="106"/>
        <v>0</v>
      </c>
      <c r="EN109" s="114">
        <f t="shared" si="106"/>
        <v>0</v>
      </c>
      <c r="EO109" s="114">
        <f t="shared" si="106"/>
        <v>0</v>
      </c>
      <c r="EP109" s="114">
        <f t="shared" si="124"/>
        <v>0</v>
      </c>
      <c r="EQ109" s="114">
        <f t="shared" si="97"/>
        <v>0</v>
      </c>
      <c r="ER109" s="114">
        <f t="shared" si="148"/>
        <v>0</v>
      </c>
      <c r="ES109" s="116">
        <f t="shared" si="149"/>
        <v>0</v>
      </c>
      <c r="ET109" s="126">
        <f t="shared" ca="1" si="150"/>
        <v>0</v>
      </c>
      <c r="EU109" s="115">
        <f t="shared" ca="1" si="125"/>
        <v>0</v>
      </c>
      <c r="EV109" s="118" t="str">
        <f t="shared" si="126"/>
        <v>Uncapped</v>
      </c>
      <c r="EW109" s="115">
        <f t="shared" ca="1" si="127"/>
        <v>0</v>
      </c>
      <c r="EX109" s="112">
        <f t="shared" ca="1" si="128"/>
        <v>0</v>
      </c>
      <c r="EY109" s="114">
        <f t="shared" ca="1" si="151"/>
        <v>2000</v>
      </c>
      <c r="EZ109" s="115">
        <v>0</v>
      </c>
      <c r="FA109" s="115"/>
      <c r="FB109" s="115"/>
      <c r="FC109" s="115">
        <v>0</v>
      </c>
      <c r="FD109" s="115">
        <f t="shared" si="98"/>
        <v>0</v>
      </c>
      <c r="FE109" s="114">
        <f t="shared" si="177"/>
        <v>0</v>
      </c>
      <c r="FF109" s="115">
        <v>0</v>
      </c>
      <c r="FG109" s="115">
        <v>0</v>
      </c>
      <c r="FH109" s="115">
        <v>0</v>
      </c>
      <c r="FI109" s="115">
        <v>0</v>
      </c>
      <c r="FJ109" s="115">
        <f t="shared" si="99"/>
        <v>0</v>
      </c>
      <c r="FK109" s="114">
        <f t="shared" si="178"/>
        <v>0</v>
      </c>
      <c r="FL109" s="113"/>
      <c r="FM109" s="111"/>
      <c r="FN109" s="111"/>
      <c r="FO109" s="111"/>
      <c r="FP109" s="115">
        <f t="shared" si="129"/>
        <v>0</v>
      </c>
      <c r="FQ109" s="115"/>
      <c r="FR109" s="115"/>
      <c r="FS109" s="115"/>
      <c r="FT109" s="114">
        <f t="shared" si="152"/>
        <v>0</v>
      </c>
      <c r="FU109" s="366">
        <f t="shared" ca="1" si="155"/>
        <v>2000</v>
      </c>
      <c r="FV109" s="121">
        <f t="shared" ca="1" si="153"/>
        <v>2000</v>
      </c>
      <c r="FW109" s="114">
        <f t="shared" si="157"/>
        <v>0</v>
      </c>
      <c r="FX109" s="114">
        <f t="shared" si="157"/>
        <v>0</v>
      </c>
      <c r="FY109" s="114">
        <f t="shared" si="157"/>
        <v>0</v>
      </c>
      <c r="FZ109" s="114">
        <f t="shared" si="157"/>
        <v>0</v>
      </c>
      <c r="GA109" s="114">
        <f t="shared" si="169"/>
        <v>0</v>
      </c>
      <c r="GB109" s="114">
        <f t="shared" si="158"/>
        <v>0</v>
      </c>
      <c r="GC109" s="114">
        <f t="shared" si="158"/>
        <v>0</v>
      </c>
      <c r="GD109" s="114">
        <f t="shared" si="158"/>
        <v>0</v>
      </c>
      <c r="GE109" s="114">
        <f t="shared" si="158"/>
        <v>0</v>
      </c>
      <c r="GF109" s="114">
        <f t="shared" si="159"/>
        <v>0</v>
      </c>
      <c r="GG109" s="114">
        <f t="shared" si="159"/>
        <v>0</v>
      </c>
      <c r="GH109" s="114">
        <f t="shared" si="159"/>
        <v>0</v>
      </c>
      <c r="GI109" s="114">
        <f t="shared" si="159"/>
        <v>0</v>
      </c>
      <c r="GJ109" s="115">
        <f t="shared" si="100"/>
        <v>0</v>
      </c>
      <c r="GK109" s="114">
        <f t="shared" si="170"/>
        <v>0</v>
      </c>
      <c r="GL109" s="114">
        <f t="shared" si="132"/>
        <v>2000</v>
      </c>
      <c r="GM109" s="114">
        <f t="shared" si="133"/>
        <v>0</v>
      </c>
      <c r="GN109" s="114">
        <f t="shared" si="134"/>
        <v>0</v>
      </c>
      <c r="GO109" s="114">
        <f t="shared" si="135"/>
        <v>0</v>
      </c>
      <c r="GP109" s="114">
        <f t="shared" si="101"/>
        <v>2000</v>
      </c>
      <c r="GQ109" s="114">
        <f t="shared" si="171"/>
        <v>2000</v>
      </c>
      <c r="GR109" s="216"/>
      <c r="GS109" s="122">
        <f t="shared" si="166"/>
        <v>292258385.74877119</v>
      </c>
      <c r="GT109" s="122">
        <f t="shared" si="166"/>
        <v>415394956.8922137</v>
      </c>
      <c r="GU109" s="123">
        <f t="shared" si="172"/>
        <v>0.70356748655618884</v>
      </c>
      <c r="GV109" s="124">
        <f t="shared" ca="1" si="138"/>
        <v>0</v>
      </c>
      <c r="GW109" s="124">
        <v>0</v>
      </c>
      <c r="GX109" s="32">
        <f t="shared" ca="1" si="139"/>
        <v>0</v>
      </c>
      <c r="GY109" s="100"/>
    </row>
    <row r="110" spans="1:207" s="125" customFormat="1" ht="15" hidden="1" customHeight="1">
      <c r="A110" s="102"/>
      <c r="B110" s="103"/>
      <c r="C110" s="103"/>
      <c r="D110" s="104"/>
      <c r="E110" s="104"/>
      <c r="F110" s="104" t="s">
        <v>484</v>
      </c>
      <c r="G110" s="104" t="s">
        <v>226</v>
      </c>
      <c r="H110" s="154" t="s">
        <v>485</v>
      </c>
      <c r="I110" s="106" t="s">
        <v>486</v>
      </c>
      <c r="J110" s="104" t="s">
        <v>471</v>
      </c>
      <c r="K110" s="104" t="s">
        <v>215</v>
      </c>
      <c r="L110" s="104" t="s">
        <v>471</v>
      </c>
      <c r="M110" s="104" t="s">
        <v>472</v>
      </c>
      <c r="N110" s="107"/>
      <c r="O110" s="108">
        <v>43087</v>
      </c>
      <c r="P110" s="108">
        <v>43344</v>
      </c>
      <c r="Q110" s="322">
        <f t="shared" si="112"/>
        <v>0</v>
      </c>
      <c r="R110" s="109">
        <f>IF((P110-VLOOKUP(Q110,month!$A$1:$C$13,3,0))&lt;0,Q110,Q110+1)</f>
        <v>0</v>
      </c>
      <c r="S110" s="108"/>
      <c r="T110" s="127" t="str">
        <f t="shared" si="154"/>
        <v/>
      </c>
      <c r="U110" s="107"/>
      <c r="V110" s="107"/>
      <c r="W110" s="107"/>
      <c r="X110" s="107"/>
      <c r="Y110" s="386"/>
      <c r="Z110" s="386" t="s">
        <v>545</v>
      </c>
      <c r="AA110" s="387">
        <v>1000</v>
      </c>
      <c r="AB110" s="387">
        <v>1000</v>
      </c>
      <c r="AC110" s="387">
        <v>1000</v>
      </c>
      <c r="AD110" s="387">
        <v>1000</v>
      </c>
      <c r="AE110" s="387">
        <v>1000</v>
      </c>
      <c r="AF110" s="387">
        <v>1000</v>
      </c>
      <c r="AG110" s="387">
        <v>1000</v>
      </c>
      <c r="AH110" s="387">
        <v>1000</v>
      </c>
      <c r="AI110" s="387">
        <v>1000</v>
      </c>
      <c r="AJ110" s="387">
        <v>1000</v>
      </c>
      <c r="AK110" s="387">
        <v>1000</v>
      </c>
      <c r="AL110" s="387">
        <v>1000</v>
      </c>
      <c r="AM110" s="388">
        <f t="shared" si="164"/>
        <v>12000</v>
      </c>
      <c r="AN110" s="388">
        <f t="shared" si="113"/>
        <v>12000</v>
      </c>
      <c r="AO110" s="389">
        <f t="shared" ref="AO110:AO112" si="179">AI110</f>
        <v>1000</v>
      </c>
      <c r="AP110" s="498" t="s">
        <v>767</v>
      </c>
      <c r="AQ110" s="159">
        <v>0.6</v>
      </c>
      <c r="AR110" s="160" t="s">
        <v>358</v>
      </c>
      <c r="AS110" s="119" t="s">
        <v>210</v>
      </c>
      <c r="AT110" s="111">
        <v>12667084.918482166</v>
      </c>
      <c r="AU110" s="111">
        <v>13178645.488737401</v>
      </c>
      <c r="AV110" s="111">
        <v>12190341.596061932</v>
      </c>
      <c r="AW110" s="111">
        <v>12342000.7336083</v>
      </c>
      <c r="AX110" s="113">
        <v>14536882.36749677</v>
      </c>
      <c r="AY110" s="113">
        <v>10749156.798470002</v>
      </c>
      <c r="AZ110" s="113">
        <v>10536844.709400002</v>
      </c>
      <c r="BA110" s="113"/>
      <c r="BB110" s="113"/>
      <c r="BC110" s="113"/>
      <c r="BD110" s="113"/>
      <c r="BE110" s="113"/>
      <c r="BF110" s="114">
        <f t="shared" si="102"/>
        <v>14536882.36749677</v>
      </c>
      <c r="BG110" s="114">
        <f t="shared" si="102"/>
        <v>10749156.798470002</v>
      </c>
      <c r="BH110" s="114">
        <f t="shared" si="102"/>
        <v>10536844.709400002</v>
      </c>
      <c r="BI110" s="114">
        <f t="shared" si="102"/>
        <v>0</v>
      </c>
      <c r="BJ110" s="114">
        <f t="shared" si="165"/>
        <v>35822883.875366777</v>
      </c>
      <c r="BK110" s="115">
        <f t="shared" si="173"/>
        <v>50378072.736889794</v>
      </c>
      <c r="BL110" s="115">
        <f t="shared" si="140"/>
        <v>50378072.736889794</v>
      </c>
      <c r="BM110" s="116">
        <f t="shared" si="141"/>
        <v>0.71109999999999995</v>
      </c>
      <c r="BN110" s="126">
        <f t="shared" ca="1" si="174"/>
        <v>0</v>
      </c>
      <c r="BO110" s="117">
        <f t="shared" ca="1" si="175"/>
        <v>0</v>
      </c>
      <c r="BP110" s="118" t="str">
        <f t="shared" si="176"/>
        <v>Uncapped</v>
      </c>
      <c r="BQ110" s="115">
        <f t="shared" ca="1" si="117"/>
        <v>0</v>
      </c>
      <c r="BR110" s="113" t="s">
        <v>696</v>
      </c>
      <c r="BS110" s="161">
        <v>0.2</v>
      </c>
      <c r="BT110" s="113" t="s">
        <v>217</v>
      </c>
      <c r="BU110" s="160" t="s">
        <v>210</v>
      </c>
      <c r="BV110" s="113">
        <v>61881722.047854595</v>
      </c>
      <c r="BW110" s="113">
        <v>72180793.063260496</v>
      </c>
      <c r="BX110" s="113">
        <v>70210929.79442063</v>
      </c>
      <c r="BY110" s="113">
        <v>77582831.825025976</v>
      </c>
      <c r="BZ110" s="113">
        <v>63657388.730680585</v>
      </c>
      <c r="CA110" s="113">
        <v>65995192.891159974</v>
      </c>
      <c r="CB110" s="113">
        <v>66410604.684560001</v>
      </c>
      <c r="CC110" s="113"/>
      <c r="CD110" s="113"/>
      <c r="CE110" s="113"/>
      <c r="CF110" s="113"/>
      <c r="CG110" s="113"/>
      <c r="CH110" s="114">
        <f t="shared" si="103"/>
        <v>63657388.730680585</v>
      </c>
      <c r="CI110" s="114">
        <f t="shared" si="103"/>
        <v>65995192.891159974</v>
      </c>
      <c r="CJ110" s="120">
        <f t="shared" si="103"/>
        <v>66410604.684560001</v>
      </c>
      <c r="CK110" s="114">
        <f t="shared" si="103"/>
        <v>0</v>
      </c>
      <c r="CL110" s="114">
        <f t="shared" si="118"/>
        <v>196063186.30640057</v>
      </c>
      <c r="CM110" s="114">
        <f t="shared" si="95"/>
        <v>281856276.73056173</v>
      </c>
      <c r="CN110" s="114">
        <f t="shared" si="142"/>
        <v>281856276.73056173</v>
      </c>
      <c r="CO110" s="116">
        <f t="shared" si="143"/>
        <v>0.6956</v>
      </c>
      <c r="CP110" s="126">
        <f t="shared" ca="1" si="144"/>
        <v>0</v>
      </c>
      <c r="CQ110" s="115">
        <f t="shared" ca="1" si="119"/>
        <v>0</v>
      </c>
      <c r="CR110" s="118" t="str">
        <f t="shared" si="145"/>
        <v>Uncapped</v>
      </c>
      <c r="CS110" s="115">
        <f t="shared" ca="1" si="120"/>
        <v>0</v>
      </c>
      <c r="CT110" s="113" t="s">
        <v>724</v>
      </c>
      <c r="CU110" s="119">
        <v>0.2</v>
      </c>
      <c r="CV110" s="113"/>
      <c r="CW110" s="113" t="s">
        <v>725</v>
      </c>
      <c r="CX110" s="113">
        <v>0</v>
      </c>
      <c r="CY110" s="113">
        <v>0</v>
      </c>
      <c r="CZ110" s="113">
        <v>0</v>
      </c>
      <c r="DA110" s="113">
        <v>0</v>
      </c>
      <c r="DB110" s="113">
        <v>0</v>
      </c>
      <c r="DC110" s="113">
        <v>0</v>
      </c>
      <c r="DD110" s="113">
        <v>0</v>
      </c>
      <c r="DE110" s="113"/>
      <c r="DF110" s="113"/>
      <c r="DG110" s="113"/>
      <c r="DH110" s="113"/>
      <c r="DI110" s="113"/>
      <c r="DJ110" s="114">
        <f t="shared" si="104"/>
        <v>0</v>
      </c>
      <c r="DK110" s="114">
        <f t="shared" si="104"/>
        <v>0</v>
      </c>
      <c r="DL110" s="114">
        <f t="shared" si="104"/>
        <v>0</v>
      </c>
      <c r="DM110" s="114">
        <f t="shared" si="104"/>
        <v>0</v>
      </c>
      <c r="DN110" s="114">
        <f t="shared" si="168"/>
        <v>0</v>
      </c>
      <c r="DO110" s="114">
        <f t="shared" si="96"/>
        <v>0</v>
      </c>
      <c r="DP110" s="114">
        <f t="shared" si="105"/>
        <v>0</v>
      </c>
      <c r="DQ110" s="116">
        <f t="shared" si="146"/>
        <v>0</v>
      </c>
      <c r="DR110" s="126">
        <f t="shared" si="121"/>
        <v>0</v>
      </c>
      <c r="DS110" s="115">
        <f t="shared" si="122"/>
        <v>0</v>
      </c>
      <c r="DT110" s="118" t="str">
        <f t="shared" si="147"/>
        <v>Uncapped</v>
      </c>
      <c r="DU110" s="115">
        <f t="shared" si="123"/>
        <v>0</v>
      </c>
      <c r="DV110" s="113"/>
      <c r="DW110" s="119">
        <v>0</v>
      </c>
      <c r="DX110" s="113"/>
      <c r="DY110" s="113"/>
      <c r="DZ110" s="113">
        <v>0</v>
      </c>
      <c r="EA110" s="113">
        <v>0</v>
      </c>
      <c r="EB110" s="113">
        <v>0</v>
      </c>
      <c r="EC110" s="113">
        <v>0</v>
      </c>
      <c r="ED110" s="113">
        <v>0</v>
      </c>
      <c r="EE110" s="113">
        <v>0</v>
      </c>
      <c r="EF110" s="113"/>
      <c r="EG110" s="113"/>
      <c r="EH110" s="113"/>
      <c r="EI110" s="113"/>
      <c r="EJ110" s="113"/>
      <c r="EK110" s="113"/>
      <c r="EL110" s="114">
        <f t="shared" si="106"/>
        <v>0</v>
      </c>
      <c r="EM110" s="114">
        <f t="shared" si="106"/>
        <v>0</v>
      </c>
      <c r="EN110" s="114">
        <f t="shared" si="106"/>
        <v>0</v>
      </c>
      <c r="EO110" s="114">
        <f t="shared" si="106"/>
        <v>0</v>
      </c>
      <c r="EP110" s="114">
        <f t="shared" si="124"/>
        <v>0</v>
      </c>
      <c r="EQ110" s="114">
        <f t="shared" si="97"/>
        <v>0</v>
      </c>
      <c r="ER110" s="114">
        <f t="shared" si="148"/>
        <v>0</v>
      </c>
      <c r="ES110" s="116">
        <f t="shared" si="149"/>
        <v>0</v>
      </c>
      <c r="ET110" s="126">
        <f t="shared" ca="1" si="150"/>
        <v>0</v>
      </c>
      <c r="EU110" s="115">
        <f t="shared" ca="1" si="125"/>
        <v>0</v>
      </c>
      <c r="EV110" s="118" t="str">
        <f t="shared" si="126"/>
        <v>Uncapped</v>
      </c>
      <c r="EW110" s="115">
        <f t="shared" ca="1" si="127"/>
        <v>0</v>
      </c>
      <c r="EX110" s="112">
        <f t="shared" ca="1" si="128"/>
        <v>0</v>
      </c>
      <c r="EY110" s="114">
        <f t="shared" ca="1" si="151"/>
        <v>0</v>
      </c>
      <c r="EZ110" s="115">
        <v>0</v>
      </c>
      <c r="FA110" s="115"/>
      <c r="FB110" s="115"/>
      <c r="FC110" s="115">
        <v>0</v>
      </c>
      <c r="FD110" s="115">
        <f t="shared" si="98"/>
        <v>0</v>
      </c>
      <c r="FE110" s="114">
        <f t="shared" si="177"/>
        <v>0</v>
      </c>
      <c r="FF110" s="115">
        <v>0</v>
      </c>
      <c r="FG110" s="115">
        <v>0</v>
      </c>
      <c r="FH110" s="115">
        <v>0</v>
      </c>
      <c r="FI110" s="115">
        <v>0</v>
      </c>
      <c r="FJ110" s="115">
        <f t="shared" si="99"/>
        <v>0</v>
      </c>
      <c r="FK110" s="114">
        <f t="shared" si="178"/>
        <v>0</v>
      </c>
      <c r="FL110" s="113"/>
      <c r="FM110" s="111"/>
      <c r="FN110" s="111"/>
      <c r="FO110" s="111"/>
      <c r="FP110" s="115">
        <f t="shared" si="129"/>
        <v>0</v>
      </c>
      <c r="FQ110" s="115"/>
      <c r="FR110" s="115"/>
      <c r="FS110" s="115"/>
      <c r="FT110" s="114">
        <f t="shared" si="152"/>
        <v>0</v>
      </c>
      <c r="FU110" s="366">
        <f t="shared" ca="1" si="155"/>
        <v>0</v>
      </c>
      <c r="FV110" s="121">
        <f t="shared" ca="1" si="153"/>
        <v>0</v>
      </c>
      <c r="FW110" s="114">
        <f t="shared" si="157"/>
        <v>0</v>
      </c>
      <c r="FX110" s="114">
        <f t="shared" si="157"/>
        <v>0</v>
      </c>
      <c r="FY110" s="114">
        <f t="shared" si="157"/>
        <v>0</v>
      </c>
      <c r="FZ110" s="114">
        <f t="shared" si="157"/>
        <v>0</v>
      </c>
      <c r="GA110" s="114">
        <f t="shared" si="169"/>
        <v>0</v>
      </c>
      <c r="GB110" s="114">
        <f t="shared" si="158"/>
        <v>0</v>
      </c>
      <c r="GC110" s="114">
        <f t="shared" si="158"/>
        <v>0</v>
      </c>
      <c r="GD110" s="114">
        <f t="shared" si="158"/>
        <v>0</v>
      </c>
      <c r="GE110" s="114">
        <f t="shared" si="158"/>
        <v>0</v>
      </c>
      <c r="GF110" s="114">
        <f t="shared" si="159"/>
        <v>0</v>
      </c>
      <c r="GG110" s="114">
        <f t="shared" si="159"/>
        <v>0</v>
      </c>
      <c r="GH110" s="114">
        <f t="shared" si="159"/>
        <v>0</v>
      </c>
      <c r="GI110" s="114">
        <f t="shared" si="159"/>
        <v>0</v>
      </c>
      <c r="GJ110" s="115">
        <f t="shared" si="100"/>
        <v>0</v>
      </c>
      <c r="GK110" s="114">
        <f t="shared" si="170"/>
        <v>0</v>
      </c>
      <c r="GL110" s="114">
        <f t="shared" si="132"/>
        <v>0</v>
      </c>
      <c r="GM110" s="114">
        <f t="shared" si="133"/>
        <v>0</v>
      </c>
      <c r="GN110" s="114">
        <f t="shared" si="134"/>
        <v>0</v>
      </c>
      <c r="GO110" s="114">
        <f t="shared" si="135"/>
        <v>0</v>
      </c>
      <c r="GP110" s="114">
        <f t="shared" si="101"/>
        <v>0</v>
      </c>
      <c r="GQ110" s="114">
        <f t="shared" si="171"/>
        <v>0</v>
      </c>
      <c r="GR110" s="216"/>
      <c r="GS110" s="122">
        <f t="shared" si="166"/>
        <v>231886070.18176734</v>
      </c>
      <c r="GT110" s="122">
        <f t="shared" si="166"/>
        <v>332234349.46745151</v>
      </c>
      <c r="GU110" s="123">
        <f t="shared" si="172"/>
        <v>0.69795934873520615</v>
      </c>
      <c r="GV110" s="124">
        <f t="shared" ca="1" si="138"/>
        <v>0</v>
      </c>
      <c r="GW110" s="124">
        <v>0</v>
      </c>
      <c r="GX110" s="32">
        <f t="shared" ca="1" si="139"/>
        <v>0</v>
      </c>
      <c r="GY110" s="100"/>
    </row>
    <row r="111" spans="1:207" s="125" customFormat="1" ht="15" customHeight="1">
      <c r="A111" s="102"/>
      <c r="B111" s="103"/>
      <c r="C111" s="103"/>
      <c r="D111" s="104"/>
      <c r="E111" s="104"/>
      <c r="F111" s="104" t="s">
        <v>487</v>
      </c>
      <c r="G111" s="104" t="s">
        <v>226</v>
      </c>
      <c r="H111" s="593" t="s">
        <v>488</v>
      </c>
      <c r="I111" s="106" t="s">
        <v>489</v>
      </c>
      <c r="J111" s="104" t="s">
        <v>471</v>
      </c>
      <c r="K111" s="104" t="s">
        <v>218</v>
      </c>
      <c r="L111" s="104" t="s">
        <v>471</v>
      </c>
      <c r="M111" s="104" t="s">
        <v>472</v>
      </c>
      <c r="N111" s="107"/>
      <c r="O111" s="108">
        <v>41246</v>
      </c>
      <c r="P111" s="108">
        <v>43344</v>
      </c>
      <c r="Q111" s="322">
        <f t="shared" si="112"/>
        <v>0</v>
      </c>
      <c r="R111" s="109">
        <f>IF((P111-VLOOKUP(Q111,month!$A$1:$C$13,3,0))&lt;0,Q111,Q111+1)</f>
        <v>0</v>
      </c>
      <c r="S111" s="108"/>
      <c r="T111" s="127" t="str">
        <f t="shared" si="154"/>
        <v/>
      </c>
      <c r="U111" s="107"/>
      <c r="V111" s="107"/>
      <c r="W111" s="107"/>
      <c r="X111" s="107"/>
      <c r="Y111" s="386"/>
      <c r="Z111" s="386" t="s">
        <v>545</v>
      </c>
      <c r="AA111" s="387">
        <v>1000</v>
      </c>
      <c r="AB111" s="387">
        <v>1000</v>
      </c>
      <c r="AC111" s="387">
        <v>1000</v>
      </c>
      <c r="AD111" s="387">
        <v>1000</v>
      </c>
      <c r="AE111" s="387">
        <v>1000</v>
      </c>
      <c r="AF111" s="387">
        <v>1000</v>
      </c>
      <c r="AG111" s="387">
        <v>1000</v>
      </c>
      <c r="AH111" s="387">
        <v>1000</v>
      </c>
      <c r="AI111" s="387">
        <v>1000</v>
      </c>
      <c r="AJ111" s="387">
        <v>1000</v>
      </c>
      <c r="AK111" s="387">
        <v>1000</v>
      </c>
      <c r="AL111" s="387">
        <v>1000</v>
      </c>
      <c r="AM111" s="388">
        <f t="shared" si="164"/>
        <v>12000</v>
      </c>
      <c r="AN111" s="388">
        <f t="shared" si="113"/>
        <v>12000</v>
      </c>
      <c r="AO111" s="389">
        <f t="shared" si="179"/>
        <v>1000</v>
      </c>
      <c r="AP111" s="498" t="s">
        <v>672</v>
      </c>
      <c r="AQ111" s="159">
        <v>0.4</v>
      </c>
      <c r="AR111" s="160" t="s">
        <v>211</v>
      </c>
      <c r="AS111" s="119" t="s">
        <v>210</v>
      </c>
      <c r="AT111" s="111">
        <v>3379521.1219363259</v>
      </c>
      <c r="AU111" s="111">
        <v>7327548.5634185346</v>
      </c>
      <c r="AV111" s="111">
        <v>5599955.3026327584</v>
      </c>
      <c r="AW111" s="111">
        <v>6039590.4343528077</v>
      </c>
      <c r="AX111" s="113">
        <v>3463592.7112599993</v>
      </c>
      <c r="AY111" s="113">
        <v>7899234.3228099998</v>
      </c>
      <c r="AZ111" s="113">
        <v>6302483.1859700009</v>
      </c>
      <c r="BA111" s="113">
        <v>6588538.9955100007</v>
      </c>
      <c r="BB111" s="113"/>
      <c r="BC111" s="113"/>
      <c r="BD111" s="113"/>
      <c r="BE111" s="113"/>
      <c r="BF111" s="114">
        <f t="shared" si="102"/>
        <v>3463592.7112599993</v>
      </c>
      <c r="BG111" s="114">
        <f t="shared" si="102"/>
        <v>7899234.3228099998</v>
      </c>
      <c r="BH111" s="114">
        <f t="shared" si="102"/>
        <v>6302483.1859700009</v>
      </c>
      <c r="BI111" s="114">
        <f t="shared" si="102"/>
        <v>6588538.9955100007</v>
      </c>
      <c r="BJ111" s="114">
        <f t="shared" si="165"/>
        <v>24253849.215550002</v>
      </c>
      <c r="BK111" s="115">
        <f t="shared" si="173"/>
        <v>22346615.422340427</v>
      </c>
      <c r="BL111" s="115">
        <f t="shared" si="140"/>
        <v>22346615.422340427</v>
      </c>
      <c r="BM111" s="116">
        <f t="shared" si="141"/>
        <v>1.0852999999999999</v>
      </c>
      <c r="BN111" s="126">
        <f t="shared" ca="1" si="174"/>
        <v>0</v>
      </c>
      <c r="BO111" s="117">
        <f t="shared" ca="1" si="175"/>
        <v>0</v>
      </c>
      <c r="BP111" s="118" t="str">
        <f t="shared" si="176"/>
        <v>Uncapped</v>
      </c>
      <c r="BQ111" s="115">
        <f t="shared" ca="1" si="117"/>
        <v>0</v>
      </c>
      <c r="BR111" s="113" t="s">
        <v>692</v>
      </c>
      <c r="BS111" s="161">
        <v>0.4</v>
      </c>
      <c r="BT111" s="113" t="s">
        <v>211</v>
      </c>
      <c r="BU111" s="160" t="s">
        <v>210</v>
      </c>
      <c r="BV111" s="113">
        <v>7503606.8202462839</v>
      </c>
      <c r="BW111" s="113">
        <v>8053589.731983399</v>
      </c>
      <c r="BX111" s="113">
        <v>8496001.8380627688</v>
      </c>
      <c r="BY111" s="113">
        <v>8697930.0394548904</v>
      </c>
      <c r="BZ111" s="113">
        <v>7755486.3438000018</v>
      </c>
      <c r="CA111" s="113">
        <v>6815255.5627299994</v>
      </c>
      <c r="CB111" s="113">
        <v>8017330.7311999984</v>
      </c>
      <c r="CC111" s="113">
        <v>8207270.3578199986</v>
      </c>
      <c r="CD111" s="113"/>
      <c r="CE111" s="113"/>
      <c r="CF111" s="113"/>
      <c r="CG111" s="113"/>
      <c r="CH111" s="114">
        <f t="shared" si="103"/>
        <v>7755486.3438000018</v>
      </c>
      <c r="CI111" s="114">
        <f t="shared" si="103"/>
        <v>6815255.5627299994</v>
      </c>
      <c r="CJ111" s="120">
        <f t="shared" si="103"/>
        <v>8017330.7311999984</v>
      </c>
      <c r="CK111" s="114">
        <f t="shared" si="103"/>
        <v>8207270.3578199986</v>
      </c>
      <c r="CL111" s="114">
        <f t="shared" si="118"/>
        <v>30795342.995549999</v>
      </c>
      <c r="CM111" s="114">
        <f t="shared" si="95"/>
        <v>32751128.429747343</v>
      </c>
      <c r="CN111" s="114">
        <f t="shared" si="142"/>
        <v>32751128.429747343</v>
      </c>
      <c r="CO111" s="116">
        <f t="shared" si="143"/>
        <v>0.94030000000000002</v>
      </c>
      <c r="CP111" s="126">
        <f t="shared" ca="1" si="144"/>
        <v>0</v>
      </c>
      <c r="CQ111" s="115">
        <f t="shared" ca="1" si="119"/>
        <v>0</v>
      </c>
      <c r="CR111" s="118" t="str">
        <f t="shared" si="145"/>
        <v>Uncapped</v>
      </c>
      <c r="CS111" s="115">
        <f t="shared" ca="1" si="120"/>
        <v>0</v>
      </c>
      <c r="CT111" s="113" t="s">
        <v>696</v>
      </c>
      <c r="CU111" s="119">
        <v>0.2</v>
      </c>
      <c r="CV111" s="113" t="s">
        <v>217</v>
      </c>
      <c r="CW111" s="113" t="s">
        <v>210</v>
      </c>
      <c r="CX111" s="113">
        <v>61881722.047854595</v>
      </c>
      <c r="CY111" s="113">
        <v>72180793.063260496</v>
      </c>
      <c r="CZ111" s="113">
        <v>69179032.514420599</v>
      </c>
      <c r="DA111" s="113">
        <v>76323964.015026003</v>
      </c>
      <c r="DB111" s="113">
        <v>63657388.730680585</v>
      </c>
      <c r="DC111" s="113">
        <v>65995192.891159974</v>
      </c>
      <c r="DD111" s="113">
        <v>66410604.684560001</v>
      </c>
      <c r="DE111" s="113">
        <f>VLOOKUP($H111,[2]pivot!$V:$Z,$DE$2,FALSE)</f>
        <v>77591011.898499951</v>
      </c>
      <c r="DF111" s="113"/>
      <c r="DG111" s="113"/>
      <c r="DH111" s="113"/>
      <c r="DI111" s="113"/>
      <c r="DJ111" s="114">
        <f t="shared" si="104"/>
        <v>63657388.730680585</v>
      </c>
      <c r="DK111" s="114">
        <f t="shared" si="104"/>
        <v>65995192.891159974</v>
      </c>
      <c r="DL111" s="114">
        <f t="shared" si="104"/>
        <v>66410604.684560001</v>
      </c>
      <c r="DM111" s="114">
        <f t="shared" si="104"/>
        <v>77591011.898499951</v>
      </c>
      <c r="DN111" s="114">
        <f t="shared" si="168"/>
        <v>273654198.2049005</v>
      </c>
      <c r="DO111" s="114">
        <f t="shared" si="96"/>
        <v>279565511.6405617</v>
      </c>
      <c r="DP111" s="114">
        <f t="shared" si="105"/>
        <v>279565511.6405617</v>
      </c>
      <c r="DQ111" s="116">
        <f t="shared" si="146"/>
        <v>0.97889999999999999</v>
      </c>
      <c r="DR111" s="126">
        <f t="shared" ca="1" si="121"/>
        <v>0</v>
      </c>
      <c r="DS111" s="115">
        <f t="shared" ca="1" si="122"/>
        <v>0</v>
      </c>
      <c r="DT111" s="118" t="str">
        <f t="shared" si="147"/>
        <v>Uncapped</v>
      </c>
      <c r="DU111" s="115">
        <f t="shared" ca="1" si="123"/>
        <v>0</v>
      </c>
      <c r="DV111" s="113"/>
      <c r="DW111" s="119">
        <v>0</v>
      </c>
      <c r="DX111" s="113"/>
      <c r="DY111" s="113"/>
      <c r="DZ111" s="113">
        <v>0</v>
      </c>
      <c r="EA111" s="113">
        <v>0</v>
      </c>
      <c r="EB111" s="113">
        <v>0</v>
      </c>
      <c r="EC111" s="113">
        <v>0</v>
      </c>
      <c r="ED111" s="113">
        <v>0</v>
      </c>
      <c r="EE111" s="113">
        <v>0</v>
      </c>
      <c r="EF111" s="113"/>
      <c r="EG111" s="113"/>
      <c r="EH111" s="113"/>
      <c r="EI111" s="113"/>
      <c r="EJ111" s="113"/>
      <c r="EK111" s="113"/>
      <c r="EL111" s="114">
        <f t="shared" si="106"/>
        <v>0</v>
      </c>
      <c r="EM111" s="114">
        <f t="shared" si="106"/>
        <v>0</v>
      </c>
      <c r="EN111" s="114">
        <f t="shared" si="106"/>
        <v>0</v>
      </c>
      <c r="EO111" s="114">
        <f t="shared" si="106"/>
        <v>0</v>
      </c>
      <c r="EP111" s="114">
        <f t="shared" si="124"/>
        <v>0</v>
      </c>
      <c r="EQ111" s="114">
        <f t="shared" si="97"/>
        <v>0</v>
      </c>
      <c r="ER111" s="114">
        <f t="shared" si="148"/>
        <v>0</v>
      </c>
      <c r="ES111" s="116">
        <f t="shared" si="149"/>
        <v>0</v>
      </c>
      <c r="ET111" s="126">
        <f t="shared" ca="1" si="150"/>
        <v>0</v>
      </c>
      <c r="EU111" s="115">
        <f t="shared" ca="1" si="125"/>
        <v>0</v>
      </c>
      <c r="EV111" s="118" t="str">
        <f t="shared" si="126"/>
        <v>Uncapped</v>
      </c>
      <c r="EW111" s="115">
        <f t="shared" ca="1" si="127"/>
        <v>0</v>
      </c>
      <c r="EX111" s="112">
        <f t="shared" ca="1" si="128"/>
        <v>0</v>
      </c>
      <c r="EY111" s="114">
        <f t="shared" ca="1" si="151"/>
        <v>0</v>
      </c>
      <c r="EZ111" s="115">
        <v>0</v>
      </c>
      <c r="FA111" s="115"/>
      <c r="FB111" s="115"/>
      <c r="FC111" s="115">
        <v>0</v>
      </c>
      <c r="FD111" s="115">
        <f t="shared" si="98"/>
        <v>0</v>
      </c>
      <c r="FE111" s="114">
        <f t="shared" si="177"/>
        <v>0</v>
      </c>
      <c r="FF111" s="115">
        <v>0</v>
      </c>
      <c r="FG111" s="115">
        <v>0</v>
      </c>
      <c r="FH111" s="115">
        <v>0</v>
      </c>
      <c r="FI111" s="115">
        <v>0</v>
      </c>
      <c r="FJ111" s="115">
        <f t="shared" si="99"/>
        <v>0</v>
      </c>
      <c r="FK111" s="114">
        <f t="shared" si="178"/>
        <v>0</v>
      </c>
      <c r="FL111" s="113"/>
      <c r="FM111" s="111"/>
      <c r="FN111" s="111"/>
      <c r="FO111" s="111"/>
      <c r="FP111" s="115">
        <f t="shared" si="129"/>
        <v>0</v>
      </c>
      <c r="FQ111" s="115"/>
      <c r="FR111" s="115"/>
      <c r="FS111" s="115"/>
      <c r="FT111" s="114">
        <f t="shared" si="152"/>
        <v>0</v>
      </c>
      <c r="FU111" s="366">
        <f t="shared" ca="1" si="155"/>
        <v>0</v>
      </c>
      <c r="FV111" s="121">
        <f t="shared" ca="1" si="153"/>
        <v>0</v>
      </c>
      <c r="FW111" s="114">
        <f t="shared" si="157"/>
        <v>0</v>
      </c>
      <c r="FX111" s="114">
        <f t="shared" si="157"/>
        <v>0</v>
      </c>
      <c r="FY111" s="114">
        <f t="shared" si="157"/>
        <v>0</v>
      </c>
      <c r="FZ111" s="114">
        <f t="shared" si="157"/>
        <v>0</v>
      </c>
      <c r="GA111" s="114">
        <f t="shared" si="169"/>
        <v>0</v>
      </c>
      <c r="GB111" s="114">
        <f t="shared" si="158"/>
        <v>0</v>
      </c>
      <c r="GC111" s="114">
        <f t="shared" si="158"/>
        <v>0</v>
      </c>
      <c r="GD111" s="114">
        <f t="shared" si="158"/>
        <v>0</v>
      </c>
      <c r="GE111" s="114">
        <f t="shared" si="158"/>
        <v>0</v>
      </c>
      <c r="GF111" s="114">
        <f t="shared" si="159"/>
        <v>0</v>
      </c>
      <c r="GG111" s="114">
        <f t="shared" si="159"/>
        <v>0</v>
      </c>
      <c r="GH111" s="114">
        <f t="shared" si="159"/>
        <v>0</v>
      </c>
      <c r="GI111" s="114">
        <f t="shared" si="159"/>
        <v>0</v>
      </c>
      <c r="GJ111" s="115">
        <f t="shared" si="100"/>
        <v>0</v>
      </c>
      <c r="GK111" s="114">
        <f t="shared" si="170"/>
        <v>0</v>
      </c>
      <c r="GL111" s="114">
        <f t="shared" si="132"/>
        <v>0</v>
      </c>
      <c r="GM111" s="114">
        <f t="shared" si="133"/>
        <v>0</v>
      </c>
      <c r="GN111" s="114">
        <f t="shared" si="134"/>
        <v>0</v>
      </c>
      <c r="GO111" s="114">
        <f t="shared" si="135"/>
        <v>0</v>
      </c>
      <c r="GP111" s="114">
        <f t="shared" si="101"/>
        <v>0</v>
      </c>
      <c r="GQ111" s="114">
        <f t="shared" si="171"/>
        <v>0</v>
      </c>
      <c r="GR111" s="216"/>
      <c r="GS111" s="122">
        <f t="shared" si="166"/>
        <v>328703390.41600049</v>
      </c>
      <c r="GT111" s="122">
        <f t="shared" si="166"/>
        <v>334663255.49264944</v>
      </c>
      <c r="GU111" s="123">
        <f t="shared" si="172"/>
        <v>0.98219145669913599</v>
      </c>
      <c r="GV111" s="124">
        <f t="shared" ca="1" si="138"/>
        <v>0</v>
      </c>
      <c r="GW111" s="124">
        <v>0</v>
      </c>
      <c r="GX111" s="32">
        <f t="shared" ca="1" si="139"/>
        <v>0</v>
      </c>
      <c r="GY111" s="100"/>
    </row>
    <row r="112" spans="1:207" s="125" customFormat="1" ht="15" customHeight="1">
      <c r="A112" s="102"/>
      <c r="B112" s="103"/>
      <c r="C112" s="103" t="s">
        <v>74</v>
      </c>
      <c r="D112" s="104"/>
      <c r="E112" s="104"/>
      <c r="F112" s="104" t="s">
        <v>487</v>
      </c>
      <c r="G112" s="104" t="s">
        <v>226</v>
      </c>
      <c r="H112" s="593" t="s">
        <v>490</v>
      </c>
      <c r="I112" s="106" t="s">
        <v>491</v>
      </c>
      <c r="J112" s="104" t="s">
        <v>471</v>
      </c>
      <c r="K112" s="104" t="s">
        <v>218</v>
      </c>
      <c r="L112" s="104" t="s">
        <v>471</v>
      </c>
      <c r="M112" s="104" t="s">
        <v>472</v>
      </c>
      <c r="N112" s="107"/>
      <c r="O112" s="108">
        <v>43283</v>
      </c>
      <c r="P112" s="108">
        <v>43283</v>
      </c>
      <c r="Q112" s="322">
        <f t="shared" si="112"/>
        <v>0</v>
      </c>
      <c r="R112" s="109">
        <f>IF((P112-VLOOKUP(Q112,month!$A$1:$C$13,3,0))&lt;0,Q112,Q112+1)</f>
        <v>0</v>
      </c>
      <c r="S112" s="108"/>
      <c r="T112" s="127" t="str">
        <f t="shared" si="154"/>
        <v/>
      </c>
      <c r="U112" s="107"/>
      <c r="V112" s="107"/>
      <c r="W112" s="107"/>
      <c r="X112" s="107"/>
      <c r="Y112" s="386"/>
      <c r="Z112" s="386" t="s">
        <v>545</v>
      </c>
      <c r="AA112" s="387">
        <v>1000</v>
      </c>
      <c r="AB112" s="387">
        <v>1000</v>
      </c>
      <c r="AC112" s="387">
        <v>1000</v>
      </c>
      <c r="AD112" s="387">
        <v>1000</v>
      </c>
      <c r="AE112" s="387">
        <v>1000</v>
      </c>
      <c r="AF112" s="387">
        <v>1000</v>
      </c>
      <c r="AG112" s="387">
        <v>1000</v>
      </c>
      <c r="AH112" s="387">
        <v>1000</v>
      </c>
      <c r="AI112" s="387">
        <v>1000</v>
      </c>
      <c r="AJ112" s="387">
        <v>1000</v>
      </c>
      <c r="AK112" s="387">
        <v>1000</v>
      </c>
      <c r="AL112" s="387">
        <v>1000</v>
      </c>
      <c r="AM112" s="388">
        <f t="shared" si="164"/>
        <v>12000</v>
      </c>
      <c r="AN112" s="388">
        <f t="shared" si="113"/>
        <v>12000</v>
      </c>
      <c r="AO112" s="389">
        <f t="shared" si="179"/>
        <v>1000</v>
      </c>
      <c r="AP112" s="498" t="s">
        <v>672</v>
      </c>
      <c r="AQ112" s="159">
        <v>0.4</v>
      </c>
      <c r="AR112" s="160" t="s">
        <v>211</v>
      </c>
      <c r="AS112" s="119" t="s">
        <v>210</v>
      </c>
      <c r="AT112" s="111">
        <v>3379521.1219363259</v>
      </c>
      <c r="AU112" s="111">
        <v>7327548.5634185346</v>
      </c>
      <c r="AV112" s="111">
        <v>5599955.3026327584</v>
      </c>
      <c r="AW112" s="111">
        <v>6039590.4343528077</v>
      </c>
      <c r="AX112" s="113">
        <v>3463592.7112599993</v>
      </c>
      <c r="AY112" s="113">
        <v>7899234.3228099998</v>
      </c>
      <c r="AZ112" s="113">
        <v>6302483.1859700009</v>
      </c>
      <c r="BA112" s="113">
        <v>6588538.9955100007</v>
      </c>
      <c r="BB112" s="113"/>
      <c r="BC112" s="113"/>
      <c r="BD112" s="113"/>
      <c r="BE112" s="113"/>
      <c r="BF112" s="114">
        <f t="shared" si="102"/>
        <v>3463592.7112599993</v>
      </c>
      <c r="BG112" s="114">
        <f t="shared" si="102"/>
        <v>7899234.3228099998</v>
      </c>
      <c r="BH112" s="114">
        <f t="shared" si="102"/>
        <v>6302483.1859700009</v>
      </c>
      <c r="BI112" s="114">
        <f t="shared" si="102"/>
        <v>6588538.9955100007</v>
      </c>
      <c r="BJ112" s="114">
        <f t="shared" si="165"/>
        <v>24253849.215550002</v>
      </c>
      <c r="BK112" s="115">
        <f t="shared" si="173"/>
        <v>22346615.422340427</v>
      </c>
      <c r="BL112" s="115">
        <f t="shared" si="140"/>
        <v>22346615.422340427</v>
      </c>
      <c r="BM112" s="116">
        <f t="shared" si="141"/>
        <v>1.0852999999999999</v>
      </c>
      <c r="BN112" s="126">
        <f t="shared" ca="1" si="174"/>
        <v>0</v>
      </c>
      <c r="BO112" s="117">
        <f t="shared" ca="1" si="175"/>
        <v>0</v>
      </c>
      <c r="BP112" s="118" t="str">
        <f t="shared" si="176"/>
        <v>Uncapped</v>
      </c>
      <c r="BQ112" s="115">
        <f t="shared" ca="1" si="117"/>
        <v>0</v>
      </c>
      <c r="BR112" s="113" t="s">
        <v>692</v>
      </c>
      <c r="BS112" s="161">
        <v>0.4</v>
      </c>
      <c r="BT112" s="113" t="s">
        <v>211</v>
      </c>
      <c r="BU112" s="160" t="s">
        <v>210</v>
      </c>
      <c r="BV112" s="113">
        <v>7503606.8202462839</v>
      </c>
      <c r="BW112" s="113">
        <v>8053589.731983399</v>
      </c>
      <c r="BX112" s="113">
        <v>8496001.8380627688</v>
      </c>
      <c r="BY112" s="113">
        <v>8697930.0394548904</v>
      </c>
      <c r="BZ112" s="113">
        <v>7755486.3438000018</v>
      </c>
      <c r="CA112" s="113">
        <v>6815255.5627299994</v>
      </c>
      <c r="CB112" s="113">
        <v>8017330.7311999984</v>
      </c>
      <c r="CC112" s="113">
        <v>8207270.3578199986</v>
      </c>
      <c r="CD112" s="113"/>
      <c r="CE112" s="113"/>
      <c r="CF112" s="113"/>
      <c r="CG112" s="113"/>
      <c r="CH112" s="114">
        <f t="shared" si="103"/>
        <v>7755486.3438000018</v>
      </c>
      <c r="CI112" s="114">
        <f t="shared" si="103"/>
        <v>6815255.5627299994</v>
      </c>
      <c r="CJ112" s="120">
        <f t="shared" si="103"/>
        <v>8017330.7311999984</v>
      </c>
      <c r="CK112" s="114">
        <f t="shared" si="103"/>
        <v>8207270.3578199986</v>
      </c>
      <c r="CL112" s="114">
        <f t="shared" si="118"/>
        <v>30795342.995549999</v>
      </c>
      <c r="CM112" s="114">
        <f t="shared" si="95"/>
        <v>32751128.429747343</v>
      </c>
      <c r="CN112" s="114">
        <f t="shared" si="142"/>
        <v>32751128.429747343</v>
      </c>
      <c r="CO112" s="116">
        <f t="shared" si="143"/>
        <v>0.94030000000000002</v>
      </c>
      <c r="CP112" s="126">
        <f t="shared" ca="1" si="144"/>
        <v>0</v>
      </c>
      <c r="CQ112" s="115">
        <f t="shared" ca="1" si="119"/>
        <v>0</v>
      </c>
      <c r="CR112" s="118" t="str">
        <f t="shared" si="145"/>
        <v>Uncapped</v>
      </c>
      <c r="CS112" s="115">
        <f t="shared" ca="1" si="120"/>
        <v>0</v>
      </c>
      <c r="CT112" s="113" t="s">
        <v>696</v>
      </c>
      <c r="CU112" s="119">
        <v>0.2</v>
      </c>
      <c r="CV112" s="113" t="s">
        <v>217</v>
      </c>
      <c r="CW112" s="113" t="s">
        <v>210</v>
      </c>
      <c r="CX112" s="113">
        <v>61881722.047854595</v>
      </c>
      <c r="CY112" s="113">
        <v>72180793.063260496</v>
      </c>
      <c r="CZ112" s="113">
        <v>69179032.514420599</v>
      </c>
      <c r="DA112" s="113">
        <v>76323964.015026003</v>
      </c>
      <c r="DB112" s="113">
        <v>63657388.730680585</v>
      </c>
      <c r="DC112" s="113">
        <v>65995192.891159974</v>
      </c>
      <c r="DD112" s="113">
        <v>66410604.684560001</v>
      </c>
      <c r="DE112" s="113">
        <f>VLOOKUP($H112,[2]pivot!$V:$Z,$DE$2,FALSE)</f>
        <v>77591011.898499951</v>
      </c>
      <c r="DF112" s="113"/>
      <c r="DG112" s="113"/>
      <c r="DH112" s="113"/>
      <c r="DI112" s="113"/>
      <c r="DJ112" s="114">
        <f t="shared" si="104"/>
        <v>63657388.730680585</v>
      </c>
      <c r="DK112" s="114">
        <f t="shared" si="104"/>
        <v>65995192.891159974</v>
      </c>
      <c r="DL112" s="114">
        <f t="shared" si="104"/>
        <v>66410604.684560001</v>
      </c>
      <c r="DM112" s="114">
        <f t="shared" si="104"/>
        <v>77591011.898499951</v>
      </c>
      <c r="DN112" s="114">
        <f t="shared" si="168"/>
        <v>273654198.2049005</v>
      </c>
      <c r="DO112" s="114">
        <f t="shared" si="96"/>
        <v>279565511.6405617</v>
      </c>
      <c r="DP112" s="114">
        <f t="shared" si="105"/>
        <v>279565511.6405617</v>
      </c>
      <c r="DQ112" s="116">
        <f t="shared" si="146"/>
        <v>0.97889999999999999</v>
      </c>
      <c r="DR112" s="126">
        <f t="shared" ca="1" si="121"/>
        <v>0</v>
      </c>
      <c r="DS112" s="115">
        <f t="shared" ca="1" si="122"/>
        <v>0</v>
      </c>
      <c r="DT112" s="118" t="str">
        <f t="shared" si="147"/>
        <v>Uncapped</v>
      </c>
      <c r="DU112" s="115">
        <f t="shared" ca="1" si="123"/>
        <v>0</v>
      </c>
      <c r="DV112" s="113"/>
      <c r="DW112" s="119">
        <v>0</v>
      </c>
      <c r="DX112" s="113"/>
      <c r="DY112" s="113"/>
      <c r="DZ112" s="113">
        <v>0</v>
      </c>
      <c r="EA112" s="113">
        <v>0</v>
      </c>
      <c r="EB112" s="113">
        <v>0</v>
      </c>
      <c r="EC112" s="113">
        <v>0</v>
      </c>
      <c r="ED112" s="113">
        <v>0</v>
      </c>
      <c r="EE112" s="113">
        <v>0</v>
      </c>
      <c r="EF112" s="113"/>
      <c r="EG112" s="113"/>
      <c r="EH112" s="113"/>
      <c r="EI112" s="113"/>
      <c r="EJ112" s="113"/>
      <c r="EK112" s="113"/>
      <c r="EL112" s="114">
        <f t="shared" si="106"/>
        <v>0</v>
      </c>
      <c r="EM112" s="114">
        <f t="shared" si="106"/>
        <v>0</v>
      </c>
      <c r="EN112" s="114">
        <f t="shared" si="106"/>
        <v>0</v>
      </c>
      <c r="EO112" s="114">
        <f t="shared" si="106"/>
        <v>0</v>
      </c>
      <c r="EP112" s="114">
        <f t="shared" si="124"/>
        <v>0</v>
      </c>
      <c r="EQ112" s="114">
        <f t="shared" si="97"/>
        <v>0</v>
      </c>
      <c r="ER112" s="114">
        <f t="shared" si="148"/>
        <v>0</v>
      </c>
      <c r="ES112" s="116">
        <f t="shared" si="149"/>
        <v>0</v>
      </c>
      <c r="ET112" s="126">
        <f t="shared" ca="1" si="150"/>
        <v>0</v>
      </c>
      <c r="EU112" s="115">
        <f t="shared" ca="1" si="125"/>
        <v>0</v>
      </c>
      <c r="EV112" s="118" t="str">
        <f t="shared" si="126"/>
        <v>Uncapped</v>
      </c>
      <c r="EW112" s="115">
        <f t="shared" ca="1" si="127"/>
        <v>0</v>
      </c>
      <c r="EX112" s="112">
        <f t="shared" ca="1" si="128"/>
        <v>0</v>
      </c>
      <c r="EY112" s="114">
        <f t="shared" ca="1" si="151"/>
        <v>0</v>
      </c>
      <c r="EZ112" s="115">
        <v>0</v>
      </c>
      <c r="FA112" s="115"/>
      <c r="FB112" s="115"/>
      <c r="FC112" s="115">
        <v>0</v>
      </c>
      <c r="FD112" s="115">
        <f t="shared" si="98"/>
        <v>0</v>
      </c>
      <c r="FE112" s="114">
        <f t="shared" si="177"/>
        <v>0</v>
      </c>
      <c r="FF112" s="115">
        <v>0</v>
      </c>
      <c r="FG112" s="115">
        <v>0</v>
      </c>
      <c r="FH112" s="115">
        <v>0</v>
      </c>
      <c r="FI112" s="115">
        <v>0</v>
      </c>
      <c r="FJ112" s="115">
        <f t="shared" si="99"/>
        <v>0</v>
      </c>
      <c r="FK112" s="114">
        <f t="shared" si="178"/>
        <v>0</v>
      </c>
      <c r="FL112" s="113"/>
      <c r="FM112" s="111"/>
      <c r="FN112" s="111"/>
      <c r="FO112" s="111"/>
      <c r="FP112" s="115">
        <f t="shared" si="129"/>
        <v>0</v>
      </c>
      <c r="FQ112" s="115"/>
      <c r="FR112" s="115"/>
      <c r="FS112" s="115"/>
      <c r="FT112" s="114">
        <f t="shared" si="152"/>
        <v>0</v>
      </c>
      <c r="FU112" s="366">
        <f t="shared" ca="1" si="155"/>
        <v>0</v>
      </c>
      <c r="FV112" s="121">
        <f t="shared" ca="1" si="153"/>
        <v>0</v>
      </c>
      <c r="FW112" s="114">
        <f t="shared" si="157"/>
        <v>0</v>
      </c>
      <c r="FX112" s="114">
        <f t="shared" si="157"/>
        <v>0</v>
      </c>
      <c r="FY112" s="114">
        <f t="shared" si="157"/>
        <v>0</v>
      </c>
      <c r="FZ112" s="114">
        <f t="shared" si="157"/>
        <v>0</v>
      </c>
      <c r="GA112" s="114">
        <f t="shared" si="169"/>
        <v>0</v>
      </c>
      <c r="GB112" s="114">
        <f t="shared" si="158"/>
        <v>0</v>
      </c>
      <c r="GC112" s="114">
        <f t="shared" si="158"/>
        <v>0</v>
      </c>
      <c r="GD112" s="114">
        <f t="shared" si="158"/>
        <v>0</v>
      </c>
      <c r="GE112" s="114">
        <f t="shared" si="158"/>
        <v>0</v>
      </c>
      <c r="GF112" s="114">
        <f t="shared" si="159"/>
        <v>0</v>
      </c>
      <c r="GG112" s="114">
        <f t="shared" si="159"/>
        <v>0</v>
      </c>
      <c r="GH112" s="114">
        <f t="shared" si="159"/>
        <v>0</v>
      </c>
      <c r="GI112" s="114">
        <f t="shared" si="159"/>
        <v>0</v>
      </c>
      <c r="GJ112" s="115">
        <f t="shared" si="100"/>
        <v>0</v>
      </c>
      <c r="GK112" s="114">
        <f t="shared" si="170"/>
        <v>0</v>
      </c>
      <c r="GL112" s="114">
        <f t="shared" si="132"/>
        <v>0</v>
      </c>
      <c r="GM112" s="114">
        <f t="shared" si="133"/>
        <v>0</v>
      </c>
      <c r="GN112" s="114">
        <f t="shared" si="134"/>
        <v>0</v>
      </c>
      <c r="GO112" s="114">
        <f t="shared" si="135"/>
        <v>0</v>
      </c>
      <c r="GP112" s="114">
        <f t="shared" si="101"/>
        <v>0</v>
      </c>
      <c r="GQ112" s="114">
        <f t="shared" si="171"/>
        <v>0</v>
      </c>
      <c r="GR112" s="216"/>
      <c r="GS112" s="122">
        <f t="shared" si="166"/>
        <v>328703390.41600049</v>
      </c>
      <c r="GT112" s="122">
        <f t="shared" si="166"/>
        <v>334663255.49264944</v>
      </c>
      <c r="GU112" s="123">
        <f t="shared" si="172"/>
        <v>0.98219145669913599</v>
      </c>
      <c r="GV112" s="124">
        <f t="shared" ca="1" si="138"/>
        <v>0</v>
      </c>
      <c r="GW112" s="124">
        <v>0</v>
      </c>
      <c r="GX112" s="32">
        <f t="shared" ca="1" si="139"/>
        <v>0</v>
      </c>
      <c r="GY112" s="100"/>
    </row>
    <row r="113" spans="1:207" s="125" customFormat="1" ht="15" customHeight="1">
      <c r="A113" s="102"/>
      <c r="B113" s="103"/>
      <c r="C113" s="103"/>
      <c r="D113" s="104"/>
      <c r="E113" s="104" t="s">
        <v>493</v>
      </c>
      <c r="F113" s="104" t="s">
        <v>487</v>
      </c>
      <c r="G113" s="104" t="s">
        <v>226</v>
      </c>
      <c r="H113" s="127" t="s">
        <v>492</v>
      </c>
      <c r="I113" s="547" t="s">
        <v>646</v>
      </c>
      <c r="J113" s="104" t="s">
        <v>471</v>
      </c>
      <c r="K113" s="544" t="s">
        <v>218</v>
      </c>
      <c r="L113" s="104" t="s">
        <v>471</v>
      </c>
      <c r="M113" s="104" t="s">
        <v>472</v>
      </c>
      <c r="N113" s="107"/>
      <c r="O113" s="537">
        <v>43497</v>
      </c>
      <c r="P113" s="359">
        <v>43497</v>
      </c>
      <c r="Q113" s="322">
        <f t="shared" si="112"/>
        <v>2</v>
      </c>
      <c r="R113" s="109">
        <f>IF((P113-VLOOKUP(Q113,month!$A$1:$C$13,3,0))&lt;0,Q113,Q113+1)</f>
        <v>2</v>
      </c>
      <c r="S113" s="108"/>
      <c r="T113" s="110" t="str">
        <f t="shared" si="154"/>
        <v/>
      </c>
      <c r="U113" s="320" t="s">
        <v>214</v>
      </c>
      <c r="V113" s="320">
        <v>2</v>
      </c>
      <c r="W113" s="320">
        <v>1</v>
      </c>
      <c r="X113" s="107"/>
      <c r="Y113" s="386"/>
      <c r="Z113" s="386" t="s">
        <v>545</v>
      </c>
      <c r="AA113" s="387">
        <v>1000</v>
      </c>
      <c r="AB113" s="387">
        <v>1000</v>
      </c>
      <c r="AC113" s="387">
        <v>1000</v>
      </c>
      <c r="AD113" s="387">
        <v>1000</v>
      </c>
      <c r="AE113" s="387">
        <v>1000</v>
      </c>
      <c r="AF113" s="387">
        <v>1000</v>
      </c>
      <c r="AG113" s="387">
        <v>1000</v>
      </c>
      <c r="AH113" s="387">
        <v>1000</v>
      </c>
      <c r="AI113" s="387">
        <v>1000</v>
      </c>
      <c r="AJ113" s="387">
        <v>1000</v>
      </c>
      <c r="AK113" s="387">
        <v>1000</v>
      </c>
      <c r="AL113" s="387">
        <v>1000</v>
      </c>
      <c r="AM113" s="388">
        <f t="shared" si="164"/>
        <v>12000</v>
      </c>
      <c r="AN113" s="388">
        <f t="shared" si="113"/>
        <v>12000</v>
      </c>
      <c r="AO113" s="389">
        <f>AB113</f>
        <v>1000</v>
      </c>
      <c r="AP113" s="498" t="s">
        <v>672</v>
      </c>
      <c r="AQ113" s="159">
        <v>0.4</v>
      </c>
      <c r="AR113" s="160" t="s">
        <v>211</v>
      </c>
      <c r="AS113" s="119" t="s">
        <v>210</v>
      </c>
      <c r="AT113" s="111">
        <v>2703616.8975490644</v>
      </c>
      <c r="AU113" s="111">
        <v>7327548.5634185346</v>
      </c>
      <c r="AV113" s="111">
        <v>5599955.3026327584</v>
      </c>
      <c r="AW113" s="111">
        <v>6039590.4343528077</v>
      </c>
      <c r="AX113" s="113">
        <v>2768685.2717800001</v>
      </c>
      <c r="AY113" s="113">
        <v>7899234.3228099998</v>
      </c>
      <c r="AZ113" s="113">
        <v>6302483.1859700009</v>
      </c>
      <c r="BA113" s="581">
        <v>6588538.9955100007</v>
      </c>
      <c r="BB113" s="113"/>
      <c r="BC113" s="113"/>
      <c r="BD113" s="113"/>
      <c r="BE113" s="113"/>
      <c r="BF113" s="114">
        <f t="shared" si="102"/>
        <v>2768685.2717800001</v>
      </c>
      <c r="BG113" s="114">
        <f t="shared" si="102"/>
        <v>7899234.3228099998</v>
      </c>
      <c r="BH113" s="114">
        <f t="shared" si="102"/>
        <v>6302483.1859700009</v>
      </c>
      <c r="BI113" s="114">
        <f t="shared" si="102"/>
        <v>6588538.9955100007</v>
      </c>
      <c r="BJ113" s="114">
        <f t="shared" si="165"/>
        <v>23558941.776070002</v>
      </c>
      <c r="BK113" s="115">
        <f t="shared" si="173"/>
        <v>21670711.197953165</v>
      </c>
      <c r="BL113" s="115">
        <f t="shared" si="140"/>
        <v>21670711.197953165</v>
      </c>
      <c r="BM113" s="116">
        <f t="shared" si="141"/>
        <v>1.0871</v>
      </c>
      <c r="BN113" s="126">
        <f t="shared" ca="1" si="174"/>
        <v>0</v>
      </c>
      <c r="BO113" s="117">
        <f t="shared" ca="1" si="175"/>
        <v>0</v>
      </c>
      <c r="BP113" s="118" t="str">
        <f t="shared" si="176"/>
        <v>Uncapped</v>
      </c>
      <c r="BQ113" s="115">
        <f t="shared" ca="1" si="117"/>
        <v>0</v>
      </c>
      <c r="BR113" s="113" t="s">
        <v>692</v>
      </c>
      <c r="BS113" s="161">
        <v>0.4</v>
      </c>
      <c r="BT113" s="113" t="s">
        <v>211</v>
      </c>
      <c r="BU113" s="160" t="s">
        <v>210</v>
      </c>
      <c r="BV113" s="113">
        <v>6002885.4561970243</v>
      </c>
      <c r="BW113" s="113">
        <v>8053589.731983399</v>
      </c>
      <c r="BX113" s="113">
        <v>8496001.8380627688</v>
      </c>
      <c r="BY113" s="113">
        <v>8697930.0394548904</v>
      </c>
      <c r="BZ113" s="113">
        <v>6726497.4717699895</v>
      </c>
      <c r="CA113" s="113">
        <v>6815255.5627299994</v>
      </c>
      <c r="CB113" s="113">
        <v>8017330.7311999984</v>
      </c>
      <c r="CC113" s="581">
        <v>8207270.3578199986</v>
      </c>
      <c r="CD113" s="113"/>
      <c r="CE113" s="113"/>
      <c r="CF113" s="113"/>
      <c r="CG113" s="113"/>
      <c r="CH113" s="114">
        <f t="shared" si="103"/>
        <v>6726497.4717699895</v>
      </c>
      <c r="CI113" s="114">
        <f t="shared" si="103"/>
        <v>6815255.5627299994</v>
      </c>
      <c r="CJ113" s="120">
        <f t="shared" si="103"/>
        <v>8017330.7311999984</v>
      </c>
      <c r="CK113" s="114">
        <f t="shared" si="103"/>
        <v>8207270.3578199986</v>
      </c>
      <c r="CL113" s="114">
        <f t="shared" si="118"/>
        <v>29766354.123519987</v>
      </c>
      <c r="CM113" s="114">
        <f t="shared" si="95"/>
        <v>31250407.065698087</v>
      </c>
      <c r="CN113" s="114">
        <f t="shared" si="142"/>
        <v>31250407.065698087</v>
      </c>
      <c r="CO113" s="116">
        <f t="shared" si="143"/>
        <v>0.95250000000000001</v>
      </c>
      <c r="CP113" s="126">
        <f t="shared" ca="1" si="144"/>
        <v>0</v>
      </c>
      <c r="CQ113" s="115">
        <f t="shared" ca="1" si="119"/>
        <v>0</v>
      </c>
      <c r="CR113" s="118" t="str">
        <f t="shared" si="145"/>
        <v>Uncapped</v>
      </c>
      <c r="CS113" s="115">
        <f t="shared" ca="1" si="120"/>
        <v>0</v>
      </c>
      <c r="CT113" s="113" t="s">
        <v>696</v>
      </c>
      <c r="CU113" s="119">
        <v>0.2</v>
      </c>
      <c r="CV113" s="113" t="s">
        <v>217</v>
      </c>
      <c r="CW113" s="113" t="s">
        <v>210</v>
      </c>
      <c r="CX113" s="113">
        <v>49505377.638283685</v>
      </c>
      <c r="CY113" s="113">
        <v>72180793.063260496</v>
      </c>
      <c r="CZ113" s="113">
        <v>69179032.514420599</v>
      </c>
      <c r="DA113" s="113">
        <v>76323964.015026003</v>
      </c>
      <c r="DB113" s="113">
        <v>53904104.125969976</v>
      </c>
      <c r="DC113" s="113">
        <v>65995192.891159974</v>
      </c>
      <c r="DD113" s="113">
        <v>66410604.684560001</v>
      </c>
      <c r="DE113" s="581">
        <f>VLOOKUP($H113,[2]pivot!$V:$Z,$DE$2,FALSE)</f>
        <v>77591011.898499951</v>
      </c>
      <c r="DF113" s="113"/>
      <c r="DG113" s="113"/>
      <c r="DH113" s="113"/>
      <c r="DI113" s="113"/>
      <c r="DJ113" s="114">
        <f t="shared" si="104"/>
        <v>53904104.125969976</v>
      </c>
      <c r="DK113" s="114">
        <f t="shared" si="104"/>
        <v>65995192.891159974</v>
      </c>
      <c r="DL113" s="114">
        <f t="shared" si="104"/>
        <v>66410604.684560001</v>
      </c>
      <c r="DM113" s="114">
        <f t="shared" si="104"/>
        <v>77591011.898499951</v>
      </c>
      <c r="DN113" s="114">
        <f t="shared" si="168"/>
        <v>263900913.60018992</v>
      </c>
      <c r="DO113" s="114">
        <f t="shared" si="96"/>
        <v>267189167.2309908</v>
      </c>
      <c r="DP113" s="114">
        <f t="shared" si="105"/>
        <v>267189167.2309908</v>
      </c>
      <c r="DQ113" s="116">
        <f t="shared" si="146"/>
        <v>0.98770000000000002</v>
      </c>
      <c r="DR113" s="126">
        <f t="shared" ca="1" si="121"/>
        <v>0</v>
      </c>
      <c r="DS113" s="115">
        <f t="shared" ca="1" si="122"/>
        <v>0</v>
      </c>
      <c r="DT113" s="118" t="str">
        <f t="shared" si="147"/>
        <v>Uncapped</v>
      </c>
      <c r="DU113" s="115">
        <f t="shared" ca="1" si="123"/>
        <v>0</v>
      </c>
      <c r="DV113" s="113"/>
      <c r="DW113" s="119">
        <v>0</v>
      </c>
      <c r="DX113" s="113"/>
      <c r="DY113" s="113"/>
      <c r="DZ113" s="113">
        <v>0</v>
      </c>
      <c r="EA113" s="113">
        <v>0</v>
      </c>
      <c r="EB113" s="113">
        <v>0</v>
      </c>
      <c r="EC113" s="113">
        <v>0</v>
      </c>
      <c r="ED113" s="113">
        <v>0</v>
      </c>
      <c r="EE113" s="113">
        <v>0</v>
      </c>
      <c r="EF113" s="113"/>
      <c r="EG113" s="113"/>
      <c r="EH113" s="113"/>
      <c r="EI113" s="113"/>
      <c r="EJ113" s="113"/>
      <c r="EK113" s="113"/>
      <c r="EL113" s="114">
        <f t="shared" si="106"/>
        <v>0</v>
      </c>
      <c r="EM113" s="114">
        <f t="shared" si="106"/>
        <v>0</v>
      </c>
      <c r="EN113" s="114">
        <f t="shared" si="106"/>
        <v>0</v>
      </c>
      <c r="EO113" s="114">
        <f t="shared" si="106"/>
        <v>0</v>
      </c>
      <c r="EP113" s="114">
        <f t="shared" si="124"/>
        <v>0</v>
      </c>
      <c r="EQ113" s="114">
        <f t="shared" si="97"/>
        <v>0</v>
      </c>
      <c r="ER113" s="114">
        <f t="shared" si="148"/>
        <v>0</v>
      </c>
      <c r="ES113" s="116">
        <f t="shared" si="149"/>
        <v>0</v>
      </c>
      <c r="ET113" s="126">
        <f t="shared" ca="1" si="150"/>
        <v>0</v>
      </c>
      <c r="EU113" s="115">
        <f t="shared" ca="1" si="125"/>
        <v>0</v>
      </c>
      <c r="EV113" s="118" t="str">
        <f t="shared" si="126"/>
        <v>Uncapped</v>
      </c>
      <c r="EW113" s="115">
        <f t="shared" ca="1" si="127"/>
        <v>0</v>
      </c>
      <c r="EX113" s="112">
        <f t="shared" ca="1" si="128"/>
        <v>0</v>
      </c>
      <c r="EY113" s="114">
        <f t="shared" ca="1" si="151"/>
        <v>3000</v>
      </c>
      <c r="EZ113" s="115">
        <v>0</v>
      </c>
      <c r="FA113" s="115"/>
      <c r="FB113" s="115"/>
      <c r="FC113" s="115">
        <v>0</v>
      </c>
      <c r="FD113" s="115">
        <f t="shared" si="98"/>
        <v>0</v>
      </c>
      <c r="FE113" s="114">
        <f t="shared" si="177"/>
        <v>0</v>
      </c>
      <c r="FF113" s="115">
        <v>0</v>
      </c>
      <c r="FG113" s="115">
        <v>0</v>
      </c>
      <c r="FH113" s="115">
        <v>0</v>
      </c>
      <c r="FI113" s="115">
        <v>0</v>
      </c>
      <c r="FJ113" s="115">
        <f t="shared" si="99"/>
        <v>0</v>
      </c>
      <c r="FK113" s="114">
        <f t="shared" si="178"/>
        <v>0</v>
      </c>
      <c r="FL113" s="113"/>
      <c r="FM113" s="111"/>
      <c r="FN113" s="111"/>
      <c r="FO113" s="111"/>
      <c r="FP113" s="115">
        <f t="shared" si="129"/>
        <v>0</v>
      </c>
      <c r="FQ113" s="488"/>
      <c r="FR113" s="115"/>
      <c r="FS113" s="115"/>
      <c r="FT113" s="114">
        <f t="shared" si="152"/>
        <v>0</v>
      </c>
      <c r="FU113" s="366">
        <f t="shared" ca="1" si="155"/>
        <v>3000</v>
      </c>
      <c r="FV113" s="121">
        <f t="shared" ca="1" si="153"/>
        <v>3000</v>
      </c>
      <c r="FW113" s="114">
        <f t="shared" si="157"/>
        <v>0</v>
      </c>
      <c r="FX113" s="114">
        <f t="shared" si="157"/>
        <v>0</v>
      </c>
      <c r="FY113" s="114">
        <f t="shared" si="157"/>
        <v>0</v>
      </c>
      <c r="FZ113" s="114">
        <f t="shared" si="157"/>
        <v>0</v>
      </c>
      <c r="GA113" s="114">
        <f t="shared" si="130"/>
        <v>0</v>
      </c>
      <c r="GB113" s="114">
        <f t="shared" si="158"/>
        <v>0</v>
      </c>
      <c r="GC113" s="114">
        <f t="shared" si="158"/>
        <v>0</v>
      </c>
      <c r="GD113" s="114">
        <f t="shared" si="158"/>
        <v>0</v>
      </c>
      <c r="GE113" s="114">
        <f t="shared" si="158"/>
        <v>0</v>
      </c>
      <c r="GF113" s="114">
        <f t="shared" si="159"/>
        <v>0</v>
      </c>
      <c r="GG113" s="114">
        <f t="shared" si="159"/>
        <v>0</v>
      </c>
      <c r="GH113" s="114">
        <f t="shared" si="159"/>
        <v>0</v>
      </c>
      <c r="GI113" s="114">
        <f t="shared" si="159"/>
        <v>0</v>
      </c>
      <c r="GJ113" s="115">
        <f t="shared" si="100"/>
        <v>0</v>
      </c>
      <c r="GK113" s="114">
        <f t="shared" si="131"/>
        <v>0</v>
      </c>
      <c r="GL113" s="114">
        <f t="shared" si="132"/>
        <v>2000</v>
      </c>
      <c r="GM113" s="114">
        <f t="shared" si="133"/>
        <v>1000</v>
      </c>
      <c r="GN113" s="114">
        <f t="shared" si="134"/>
        <v>0</v>
      </c>
      <c r="GO113" s="114">
        <f t="shared" si="135"/>
        <v>0</v>
      </c>
      <c r="GP113" s="114">
        <f t="shared" si="101"/>
        <v>3000</v>
      </c>
      <c r="GQ113" s="114">
        <f t="shared" si="136"/>
        <v>3000</v>
      </c>
      <c r="GR113" s="193"/>
      <c r="GS113" s="122">
        <f t="shared" si="166"/>
        <v>317226209.49977994</v>
      </c>
      <c r="GT113" s="122">
        <f t="shared" si="166"/>
        <v>320110285.49464202</v>
      </c>
      <c r="GU113" s="123">
        <f t="shared" si="137"/>
        <v>0.99099036761531878</v>
      </c>
      <c r="GV113" s="124">
        <f t="shared" ca="1" si="138"/>
        <v>0</v>
      </c>
      <c r="GW113" s="124">
        <v>0</v>
      </c>
      <c r="GX113" s="32">
        <f t="shared" ca="1" si="139"/>
        <v>0</v>
      </c>
      <c r="GY113" s="100"/>
    </row>
    <row r="114" spans="1:207" s="408" customFormat="1" hidden="1">
      <c r="C114" s="402"/>
      <c r="D114" s="402"/>
      <c r="E114" s="403"/>
      <c r="F114" s="403" t="s">
        <v>493</v>
      </c>
      <c r="G114" s="403" t="s">
        <v>226</v>
      </c>
      <c r="H114" s="105" t="s">
        <v>494</v>
      </c>
      <c r="I114" s="403" t="s">
        <v>495</v>
      </c>
      <c r="J114" s="403" t="s">
        <v>212</v>
      </c>
      <c r="K114" s="403" t="s">
        <v>221</v>
      </c>
      <c r="L114" s="403" t="s">
        <v>496</v>
      </c>
      <c r="M114" s="403" t="s">
        <v>496</v>
      </c>
      <c r="N114" s="404"/>
      <c r="O114" s="108">
        <v>41785</v>
      </c>
      <c r="P114" s="108">
        <v>41785</v>
      </c>
      <c r="Q114" s="323">
        <f t="shared" si="112"/>
        <v>0</v>
      </c>
      <c r="R114" s="109">
        <f>IF((P114-VLOOKUP(Q114,month!$A$1:$C$13,3,0))&lt;0,Q114,Q114+1)</f>
        <v>0</v>
      </c>
      <c r="S114" s="108"/>
      <c r="T114" s="110" t="str">
        <f t="shared" si="154"/>
        <v/>
      </c>
      <c r="U114" s="404"/>
      <c r="V114" s="404"/>
      <c r="W114" s="405"/>
      <c r="X114" s="405"/>
      <c r="Y114" s="492"/>
      <c r="Z114" s="406" t="s">
        <v>545</v>
      </c>
      <c r="AA114" s="394">
        <v>1000</v>
      </c>
      <c r="AB114" s="394">
        <v>1000</v>
      </c>
      <c r="AC114" s="394">
        <v>1000</v>
      </c>
      <c r="AD114" s="394">
        <v>1000</v>
      </c>
      <c r="AE114" s="394">
        <v>1000</v>
      </c>
      <c r="AF114" s="394">
        <v>1000</v>
      </c>
      <c r="AG114" s="394">
        <v>1000</v>
      </c>
      <c r="AH114" s="394">
        <v>1000</v>
      </c>
      <c r="AI114" s="394">
        <v>1000</v>
      </c>
      <c r="AJ114" s="394">
        <v>1000</v>
      </c>
      <c r="AK114" s="394">
        <v>1000</v>
      </c>
      <c r="AL114" s="394">
        <v>1000</v>
      </c>
      <c r="AM114" s="388">
        <f t="shared" si="164"/>
        <v>12000</v>
      </c>
      <c r="AN114" s="388">
        <f t="shared" si="113"/>
        <v>12000</v>
      </c>
      <c r="AO114" s="389">
        <f t="shared" ref="AO114:AO130" si="180">AI114</f>
        <v>1000</v>
      </c>
      <c r="AP114" s="502" t="s">
        <v>673</v>
      </c>
      <c r="AQ114" s="159">
        <v>0.4</v>
      </c>
      <c r="AR114" s="103" t="s">
        <v>211</v>
      </c>
      <c r="AS114" s="119" t="s">
        <v>210</v>
      </c>
      <c r="AT114" s="111">
        <v>381881.55</v>
      </c>
      <c r="AU114" s="111">
        <v>489207.0968</v>
      </c>
      <c r="AV114" s="111">
        <v>440812.3971</v>
      </c>
      <c r="AW114" s="111">
        <v>435729.94400000002</v>
      </c>
      <c r="AX114" s="113">
        <v>373104.19280000002</v>
      </c>
      <c r="AY114" s="113">
        <v>191794.62700000001</v>
      </c>
      <c r="AZ114" s="113">
        <v>282107.86470000003</v>
      </c>
      <c r="BA114" s="113"/>
      <c r="BB114" s="113"/>
      <c r="BC114" s="113"/>
      <c r="BD114" s="113"/>
      <c r="BE114" s="113"/>
      <c r="BF114" s="114">
        <f t="shared" si="102"/>
        <v>373104.19280000002</v>
      </c>
      <c r="BG114" s="114">
        <f t="shared" si="102"/>
        <v>191794.62700000001</v>
      </c>
      <c r="BH114" s="114">
        <f t="shared" si="102"/>
        <v>282107.86470000003</v>
      </c>
      <c r="BI114" s="114">
        <f t="shared" si="102"/>
        <v>0</v>
      </c>
      <c r="BJ114" s="114">
        <f t="shared" si="165"/>
        <v>847006.68450000009</v>
      </c>
      <c r="BK114" s="115">
        <f t="shared" si="173"/>
        <v>1747630.9879000001</v>
      </c>
      <c r="BL114" s="115">
        <f t="shared" si="140"/>
        <v>1747630.9879000001</v>
      </c>
      <c r="BM114" s="116">
        <f t="shared" si="141"/>
        <v>0.48470000000000002</v>
      </c>
      <c r="BN114" s="126">
        <f t="shared" ca="1" si="174"/>
        <v>0</v>
      </c>
      <c r="BO114" s="117">
        <f t="shared" ca="1" si="175"/>
        <v>0</v>
      </c>
      <c r="BP114" s="118" t="str">
        <f t="shared" si="176"/>
        <v>Uncapped</v>
      </c>
      <c r="BQ114" s="115">
        <f t="shared" ca="1" si="117"/>
        <v>0</v>
      </c>
      <c r="BR114" s="174" t="s">
        <v>693</v>
      </c>
      <c r="BS114" s="175">
        <v>0.4</v>
      </c>
      <c r="BT114" s="174" t="s">
        <v>211</v>
      </c>
      <c r="BU114" s="174" t="s">
        <v>210</v>
      </c>
      <c r="BV114" s="113">
        <v>50243.854099999997</v>
      </c>
      <c r="BW114" s="113">
        <v>52428.369500000001</v>
      </c>
      <c r="BX114" s="113">
        <v>54612.884899999997</v>
      </c>
      <c r="BY114" s="113">
        <v>61166.431100000002</v>
      </c>
      <c r="BZ114" s="113">
        <v>79476.48000000001</v>
      </c>
      <c r="CA114" s="113">
        <v>114432.3</v>
      </c>
      <c r="CB114" s="113">
        <v>287206.74</v>
      </c>
      <c r="CC114" s="113"/>
      <c r="CD114" s="113"/>
      <c r="CE114" s="113"/>
      <c r="CF114" s="113"/>
      <c r="CG114" s="113"/>
      <c r="CH114" s="114">
        <f t="shared" si="103"/>
        <v>79476.48000000001</v>
      </c>
      <c r="CI114" s="114">
        <f t="shared" si="103"/>
        <v>114432.3</v>
      </c>
      <c r="CJ114" s="120">
        <f t="shared" si="103"/>
        <v>287206.74</v>
      </c>
      <c r="CK114" s="114">
        <f t="shared" si="103"/>
        <v>0</v>
      </c>
      <c r="CL114" s="114">
        <f t="shared" si="118"/>
        <v>481115.52</v>
      </c>
      <c r="CM114" s="114">
        <f t="shared" si="95"/>
        <v>218451.53960000002</v>
      </c>
      <c r="CN114" s="114">
        <f t="shared" si="142"/>
        <v>218451.53960000002</v>
      </c>
      <c r="CO114" s="116">
        <f t="shared" si="143"/>
        <v>2.2023999999999999</v>
      </c>
      <c r="CP114" s="126">
        <f t="shared" ca="1" si="144"/>
        <v>0</v>
      </c>
      <c r="CQ114" s="115">
        <f t="shared" ca="1" si="119"/>
        <v>0</v>
      </c>
      <c r="CR114" s="118" t="str">
        <f t="shared" si="145"/>
        <v>Uncapped</v>
      </c>
      <c r="CS114" s="115">
        <f t="shared" ca="1" si="120"/>
        <v>0</v>
      </c>
      <c r="CT114" s="113" t="s">
        <v>696</v>
      </c>
      <c r="CU114" s="119">
        <v>0.2</v>
      </c>
      <c r="CV114" s="113" t="s">
        <v>217</v>
      </c>
      <c r="CW114" s="113" t="s">
        <v>210</v>
      </c>
      <c r="CX114" s="113">
        <v>61881722.047854595</v>
      </c>
      <c r="CY114" s="113">
        <v>72180793.063260496</v>
      </c>
      <c r="CZ114" s="113">
        <v>69179032.514420599</v>
      </c>
      <c r="DA114" s="113">
        <v>76323964.015026003</v>
      </c>
      <c r="DB114" s="113">
        <v>63657388.730680585</v>
      </c>
      <c r="DC114" s="113">
        <v>65995192.891159989</v>
      </c>
      <c r="DD114" s="113">
        <v>66410604.684560001</v>
      </c>
      <c r="DE114" s="113"/>
      <c r="DF114" s="113"/>
      <c r="DG114" s="113"/>
      <c r="DH114" s="113"/>
      <c r="DI114" s="113"/>
      <c r="DJ114" s="114">
        <f t="shared" si="104"/>
        <v>63657388.730680585</v>
      </c>
      <c r="DK114" s="114">
        <f t="shared" si="104"/>
        <v>65995192.891159989</v>
      </c>
      <c r="DL114" s="114">
        <f t="shared" si="104"/>
        <v>66410604.684560001</v>
      </c>
      <c r="DM114" s="114">
        <f t="shared" si="104"/>
        <v>0</v>
      </c>
      <c r="DN114" s="114">
        <f t="shared" si="168"/>
        <v>196063186.30640057</v>
      </c>
      <c r="DO114" s="114">
        <f t="shared" si="96"/>
        <v>279565511.6405617</v>
      </c>
      <c r="DP114" s="114">
        <f t="shared" si="105"/>
        <v>279565511.6405617</v>
      </c>
      <c r="DQ114" s="116">
        <f t="shared" si="146"/>
        <v>0.70130000000000003</v>
      </c>
      <c r="DR114" s="126">
        <f t="shared" ca="1" si="121"/>
        <v>0</v>
      </c>
      <c r="DS114" s="115">
        <f t="shared" ca="1" si="122"/>
        <v>0</v>
      </c>
      <c r="DT114" s="118" t="str">
        <f t="shared" si="147"/>
        <v>Uncapped</v>
      </c>
      <c r="DU114" s="115">
        <f t="shared" ca="1" si="123"/>
        <v>0</v>
      </c>
      <c r="DV114" s="113"/>
      <c r="DW114" s="119">
        <v>0</v>
      </c>
      <c r="DX114" s="113"/>
      <c r="DY114" s="113"/>
      <c r="DZ114" s="113">
        <v>0</v>
      </c>
      <c r="EA114" s="113">
        <v>0</v>
      </c>
      <c r="EB114" s="113">
        <v>0</v>
      </c>
      <c r="EC114" s="113">
        <v>0</v>
      </c>
      <c r="ED114" s="113">
        <v>0</v>
      </c>
      <c r="EE114" s="113">
        <v>0</v>
      </c>
      <c r="EF114" s="113"/>
      <c r="EG114" s="113"/>
      <c r="EH114" s="113"/>
      <c r="EI114" s="113"/>
      <c r="EJ114" s="113"/>
      <c r="EK114" s="113"/>
      <c r="EL114" s="114">
        <f t="shared" si="106"/>
        <v>0</v>
      </c>
      <c r="EM114" s="114">
        <f t="shared" si="106"/>
        <v>0</v>
      </c>
      <c r="EN114" s="114">
        <f t="shared" si="106"/>
        <v>0</v>
      </c>
      <c r="EO114" s="114">
        <f t="shared" si="106"/>
        <v>0</v>
      </c>
      <c r="EP114" s="114">
        <f t="shared" si="124"/>
        <v>0</v>
      </c>
      <c r="EQ114" s="114">
        <f t="shared" si="97"/>
        <v>0</v>
      </c>
      <c r="ER114" s="114">
        <f t="shared" si="148"/>
        <v>0</v>
      </c>
      <c r="ES114" s="116">
        <f t="shared" si="149"/>
        <v>0</v>
      </c>
      <c r="ET114" s="126">
        <f t="shared" ca="1" si="150"/>
        <v>0</v>
      </c>
      <c r="EU114" s="115">
        <f t="shared" ca="1" si="125"/>
        <v>0</v>
      </c>
      <c r="EV114" s="118" t="str">
        <f t="shared" si="126"/>
        <v>Uncapped</v>
      </c>
      <c r="EW114" s="115">
        <f t="shared" ca="1" si="127"/>
        <v>0</v>
      </c>
      <c r="EX114" s="112">
        <f t="shared" ca="1" si="128"/>
        <v>0</v>
      </c>
      <c r="EY114" s="114">
        <f t="shared" ca="1" si="151"/>
        <v>0</v>
      </c>
      <c r="EZ114" s="115">
        <v>0</v>
      </c>
      <c r="FA114" s="115"/>
      <c r="FB114" s="115">
        <v>2354236</v>
      </c>
      <c r="FC114" s="115">
        <v>0</v>
      </c>
      <c r="FD114" s="115">
        <f t="shared" si="98"/>
        <v>2354236</v>
      </c>
      <c r="FE114" s="114">
        <f t="shared" si="177"/>
        <v>0</v>
      </c>
      <c r="FF114" s="115">
        <v>0</v>
      </c>
      <c r="FG114" s="115">
        <v>0</v>
      </c>
      <c r="FH114" s="115">
        <v>0</v>
      </c>
      <c r="FI114" s="115">
        <v>0</v>
      </c>
      <c r="FJ114" s="115">
        <f t="shared" si="99"/>
        <v>0</v>
      </c>
      <c r="FK114" s="114">
        <f t="shared" si="178"/>
        <v>0</v>
      </c>
      <c r="FL114" s="113"/>
      <c r="FM114" s="111"/>
      <c r="FN114" s="111"/>
      <c r="FO114" s="111"/>
      <c r="FP114" s="115">
        <f t="shared" si="129"/>
        <v>0</v>
      </c>
      <c r="FQ114" s="115"/>
      <c r="FR114" s="115"/>
      <c r="FS114" s="115"/>
      <c r="FT114" s="114">
        <f t="shared" si="152"/>
        <v>0</v>
      </c>
      <c r="FU114" s="366">
        <f t="shared" ca="1" si="155"/>
        <v>2354236</v>
      </c>
      <c r="FV114" s="121">
        <f t="shared" ca="1" si="153"/>
        <v>2354236</v>
      </c>
      <c r="FW114" s="114">
        <f t="shared" ref="FW114:FZ131" si="181">FF114</f>
        <v>0</v>
      </c>
      <c r="FX114" s="114">
        <f t="shared" si="181"/>
        <v>0</v>
      </c>
      <c r="FY114" s="114">
        <f t="shared" si="181"/>
        <v>0</v>
      </c>
      <c r="FZ114" s="114">
        <f t="shared" si="181"/>
        <v>0</v>
      </c>
      <c r="GA114" s="114">
        <f>SUM(FW114:FZ114)</f>
        <v>0</v>
      </c>
      <c r="GB114" s="114">
        <f t="shared" ref="GB114:GE131" si="182">EZ114</f>
        <v>0</v>
      </c>
      <c r="GC114" s="114">
        <f t="shared" si="182"/>
        <v>0</v>
      </c>
      <c r="GD114" s="114">
        <f t="shared" si="182"/>
        <v>2354236</v>
      </c>
      <c r="GE114" s="114">
        <f t="shared" si="182"/>
        <v>0</v>
      </c>
      <c r="GF114" s="114">
        <f t="shared" si="159"/>
        <v>0</v>
      </c>
      <c r="GG114" s="114">
        <f t="shared" si="159"/>
        <v>0</v>
      </c>
      <c r="GH114" s="114">
        <f t="shared" si="159"/>
        <v>2354236</v>
      </c>
      <c r="GI114" s="114">
        <f t="shared" si="159"/>
        <v>0</v>
      </c>
      <c r="GJ114" s="115">
        <f t="shared" si="100"/>
        <v>2354236</v>
      </c>
      <c r="GK114" s="114">
        <f t="shared" si="131"/>
        <v>2354236</v>
      </c>
      <c r="GL114" s="114">
        <f t="shared" si="132"/>
        <v>0</v>
      </c>
      <c r="GM114" s="114">
        <f t="shared" si="133"/>
        <v>0</v>
      </c>
      <c r="GN114" s="114">
        <f t="shared" si="134"/>
        <v>0</v>
      </c>
      <c r="GO114" s="114">
        <f t="shared" si="135"/>
        <v>0</v>
      </c>
      <c r="GP114" s="114">
        <f t="shared" si="101"/>
        <v>0</v>
      </c>
      <c r="GQ114" s="114">
        <f t="shared" si="136"/>
        <v>0</v>
      </c>
      <c r="GR114" s="193"/>
      <c r="GS114" s="122">
        <f t="shared" si="166"/>
        <v>197391308.51090056</v>
      </c>
      <c r="GT114" s="122">
        <f t="shared" si="166"/>
        <v>281531594.16806167</v>
      </c>
      <c r="GU114" s="123">
        <f t="shared" si="137"/>
        <v>0.70113377183900305</v>
      </c>
      <c r="GV114" s="124">
        <f t="shared" ca="1" si="138"/>
        <v>0</v>
      </c>
      <c r="GW114" s="124">
        <v>0</v>
      </c>
      <c r="GX114" s="32">
        <f t="shared" ca="1" si="139"/>
        <v>0</v>
      </c>
      <c r="GY114" s="100"/>
    </row>
    <row r="115" spans="1:207" s="408" customFormat="1" hidden="1">
      <c r="C115" s="402"/>
      <c r="D115" s="402"/>
      <c r="E115" s="403"/>
      <c r="F115" s="403" t="s">
        <v>720</v>
      </c>
      <c r="G115" s="403" t="s">
        <v>226</v>
      </c>
      <c r="H115" s="105" t="s">
        <v>548</v>
      </c>
      <c r="I115" s="403" t="s">
        <v>582</v>
      </c>
      <c r="J115" s="403" t="s">
        <v>207</v>
      </c>
      <c r="K115" s="403" t="s">
        <v>544</v>
      </c>
      <c r="L115" s="403"/>
      <c r="M115" s="403"/>
      <c r="N115" s="404"/>
      <c r="O115" s="108">
        <v>41750</v>
      </c>
      <c r="P115" s="108">
        <v>41750</v>
      </c>
      <c r="Q115" s="323">
        <f t="shared" si="112"/>
        <v>0</v>
      </c>
      <c r="R115" s="109">
        <f>IF((P115-VLOOKUP(Q115,month!$A$1:$C$13,3,0))&lt;0,Q115,Q115+1)</f>
        <v>0</v>
      </c>
      <c r="S115" s="108"/>
      <c r="T115" s="110" t="str">
        <f t="shared" si="154"/>
        <v/>
      </c>
      <c r="U115" s="404"/>
      <c r="V115" s="404"/>
      <c r="W115" s="405"/>
      <c r="X115" s="405"/>
      <c r="Y115" s="492"/>
      <c r="Z115" s="406" t="s">
        <v>545</v>
      </c>
      <c r="AA115" s="394">
        <v>1000</v>
      </c>
      <c r="AB115" s="394">
        <v>1000</v>
      </c>
      <c r="AC115" s="394">
        <v>1000</v>
      </c>
      <c r="AD115" s="394">
        <v>1000</v>
      </c>
      <c r="AE115" s="394">
        <v>1000</v>
      </c>
      <c r="AF115" s="394">
        <v>1000</v>
      </c>
      <c r="AG115" s="394">
        <v>1000</v>
      </c>
      <c r="AH115" s="394">
        <v>1000</v>
      </c>
      <c r="AI115" s="394">
        <v>1000</v>
      </c>
      <c r="AJ115" s="394">
        <v>1000</v>
      </c>
      <c r="AK115" s="394">
        <v>1000</v>
      </c>
      <c r="AL115" s="394">
        <v>1000</v>
      </c>
      <c r="AM115" s="388">
        <f t="shared" si="164"/>
        <v>12000</v>
      </c>
      <c r="AN115" s="388">
        <f t="shared" si="113"/>
        <v>12000</v>
      </c>
      <c r="AO115" s="389">
        <f t="shared" si="180"/>
        <v>1000</v>
      </c>
      <c r="AP115" s="502" t="s">
        <v>730</v>
      </c>
      <c r="AQ115" s="159">
        <v>0.6</v>
      </c>
      <c r="AR115" s="103" t="s">
        <v>211</v>
      </c>
      <c r="AS115" s="119" t="s">
        <v>210</v>
      </c>
      <c r="AT115" s="111">
        <v>13631298.3753272</v>
      </c>
      <c r="AU115" s="111">
        <v>15463517.626933601</v>
      </c>
      <c r="AV115" s="111">
        <v>15159650.061351301</v>
      </c>
      <c r="AW115" s="111">
        <v>16523055.704212198</v>
      </c>
      <c r="AX115" s="113">
        <v>13485327.436090879</v>
      </c>
      <c r="AY115" s="113">
        <v>13198691</v>
      </c>
      <c r="AZ115" s="113">
        <v>13923765.347779993</v>
      </c>
      <c r="BA115" s="113"/>
      <c r="BB115" s="113"/>
      <c r="BC115" s="113"/>
      <c r="BD115" s="113"/>
      <c r="BE115" s="113"/>
      <c r="BF115" s="114">
        <f t="shared" si="102"/>
        <v>13485327.436090879</v>
      </c>
      <c r="BG115" s="114">
        <f t="shared" si="102"/>
        <v>13198691</v>
      </c>
      <c r="BH115" s="114">
        <f t="shared" si="102"/>
        <v>13923765.347779993</v>
      </c>
      <c r="BI115" s="114">
        <f t="shared" si="102"/>
        <v>0</v>
      </c>
      <c r="BJ115" s="114">
        <f t="shared" si="165"/>
        <v>40607783.783870876</v>
      </c>
      <c r="BK115" s="115">
        <f t="shared" si="173"/>
        <v>60777521.7678243</v>
      </c>
      <c r="BL115" s="115">
        <f t="shared" si="140"/>
        <v>60777521.7678243</v>
      </c>
      <c r="BM115" s="116">
        <f t="shared" si="141"/>
        <v>0.66810000000000003</v>
      </c>
      <c r="BN115" s="126">
        <f t="shared" ca="1" si="174"/>
        <v>0</v>
      </c>
      <c r="BO115" s="117">
        <f t="shared" ca="1" si="175"/>
        <v>0</v>
      </c>
      <c r="BP115" s="118" t="str">
        <f t="shared" si="176"/>
        <v>Uncapped</v>
      </c>
      <c r="BQ115" s="115">
        <f t="shared" ca="1" si="117"/>
        <v>0</v>
      </c>
      <c r="BR115" s="174" t="s">
        <v>760</v>
      </c>
      <c r="BS115" s="175">
        <v>0.2</v>
      </c>
      <c r="BT115" s="174" t="s">
        <v>211</v>
      </c>
      <c r="BU115" s="174" t="s">
        <v>210</v>
      </c>
      <c r="BV115" s="113">
        <v>2774355.2509401301</v>
      </c>
      <c r="BW115" s="113">
        <v>2611157.8832377698</v>
      </c>
      <c r="BX115" s="113">
        <v>2719956.1283726799</v>
      </c>
      <c r="BY115" s="113">
        <v>3161996.0656922301</v>
      </c>
      <c r="BZ115" s="113">
        <v>2474085.9915000061</v>
      </c>
      <c r="CA115" s="113">
        <v>2941333.0569000002</v>
      </c>
      <c r="CB115" s="113">
        <v>3128423</v>
      </c>
      <c r="CC115" s="113"/>
      <c r="CD115" s="113"/>
      <c r="CE115" s="113"/>
      <c r="CF115" s="113"/>
      <c r="CG115" s="113"/>
      <c r="CH115" s="114">
        <f t="shared" si="103"/>
        <v>2474085.9915000061</v>
      </c>
      <c r="CI115" s="114">
        <f t="shared" si="103"/>
        <v>2941333.0569000002</v>
      </c>
      <c r="CJ115" s="120">
        <f t="shared" si="103"/>
        <v>3128423</v>
      </c>
      <c r="CK115" s="114">
        <f t="shared" si="103"/>
        <v>0</v>
      </c>
      <c r="CL115" s="114">
        <f t="shared" si="118"/>
        <v>8543842.0484000072</v>
      </c>
      <c r="CM115" s="114">
        <f t="shared" si="95"/>
        <v>11267465.328242809</v>
      </c>
      <c r="CN115" s="114">
        <f t="shared" si="142"/>
        <v>11267465.328242809</v>
      </c>
      <c r="CO115" s="116">
        <f t="shared" si="143"/>
        <v>0.75829999999999997</v>
      </c>
      <c r="CP115" s="126">
        <f t="shared" ca="1" si="144"/>
        <v>0</v>
      </c>
      <c r="CQ115" s="115">
        <f t="shared" ca="1" si="119"/>
        <v>0</v>
      </c>
      <c r="CR115" s="118" t="str">
        <f t="shared" si="145"/>
        <v>Uncapped</v>
      </c>
      <c r="CS115" s="115">
        <f t="shared" ca="1" si="120"/>
        <v>0</v>
      </c>
      <c r="CT115" s="113" t="s">
        <v>696</v>
      </c>
      <c r="CU115" s="119">
        <v>0.2</v>
      </c>
      <c r="CV115" s="113" t="s">
        <v>217</v>
      </c>
      <c r="CW115" s="113" t="s">
        <v>210</v>
      </c>
      <c r="CX115" s="113">
        <v>61881722.047854595</v>
      </c>
      <c r="CY115" s="113">
        <v>72180793.063260496</v>
      </c>
      <c r="CZ115" s="113">
        <v>69179032.514420599</v>
      </c>
      <c r="DA115" s="113">
        <v>76323964.015026003</v>
      </c>
      <c r="DB115" s="113">
        <v>63657388.730680585</v>
      </c>
      <c r="DC115" s="113">
        <v>65995192.891159974</v>
      </c>
      <c r="DD115" s="113">
        <v>66410604.684560001</v>
      </c>
      <c r="DE115" s="113"/>
      <c r="DF115" s="113"/>
      <c r="DG115" s="113"/>
      <c r="DH115" s="113"/>
      <c r="DI115" s="113"/>
      <c r="DJ115" s="114">
        <f t="shared" si="104"/>
        <v>63657388.730680585</v>
      </c>
      <c r="DK115" s="114">
        <f t="shared" si="104"/>
        <v>65995192.891159974</v>
      </c>
      <c r="DL115" s="114">
        <f t="shared" si="104"/>
        <v>66410604.684560001</v>
      </c>
      <c r="DM115" s="114">
        <f t="shared" si="104"/>
        <v>0</v>
      </c>
      <c r="DN115" s="114">
        <f t="shared" si="168"/>
        <v>196063186.30640057</v>
      </c>
      <c r="DO115" s="114">
        <f t="shared" si="96"/>
        <v>279565511.6405617</v>
      </c>
      <c r="DP115" s="114">
        <f t="shared" si="105"/>
        <v>279565511.6405617</v>
      </c>
      <c r="DQ115" s="116">
        <f t="shared" si="146"/>
        <v>0.70130000000000003</v>
      </c>
      <c r="DR115" s="126">
        <f t="shared" ca="1" si="121"/>
        <v>0</v>
      </c>
      <c r="DS115" s="115">
        <f t="shared" ca="1" si="122"/>
        <v>0</v>
      </c>
      <c r="DT115" s="118" t="str">
        <f t="shared" si="147"/>
        <v>Uncapped</v>
      </c>
      <c r="DU115" s="115">
        <f t="shared" ca="1" si="123"/>
        <v>0</v>
      </c>
      <c r="DV115" s="113"/>
      <c r="DW115" s="119">
        <v>0</v>
      </c>
      <c r="DX115" s="113"/>
      <c r="DY115" s="113"/>
      <c r="DZ115" s="113">
        <v>0</v>
      </c>
      <c r="EA115" s="113">
        <v>0</v>
      </c>
      <c r="EB115" s="113">
        <v>0</v>
      </c>
      <c r="EC115" s="113">
        <v>0</v>
      </c>
      <c r="ED115" s="113">
        <v>0</v>
      </c>
      <c r="EE115" s="113">
        <v>0</v>
      </c>
      <c r="EF115" s="113"/>
      <c r="EG115" s="113"/>
      <c r="EH115" s="113"/>
      <c r="EI115" s="113"/>
      <c r="EJ115" s="113"/>
      <c r="EK115" s="113"/>
      <c r="EL115" s="114">
        <f t="shared" si="106"/>
        <v>0</v>
      </c>
      <c r="EM115" s="114">
        <f t="shared" si="106"/>
        <v>0</v>
      </c>
      <c r="EN115" s="114">
        <f t="shared" si="106"/>
        <v>0</v>
      </c>
      <c r="EO115" s="114">
        <f t="shared" si="106"/>
        <v>0</v>
      </c>
      <c r="EP115" s="114">
        <f t="shared" si="124"/>
        <v>0</v>
      </c>
      <c r="EQ115" s="114">
        <f t="shared" si="97"/>
        <v>0</v>
      </c>
      <c r="ER115" s="114">
        <f t="shared" si="148"/>
        <v>0</v>
      </c>
      <c r="ES115" s="116">
        <f t="shared" si="149"/>
        <v>0</v>
      </c>
      <c r="ET115" s="126">
        <f t="shared" ca="1" si="150"/>
        <v>0</v>
      </c>
      <c r="EU115" s="115">
        <f t="shared" ca="1" si="125"/>
        <v>0</v>
      </c>
      <c r="EV115" s="118" t="str">
        <f t="shared" si="126"/>
        <v>Uncapped</v>
      </c>
      <c r="EW115" s="115">
        <f t="shared" ca="1" si="127"/>
        <v>0</v>
      </c>
      <c r="EX115" s="112">
        <f t="shared" ca="1" si="128"/>
        <v>0</v>
      </c>
      <c r="EY115" s="114">
        <f t="shared" ca="1" si="151"/>
        <v>0</v>
      </c>
      <c r="EZ115" s="115">
        <v>0</v>
      </c>
      <c r="FA115" s="115"/>
      <c r="FB115" s="115"/>
      <c r="FC115" s="115">
        <v>0</v>
      </c>
      <c r="FD115" s="115">
        <f t="shared" si="98"/>
        <v>0</v>
      </c>
      <c r="FE115" s="114">
        <f t="shared" si="177"/>
        <v>0</v>
      </c>
      <c r="FF115" s="115">
        <v>0</v>
      </c>
      <c r="FG115" s="115">
        <v>0</v>
      </c>
      <c r="FH115" s="115">
        <v>0</v>
      </c>
      <c r="FI115" s="115">
        <v>0</v>
      </c>
      <c r="FJ115" s="115">
        <f t="shared" si="99"/>
        <v>0</v>
      </c>
      <c r="FK115" s="114">
        <f t="shared" si="178"/>
        <v>0</v>
      </c>
      <c r="FL115" s="113"/>
      <c r="FM115" s="111"/>
      <c r="FN115" s="111"/>
      <c r="FO115" s="111"/>
      <c r="FP115" s="115">
        <f t="shared" si="129"/>
        <v>0</v>
      </c>
      <c r="FQ115" s="115"/>
      <c r="FR115" s="115"/>
      <c r="FS115" s="115"/>
      <c r="FT115" s="114">
        <f t="shared" si="152"/>
        <v>0</v>
      </c>
      <c r="FU115" s="366">
        <f t="shared" ca="1" si="155"/>
        <v>0</v>
      </c>
      <c r="FV115" s="121">
        <f t="shared" ca="1" si="153"/>
        <v>0</v>
      </c>
      <c r="FW115" s="114">
        <f t="shared" si="181"/>
        <v>0</v>
      </c>
      <c r="FX115" s="114">
        <f t="shared" si="181"/>
        <v>0</v>
      </c>
      <c r="FY115" s="114">
        <f t="shared" si="181"/>
        <v>0</v>
      </c>
      <c r="FZ115" s="114">
        <f t="shared" si="181"/>
        <v>0</v>
      </c>
      <c r="GA115" s="114">
        <f>SUM(FW115:FZ115)</f>
        <v>0</v>
      </c>
      <c r="GB115" s="114">
        <f t="shared" si="182"/>
        <v>0</v>
      </c>
      <c r="GC115" s="114">
        <f t="shared" si="182"/>
        <v>0</v>
      </c>
      <c r="GD115" s="114">
        <f t="shared" si="182"/>
        <v>0</v>
      </c>
      <c r="GE115" s="114">
        <f t="shared" si="182"/>
        <v>0</v>
      </c>
      <c r="GF115" s="114">
        <f t="shared" si="159"/>
        <v>0</v>
      </c>
      <c r="GG115" s="114">
        <f t="shared" si="159"/>
        <v>0</v>
      </c>
      <c r="GH115" s="114">
        <f t="shared" si="159"/>
        <v>0</v>
      </c>
      <c r="GI115" s="114">
        <f t="shared" si="159"/>
        <v>0</v>
      </c>
      <c r="GJ115" s="115">
        <f t="shared" si="100"/>
        <v>0</v>
      </c>
      <c r="GK115" s="114">
        <f t="shared" si="131"/>
        <v>0</v>
      </c>
      <c r="GL115" s="114">
        <f t="shared" si="132"/>
        <v>0</v>
      </c>
      <c r="GM115" s="114">
        <f t="shared" si="133"/>
        <v>0</v>
      </c>
      <c r="GN115" s="114">
        <f t="shared" si="134"/>
        <v>0</v>
      </c>
      <c r="GO115" s="114">
        <f t="shared" si="135"/>
        <v>0</v>
      </c>
      <c r="GP115" s="114">
        <f t="shared" si="101"/>
        <v>0</v>
      </c>
      <c r="GQ115" s="114">
        <f t="shared" si="136"/>
        <v>0</v>
      </c>
      <c r="GR115" s="193"/>
      <c r="GS115" s="122">
        <f t="shared" si="166"/>
        <v>245214812.13867146</v>
      </c>
      <c r="GT115" s="122">
        <f t="shared" si="166"/>
        <v>351610498.73662877</v>
      </c>
      <c r="GU115" s="123">
        <f t="shared" si="137"/>
        <v>0.6974046936020184</v>
      </c>
      <c r="GV115" s="124">
        <f t="shared" ca="1" si="138"/>
        <v>0</v>
      </c>
      <c r="GW115" s="124">
        <v>0</v>
      </c>
      <c r="GX115" s="32">
        <f t="shared" ca="1" si="139"/>
        <v>0</v>
      </c>
      <c r="GY115" s="100"/>
    </row>
    <row r="116" spans="1:207" s="408" customFormat="1" hidden="1">
      <c r="C116" s="402"/>
      <c r="D116" s="402"/>
      <c r="E116" s="403"/>
      <c r="F116" s="403" t="s">
        <v>720</v>
      </c>
      <c r="G116" s="403" t="s">
        <v>226</v>
      </c>
      <c r="H116" s="105" t="s">
        <v>549</v>
      </c>
      <c r="I116" s="403" t="s">
        <v>583</v>
      </c>
      <c r="J116" s="403" t="s">
        <v>212</v>
      </c>
      <c r="K116" s="403" t="s">
        <v>544</v>
      </c>
      <c r="L116" s="403"/>
      <c r="M116" s="403"/>
      <c r="N116" s="404"/>
      <c r="O116" s="108">
        <v>42373</v>
      </c>
      <c r="P116" s="108">
        <v>42373</v>
      </c>
      <c r="Q116" s="323">
        <f t="shared" si="112"/>
        <v>0</v>
      </c>
      <c r="R116" s="109">
        <f>IF((P116-VLOOKUP(Q116,month!$A$1:$C$13,3,0))&lt;0,Q116,Q116+1)</f>
        <v>0</v>
      </c>
      <c r="S116" s="108"/>
      <c r="T116" s="110" t="str">
        <f t="shared" si="154"/>
        <v/>
      </c>
      <c r="U116" s="404"/>
      <c r="V116" s="404"/>
      <c r="W116" s="405"/>
      <c r="X116" s="405"/>
      <c r="Y116" s="492"/>
      <c r="Z116" s="406" t="s">
        <v>545</v>
      </c>
      <c r="AA116" s="394">
        <v>1000</v>
      </c>
      <c r="AB116" s="394">
        <v>1000</v>
      </c>
      <c r="AC116" s="394">
        <v>1000</v>
      </c>
      <c r="AD116" s="394">
        <v>1000</v>
      </c>
      <c r="AE116" s="394">
        <v>1000</v>
      </c>
      <c r="AF116" s="394">
        <v>1000</v>
      </c>
      <c r="AG116" s="394">
        <v>1000</v>
      </c>
      <c r="AH116" s="394">
        <v>1000</v>
      </c>
      <c r="AI116" s="394">
        <v>1000</v>
      </c>
      <c r="AJ116" s="394">
        <v>1000</v>
      </c>
      <c r="AK116" s="394">
        <v>1000</v>
      </c>
      <c r="AL116" s="394">
        <v>1000</v>
      </c>
      <c r="AM116" s="388">
        <f t="shared" si="164"/>
        <v>12000</v>
      </c>
      <c r="AN116" s="388">
        <f t="shared" si="113"/>
        <v>12000</v>
      </c>
      <c r="AO116" s="389">
        <f t="shared" si="180"/>
        <v>1000</v>
      </c>
      <c r="AP116" s="502" t="s">
        <v>739</v>
      </c>
      <c r="AQ116" s="159">
        <v>0.5</v>
      </c>
      <c r="AR116" s="103" t="s">
        <v>211</v>
      </c>
      <c r="AS116" s="119" t="s">
        <v>210</v>
      </c>
      <c r="AT116" s="111">
        <v>1817911.2699174744</v>
      </c>
      <c r="AU116" s="111">
        <v>1963207.6517371542</v>
      </c>
      <c r="AV116" s="111">
        <v>1938737.6633645268</v>
      </c>
      <c r="AW116" s="111">
        <v>2382885.3654021272</v>
      </c>
      <c r="AX116" s="113">
        <v>583092.06000000006</v>
      </c>
      <c r="AY116" s="113">
        <v>530043.22000000009</v>
      </c>
      <c r="AZ116" s="113">
        <v>1308417.72</v>
      </c>
      <c r="BA116" s="113"/>
      <c r="BB116" s="113"/>
      <c r="BC116" s="113"/>
      <c r="BD116" s="113"/>
      <c r="BE116" s="113"/>
      <c r="BF116" s="114">
        <f t="shared" si="102"/>
        <v>583092.06000000006</v>
      </c>
      <c r="BG116" s="114">
        <f t="shared" si="102"/>
        <v>530043.22000000009</v>
      </c>
      <c r="BH116" s="114">
        <f t="shared" si="102"/>
        <v>1308417.72</v>
      </c>
      <c r="BI116" s="114">
        <f t="shared" si="102"/>
        <v>0</v>
      </c>
      <c r="BJ116" s="114">
        <f t="shared" si="165"/>
        <v>2421553</v>
      </c>
      <c r="BK116" s="115">
        <f t="shared" si="173"/>
        <v>8102741.950421283</v>
      </c>
      <c r="BL116" s="115">
        <f t="shared" si="140"/>
        <v>8102741.950421283</v>
      </c>
      <c r="BM116" s="116">
        <f t="shared" si="141"/>
        <v>0.2989</v>
      </c>
      <c r="BN116" s="126">
        <f t="shared" ca="1" si="174"/>
        <v>0</v>
      </c>
      <c r="BO116" s="117">
        <f t="shared" ca="1" si="175"/>
        <v>0</v>
      </c>
      <c r="BP116" s="118" t="str">
        <f t="shared" si="176"/>
        <v>Uncapped</v>
      </c>
      <c r="BQ116" s="115">
        <f t="shared" ca="1" si="117"/>
        <v>0</v>
      </c>
      <c r="BR116" s="174" t="s">
        <v>761</v>
      </c>
      <c r="BS116" s="175">
        <v>0.3</v>
      </c>
      <c r="BT116" s="174" t="s">
        <v>211</v>
      </c>
      <c r="BU116" s="174" t="s">
        <v>210</v>
      </c>
      <c r="BV116" s="113">
        <v>23000</v>
      </c>
      <c r="BW116" s="113">
        <v>144250</v>
      </c>
      <c r="BX116" s="113">
        <v>201949.99999999997</v>
      </c>
      <c r="BY116" s="113">
        <v>230800</v>
      </c>
      <c r="BZ116" s="113">
        <v>22269.17</v>
      </c>
      <c r="CA116" s="113">
        <v>154523.45499999996</v>
      </c>
      <c r="CB116" s="113">
        <v>158652.35999999999</v>
      </c>
      <c r="CC116" s="113"/>
      <c r="CD116" s="113"/>
      <c r="CE116" s="113"/>
      <c r="CF116" s="113"/>
      <c r="CG116" s="113"/>
      <c r="CH116" s="114">
        <f t="shared" si="103"/>
        <v>22269.17</v>
      </c>
      <c r="CI116" s="114">
        <f t="shared" si="103"/>
        <v>154523.45499999996</v>
      </c>
      <c r="CJ116" s="120">
        <f t="shared" si="103"/>
        <v>158652.35999999999</v>
      </c>
      <c r="CK116" s="114">
        <f t="shared" si="103"/>
        <v>0</v>
      </c>
      <c r="CL116" s="114">
        <f t="shared" si="118"/>
        <v>335444.98499999993</v>
      </c>
      <c r="CM116" s="114">
        <f t="shared" si="95"/>
        <v>600000</v>
      </c>
      <c r="CN116" s="114">
        <f t="shared" si="142"/>
        <v>600000</v>
      </c>
      <c r="CO116" s="116">
        <f t="shared" si="143"/>
        <v>0.55910000000000004</v>
      </c>
      <c r="CP116" s="126">
        <f t="shared" ca="1" si="144"/>
        <v>0</v>
      </c>
      <c r="CQ116" s="115">
        <f t="shared" ca="1" si="119"/>
        <v>0</v>
      </c>
      <c r="CR116" s="118" t="str">
        <f t="shared" si="145"/>
        <v>Uncapped</v>
      </c>
      <c r="CS116" s="115">
        <f t="shared" ca="1" si="120"/>
        <v>0</v>
      </c>
      <c r="CT116" s="113" t="s">
        <v>730</v>
      </c>
      <c r="CU116" s="119">
        <v>0.2</v>
      </c>
      <c r="CV116" s="113" t="s">
        <v>217</v>
      </c>
      <c r="CW116" s="113" t="s">
        <v>667</v>
      </c>
      <c r="CX116" s="113">
        <v>13631298.3753272</v>
      </c>
      <c r="CY116" s="113">
        <v>15463517.626933601</v>
      </c>
      <c r="CZ116" s="113">
        <v>15159650.061351301</v>
      </c>
      <c r="DA116" s="113">
        <v>16523055.704212198</v>
      </c>
      <c r="DB116" s="113">
        <v>13485327.436090879</v>
      </c>
      <c r="DC116" s="113">
        <v>13198691</v>
      </c>
      <c r="DD116" s="113">
        <v>13923765.347779993</v>
      </c>
      <c r="DE116" s="113"/>
      <c r="DF116" s="113"/>
      <c r="DG116" s="113"/>
      <c r="DH116" s="113"/>
      <c r="DI116" s="113"/>
      <c r="DJ116" s="114">
        <f t="shared" si="104"/>
        <v>13485327.436090879</v>
      </c>
      <c r="DK116" s="114">
        <f t="shared" si="104"/>
        <v>13198691</v>
      </c>
      <c r="DL116" s="114">
        <f t="shared" si="104"/>
        <v>13923765.347779993</v>
      </c>
      <c r="DM116" s="114">
        <f t="shared" si="104"/>
        <v>0</v>
      </c>
      <c r="DN116" s="114">
        <f t="shared" si="168"/>
        <v>40607783.783870876</v>
      </c>
      <c r="DO116" s="114">
        <f t="shared" si="96"/>
        <v>60777521.7678243</v>
      </c>
      <c r="DP116" s="114">
        <f t="shared" si="105"/>
        <v>60777521.7678243</v>
      </c>
      <c r="DQ116" s="116">
        <f t="shared" si="146"/>
        <v>0.66810000000000003</v>
      </c>
      <c r="DR116" s="126">
        <f t="shared" ca="1" si="121"/>
        <v>0</v>
      </c>
      <c r="DS116" s="115">
        <f t="shared" ca="1" si="122"/>
        <v>0</v>
      </c>
      <c r="DT116" s="118" t="str">
        <f t="shared" si="147"/>
        <v>Uncapped</v>
      </c>
      <c r="DU116" s="115">
        <f t="shared" ca="1" si="123"/>
        <v>0</v>
      </c>
      <c r="DV116" s="113"/>
      <c r="DW116" s="119">
        <v>0</v>
      </c>
      <c r="DX116" s="113"/>
      <c r="DY116" s="113"/>
      <c r="DZ116" s="113">
        <v>0</v>
      </c>
      <c r="EA116" s="113">
        <v>0</v>
      </c>
      <c r="EB116" s="113">
        <v>0</v>
      </c>
      <c r="EC116" s="113">
        <v>0</v>
      </c>
      <c r="ED116" s="113">
        <v>0</v>
      </c>
      <c r="EE116" s="113">
        <v>0</v>
      </c>
      <c r="EF116" s="113"/>
      <c r="EG116" s="113"/>
      <c r="EH116" s="113"/>
      <c r="EI116" s="113"/>
      <c r="EJ116" s="113"/>
      <c r="EK116" s="113"/>
      <c r="EL116" s="114">
        <f t="shared" si="106"/>
        <v>0</v>
      </c>
      <c r="EM116" s="114">
        <f t="shared" si="106"/>
        <v>0</v>
      </c>
      <c r="EN116" s="114">
        <f t="shared" si="106"/>
        <v>0</v>
      </c>
      <c r="EO116" s="114">
        <f t="shared" si="106"/>
        <v>0</v>
      </c>
      <c r="EP116" s="114">
        <f t="shared" si="124"/>
        <v>0</v>
      </c>
      <c r="EQ116" s="114">
        <f t="shared" si="97"/>
        <v>0</v>
      </c>
      <c r="ER116" s="114">
        <f t="shared" si="148"/>
        <v>0</v>
      </c>
      <c r="ES116" s="116">
        <f t="shared" si="149"/>
        <v>0</v>
      </c>
      <c r="ET116" s="126">
        <f t="shared" ca="1" si="150"/>
        <v>0</v>
      </c>
      <c r="EU116" s="115">
        <f t="shared" ca="1" si="125"/>
        <v>0</v>
      </c>
      <c r="EV116" s="118" t="str">
        <f t="shared" si="126"/>
        <v>Uncapped</v>
      </c>
      <c r="EW116" s="115">
        <f t="shared" ca="1" si="127"/>
        <v>0</v>
      </c>
      <c r="EX116" s="112">
        <f t="shared" ca="1" si="128"/>
        <v>0</v>
      </c>
      <c r="EY116" s="114">
        <f t="shared" ca="1" si="151"/>
        <v>0</v>
      </c>
      <c r="EZ116" s="115">
        <v>0</v>
      </c>
      <c r="FA116" s="115"/>
      <c r="FB116" s="115"/>
      <c r="FC116" s="115">
        <v>0</v>
      </c>
      <c r="FD116" s="115">
        <f t="shared" si="98"/>
        <v>0</v>
      </c>
      <c r="FE116" s="114">
        <f t="shared" si="177"/>
        <v>0</v>
      </c>
      <c r="FF116" s="115">
        <v>0</v>
      </c>
      <c r="FG116" s="115">
        <v>0</v>
      </c>
      <c r="FH116" s="115">
        <v>0</v>
      </c>
      <c r="FI116" s="115">
        <v>0</v>
      </c>
      <c r="FJ116" s="115">
        <f t="shared" si="99"/>
        <v>0</v>
      </c>
      <c r="FK116" s="114">
        <f t="shared" si="178"/>
        <v>0</v>
      </c>
      <c r="FL116" s="113"/>
      <c r="FM116" s="111"/>
      <c r="FN116" s="111"/>
      <c r="FO116" s="111"/>
      <c r="FP116" s="115">
        <f t="shared" si="129"/>
        <v>0</v>
      </c>
      <c r="FQ116" s="115"/>
      <c r="FR116" s="115"/>
      <c r="FS116" s="115"/>
      <c r="FT116" s="114">
        <f t="shared" si="152"/>
        <v>0</v>
      </c>
      <c r="FU116" s="366">
        <f t="shared" ca="1" si="155"/>
        <v>0</v>
      </c>
      <c r="FV116" s="121">
        <f t="shared" ca="1" si="153"/>
        <v>0</v>
      </c>
      <c r="FW116" s="114">
        <f t="shared" si="181"/>
        <v>0</v>
      </c>
      <c r="FX116" s="114">
        <f t="shared" si="181"/>
        <v>0</v>
      </c>
      <c r="FY116" s="114">
        <f t="shared" si="181"/>
        <v>0</v>
      </c>
      <c r="FZ116" s="114">
        <f t="shared" si="181"/>
        <v>0</v>
      </c>
      <c r="GA116" s="114">
        <f>SUM(FW116:FZ116)</f>
        <v>0</v>
      </c>
      <c r="GB116" s="114">
        <f t="shared" si="182"/>
        <v>0</v>
      </c>
      <c r="GC116" s="114">
        <f t="shared" si="182"/>
        <v>0</v>
      </c>
      <c r="GD116" s="114">
        <f t="shared" si="182"/>
        <v>0</v>
      </c>
      <c r="GE116" s="114">
        <f t="shared" si="182"/>
        <v>0</v>
      </c>
      <c r="GF116" s="114">
        <f t="shared" si="159"/>
        <v>0</v>
      </c>
      <c r="GG116" s="114">
        <f t="shared" si="159"/>
        <v>0</v>
      </c>
      <c r="GH116" s="114">
        <f t="shared" si="159"/>
        <v>0</v>
      </c>
      <c r="GI116" s="114">
        <f t="shared" si="159"/>
        <v>0</v>
      </c>
      <c r="GJ116" s="115">
        <f t="shared" si="100"/>
        <v>0</v>
      </c>
      <c r="GK116" s="114">
        <f t="shared" si="131"/>
        <v>0</v>
      </c>
      <c r="GL116" s="114">
        <f t="shared" si="132"/>
        <v>0</v>
      </c>
      <c r="GM116" s="114">
        <f t="shared" si="133"/>
        <v>0</v>
      </c>
      <c r="GN116" s="114">
        <f t="shared" si="134"/>
        <v>0</v>
      </c>
      <c r="GO116" s="114">
        <f t="shared" si="135"/>
        <v>0</v>
      </c>
      <c r="GP116" s="114">
        <f t="shared" si="101"/>
        <v>0</v>
      </c>
      <c r="GQ116" s="114">
        <f t="shared" si="136"/>
        <v>0</v>
      </c>
      <c r="GR116" s="193"/>
      <c r="GS116" s="122">
        <f t="shared" si="166"/>
        <v>43364781.768870875</v>
      </c>
      <c r="GT116" s="122">
        <f t="shared" si="166"/>
        <v>69480263.718245581</v>
      </c>
      <c r="GU116" s="123">
        <f t="shared" si="137"/>
        <v>0.62413093227052974</v>
      </c>
      <c r="GV116" s="124">
        <f t="shared" ca="1" si="138"/>
        <v>0</v>
      </c>
      <c r="GW116" s="124">
        <v>0</v>
      </c>
      <c r="GX116" s="32">
        <f t="shared" ca="1" si="139"/>
        <v>0</v>
      </c>
      <c r="GY116" s="100"/>
    </row>
    <row r="117" spans="1:207" s="408" customFormat="1" hidden="1">
      <c r="C117" s="402"/>
      <c r="D117" s="402"/>
      <c r="E117" s="403"/>
      <c r="F117" s="403" t="s">
        <v>720</v>
      </c>
      <c r="G117" s="403" t="s">
        <v>226</v>
      </c>
      <c r="H117" s="105" t="s">
        <v>550</v>
      </c>
      <c r="I117" s="403" t="s">
        <v>584</v>
      </c>
      <c r="J117" s="403" t="s">
        <v>207</v>
      </c>
      <c r="K117" s="403" t="s">
        <v>544</v>
      </c>
      <c r="L117" s="403"/>
      <c r="M117" s="403"/>
      <c r="N117" s="404"/>
      <c r="O117" s="537">
        <v>43353</v>
      </c>
      <c r="P117" s="108">
        <v>43353</v>
      </c>
      <c r="Q117" s="323">
        <f t="shared" si="112"/>
        <v>0</v>
      </c>
      <c r="R117" s="109">
        <f>IF((P117-VLOOKUP(Q117,month!$A$1:$C$13,3,0))&lt;0,Q117,Q117+1)</f>
        <v>0</v>
      </c>
      <c r="S117" s="108"/>
      <c r="T117" s="110" t="str">
        <f t="shared" si="154"/>
        <v/>
      </c>
      <c r="U117" s="404"/>
      <c r="V117" s="404"/>
      <c r="W117" s="405"/>
      <c r="X117" s="405"/>
      <c r="Y117" s="492"/>
      <c r="Z117" s="406" t="s">
        <v>545</v>
      </c>
      <c r="AA117" s="394">
        <v>1000</v>
      </c>
      <c r="AB117" s="394">
        <v>1000</v>
      </c>
      <c r="AC117" s="394">
        <v>1000</v>
      </c>
      <c r="AD117" s="394">
        <v>1000</v>
      </c>
      <c r="AE117" s="394">
        <v>1000</v>
      </c>
      <c r="AF117" s="394">
        <v>1000</v>
      </c>
      <c r="AG117" s="394">
        <v>1000</v>
      </c>
      <c r="AH117" s="394">
        <v>1000</v>
      </c>
      <c r="AI117" s="394">
        <v>1000</v>
      </c>
      <c r="AJ117" s="394">
        <v>1000</v>
      </c>
      <c r="AK117" s="394">
        <v>1000</v>
      </c>
      <c r="AL117" s="394">
        <v>1000</v>
      </c>
      <c r="AM117" s="388">
        <f t="shared" si="164"/>
        <v>12000</v>
      </c>
      <c r="AN117" s="388">
        <f t="shared" si="113"/>
        <v>12000</v>
      </c>
      <c r="AO117" s="389">
        <f t="shared" si="180"/>
        <v>1000</v>
      </c>
      <c r="AP117" s="502" t="s">
        <v>749</v>
      </c>
      <c r="AQ117" s="159">
        <v>0.5</v>
      </c>
      <c r="AR117" s="103" t="s">
        <v>211</v>
      </c>
      <c r="AS117" s="119" t="s">
        <v>210</v>
      </c>
      <c r="AT117" s="111">
        <v>1719094.9160908877</v>
      </c>
      <c r="AU117" s="111">
        <v>1887850.3746259576</v>
      </c>
      <c r="AV117" s="111"/>
      <c r="AW117" s="111"/>
      <c r="AX117" s="113">
        <v>1945219.6296200005</v>
      </c>
      <c r="AY117" s="113">
        <v>2196656</v>
      </c>
      <c r="AZ117" s="113"/>
      <c r="BA117" s="113"/>
      <c r="BB117" s="113"/>
      <c r="BC117" s="113"/>
      <c r="BD117" s="113"/>
      <c r="BE117" s="113"/>
      <c r="BF117" s="114">
        <f t="shared" si="102"/>
        <v>1945219.6296200005</v>
      </c>
      <c r="BG117" s="114">
        <f t="shared" si="102"/>
        <v>2196656</v>
      </c>
      <c r="BH117" s="114">
        <f t="shared" si="102"/>
        <v>0</v>
      </c>
      <c r="BI117" s="114">
        <f t="shared" si="102"/>
        <v>0</v>
      </c>
      <c r="BJ117" s="114">
        <f t="shared" si="165"/>
        <v>4141875.6296200007</v>
      </c>
      <c r="BK117" s="115">
        <f t="shared" si="173"/>
        <v>3606945.2907168455</v>
      </c>
      <c r="BL117" s="115">
        <f t="shared" si="140"/>
        <v>3606945.2907168455</v>
      </c>
      <c r="BM117" s="116">
        <f t="shared" si="141"/>
        <v>1.1483000000000001</v>
      </c>
      <c r="BN117" s="126">
        <f t="shared" ca="1" si="174"/>
        <v>0</v>
      </c>
      <c r="BO117" s="117">
        <f t="shared" ca="1" si="175"/>
        <v>0</v>
      </c>
      <c r="BP117" s="118" t="str">
        <f t="shared" si="176"/>
        <v>Uncapped</v>
      </c>
      <c r="BQ117" s="115">
        <f t="shared" ca="1" si="117"/>
        <v>0</v>
      </c>
      <c r="BR117" s="174" t="s">
        <v>738</v>
      </c>
      <c r="BS117" s="175">
        <v>0.3</v>
      </c>
      <c r="BT117" s="174" t="s">
        <v>211</v>
      </c>
      <c r="BU117" s="174" t="s">
        <v>210</v>
      </c>
      <c r="BV117" s="113">
        <v>0</v>
      </c>
      <c r="BW117" s="113">
        <v>0</v>
      </c>
      <c r="BX117" s="113">
        <v>0</v>
      </c>
      <c r="BY117" s="113">
        <v>0</v>
      </c>
      <c r="BZ117" s="113">
        <v>0</v>
      </c>
      <c r="CA117" s="113">
        <v>0</v>
      </c>
      <c r="CB117" s="113">
        <v>0</v>
      </c>
      <c r="CC117" s="113"/>
      <c r="CD117" s="113"/>
      <c r="CE117" s="113"/>
      <c r="CF117" s="113"/>
      <c r="CG117" s="113"/>
      <c r="CH117" s="114">
        <f t="shared" si="103"/>
        <v>0</v>
      </c>
      <c r="CI117" s="114">
        <f t="shared" si="103"/>
        <v>0</v>
      </c>
      <c r="CJ117" s="120">
        <f t="shared" si="103"/>
        <v>0</v>
      </c>
      <c r="CK117" s="114">
        <f t="shared" si="103"/>
        <v>0</v>
      </c>
      <c r="CL117" s="114">
        <f t="shared" si="118"/>
        <v>0</v>
      </c>
      <c r="CM117" s="114">
        <f t="shared" si="95"/>
        <v>0</v>
      </c>
      <c r="CN117" s="114">
        <f t="shared" si="142"/>
        <v>0</v>
      </c>
      <c r="CO117" s="116">
        <f t="shared" si="143"/>
        <v>0</v>
      </c>
      <c r="CP117" s="126">
        <f t="shared" ca="1" si="144"/>
        <v>0</v>
      </c>
      <c r="CQ117" s="115">
        <f t="shared" ca="1" si="119"/>
        <v>0</v>
      </c>
      <c r="CR117" s="118" t="str">
        <f t="shared" si="145"/>
        <v>Uncapped</v>
      </c>
      <c r="CS117" s="115">
        <f t="shared" ca="1" si="120"/>
        <v>0</v>
      </c>
      <c r="CT117" s="113" t="s">
        <v>729</v>
      </c>
      <c r="CU117" s="119">
        <v>0.2</v>
      </c>
      <c r="CV117" s="113" t="s">
        <v>217</v>
      </c>
      <c r="CW117" s="113" t="s">
        <v>210</v>
      </c>
      <c r="CX117" s="113">
        <v>13631298.3753272</v>
      </c>
      <c r="CY117" s="113">
        <v>15463517.626933601</v>
      </c>
      <c r="CZ117" s="113"/>
      <c r="DA117" s="113"/>
      <c r="DB117" s="113">
        <v>13485327.436090879</v>
      </c>
      <c r="DC117" s="113">
        <v>13198691</v>
      </c>
      <c r="DD117" s="113"/>
      <c r="DE117" s="113"/>
      <c r="DF117" s="113"/>
      <c r="DG117" s="113"/>
      <c r="DH117" s="113"/>
      <c r="DI117" s="113"/>
      <c r="DJ117" s="114">
        <f t="shared" si="104"/>
        <v>13485327.436090879</v>
      </c>
      <c r="DK117" s="114">
        <f t="shared" si="104"/>
        <v>13198691</v>
      </c>
      <c r="DL117" s="114">
        <f t="shared" si="104"/>
        <v>0</v>
      </c>
      <c r="DM117" s="114">
        <f t="shared" si="104"/>
        <v>0</v>
      </c>
      <c r="DN117" s="114">
        <f t="shared" si="168"/>
        <v>26684018.436090879</v>
      </c>
      <c r="DO117" s="114">
        <f t="shared" si="96"/>
        <v>29094816.0022608</v>
      </c>
      <c r="DP117" s="114">
        <f t="shared" si="105"/>
        <v>29094816.0022608</v>
      </c>
      <c r="DQ117" s="116">
        <f t="shared" si="146"/>
        <v>0.91710000000000003</v>
      </c>
      <c r="DR117" s="126">
        <f t="shared" ca="1" si="121"/>
        <v>0</v>
      </c>
      <c r="DS117" s="115">
        <f t="shared" ca="1" si="122"/>
        <v>0</v>
      </c>
      <c r="DT117" s="118" t="str">
        <f t="shared" si="147"/>
        <v>Uncapped</v>
      </c>
      <c r="DU117" s="115">
        <f t="shared" ca="1" si="123"/>
        <v>0</v>
      </c>
      <c r="DV117" s="113"/>
      <c r="DW117" s="119">
        <v>0</v>
      </c>
      <c r="DX117" s="113"/>
      <c r="DY117" s="113"/>
      <c r="DZ117" s="113">
        <v>0</v>
      </c>
      <c r="EA117" s="113">
        <v>0</v>
      </c>
      <c r="EB117" s="113">
        <v>0</v>
      </c>
      <c r="EC117" s="113">
        <v>0</v>
      </c>
      <c r="ED117" s="113">
        <v>0</v>
      </c>
      <c r="EE117" s="113">
        <v>0</v>
      </c>
      <c r="EF117" s="113"/>
      <c r="EG117" s="113"/>
      <c r="EH117" s="113"/>
      <c r="EI117" s="113"/>
      <c r="EJ117" s="113"/>
      <c r="EK117" s="113"/>
      <c r="EL117" s="114">
        <f t="shared" si="106"/>
        <v>0</v>
      </c>
      <c r="EM117" s="114">
        <f t="shared" si="106"/>
        <v>0</v>
      </c>
      <c r="EN117" s="114">
        <f t="shared" si="106"/>
        <v>0</v>
      </c>
      <c r="EO117" s="114">
        <f t="shared" si="106"/>
        <v>0</v>
      </c>
      <c r="EP117" s="114">
        <f t="shared" si="124"/>
        <v>0</v>
      </c>
      <c r="EQ117" s="114">
        <f t="shared" si="97"/>
        <v>0</v>
      </c>
      <c r="ER117" s="114">
        <f t="shared" si="148"/>
        <v>0</v>
      </c>
      <c r="ES117" s="116">
        <f t="shared" si="149"/>
        <v>0</v>
      </c>
      <c r="ET117" s="126">
        <f t="shared" ca="1" si="150"/>
        <v>0</v>
      </c>
      <c r="EU117" s="115">
        <f t="shared" ca="1" si="125"/>
        <v>0</v>
      </c>
      <c r="EV117" s="118" t="str">
        <f t="shared" si="126"/>
        <v>Uncapped</v>
      </c>
      <c r="EW117" s="115">
        <f t="shared" ca="1" si="127"/>
        <v>0</v>
      </c>
      <c r="EX117" s="112">
        <f t="shared" ca="1" si="128"/>
        <v>0</v>
      </c>
      <c r="EY117" s="114">
        <f t="shared" ca="1" si="151"/>
        <v>0</v>
      </c>
      <c r="EZ117" s="115">
        <v>0</v>
      </c>
      <c r="FA117" s="115"/>
      <c r="FB117" s="115"/>
      <c r="FC117" s="115">
        <v>0</v>
      </c>
      <c r="FD117" s="115">
        <f t="shared" si="98"/>
        <v>0</v>
      </c>
      <c r="FE117" s="114">
        <f t="shared" si="177"/>
        <v>0</v>
      </c>
      <c r="FF117" s="115">
        <v>0</v>
      </c>
      <c r="FG117" s="115">
        <v>0</v>
      </c>
      <c r="FH117" s="115">
        <v>0</v>
      </c>
      <c r="FI117" s="115">
        <v>0</v>
      </c>
      <c r="FJ117" s="115">
        <f t="shared" si="99"/>
        <v>0</v>
      </c>
      <c r="FK117" s="114">
        <f t="shared" si="178"/>
        <v>0</v>
      </c>
      <c r="FL117" s="113"/>
      <c r="FM117" s="111"/>
      <c r="FN117" s="111"/>
      <c r="FO117" s="111"/>
      <c r="FP117" s="115">
        <f t="shared" si="129"/>
        <v>0</v>
      </c>
      <c r="FQ117" s="115"/>
      <c r="FR117" s="115"/>
      <c r="FS117" s="115"/>
      <c r="FT117" s="114">
        <f t="shared" si="152"/>
        <v>0</v>
      </c>
      <c r="FU117" s="366">
        <f t="shared" ca="1" si="155"/>
        <v>0</v>
      </c>
      <c r="FV117" s="121">
        <f t="shared" ca="1" si="153"/>
        <v>0</v>
      </c>
      <c r="FW117" s="114">
        <f t="shared" si="181"/>
        <v>0</v>
      </c>
      <c r="FX117" s="114">
        <f t="shared" si="181"/>
        <v>0</v>
      </c>
      <c r="FY117" s="114">
        <f t="shared" si="181"/>
        <v>0</v>
      </c>
      <c r="FZ117" s="114">
        <f t="shared" si="181"/>
        <v>0</v>
      </c>
      <c r="GA117" s="114">
        <f>SUM(FW117:FZ117)</f>
        <v>0</v>
      </c>
      <c r="GB117" s="114">
        <f t="shared" si="182"/>
        <v>0</v>
      </c>
      <c r="GC117" s="114">
        <f t="shared" si="182"/>
        <v>0</v>
      </c>
      <c r="GD117" s="114">
        <f t="shared" si="182"/>
        <v>0</v>
      </c>
      <c r="GE117" s="114">
        <f t="shared" si="182"/>
        <v>0</v>
      </c>
      <c r="GF117" s="114">
        <f t="shared" si="159"/>
        <v>0</v>
      </c>
      <c r="GG117" s="114">
        <f t="shared" si="159"/>
        <v>0</v>
      </c>
      <c r="GH117" s="114">
        <f t="shared" si="159"/>
        <v>0</v>
      </c>
      <c r="GI117" s="114">
        <f t="shared" si="159"/>
        <v>0</v>
      </c>
      <c r="GJ117" s="115">
        <f t="shared" si="100"/>
        <v>0</v>
      </c>
      <c r="GK117" s="114">
        <f t="shared" si="131"/>
        <v>0</v>
      </c>
      <c r="GL117" s="114">
        <f t="shared" si="132"/>
        <v>0</v>
      </c>
      <c r="GM117" s="114">
        <f t="shared" si="133"/>
        <v>0</v>
      </c>
      <c r="GN117" s="114">
        <f t="shared" si="134"/>
        <v>0</v>
      </c>
      <c r="GO117" s="114">
        <f t="shared" si="135"/>
        <v>0</v>
      </c>
      <c r="GP117" s="114">
        <f t="shared" si="101"/>
        <v>0</v>
      </c>
      <c r="GQ117" s="114">
        <f t="shared" si="136"/>
        <v>0</v>
      </c>
      <c r="GR117" s="193"/>
      <c r="GS117" s="122">
        <f t="shared" si="166"/>
        <v>30825894.06571088</v>
      </c>
      <c r="GT117" s="122">
        <f t="shared" si="166"/>
        <v>32701761.292977646</v>
      </c>
      <c r="GU117" s="123">
        <f t="shared" si="137"/>
        <v>0.94263711943645101</v>
      </c>
      <c r="GV117" s="124">
        <f t="shared" ca="1" si="138"/>
        <v>0</v>
      </c>
      <c r="GW117" s="124">
        <v>0</v>
      </c>
      <c r="GX117" s="32">
        <f t="shared" ca="1" si="139"/>
        <v>0</v>
      </c>
      <c r="GY117" s="100"/>
    </row>
    <row r="118" spans="1:207" s="408" customFormat="1" hidden="1">
      <c r="C118" s="402"/>
      <c r="D118" s="402"/>
      <c r="E118" s="403"/>
      <c r="F118" s="403" t="s">
        <v>720</v>
      </c>
      <c r="G118" s="403" t="s">
        <v>226</v>
      </c>
      <c r="H118" s="105" t="s">
        <v>551</v>
      </c>
      <c r="I118" s="403" t="s">
        <v>585</v>
      </c>
      <c r="J118" s="403" t="s">
        <v>212</v>
      </c>
      <c r="K118" s="403" t="s">
        <v>544</v>
      </c>
      <c r="L118" s="403"/>
      <c r="M118" s="403"/>
      <c r="N118" s="404"/>
      <c r="O118" s="108">
        <v>42522</v>
      </c>
      <c r="P118" s="108">
        <v>42522</v>
      </c>
      <c r="Q118" s="323">
        <f t="shared" si="112"/>
        <v>0</v>
      </c>
      <c r="R118" s="109">
        <f>IF((P118-VLOOKUP(Q118,month!$A$1:$C$13,3,0))&lt;0,Q118,Q118+1)</f>
        <v>0</v>
      </c>
      <c r="S118" s="108"/>
      <c r="T118" s="110" t="str">
        <f t="shared" si="154"/>
        <v/>
      </c>
      <c r="U118" s="404"/>
      <c r="V118" s="404"/>
      <c r="W118" s="405"/>
      <c r="X118" s="405"/>
      <c r="Y118" s="492"/>
      <c r="Z118" s="406" t="s">
        <v>545</v>
      </c>
      <c r="AA118" s="394">
        <v>1000</v>
      </c>
      <c r="AB118" s="394">
        <v>1000</v>
      </c>
      <c r="AC118" s="394">
        <v>1000</v>
      </c>
      <c r="AD118" s="394">
        <v>1000</v>
      </c>
      <c r="AE118" s="394">
        <v>1000</v>
      </c>
      <c r="AF118" s="394">
        <v>1000</v>
      </c>
      <c r="AG118" s="394">
        <v>1000</v>
      </c>
      <c r="AH118" s="394">
        <v>1000</v>
      </c>
      <c r="AI118" s="394">
        <v>1000</v>
      </c>
      <c r="AJ118" s="394">
        <v>1000</v>
      </c>
      <c r="AK118" s="394">
        <v>1000</v>
      </c>
      <c r="AL118" s="394">
        <v>1000</v>
      </c>
      <c r="AM118" s="388">
        <f t="shared" si="164"/>
        <v>12000</v>
      </c>
      <c r="AN118" s="388">
        <f t="shared" si="113"/>
        <v>12000</v>
      </c>
      <c r="AO118" s="389">
        <f t="shared" si="180"/>
        <v>1000</v>
      </c>
      <c r="AP118" s="502" t="s">
        <v>750</v>
      </c>
      <c r="AQ118" s="159">
        <v>0.5</v>
      </c>
      <c r="AR118" s="103" t="s">
        <v>211</v>
      </c>
      <c r="AS118" s="119" t="s">
        <v>210</v>
      </c>
      <c r="AT118" s="111">
        <v>619023.70180270565</v>
      </c>
      <c r="AU118" s="111">
        <v>689370.67089741363</v>
      </c>
      <c r="AV118" s="111">
        <v>657617.80913764494</v>
      </c>
      <c r="AW118" s="111">
        <v>770191.79826823843</v>
      </c>
      <c r="AX118" s="113">
        <v>773116.82</v>
      </c>
      <c r="AY118" s="113">
        <v>760063.59</v>
      </c>
      <c r="AZ118" s="113">
        <v>705215.07</v>
      </c>
      <c r="BA118" s="113"/>
      <c r="BB118" s="113"/>
      <c r="BC118" s="113"/>
      <c r="BD118" s="113"/>
      <c r="BE118" s="113"/>
      <c r="BF118" s="114">
        <f t="shared" si="102"/>
        <v>773116.82</v>
      </c>
      <c r="BG118" s="114">
        <f t="shared" si="102"/>
        <v>760063.59</v>
      </c>
      <c r="BH118" s="114">
        <f t="shared" si="102"/>
        <v>705215.07</v>
      </c>
      <c r="BI118" s="114">
        <f t="shared" si="102"/>
        <v>0</v>
      </c>
      <c r="BJ118" s="114">
        <f t="shared" si="165"/>
        <v>2238395.48</v>
      </c>
      <c r="BK118" s="115">
        <f t="shared" si="173"/>
        <v>2736203.9801060027</v>
      </c>
      <c r="BL118" s="115">
        <f t="shared" si="140"/>
        <v>2736203.9801060027</v>
      </c>
      <c r="BM118" s="116">
        <f t="shared" si="141"/>
        <v>0.81810000000000005</v>
      </c>
      <c r="BN118" s="126">
        <f t="shared" ca="1" si="174"/>
        <v>0</v>
      </c>
      <c r="BO118" s="117">
        <f t="shared" ca="1" si="175"/>
        <v>0</v>
      </c>
      <c r="BP118" s="118" t="str">
        <f t="shared" si="176"/>
        <v>Uncapped</v>
      </c>
      <c r="BQ118" s="115">
        <f t="shared" ca="1" si="117"/>
        <v>0</v>
      </c>
      <c r="BR118" s="174" t="s">
        <v>762</v>
      </c>
      <c r="BS118" s="175">
        <v>0.3</v>
      </c>
      <c r="BT118" s="174" t="s">
        <v>211</v>
      </c>
      <c r="BU118" s="174" t="s">
        <v>210</v>
      </c>
      <c r="BV118" s="113">
        <v>2060801.742359617</v>
      </c>
      <c r="BW118" s="113">
        <v>2402466.5250502843</v>
      </c>
      <c r="BX118" s="113">
        <v>2442175.5793229761</v>
      </c>
      <c r="BY118" s="113">
        <v>2380941.3983696885</v>
      </c>
      <c r="BZ118" s="113">
        <v>2137162.0499999998</v>
      </c>
      <c r="CA118" s="113">
        <v>2025228.7860000017</v>
      </c>
      <c r="CB118" s="113">
        <v>2007691</v>
      </c>
      <c r="CC118" s="113"/>
      <c r="CD118" s="113"/>
      <c r="CE118" s="113"/>
      <c r="CF118" s="113"/>
      <c r="CG118" s="113"/>
      <c r="CH118" s="114">
        <f t="shared" si="103"/>
        <v>2137162.0499999998</v>
      </c>
      <c r="CI118" s="114">
        <f t="shared" si="103"/>
        <v>2025228.7860000017</v>
      </c>
      <c r="CJ118" s="120">
        <f t="shared" si="103"/>
        <v>2007691</v>
      </c>
      <c r="CK118" s="114">
        <f t="shared" si="103"/>
        <v>0</v>
      </c>
      <c r="CL118" s="114">
        <f t="shared" si="118"/>
        <v>6170081.8360000011</v>
      </c>
      <c r="CM118" s="114">
        <f t="shared" si="95"/>
        <v>9286385.2451025657</v>
      </c>
      <c r="CN118" s="114">
        <f t="shared" si="142"/>
        <v>9286385.2451025657</v>
      </c>
      <c r="CO118" s="116">
        <f t="shared" si="143"/>
        <v>0.66439999999999999</v>
      </c>
      <c r="CP118" s="126">
        <f t="shared" ca="1" si="144"/>
        <v>0</v>
      </c>
      <c r="CQ118" s="115">
        <f t="shared" ca="1" si="119"/>
        <v>0</v>
      </c>
      <c r="CR118" s="118" t="str">
        <f t="shared" si="145"/>
        <v>Uncapped</v>
      </c>
      <c r="CS118" s="115">
        <f t="shared" ca="1" si="120"/>
        <v>0</v>
      </c>
      <c r="CT118" s="113" t="s">
        <v>729</v>
      </c>
      <c r="CU118" s="119">
        <v>0.2</v>
      </c>
      <c r="CV118" s="113" t="s">
        <v>217</v>
      </c>
      <c r="CW118" s="113" t="s">
        <v>210</v>
      </c>
      <c r="CX118" s="113">
        <v>13631298.3753272</v>
      </c>
      <c r="CY118" s="113">
        <v>15463517.626933601</v>
      </c>
      <c r="CZ118" s="113">
        <v>15159650.061351301</v>
      </c>
      <c r="DA118" s="113">
        <v>16523055.704212198</v>
      </c>
      <c r="DB118" s="113">
        <v>13485327.436090879</v>
      </c>
      <c r="DC118" s="113">
        <v>13198691</v>
      </c>
      <c r="DD118" s="113">
        <v>13923765.347779993</v>
      </c>
      <c r="DE118" s="113"/>
      <c r="DF118" s="113"/>
      <c r="DG118" s="113"/>
      <c r="DH118" s="113"/>
      <c r="DI118" s="113"/>
      <c r="DJ118" s="114">
        <f t="shared" si="104"/>
        <v>13485327.436090879</v>
      </c>
      <c r="DK118" s="114">
        <f t="shared" si="104"/>
        <v>13198691</v>
      </c>
      <c r="DL118" s="114">
        <f t="shared" si="104"/>
        <v>13923765.347779993</v>
      </c>
      <c r="DM118" s="114">
        <f t="shared" si="104"/>
        <v>0</v>
      </c>
      <c r="DN118" s="114">
        <f t="shared" si="168"/>
        <v>40607783.783870876</v>
      </c>
      <c r="DO118" s="114">
        <f t="shared" si="96"/>
        <v>60777521.7678243</v>
      </c>
      <c r="DP118" s="114">
        <f t="shared" si="105"/>
        <v>60777521.7678243</v>
      </c>
      <c r="DQ118" s="116">
        <f t="shared" si="146"/>
        <v>0.66810000000000003</v>
      </c>
      <c r="DR118" s="126">
        <f t="shared" ca="1" si="121"/>
        <v>0</v>
      </c>
      <c r="DS118" s="115">
        <f t="shared" ca="1" si="122"/>
        <v>0</v>
      </c>
      <c r="DT118" s="118" t="str">
        <f t="shared" si="147"/>
        <v>Uncapped</v>
      </c>
      <c r="DU118" s="115">
        <f t="shared" ca="1" si="123"/>
        <v>0</v>
      </c>
      <c r="DV118" s="113"/>
      <c r="DW118" s="119">
        <v>0</v>
      </c>
      <c r="DX118" s="113"/>
      <c r="DY118" s="113"/>
      <c r="DZ118" s="113">
        <v>0</v>
      </c>
      <c r="EA118" s="113">
        <v>0</v>
      </c>
      <c r="EB118" s="113">
        <v>0</v>
      </c>
      <c r="EC118" s="113">
        <v>0</v>
      </c>
      <c r="ED118" s="113">
        <v>0</v>
      </c>
      <c r="EE118" s="113">
        <v>0</v>
      </c>
      <c r="EF118" s="113"/>
      <c r="EG118" s="113"/>
      <c r="EH118" s="113"/>
      <c r="EI118" s="113"/>
      <c r="EJ118" s="113"/>
      <c r="EK118" s="113"/>
      <c r="EL118" s="114">
        <f t="shared" si="106"/>
        <v>0</v>
      </c>
      <c r="EM118" s="114">
        <f t="shared" si="106"/>
        <v>0</v>
      </c>
      <c r="EN118" s="114">
        <f t="shared" si="106"/>
        <v>0</v>
      </c>
      <c r="EO118" s="114">
        <f t="shared" si="106"/>
        <v>0</v>
      </c>
      <c r="EP118" s="114">
        <f t="shared" si="124"/>
        <v>0</v>
      </c>
      <c r="EQ118" s="114">
        <f t="shared" si="97"/>
        <v>0</v>
      </c>
      <c r="ER118" s="114">
        <f t="shared" si="148"/>
        <v>0</v>
      </c>
      <c r="ES118" s="116">
        <f t="shared" si="149"/>
        <v>0</v>
      </c>
      <c r="ET118" s="126">
        <f t="shared" ca="1" si="150"/>
        <v>0</v>
      </c>
      <c r="EU118" s="115">
        <f t="shared" ca="1" si="125"/>
        <v>0</v>
      </c>
      <c r="EV118" s="118" t="str">
        <f t="shared" si="126"/>
        <v>Uncapped</v>
      </c>
      <c r="EW118" s="115">
        <f t="shared" ca="1" si="127"/>
        <v>0</v>
      </c>
      <c r="EX118" s="112">
        <f t="shared" ca="1" si="128"/>
        <v>0</v>
      </c>
      <c r="EY118" s="114">
        <f t="shared" ca="1" si="151"/>
        <v>0</v>
      </c>
      <c r="EZ118" s="115">
        <v>0</v>
      </c>
      <c r="FA118" s="115"/>
      <c r="FB118" s="115"/>
      <c r="FC118" s="115">
        <v>0</v>
      </c>
      <c r="FD118" s="115">
        <f t="shared" si="98"/>
        <v>0</v>
      </c>
      <c r="FE118" s="114">
        <f t="shared" si="177"/>
        <v>0</v>
      </c>
      <c r="FF118" s="115">
        <v>0</v>
      </c>
      <c r="FG118" s="115">
        <v>0</v>
      </c>
      <c r="FH118" s="115">
        <v>0</v>
      </c>
      <c r="FI118" s="115">
        <v>0</v>
      </c>
      <c r="FJ118" s="115">
        <f t="shared" si="99"/>
        <v>0</v>
      </c>
      <c r="FK118" s="114">
        <f t="shared" si="178"/>
        <v>0</v>
      </c>
      <c r="FL118" s="113"/>
      <c r="FM118" s="111"/>
      <c r="FN118" s="111"/>
      <c r="FO118" s="111"/>
      <c r="FP118" s="115">
        <f t="shared" si="129"/>
        <v>0</v>
      </c>
      <c r="FQ118" s="115"/>
      <c r="FR118" s="115"/>
      <c r="FS118" s="115"/>
      <c r="FT118" s="114">
        <f t="shared" si="152"/>
        <v>0</v>
      </c>
      <c r="FU118" s="366">
        <f t="shared" ca="1" si="155"/>
        <v>0</v>
      </c>
      <c r="FV118" s="121">
        <f t="shared" ca="1" si="153"/>
        <v>0</v>
      </c>
      <c r="FW118" s="114">
        <f t="shared" si="181"/>
        <v>0</v>
      </c>
      <c r="FX118" s="114">
        <f t="shared" si="181"/>
        <v>0</v>
      </c>
      <c r="FY118" s="114">
        <f t="shared" si="181"/>
        <v>0</v>
      </c>
      <c r="FZ118" s="114">
        <f t="shared" si="181"/>
        <v>0</v>
      </c>
      <c r="GA118" s="114">
        <f t="shared" ref="GA118:GA165" si="183">SUM(FW118:FZ118)</f>
        <v>0</v>
      </c>
      <c r="GB118" s="114">
        <f t="shared" si="182"/>
        <v>0</v>
      </c>
      <c r="GC118" s="114">
        <f t="shared" si="182"/>
        <v>0</v>
      </c>
      <c r="GD118" s="114">
        <f t="shared" si="182"/>
        <v>0</v>
      </c>
      <c r="GE118" s="114">
        <f t="shared" si="182"/>
        <v>0</v>
      </c>
      <c r="GF118" s="114">
        <f t="shared" si="159"/>
        <v>0</v>
      </c>
      <c r="GG118" s="114">
        <f t="shared" si="159"/>
        <v>0</v>
      </c>
      <c r="GH118" s="114">
        <f t="shared" si="159"/>
        <v>0</v>
      </c>
      <c r="GI118" s="114">
        <f t="shared" si="159"/>
        <v>0</v>
      </c>
      <c r="GJ118" s="115">
        <f t="shared" si="100"/>
        <v>0</v>
      </c>
      <c r="GK118" s="114">
        <f t="shared" si="131"/>
        <v>0</v>
      </c>
      <c r="GL118" s="114">
        <f t="shared" si="132"/>
        <v>0</v>
      </c>
      <c r="GM118" s="114">
        <f t="shared" si="133"/>
        <v>0</v>
      </c>
      <c r="GN118" s="114">
        <f t="shared" si="134"/>
        <v>0</v>
      </c>
      <c r="GO118" s="114">
        <f t="shared" si="135"/>
        <v>0</v>
      </c>
      <c r="GP118" s="114">
        <f t="shared" si="101"/>
        <v>0</v>
      </c>
      <c r="GQ118" s="114">
        <f t="shared" si="136"/>
        <v>0</v>
      </c>
      <c r="GR118" s="193"/>
      <c r="GS118" s="122">
        <f t="shared" si="166"/>
        <v>49016261.099870875</v>
      </c>
      <c r="GT118" s="122">
        <f t="shared" si="166"/>
        <v>72800110.993032873</v>
      </c>
      <c r="GU118" s="123">
        <f t="shared" si="137"/>
        <v>0.6732992633014232</v>
      </c>
      <c r="GV118" s="124">
        <f t="shared" ca="1" si="138"/>
        <v>0</v>
      </c>
      <c r="GW118" s="124">
        <v>0</v>
      </c>
      <c r="GX118" s="32">
        <f t="shared" ca="1" si="139"/>
        <v>0</v>
      </c>
      <c r="GY118" s="100"/>
    </row>
    <row r="119" spans="1:207" s="408" customFormat="1" hidden="1">
      <c r="C119" s="402"/>
      <c r="D119" s="402"/>
      <c r="E119" s="403"/>
      <c r="F119" s="403" t="s">
        <v>720</v>
      </c>
      <c r="G119" s="403" t="s">
        <v>226</v>
      </c>
      <c r="H119" s="105" t="s">
        <v>552</v>
      </c>
      <c r="I119" s="403" t="s">
        <v>586</v>
      </c>
      <c r="J119" s="403" t="s">
        <v>212</v>
      </c>
      <c r="K119" s="403" t="s">
        <v>544</v>
      </c>
      <c r="L119" s="403"/>
      <c r="M119" s="403"/>
      <c r="N119" s="404"/>
      <c r="O119" s="108">
        <v>42622</v>
      </c>
      <c r="P119" s="108">
        <v>42622</v>
      </c>
      <c r="Q119" s="323">
        <f t="shared" si="112"/>
        <v>0</v>
      </c>
      <c r="R119" s="109">
        <f>IF((P119-VLOOKUP(Q119,month!$A$1:$C$13,3,0))&lt;0,Q119,Q119+1)</f>
        <v>0</v>
      </c>
      <c r="S119" s="108"/>
      <c r="T119" s="110" t="str">
        <f t="shared" si="154"/>
        <v/>
      </c>
      <c r="U119" s="404"/>
      <c r="V119" s="404"/>
      <c r="W119" s="405"/>
      <c r="X119" s="405"/>
      <c r="Y119" s="492"/>
      <c r="Z119" s="406" t="s">
        <v>545</v>
      </c>
      <c r="AA119" s="394">
        <v>1000</v>
      </c>
      <c r="AB119" s="394">
        <v>1000</v>
      </c>
      <c r="AC119" s="394">
        <v>1000</v>
      </c>
      <c r="AD119" s="394">
        <v>1000</v>
      </c>
      <c r="AE119" s="394">
        <v>1000</v>
      </c>
      <c r="AF119" s="394">
        <v>1000</v>
      </c>
      <c r="AG119" s="394">
        <v>1000</v>
      </c>
      <c r="AH119" s="394">
        <v>1000</v>
      </c>
      <c r="AI119" s="394">
        <v>1000</v>
      </c>
      <c r="AJ119" s="394">
        <v>1000</v>
      </c>
      <c r="AK119" s="394">
        <v>1000</v>
      </c>
      <c r="AL119" s="394">
        <v>1000</v>
      </c>
      <c r="AM119" s="388">
        <f t="shared" si="164"/>
        <v>12000</v>
      </c>
      <c r="AN119" s="388">
        <f t="shared" si="113"/>
        <v>12000</v>
      </c>
      <c r="AO119" s="389">
        <f t="shared" si="180"/>
        <v>1000</v>
      </c>
      <c r="AP119" s="502" t="s">
        <v>739</v>
      </c>
      <c r="AQ119" s="159">
        <v>0.5</v>
      </c>
      <c r="AR119" s="103" t="s">
        <v>211</v>
      </c>
      <c r="AS119" s="119" t="s">
        <v>210</v>
      </c>
      <c r="AT119" s="111">
        <v>1052583.3912734503</v>
      </c>
      <c r="AU119" s="111">
        <v>1153018.3228203235</v>
      </c>
      <c r="AV119" s="111">
        <v>1130473.4868267623</v>
      </c>
      <c r="AW119" s="111">
        <v>1353924.7990794657</v>
      </c>
      <c r="AX119" s="113">
        <f>739668.69+113070.6</f>
        <v>852739.28999999992</v>
      </c>
      <c r="AY119" s="113">
        <v>1363310.415</v>
      </c>
      <c r="AZ119" s="113">
        <v>595284.12</v>
      </c>
      <c r="BA119" s="113"/>
      <c r="BB119" s="113"/>
      <c r="BC119" s="113"/>
      <c r="BD119" s="113"/>
      <c r="BE119" s="113"/>
      <c r="BF119" s="114">
        <f t="shared" si="102"/>
        <v>852739.28999999992</v>
      </c>
      <c r="BG119" s="114">
        <f t="shared" si="102"/>
        <v>1363310.415</v>
      </c>
      <c r="BH119" s="114">
        <f t="shared" si="102"/>
        <v>595284.12</v>
      </c>
      <c r="BI119" s="114">
        <f t="shared" si="102"/>
        <v>0</v>
      </c>
      <c r="BJ119" s="114">
        <f t="shared" si="165"/>
        <v>2811333.8250000002</v>
      </c>
      <c r="BK119" s="115">
        <f t="shared" si="173"/>
        <v>4690000.0000000019</v>
      </c>
      <c r="BL119" s="115">
        <f t="shared" si="140"/>
        <v>4690000.0000000019</v>
      </c>
      <c r="BM119" s="116">
        <f t="shared" si="141"/>
        <v>0.59940000000000004</v>
      </c>
      <c r="BN119" s="126">
        <f t="shared" ca="1" si="174"/>
        <v>0</v>
      </c>
      <c r="BO119" s="117">
        <f t="shared" ca="1" si="175"/>
        <v>0</v>
      </c>
      <c r="BP119" s="118" t="str">
        <f t="shared" si="176"/>
        <v>Uncapped</v>
      </c>
      <c r="BQ119" s="115">
        <f t="shared" ca="1" si="117"/>
        <v>0</v>
      </c>
      <c r="BR119" s="174" t="s">
        <v>761</v>
      </c>
      <c r="BS119" s="175">
        <v>0.3</v>
      </c>
      <c r="BT119" s="174" t="s">
        <v>211</v>
      </c>
      <c r="BU119" s="174" t="s">
        <v>210</v>
      </c>
      <c r="BV119" s="113">
        <v>202268.3059424891</v>
      </c>
      <c r="BW119" s="113">
        <v>234741.88681745128</v>
      </c>
      <c r="BX119" s="113">
        <v>223642.71409438783</v>
      </c>
      <c r="BY119" s="113">
        <v>239347.09314567197</v>
      </c>
      <c r="BZ119" s="113">
        <f>61541.64+33680</f>
        <v>95221.64</v>
      </c>
      <c r="CA119" s="113">
        <f>669807+18642</f>
        <v>688449</v>
      </c>
      <c r="CB119" s="113">
        <f>496089.19+40839</f>
        <v>536928.18999999994</v>
      </c>
      <c r="CC119" s="113"/>
      <c r="CD119" s="113"/>
      <c r="CE119" s="113"/>
      <c r="CF119" s="113"/>
      <c r="CG119" s="113"/>
      <c r="CH119" s="114">
        <f t="shared" si="103"/>
        <v>95221.64</v>
      </c>
      <c r="CI119" s="114">
        <f t="shared" si="103"/>
        <v>688449</v>
      </c>
      <c r="CJ119" s="120">
        <f t="shared" si="103"/>
        <v>536928.18999999994</v>
      </c>
      <c r="CK119" s="114">
        <f t="shared" si="103"/>
        <v>0</v>
      </c>
      <c r="CL119" s="114">
        <f t="shared" si="118"/>
        <v>1320598.83</v>
      </c>
      <c r="CM119" s="114">
        <f t="shared" si="95"/>
        <v>900000.00000000023</v>
      </c>
      <c r="CN119" s="114">
        <f t="shared" si="142"/>
        <v>900000.00000000023</v>
      </c>
      <c r="CO119" s="116">
        <f t="shared" si="143"/>
        <v>1.4673</v>
      </c>
      <c r="CP119" s="126">
        <f t="shared" ca="1" si="144"/>
        <v>0</v>
      </c>
      <c r="CQ119" s="115">
        <f t="shared" ca="1" si="119"/>
        <v>0</v>
      </c>
      <c r="CR119" s="118" t="str">
        <f t="shared" si="145"/>
        <v>Uncapped</v>
      </c>
      <c r="CS119" s="115">
        <f t="shared" ca="1" si="120"/>
        <v>0</v>
      </c>
      <c r="CT119" s="113" t="s">
        <v>729</v>
      </c>
      <c r="CU119" s="119">
        <v>0.2</v>
      </c>
      <c r="CV119" s="113" t="s">
        <v>217</v>
      </c>
      <c r="CW119" s="113" t="s">
        <v>210</v>
      </c>
      <c r="CX119" s="113">
        <v>13631298.3753272</v>
      </c>
      <c r="CY119" s="113">
        <v>15463517.626933601</v>
      </c>
      <c r="CZ119" s="113">
        <v>15159650.061351301</v>
      </c>
      <c r="DA119" s="113">
        <v>16523055.704212198</v>
      </c>
      <c r="DB119" s="113">
        <v>13485327.436090879</v>
      </c>
      <c r="DC119" s="113">
        <v>13198691</v>
      </c>
      <c r="DD119" s="113">
        <v>13923765.347779993</v>
      </c>
      <c r="DE119" s="113"/>
      <c r="DF119" s="113"/>
      <c r="DG119" s="113"/>
      <c r="DH119" s="113"/>
      <c r="DI119" s="113"/>
      <c r="DJ119" s="114">
        <f t="shared" si="104"/>
        <v>13485327.436090879</v>
      </c>
      <c r="DK119" s="114">
        <f t="shared" si="104"/>
        <v>13198691</v>
      </c>
      <c r="DL119" s="114">
        <f t="shared" si="104"/>
        <v>13923765.347779993</v>
      </c>
      <c r="DM119" s="114">
        <f t="shared" si="104"/>
        <v>0</v>
      </c>
      <c r="DN119" s="114">
        <f t="shared" si="168"/>
        <v>40607783.783870876</v>
      </c>
      <c r="DO119" s="114">
        <f t="shared" si="96"/>
        <v>60777521.7678243</v>
      </c>
      <c r="DP119" s="114">
        <f t="shared" si="105"/>
        <v>60777521.7678243</v>
      </c>
      <c r="DQ119" s="116">
        <f t="shared" si="146"/>
        <v>0.66810000000000003</v>
      </c>
      <c r="DR119" s="126">
        <f t="shared" ca="1" si="121"/>
        <v>0</v>
      </c>
      <c r="DS119" s="115">
        <f t="shared" ca="1" si="122"/>
        <v>0</v>
      </c>
      <c r="DT119" s="118" t="str">
        <f t="shared" si="147"/>
        <v>Uncapped</v>
      </c>
      <c r="DU119" s="115">
        <f t="shared" ca="1" si="123"/>
        <v>0</v>
      </c>
      <c r="DV119" s="113"/>
      <c r="DW119" s="119">
        <v>0</v>
      </c>
      <c r="DX119" s="113"/>
      <c r="DY119" s="113"/>
      <c r="DZ119" s="113">
        <v>0</v>
      </c>
      <c r="EA119" s="113">
        <v>0</v>
      </c>
      <c r="EB119" s="113">
        <v>0</v>
      </c>
      <c r="EC119" s="113">
        <v>0</v>
      </c>
      <c r="ED119" s="113">
        <v>0</v>
      </c>
      <c r="EE119" s="113">
        <v>0</v>
      </c>
      <c r="EF119" s="113"/>
      <c r="EG119" s="113"/>
      <c r="EH119" s="113"/>
      <c r="EI119" s="113"/>
      <c r="EJ119" s="113"/>
      <c r="EK119" s="113"/>
      <c r="EL119" s="114">
        <f t="shared" si="106"/>
        <v>0</v>
      </c>
      <c r="EM119" s="114">
        <f t="shared" si="106"/>
        <v>0</v>
      </c>
      <c r="EN119" s="114">
        <f t="shared" si="106"/>
        <v>0</v>
      </c>
      <c r="EO119" s="114">
        <f t="shared" si="106"/>
        <v>0</v>
      </c>
      <c r="EP119" s="114">
        <f t="shared" si="124"/>
        <v>0</v>
      </c>
      <c r="EQ119" s="114">
        <f t="shared" si="97"/>
        <v>0</v>
      </c>
      <c r="ER119" s="114">
        <f t="shared" si="148"/>
        <v>0</v>
      </c>
      <c r="ES119" s="116">
        <f t="shared" si="149"/>
        <v>0</v>
      </c>
      <c r="ET119" s="126">
        <f t="shared" ca="1" si="150"/>
        <v>0</v>
      </c>
      <c r="EU119" s="115">
        <f t="shared" ca="1" si="125"/>
        <v>0</v>
      </c>
      <c r="EV119" s="118" t="str">
        <f t="shared" si="126"/>
        <v>Uncapped</v>
      </c>
      <c r="EW119" s="115">
        <f t="shared" ca="1" si="127"/>
        <v>0</v>
      </c>
      <c r="EX119" s="112">
        <f t="shared" ca="1" si="128"/>
        <v>0</v>
      </c>
      <c r="EY119" s="114">
        <f t="shared" ca="1" si="151"/>
        <v>0</v>
      </c>
      <c r="EZ119" s="115">
        <v>0</v>
      </c>
      <c r="FA119" s="115"/>
      <c r="FB119" s="115"/>
      <c r="FC119" s="115">
        <v>0</v>
      </c>
      <c r="FD119" s="115">
        <f t="shared" si="98"/>
        <v>0</v>
      </c>
      <c r="FE119" s="114">
        <f t="shared" si="177"/>
        <v>0</v>
      </c>
      <c r="FF119" s="115">
        <v>0</v>
      </c>
      <c r="FG119" s="115">
        <v>0</v>
      </c>
      <c r="FH119" s="115">
        <v>0</v>
      </c>
      <c r="FI119" s="115">
        <v>0</v>
      </c>
      <c r="FJ119" s="115">
        <f t="shared" si="99"/>
        <v>0</v>
      </c>
      <c r="FK119" s="114">
        <f t="shared" si="178"/>
        <v>0</v>
      </c>
      <c r="FL119" s="113"/>
      <c r="FM119" s="111"/>
      <c r="FN119" s="111"/>
      <c r="FO119" s="111"/>
      <c r="FP119" s="115">
        <f t="shared" si="129"/>
        <v>0</v>
      </c>
      <c r="FQ119" s="115"/>
      <c r="FR119" s="115"/>
      <c r="FS119" s="115"/>
      <c r="FT119" s="114">
        <f t="shared" si="152"/>
        <v>0</v>
      </c>
      <c r="FU119" s="366">
        <f t="shared" ca="1" si="155"/>
        <v>0</v>
      </c>
      <c r="FV119" s="121">
        <f t="shared" ca="1" si="153"/>
        <v>0</v>
      </c>
      <c r="FW119" s="114">
        <f t="shared" si="181"/>
        <v>0</v>
      </c>
      <c r="FX119" s="114">
        <f t="shared" si="181"/>
        <v>0</v>
      </c>
      <c r="FY119" s="114">
        <f t="shared" si="181"/>
        <v>0</v>
      </c>
      <c r="FZ119" s="114">
        <f t="shared" si="181"/>
        <v>0</v>
      </c>
      <c r="GA119" s="114">
        <f t="shared" si="183"/>
        <v>0</v>
      </c>
      <c r="GB119" s="114">
        <f t="shared" si="182"/>
        <v>0</v>
      </c>
      <c r="GC119" s="114">
        <f t="shared" si="182"/>
        <v>0</v>
      </c>
      <c r="GD119" s="114">
        <f t="shared" si="182"/>
        <v>0</v>
      </c>
      <c r="GE119" s="114">
        <f t="shared" si="182"/>
        <v>0</v>
      </c>
      <c r="GF119" s="114">
        <f t="shared" ref="GF119:GI134" si="184">GB119+FW119</f>
        <v>0</v>
      </c>
      <c r="GG119" s="114">
        <f t="shared" si="184"/>
        <v>0</v>
      </c>
      <c r="GH119" s="114">
        <f t="shared" si="184"/>
        <v>0</v>
      </c>
      <c r="GI119" s="114">
        <f t="shared" si="184"/>
        <v>0</v>
      </c>
      <c r="GJ119" s="115">
        <f t="shared" si="100"/>
        <v>0</v>
      </c>
      <c r="GK119" s="114">
        <f t="shared" si="131"/>
        <v>0</v>
      </c>
      <c r="GL119" s="114">
        <f t="shared" si="132"/>
        <v>0</v>
      </c>
      <c r="GM119" s="114">
        <f t="shared" si="133"/>
        <v>0</v>
      </c>
      <c r="GN119" s="114">
        <f t="shared" si="134"/>
        <v>0</v>
      </c>
      <c r="GO119" s="114">
        <f t="shared" si="135"/>
        <v>0</v>
      </c>
      <c r="GP119" s="114">
        <f t="shared" si="101"/>
        <v>0</v>
      </c>
      <c r="GQ119" s="114">
        <f t="shared" si="136"/>
        <v>0</v>
      </c>
      <c r="GR119" s="193"/>
      <c r="GS119" s="122">
        <f t="shared" si="166"/>
        <v>44739716.438870877</v>
      </c>
      <c r="GT119" s="122">
        <f t="shared" si="166"/>
        <v>66367521.7678243</v>
      </c>
      <c r="GU119" s="123">
        <f t="shared" si="137"/>
        <v>0.67412064285578277</v>
      </c>
      <c r="GV119" s="124">
        <f t="shared" ca="1" si="138"/>
        <v>0</v>
      </c>
      <c r="GW119" s="124">
        <v>0</v>
      </c>
      <c r="GX119" s="32">
        <f t="shared" ca="1" si="139"/>
        <v>0</v>
      </c>
      <c r="GY119" s="100"/>
    </row>
    <row r="120" spans="1:207" s="408" customFormat="1" hidden="1">
      <c r="C120" s="402"/>
      <c r="D120" s="402"/>
      <c r="E120" s="403"/>
      <c r="F120" s="403" t="s">
        <v>720</v>
      </c>
      <c r="G120" s="403" t="s">
        <v>226</v>
      </c>
      <c r="H120" s="105" t="s">
        <v>553</v>
      </c>
      <c r="I120" s="403" t="s">
        <v>587</v>
      </c>
      <c r="J120" s="403" t="s">
        <v>212</v>
      </c>
      <c r="K120" s="403" t="s">
        <v>544</v>
      </c>
      <c r="L120" s="403"/>
      <c r="M120" s="403"/>
      <c r="N120" s="404"/>
      <c r="O120" s="108">
        <v>42807</v>
      </c>
      <c r="P120" s="108">
        <v>42807</v>
      </c>
      <c r="Q120" s="323">
        <f t="shared" si="112"/>
        <v>0</v>
      </c>
      <c r="R120" s="109">
        <f>IF((P120-VLOOKUP(Q120,month!$A$1:$C$13,3,0))&lt;0,Q120,Q120+1)</f>
        <v>0</v>
      </c>
      <c r="S120" s="108"/>
      <c r="T120" s="110" t="str">
        <f t="shared" si="154"/>
        <v/>
      </c>
      <c r="U120" s="404"/>
      <c r="V120" s="404"/>
      <c r="W120" s="405"/>
      <c r="X120" s="405"/>
      <c r="Y120" s="492"/>
      <c r="Z120" s="406" t="s">
        <v>545</v>
      </c>
      <c r="AA120" s="394">
        <v>1000</v>
      </c>
      <c r="AB120" s="394">
        <v>1000</v>
      </c>
      <c r="AC120" s="394">
        <v>1000</v>
      </c>
      <c r="AD120" s="394">
        <v>1000</v>
      </c>
      <c r="AE120" s="394">
        <v>1000</v>
      </c>
      <c r="AF120" s="394">
        <v>1000</v>
      </c>
      <c r="AG120" s="394">
        <v>1000</v>
      </c>
      <c r="AH120" s="394">
        <v>1000</v>
      </c>
      <c r="AI120" s="394">
        <v>1000</v>
      </c>
      <c r="AJ120" s="394">
        <v>1000</v>
      </c>
      <c r="AK120" s="394">
        <v>1000</v>
      </c>
      <c r="AL120" s="394">
        <v>1000</v>
      </c>
      <c r="AM120" s="388">
        <f t="shared" si="164"/>
        <v>12000</v>
      </c>
      <c r="AN120" s="388">
        <f t="shared" si="113"/>
        <v>12000</v>
      </c>
      <c r="AO120" s="389">
        <f t="shared" si="180"/>
        <v>1000</v>
      </c>
      <c r="AP120" s="502" t="s">
        <v>750</v>
      </c>
      <c r="AQ120" s="159">
        <v>0.5</v>
      </c>
      <c r="AR120" s="103" t="s">
        <v>211</v>
      </c>
      <c r="AS120" s="119" t="s">
        <v>210</v>
      </c>
      <c r="AT120" s="111">
        <v>720887.91968241916</v>
      </c>
      <c r="AU120" s="111">
        <v>784595.67437440774</v>
      </c>
      <c r="AV120" s="111">
        <v>746491.73576980887</v>
      </c>
      <c r="AW120" s="111">
        <v>808196.19358136377</v>
      </c>
      <c r="AX120" s="113">
        <v>1424487.42</v>
      </c>
      <c r="AY120" s="113">
        <v>1196357.4045000002</v>
      </c>
      <c r="AZ120" s="113">
        <v>721705.2470999998</v>
      </c>
      <c r="BA120" s="113"/>
      <c r="BB120" s="113"/>
      <c r="BC120" s="113"/>
      <c r="BD120" s="113"/>
      <c r="BE120" s="113"/>
      <c r="BF120" s="114">
        <f t="shared" si="102"/>
        <v>1424487.42</v>
      </c>
      <c r="BG120" s="114">
        <f t="shared" si="102"/>
        <v>1196357.4045000002</v>
      </c>
      <c r="BH120" s="114">
        <f t="shared" si="102"/>
        <v>721705.2470999998</v>
      </c>
      <c r="BI120" s="114">
        <f t="shared" si="102"/>
        <v>0</v>
      </c>
      <c r="BJ120" s="114">
        <f t="shared" si="165"/>
        <v>3342550.0715999999</v>
      </c>
      <c r="BK120" s="115">
        <f t="shared" si="173"/>
        <v>3060171.5234079994</v>
      </c>
      <c r="BL120" s="115">
        <f t="shared" si="140"/>
        <v>3060171.5234079994</v>
      </c>
      <c r="BM120" s="116">
        <f t="shared" si="141"/>
        <v>1.0923</v>
      </c>
      <c r="BN120" s="126">
        <f t="shared" ca="1" si="174"/>
        <v>0</v>
      </c>
      <c r="BO120" s="117">
        <f t="shared" ca="1" si="175"/>
        <v>0</v>
      </c>
      <c r="BP120" s="118" t="str">
        <f t="shared" si="176"/>
        <v>Uncapped</v>
      </c>
      <c r="BQ120" s="115">
        <f t="shared" ca="1" si="117"/>
        <v>0</v>
      </c>
      <c r="BR120" s="174" t="s">
        <v>762</v>
      </c>
      <c r="BS120" s="175">
        <v>0.3</v>
      </c>
      <c r="BT120" s="174" t="s">
        <v>211</v>
      </c>
      <c r="BU120" s="174" t="s">
        <v>210</v>
      </c>
      <c r="BV120" s="113">
        <v>2237916.9674079753</v>
      </c>
      <c r="BW120" s="113">
        <v>2593737.6672715819</v>
      </c>
      <c r="BX120" s="113">
        <v>2631062.6626689765</v>
      </c>
      <c r="BY120" s="113">
        <v>2613100.8468210953</v>
      </c>
      <c r="BZ120" s="113">
        <v>2333200.87</v>
      </c>
      <c r="CA120" s="113">
        <v>2209902.1916999999</v>
      </c>
      <c r="CB120" s="113">
        <v>1880202.3</v>
      </c>
      <c r="CC120" s="113"/>
      <c r="CD120" s="113"/>
      <c r="CE120" s="113"/>
      <c r="CF120" s="113"/>
      <c r="CG120" s="113"/>
      <c r="CH120" s="114">
        <f t="shared" si="103"/>
        <v>2333200.87</v>
      </c>
      <c r="CI120" s="114">
        <f t="shared" si="103"/>
        <v>2209902.1916999999</v>
      </c>
      <c r="CJ120" s="120">
        <f t="shared" si="103"/>
        <v>1880202.3</v>
      </c>
      <c r="CK120" s="114">
        <f t="shared" si="103"/>
        <v>0</v>
      </c>
      <c r="CL120" s="114">
        <f t="shared" si="118"/>
        <v>6423305.3616999993</v>
      </c>
      <c r="CM120" s="114">
        <f t="shared" si="95"/>
        <v>10075818.14416963</v>
      </c>
      <c r="CN120" s="114">
        <f t="shared" si="142"/>
        <v>10075818.14416963</v>
      </c>
      <c r="CO120" s="116">
        <f t="shared" si="143"/>
        <v>0.63749999999999996</v>
      </c>
      <c r="CP120" s="126">
        <f t="shared" ca="1" si="144"/>
        <v>0</v>
      </c>
      <c r="CQ120" s="115">
        <f t="shared" ca="1" si="119"/>
        <v>0</v>
      </c>
      <c r="CR120" s="118" t="str">
        <f t="shared" si="145"/>
        <v>Uncapped</v>
      </c>
      <c r="CS120" s="115">
        <f t="shared" ca="1" si="120"/>
        <v>0</v>
      </c>
      <c r="CT120" s="113" t="s">
        <v>729</v>
      </c>
      <c r="CU120" s="119">
        <v>0.2</v>
      </c>
      <c r="CV120" s="113" t="s">
        <v>217</v>
      </c>
      <c r="CW120" s="113" t="s">
        <v>210</v>
      </c>
      <c r="CX120" s="113">
        <v>13631298.3753272</v>
      </c>
      <c r="CY120" s="113">
        <v>15463517.626933601</v>
      </c>
      <c r="CZ120" s="113">
        <v>15159650.061351301</v>
      </c>
      <c r="DA120" s="113">
        <v>16523055.704212198</v>
      </c>
      <c r="DB120" s="113">
        <v>13485327.436090879</v>
      </c>
      <c r="DC120" s="113">
        <v>13198691</v>
      </c>
      <c r="DD120" s="113">
        <v>13923765.347779993</v>
      </c>
      <c r="DE120" s="113"/>
      <c r="DF120" s="113"/>
      <c r="DG120" s="113"/>
      <c r="DH120" s="113"/>
      <c r="DI120" s="113"/>
      <c r="DJ120" s="114">
        <f t="shared" si="104"/>
        <v>13485327.436090879</v>
      </c>
      <c r="DK120" s="114">
        <f t="shared" si="104"/>
        <v>13198691</v>
      </c>
      <c r="DL120" s="114">
        <f t="shared" si="104"/>
        <v>13923765.347779993</v>
      </c>
      <c r="DM120" s="114">
        <f t="shared" si="104"/>
        <v>0</v>
      </c>
      <c r="DN120" s="114">
        <f t="shared" si="168"/>
        <v>40607783.783870876</v>
      </c>
      <c r="DO120" s="114">
        <f t="shared" si="96"/>
        <v>60777521.7678243</v>
      </c>
      <c r="DP120" s="114">
        <f t="shared" si="105"/>
        <v>60777521.7678243</v>
      </c>
      <c r="DQ120" s="116">
        <f t="shared" si="146"/>
        <v>0.66810000000000003</v>
      </c>
      <c r="DR120" s="126">
        <f t="shared" ca="1" si="121"/>
        <v>0</v>
      </c>
      <c r="DS120" s="115">
        <f t="shared" ca="1" si="122"/>
        <v>0</v>
      </c>
      <c r="DT120" s="118" t="str">
        <f t="shared" si="147"/>
        <v>Uncapped</v>
      </c>
      <c r="DU120" s="115">
        <f t="shared" ca="1" si="123"/>
        <v>0</v>
      </c>
      <c r="DV120" s="113"/>
      <c r="DW120" s="119">
        <v>0</v>
      </c>
      <c r="DX120" s="113"/>
      <c r="DY120" s="113"/>
      <c r="DZ120" s="113">
        <v>0</v>
      </c>
      <c r="EA120" s="113">
        <v>0</v>
      </c>
      <c r="EB120" s="113">
        <v>0</v>
      </c>
      <c r="EC120" s="113">
        <v>0</v>
      </c>
      <c r="ED120" s="113">
        <v>0</v>
      </c>
      <c r="EE120" s="113">
        <v>0</v>
      </c>
      <c r="EF120" s="113"/>
      <c r="EG120" s="113"/>
      <c r="EH120" s="113"/>
      <c r="EI120" s="113"/>
      <c r="EJ120" s="113"/>
      <c r="EK120" s="113"/>
      <c r="EL120" s="114">
        <f t="shared" si="106"/>
        <v>0</v>
      </c>
      <c r="EM120" s="114">
        <f t="shared" si="106"/>
        <v>0</v>
      </c>
      <c r="EN120" s="114">
        <f t="shared" si="106"/>
        <v>0</v>
      </c>
      <c r="EO120" s="114">
        <f t="shared" si="106"/>
        <v>0</v>
      </c>
      <c r="EP120" s="114">
        <f t="shared" si="124"/>
        <v>0</v>
      </c>
      <c r="EQ120" s="114">
        <f t="shared" si="97"/>
        <v>0</v>
      </c>
      <c r="ER120" s="114">
        <f t="shared" si="148"/>
        <v>0</v>
      </c>
      <c r="ES120" s="116">
        <f t="shared" si="149"/>
        <v>0</v>
      </c>
      <c r="ET120" s="126">
        <f t="shared" ca="1" si="150"/>
        <v>0</v>
      </c>
      <c r="EU120" s="115">
        <f t="shared" ca="1" si="125"/>
        <v>0</v>
      </c>
      <c r="EV120" s="118" t="str">
        <f t="shared" si="126"/>
        <v>Uncapped</v>
      </c>
      <c r="EW120" s="115">
        <f t="shared" ca="1" si="127"/>
        <v>0</v>
      </c>
      <c r="EX120" s="112">
        <f t="shared" ca="1" si="128"/>
        <v>0</v>
      </c>
      <c r="EY120" s="114">
        <f t="shared" ca="1" si="151"/>
        <v>0</v>
      </c>
      <c r="EZ120" s="115">
        <v>0</v>
      </c>
      <c r="FA120" s="115"/>
      <c r="FB120" s="115"/>
      <c r="FC120" s="115">
        <v>0</v>
      </c>
      <c r="FD120" s="115">
        <f t="shared" si="98"/>
        <v>0</v>
      </c>
      <c r="FE120" s="114">
        <f t="shared" si="177"/>
        <v>0</v>
      </c>
      <c r="FF120" s="115">
        <v>0</v>
      </c>
      <c r="FG120" s="115">
        <v>0</v>
      </c>
      <c r="FH120" s="115">
        <v>0</v>
      </c>
      <c r="FI120" s="115">
        <v>0</v>
      </c>
      <c r="FJ120" s="115">
        <f t="shared" si="99"/>
        <v>0</v>
      </c>
      <c r="FK120" s="114">
        <f t="shared" si="178"/>
        <v>0</v>
      </c>
      <c r="FL120" s="113"/>
      <c r="FM120" s="111"/>
      <c r="FN120" s="111"/>
      <c r="FO120" s="111"/>
      <c r="FP120" s="115">
        <f t="shared" si="129"/>
        <v>0</v>
      </c>
      <c r="FQ120" s="115"/>
      <c r="FR120" s="115"/>
      <c r="FS120" s="115"/>
      <c r="FT120" s="114">
        <f t="shared" si="152"/>
        <v>0</v>
      </c>
      <c r="FU120" s="366">
        <f t="shared" ca="1" si="155"/>
        <v>0</v>
      </c>
      <c r="FV120" s="121">
        <f t="shared" ca="1" si="153"/>
        <v>0</v>
      </c>
      <c r="FW120" s="114">
        <f t="shared" si="181"/>
        <v>0</v>
      </c>
      <c r="FX120" s="114">
        <f t="shared" si="181"/>
        <v>0</v>
      </c>
      <c r="FY120" s="114">
        <f t="shared" si="181"/>
        <v>0</v>
      </c>
      <c r="FZ120" s="114">
        <f t="shared" si="181"/>
        <v>0</v>
      </c>
      <c r="GA120" s="114">
        <f t="shared" si="183"/>
        <v>0</v>
      </c>
      <c r="GB120" s="114">
        <f t="shared" si="182"/>
        <v>0</v>
      </c>
      <c r="GC120" s="114">
        <f t="shared" si="182"/>
        <v>0</v>
      </c>
      <c r="GD120" s="114">
        <f t="shared" si="182"/>
        <v>0</v>
      </c>
      <c r="GE120" s="114">
        <f t="shared" si="182"/>
        <v>0</v>
      </c>
      <c r="GF120" s="114">
        <f t="shared" si="184"/>
        <v>0</v>
      </c>
      <c r="GG120" s="114">
        <f t="shared" si="184"/>
        <v>0</v>
      </c>
      <c r="GH120" s="114">
        <f t="shared" si="184"/>
        <v>0</v>
      </c>
      <c r="GI120" s="114">
        <f t="shared" si="184"/>
        <v>0</v>
      </c>
      <c r="GJ120" s="115">
        <f t="shared" si="100"/>
        <v>0</v>
      </c>
      <c r="GK120" s="114">
        <f t="shared" si="131"/>
        <v>0</v>
      </c>
      <c r="GL120" s="114">
        <f t="shared" si="132"/>
        <v>0</v>
      </c>
      <c r="GM120" s="114">
        <f t="shared" si="133"/>
        <v>0</v>
      </c>
      <c r="GN120" s="114">
        <f t="shared" si="134"/>
        <v>0</v>
      </c>
      <c r="GO120" s="114">
        <f t="shared" si="135"/>
        <v>0</v>
      </c>
      <c r="GP120" s="114">
        <f t="shared" si="101"/>
        <v>0</v>
      </c>
      <c r="GQ120" s="114">
        <f t="shared" si="136"/>
        <v>0</v>
      </c>
      <c r="GR120" s="193"/>
      <c r="GS120" s="122">
        <f t="shared" si="166"/>
        <v>50373639.217170879</v>
      </c>
      <c r="GT120" s="122">
        <f t="shared" si="166"/>
        <v>73913511.435401931</v>
      </c>
      <c r="GU120" s="123">
        <f t="shared" si="137"/>
        <v>0.68152139221792818</v>
      </c>
      <c r="GV120" s="124">
        <f t="shared" ca="1" si="138"/>
        <v>0</v>
      </c>
      <c r="GW120" s="124">
        <v>0</v>
      </c>
      <c r="GX120" s="32">
        <f t="shared" ca="1" si="139"/>
        <v>0</v>
      </c>
      <c r="GY120" s="100"/>
    </row>
    <row r="121" spans="1:207" s="408" customFormat="1" hidden="1">
      <c r="C121" s="402"/>
      <c r="D121" s="402"/>
      <c r="E121" s="403"/>
      <c r="F121" s="403" t="s">
        <v>720</v>
      </c>
      <c r="G121" s="403" t="s">
        <v>226</v>
      </c>
      <c r="H121" s="105" t="s">
        <v>554</v>
      </c>
      <c r="I121" s="403" t="s">
        <v>588</v>
      </c>
      <c r="J121" s="403" t="s">
        <v>212</v>
      </c>
      <c r="K121" s="403" t="s">
        <v>544</v>
      </c>
      <c r="L121" s="403"/>
      <c r="M121" s="403"/>
      <c r="N121" s="404"/>
      <c r="O121" s="108">
        <v>42835</v>
      </c>
      <c r="P121" s="108">
        <v>42835</v>
      </c>
      <c r="Q121" s="323">
        <f t="shared" si="112"/>
        <v>0</v>
      </c>
      <c r="R121" s="109">
        <f>IF((P121-VLOOKUP(Q121,month!$A$1:$C$13,3,0))&lt;0,Q121,Q121+1)</f>
        <v>0</v>
      </c>
      <c r="S121" s="108"/>
      <c r="T121" s="110" t="str">
        <f t="shared" si="154"/>
        <v/>
      </c>
      <c r="U121" s="404"/>
      <c r="V121" s="404"/>
      <c r="W121" s="405"/>
      <c r="X121" s="405"/>
      <c r="Y121" s="492"/>
      <c r="Z121" s="406" t="s">
        <v>545</v>
      </c>
      <c r="AA121" s="394">
        <v>1000</v>
      </c>
      <c r="AB121" s="394">
        <v>1000</v>
      </c>
      <c r="AC121" s="394">
        <v>1000</v>
      </c>
      <c r="AD121" s="394">
        <v>1000</v>
      </c>
      <c r="AE121" s="394">
        <v>1000</v>
      </c>
      <c r="AF121" s="394">
        <v>1000</v>
      </c>
      <c r="AG121" s="394">
        <v>1000</v>
      </c>
      <c r="AH121" s="394">
        <v>1000</v>
      </c>
      <c r="AI121" s="394">
        <v>1000</v>
      </c>
      <c r="AJ121" s="394">
        <v>1000</v>
      </c>
      <c r="AK121" s="394">
        <v>1000</v>
      </c>
      <c r="AL121" s="394">
        <v>1000</v>
      </c>
      <c r="AM121" s="388">
        <f t="shared" si="164"/>
        <v>12000</v>
      </c>
      <c r="AN121" s="388">
        <f t="shared" si="113"/>
        <v>12000</v>
      </c>
      <c r="AO121" s="389">
        <f t="shared" si="180"/>
        <v>1000</v>
      </c>
      <c r="AP121" s="502" t="s">
        <v>739</v>
      </c>
      <c r="AQ121" s="159">
        <v>0.6</v>
      </c>
      <c r="AR121" s="103" t="s">
        <v>211</v>
      </c>
      <c r="AS121" s="119" t="s">
        <v>210</v>
      </c>
      <c r="AT121" s="111">
        <v>412797.63442605978</v>
      </c>
      <c r="AU121" s="111">
        <v>448483.33818445751</v>
      </c>
      <c r="AV121" s="111">
        <v>436286.62001220189</v>
      </c>
      <c r="AW121" s="111">
        <v>516477.91373291885</v>
      </c>
      <c r="AX121" s="113">
        <v>374753.24</v>
      </c>
      <c r="AY121" s="113">
        <v>598387.74569999962</v>
      </c>
      <c r="AZ121" s="113">
        <v>490681.8</v>
      </c>
      <c r="BA121" s="113"/>
      <c r="BB121" s="113"/>
      <c r="BC121" s="113"/>
      <c r="BD121" s="113"/>
      <c r="BE121" s="113"/>
      <c r="BF121" s="114">
        <f t="shared" si="102"/>
        <v>374753.24</v>
      </c>
      <c r="BG121" s="114">
        <f t="shared" si="102"/>
        <v>598387.74569999962</v>
      </c>
      <c r="BH121" s="114">
        <f t="shared" si="102"/>
        <v>490681.8</v>
      </c>
      <c r="BI121" s="114">
        <f t="shared" si="102"/>
        <v>0</v>
      </c>
      <c r="BJ121" s="114">
        <f t="shared" si="165"/>
        <v>1463822.7856999997</v>
      </c>
      <c r="BK121" s="115">
        <f t="shared" si="173"/>
        <v>1814045.5063556382</v>
      </c>
      <c r="BL121" s="115">
        <f t="shared" si="140"/>
        <v>1814045.5063556382</v>
      </c>
      <c r="BM121" s="116">
        <f t="shared" si="141"/>
        <v>0.80689999999999995</v>
      </c>
      <c r="BN121" s="126">
        <f t="shared" ca="1" si="174"/>
        <v>0</v>
      </c>
      <c r="BO121" s="117">
        <f t="shared" ca="1" si="175"/>
        <v>0</v>
      </c>
      <c r="BP121" s="118" t="str">
        <f t="shared" si="176"/>
        <v>Uncapped</v>
      </c>
      <c r="BQ121" s="115">
        <f t="shared" ca="1" si="117"/>
        <v>0</v>
      </c>
      <c r="BR121" s="174" t="s">
        <v>763</v>
      </c>
      <c r="BS121" s="175">
        <v>0.2</v>
      </c>
      <c r="BT121" s="174" t="s">
        <v>211</v>
      </c>
      <c r="BU121" s="174" t="s">
        <v>210</v>
      </c>
      <c r="BV121" s="113">
        <v>27858.6041825213</v>
      </c>
      <c r="BW121" s="113">
        <v>33436</v>
      </c>
      <c r="BX121" s="113">
        <v>34244.015631769202</v>
      </c>
      <c r="BY121" s="113">
        <v>41220.548387740899</v>
      </c>
      <c r="BZ121" s="113">
        <v>39923.42</v>
      </c>
      <c r="CA121" s="113">
        <v>46457.370000000024</v>
      </c>
      <c r="CB121" s="113">
        <v>51035.850000000013</v>
      </c>
      <c r="CC121" s="113"/>
      <c r="CD121" s="113"/>
      <c r="CE121" s="113"/>
      <c r="CF121" s="113"/>
      <c r="CG121" s="113"/>
      <c r="CH121" s="114">
        <f t="shared" si="103"/>
        <v>39923.42</v>
      </c>
      <c r="CI121" s="114">
        <f t="shared" si="103"/>
        <v>46457.370000000024</v>
      </c>
      <c r="CJ121" s="120">
        <f t="shared" si="103"/>
        <v>51035.850000000013</v>
      </c>
      <c r="CK121" s="114">
        <f t="shared" si="103"/>
        <v>0</v>
      </c>
      <c r="CL121" s="114">
        <f t="shared" si="118"/>
        <v>137416.64000000004</v>
      </c>
      <c r="CM121" s="114">
        <f t="shared" si="95"/>
        <v>136759.1682020314</v>
      </c>
      <c r="CN121" s="114">
        <f t="shared" si="142"/>
        <v>136759.1682020314</v>
      </c>
      <c r="CO121" s="116">
        <f t="shared" si="143"/>
        <v>1.0047999999999999</v>
      </c>
      <c r="CP121" s="126">
        <f t="shared" ca="1" si="144"/>
        <v>0</v>
      </c>
      <c r="CQ121" s="115">
        <f t="shared" ca="1" si="119"/>
        <v>0</v>
      </c>
      <c r="CR121" s="118" t="str">
        <f t="shared" si="145"/>
        <v>Uncapped</v>
      </c>
      <c r="CS121" s="115">
        <f t="shared" ca="1" si="120"/>
        <v>0</v>
      </c>
      <c r="CT121" s="113" t="s">
        <v>734</v>
      </c>
      <c r="CU121" s="119">
        <v>0.2</v>
      </c>
      <c r="CV121" s="113" t="s">
        <v>217</v>
      </c>
      <c r="CW121" s="113" t="s">
        <v>667</v>
      </c>
      <c r="CX121" s="113">
        <v>4332720.3217541184</v>
      </c>
      <c r="CY121" s="113">
        <v>4778527.2500066841</v>
      </c>
      <c r="CZ121" s="113">
        <v>4616888.1107896138</v>
      </c>
      <c r="DA121" s="113">
        <v>4787499.8855306264</v>
      </c>
      <c r="DB121" s="113">
        <v>4218409.7</v>
      </c>
      <c r="DC121" s="113">
        <v>4427269.8909500409</v>
      </c>
      <c r="DD121" s="113">
        <v>3879830.89</v>
      </c>
      <c r="DE121" s="113"/>
      <c r="DF121" s="113"/>
      <c r="DG121" s="113"/>
      <c r="DH121" s="113"/>
      <c r="DI121" s="113"/>
      <c r="DJ121" s="114">
        <f t="shared" si="104"/>
        <v>4218409.7</v>
      </c>
      <c r="DK121" s="114">
        <f t="shared" si="104"/>
        <v>4427269.8909500409</v>
      </c>
      <c r="DL121" s="114">
        <f t="shared" si="104"/>
        <v>3879830.89</v>
      </c>
      <c r="DM121" s="114">
        <f t="shared" si="104"/>
        <v>0</v>
      </c>
      <c r="DN121" s="114">
        <f t="shared" si="168"/>
        <v>12525510.480950043</v>
      </c>
      <c r="DO121" s="114">
        <f t="shared" si="96"/>
        <v>18515635.568081044</v>
      </c>
      <c r="DP121" s="114">
        <f t="shared" si="105"/>
        <v>18515635.568081044</v>
      </c>
      <c r="DQ121" s="116">
        <f t="shared" si="146"/>
        <v>0.67649999999999999</v>
      </c>
      <c r="DR121" s="126">
        <f t="shared" ca="1" si="121"/>
        <v>0</v>
      </c>
      <c r="DS121" s="115">
        <f t="shared" ca="1" si="122"/>
        <v>0</v>
      </c>
      <c r="DT121" s="118" t="str">
        <f t="shared" si="147"/>
        <v>Uncapped</v>
      </c>
      <c r="DU121" s="115">
        <f t="shared" ca="1" si="123"/>
        <v>0</v>
      </c>
      <c r="DV121" s="113"/>
      <c r="DW121" s="119">
        <v>0</v>
      </c>
      <c r="DX121" s="113"/>
      <c r="DY121" s="113"/>
      <c r="DZ121" s="113">
        <v>0</v>
      </c>
      <c r="EA121" s="113">
        <v>0</v>
      </c>
      <c r="EB121" s="113">
        <v>0</v>
      </c>
      <c r="EC121" s="113">
        <v>0</v>
      </c>
      <c r="ED121" s="113">
        <v>0</v>
      </c>
      <c r="EE121" s="113">
        <v>0</v>
      </c>
      <c r="EF121" s="113"/>
      <c r="EG121" s="113"/>
      <c r="EH121" s="113"/>
      <c r="EI121" s="113"/>
      <c r="EJ121" s="113"/>
      <c r="EK121" s="113"/>
      <c r="EL121" s="114">
        <f t="shared" si="106"/>
        <v>0</v>
      </c>
      <c r="EM121" s="114">
        <f t="shared" si="106"/>
        <v>0</v>
      </c>
      <c r="EN121" s="114">
        <f t="shared" si="106"/>
        <v>0</v>
      </c>
      <c r="EO121" s="114">
        <f t="shared" si="106"/>
        <v>0</v>
      </c>
      <c r="EP121" s="114">
        <f t="shared" si="124"/>
        <v>0</v>
      </c>
      <c r="EQ121" s="114">
        <f t="shared" si="97"/>
        <v>0</v>
      </c>
      <c r="ER121" s="114">
        <f t="shared" si="148"/>
        <v>0</v>
      </c>
      <c r="ES121" s="116">
        <f t="shared" si="149"/>
        <v>0</v>
      </c>
      <c r="ET121" s="126">
        <f t="shared" ca="1" si="150"/>
        <v>0</v>
      </c>
      <c r="EU121" s="115">
        <f t="shared" ca="1" si="125"/>
        <v>0</v>
      </c>
      <c r="EV121" s="118" t="str">
        <f t="shared" si="126"/>
        <v>Uncapped</v>
      </c>
      <c r="EW121" s="115">
        <f t="shared" ca="1" si="127"/>
        <v>0</v>
      </c>
      <c r="EX121" s="112">
        <f t="shared" ca="1" si="128"/>
        <v>0</v>
      </c>
      <c r="EY121" s="114">
        <f t="shared" ca="1" si="151"/>
        <v>0</v>
      </c>
      <c r="EZ121" s="115">
        <v>0</v>
      </c>
      <c r="FA121" s="115"/>
      <c r="FB121" s="115"/>
      <c r="FC121" s="115">
        <v>0</v>
      </c>
      <c r="FD121" s="115">
        <f t="shared" si="98"/>
        <v>0</v>
      </c>
      <c r="FE121" s="114">
        <f t="shared" si="177"/>
        <v>0</v>
      </c>
      <c r="FF121" s="115">
        <v>0</v>
      </c>
      <c r="FG121" s="115">
        <v>0</v>
      </c>
      <c r="FH121" s="115">
        <v>0</v>
      </c>
      <c r="FI121" s="115">
        <v>0</v>
      </c>
      <c r="FJ121" s="115">
        <f t="shared" si="99"/>
        <v>0</v>
      </c>
      <c r="FK121" s="114">
        <f t="shared" si="178"/>
        <v>0</v>
      </c>
      <c r="FL121" s="113"/>
      <c r="FM121" s="111"/>
      <c r="FN121" s="111"/>
      <c r="FO121" s="111"/>
      <c r="FP121" s="115">
        <f t="shared" si="129"/>
        <v>0</v>
      </c>
      <c r="FQ121" s="115"/>
      <c r="FR121" s="115"/>
      <c r="FS121" s="115"/>
      <c r="FT121" s="114">
        <f t="shared" si="152"/>
        <v>0</v>
      </c>
      <c r="FU121" s="407">
        <f t="shared" ca="1" si="155"/>
        <v>0</v>
      </c>
      <c r="FV121" s="112">
        <f t="shared" ca="1" si="153"/>
        <v>0</v>
      </c>
      <c r="FW121" s="114">
        <f t="shared" si="181"/>
        <v>0</v>
      </c>
      <c r="FX121" s="114">
        <f t="shared" si="181"/>
        <v>0</v>
      </c>
      <c r="FY121" s="114">
        <f t="shared" si="181"/>
        <v>0</v>
      </c>
      <c r="FZ121" s="114">
        <f t="shared" si="181"/>
        <v>0</v>
      </c>
      <c r="GA121" s="114">
        <f t="shared" si="183"/>
        <v>0</v>
      </c>
      <c r="GB121" s="114">
        <f t="shared" si="182"/>
        <v>0</v>
      </c>
      <c r="GC121" s="114">
        <f t="shared" si="182"/>
        <v>0</v>
      </c>
      <c r="GD121" s="114">
        <f t="shared" si="182"/>
        <v>0</v>
      </c>
      <c r="GE121" s="114">
        <f t="shared" si="182"/>
        <v>0</v>
      </c>
      <c r="GF121" s="114">
        <f t="shared" si="184"/>
        <v>0</v>
      </c>
      <c r="GG121" s="114">
        <f t="shared" si="184"/>
        <v>0</v>
      </c>
      <c r="GH121" s="114">
        <f t="shared" si="184"/>
        <v>0</v>
      </c>
      <c r="GI121" s="114">
        <f t="shared" si="184"/>
        <v>0</v>
      </c>
      <c r="GJ121" s="115">
        <f t="shared" si="100"/>
        <v>0</v>
      </c>
      <c r="GK121" s="114">
        <f t="shared" si="131"/>
        <v>0</v>
      </c>
      <c r="GL121" s="114">
        <f t="shared" si="132"/>
        <v>0</v>
      </c>
      <c r="GM121" s="114">
        <f t="shared" si="133"/>
        <v>0</v>
      </c>
      <c r="GN121" s="114">
        <f t="shared" si="134"/>
        <v>0</v>
      </c>
      <c r="GO121" s="114">
        <f t="shared" si="135"/>
        <v>0</v>
      </c>
      <c r="GP121" s="114">
        <f t="shared" si="101"/>
        <v>0</v>
      </c>
      <c r="GQ121" s="114">
        <f t="shared" si="136"/>
        <v>0</v>
      </c>
      <c r="GR121" s="193"/>
      <c r="GS121" s="122">
        <f t="shared" si="166"/>
        <v>14126749.906650042</v>
      </c>
      <c r="GT121" s="122">
        <f t="shared" si="166"/>
        <v>20466440.242638715</v>
      </c>
      <c r="GU121" s="123">
        <f t="shared" si="137"/>
        <v>0.69023971629512337</v>
      </c>
      <c r="GV121" s="124">
        <f t="shared" ca="1" si="138"/>
        <v>0</v>
      </c>
      <c r="GW121" s="124">
        <v>0</v>
      </c>
      <c r="GX121" s="32">
        <f t="shared" ca="1" si="139"/>
        <v>0</v>
      </c>
      <c r="GY121" s="100"/>
    </row>
    <row r="122" spans="1:207" s="408" customFormat="1" hidden="1">
      <c r="C122" s="402"/>
      <c r="D122" s="402"/>
      <c r="E122" s="403"/>
      <c r="F122" s="403" t="s">
        <v>720</v>
      </c>
      <c r="G122" s="403" t="s">
        <v>226</v>
      </c>
      <c r="H122" s="105" t="s">
        <v>555</v>
      </c>
      <c r="I122" s="403" t="s">
        <v>589</v>
      </c>
      <c r="J122" s="403" t="s">
        <v>212</v>
      </c>
      <c r="K122" s="403" t="s">
        <v>544</v>
      </c>
      <c r="L122" s="403"/>
      <c r="M122" s="403"/>
      <c r="N122" s="404"/>
      <c r="O122" s="108">
        <v>43398</v>
      </c>
      <c r="P122" s="108">
        <v>43398</v>
      </c>
      <c r="Q122" s="323">
        <f t="shared" si="112"/>
        <v>0</v>
      </c>
      <c r="R122" s="109">
        <f>IF((P122-VLOOKUP(Q122,month!$A$1:$C$13,3,0))&lt;0,Q122,Q122+1)</f>
        <v>0</v>
      </c>
      <c r="S122" s="108"/>
      <c r="T122" s="110" t="str">
        <f t="shared" si="154"/>
        <v/>
      </c>
      <c r="U122" s="404"/>
      <c r="V122" s="404"/>
      <c r="W122" s="405"/>
      <c r="X122" s="405"/>
      <c r="Y122" s="492"/>
      <c r="Z122" s="406" t="s">
        <v>545</v>
      </c>
      <c r="AA122" s="394">
        <v>1000</v>
      </c>
      <c r="AB122" s="394">
        <v>1000</v>
      </c>
      <c r="AC122" s="394">
        <v>1000</v>
      </c>
      <c r="AD122" s="394">
        <v>1000</v>
      </c>
      <c r="AE122" s="394">
        <v>1000</v>
      </c>
      <c r="AF122" s="394">
        <v>1000</v>
      </c>
      <c r="AG122" s="394">
        <v>1000</v>
      </c>
      <c r="AH122" s="394">
        <v>1000</v>
      </c>
      <c r="AI122" s="394">
        <v>1000</v>
      </c>
      <c r="AJ122" s="394">
        <v>1000</v>
      </c>
      <c r="AK122" s="394">
        <v>1000</v>
      </c>
      <c r="AL122" s="394">
        <v>1000</v>
      </c>
      <c r="AM122" s="388">
        <f t="shared" si="164"/>
        <v>12000</v>
      </c>
      <c r="AN122" s="388">
        <f t="shared" si="113"/>
        <v>12000</v>
      </c>
      <c r="AO122" s="389">
        <f t="shared" si="180"/>
        <v>1000</v>
      </c>
      <c r="AP122" s="502" t="s">
        <v>739</v>
      </c>
      <c r="AQ122" s="159">
        <v>0.4</v>
      </c>
      <c r="AR122" s="103" t="s">
        <v>211</v>
      </c>
      <c r="AS122" s="119" t="s">
        <v>210</v>
      </c>
      <c r="AT122" s="111">
        <v>412797.63442605978</v>
      </c>
      <c r="AU122" s="111">
        <v>448483.33818445751</v>
      </c>
      <c r="AV122" s="111">
        <v>436286.62001220189</v>
      </c>
      <c r="AW122" s="111">
        <v>516477.91373291885</v>
      </c>
      <c r="AX122" s="113">
        <v>374753.24</v>
      </c>
      <c r="AY122" s="113">
        <v>598387.74569999962</v>
      </c>
      <c r="AZ122" s="113">
        <v>490681.8</v>
      </c>
      <c r="BA122" s="113"/>
      <c r="BB122" s="113"/>
      <c r="BC122" s="113"/>
      <c r="BD122" s="113"/>
      <c r="BE122" s="113"/>
      <c r="BF122" s="114">
        <f t="shared" si="102"/>
        <v>374753.24</v>
      </c>
      <c r="BG122" s="114">
        <f t="shared" si="102"/>
        <v>598387.74569999962</v>
      </c>
      <c r="BH122" s="114">
        <f t="shared" si="102"/>
        <v>490681.8</v>
      </c>
      <c r="BI122" s="114">
        <f t="shared" si="102"/>
        <v>0</v>
      </c>
      <c r="BJ122" s="114">
        <f t="shared" si="165"/>
        <v>1463822.7856999997</v>
      </c>
      <c r="BK122" s="115">
        <f t="shared" si="173"/>
        <v>1814045.5063556382</v>
      </c>
      <c r="BL122" s="115">
        <f t="shared" si="140"/>
        <v>1814045.5063556382</v>
      </c>
      <c r="BM122" s="116">
        <f t="shared" si="141"/>
        <v>0.80689999999999995</v>
      </c>
      <c r="BN122" s="126">
        <f t="shared" ca="1" si="174"/>
        <v>0</v>
      </c>
      <c r="BO122" s="117">
        <f t="shared" ca="1" si="175"/>
        <v>0</v>
      </c>
      <c r="BP122" s="118" t="str">
        <f t="shared" si="176"/>
        <v>Uncapped</v>
      </c>
      <c r="BQ122" s="115">
        <f t="shared" ca="1" si="117"/>
        <v>0</v>
      </c>
      <c r="BR122" s="174" t="s">
        <v>740</v>
      </c>
      <c r="BS122" s="175">
        <v>0.4</v>
      </c>
      <c r="BT122" s="174" t="s">
        <v>211</v>
      </c>
      <c r="BU122" s="174" t="s">
        <v>210</v>
      </c>
      <c r="BV122" s="113">
        <v>5205901.7546552001</v>
      </c>
      <c r="BW122" s="113">
        <v>6041740.1313270004</v>
      </c>
      <c r="BX122" s="113">
        <v>5756053.1908810986</v>
      </c>
      <c r="BY122" s="113">
        <v>6160067.2421446964</v>
      </c>
      <c r="BZ122" s="113">
        <v>5515068.8665199988</v>
      </c>
      <c r="CA122" s="113">
        <v>5778683</v>
      </c>
      <c r="CB122" s="113">
        <f>3919994.43121+1172274.56879</f>
        <v>5092269</v>
      </c>
      <c r="CC122" s="113"/>
      <c r="CD122" s="113"/>
      <c r="CE122" s="113"/>
      <c r="CF122" s="113"/>
      <c r="CG122" s="113"/>
      <c r="CH122" s="114">
        <f t="shared" si="103"/>
        <v>5515068.8665199988</v>
      </c>
      <c r="CI122" s="114">
        <f t="shared" si="103"/>
        <v>5778683</v>
      </c>
      <c r="CJ122" s="120">
        <f t="shared" si="103"/>
        <v>5092269</v>
      </c>
      <c r="CK122" s="114">
        <f t="shared" si="103"/>
        <v>0</v>
      </c>
      <c r="CL122" s="114">
        <f t="shared" si="118"/>
        <v>16386020.866519999</v>
      </c>
      <c r="CM122" s="114">
        <f t="shared" si="95"/>
        <v>23163762.319007996</v>
      </c>
      <c r="CN122" s="114">
        <f t="shared" si="142"/>
        <v>23163762.319007996</v>
      </c>
      <c r="CO122" s="116">
        <f t="shared" si="143"/>
        <v>0.70740000000000003</v>
      </c>
      <c r="CP122" s="126">
        <f t="shared" ca="1" si="144"/>
        <v>0</v>
      </c>
      <c r="CQ122" s="115">
        <f t="shared" ca="1" si="119"/>
        <v>0</v>
      </c>
      <c r="CR122" s="118" t="str">
        <f t="shared" si="145"/>
        <v>Uncapped</v>
      </c>
      <c r="CS122" s="115">
        <f t="shared" ca="1" si="120"/>
        <v>0</v>
      </c>
      <c r="CT122" s="113" t="s">
        <v>733</v>
      </c>
      <c r="CU122" s="119">
        <v>0.2</v>
      </c>
      <c r="CV122" s="113" t="s">
        <v>217</v>
      </c>
      <c r="CW122" s="113" t="s">
        <v>210</v>
      </c>
      <c r="CX122" s="113">
        <v>4332720.3217541184</v>
      </c>
      <c r="CY122" s="113">
        <v>4778527.2500066841</v>
      </c>
      <c r="CZ122" s="113">
        <v>4616888.1107896138</v>
      </c>
      <c r="DA122" s="113">
        <v>4787499.8855306264</v>
      </c>
      <c r="DB122" s="113">
        <v>4218409.7</v>
      </c>
      <c r="DC122" s="113">
        <v>4427269.8909500409</v>
      </c>
      <c r="DD122" s="113">
        <v>3879830.89</v>
      </c>
      <c r="DE122" s="113"/>
      <c r="DF122" s="113"/>
      <c r="DG122" s="113"/>
      <c r="DH122" s="113"/>
      <c r="DI122" s="113"/>
      <c r="DJ122" s="114">
        <f t="shared" si="104"/>
        <v>4218409.7</v>
      </c>
      <c r="DK122" s="114">
        <f t="shared" si="104"/>
        <v>4427269.8909500409</v>
      </c>
      <c r="DL122" s="114">
        <f t="shared" si="104"/>
        <v>3879830.89</v>
      </c>
      <c r="DM122" s="114">
        <f t="shared" si="104"/>
        <v>0</v>
      </c>
      <c r="DN122" s="114">
        <f t="shared" si="168"/>
        <v>12525510.480950043</v>
      </c>
      <c r="DO122" s="114">
        <f t="shared" si="96"/>
        <v>18515635.568081044</v>
      </c>
      <c r="DP122" s="114">
        <f t="shared" si="105"/>
        <v>18515635.568081044</v>
      </c>
      <c r="DQ122" s="116">
        <f t="shared" si="146"/>
        <v>0.67649999999999999</v>
      </c>
      <c r="DR122" s="126">
        <f t="shared" ca="1" si="121"/>
        <v>0</v>
      </c>
      <c r="DS122" s="115">
        <f t="shared" ca="1" si="122"/>
        <v>0</v>
      </c>
      <c r="DT122" s="118" t="str">
        <f t="shared" si="147"/>
        <v>Uncapped</v>
      </c>
      <c r="DU122" s="115">
        <f t="shared" ca="1" si="123"/>
        <v>0</v>
      </c>
      <c r="DV122" s="113"/>
      <c r="DW122" s="119">
        <v>0</v>
      </c>
      <c r="DX122" s="113"/>
      <c r="DY122" s="113"/>
      <c r="DZ122" s="113">
        <v>0</v>
      </c>
      <c r="EA122" s="113">
        <v>0</v>
      </c>
      <c r="EB122" s="113">
        <v>0</v>
      </c>
      <c r="EC122" s="113">
        <v>0</v>
      </c>
      <c r="ED122" s="113">
        <v>0</v>
      </c>
      <c r="EE122" s="113">
        <v>0</v>
      </c>
      <c r="EF122" s="113"/>
      <c r="EG122" s="113"/>
      <c r="EH122" s="113"/>
      <c r="EI122" s="113"/>
      <c r="EJ122" s="113"/>
      <c r="EK122" s="113"/>
      <c r="EL122" s="114">
        <f t="shared" si="106"/>
        <v>0</v>
      </c>
      <c r="EM122" s="114">
        <f t="shared" si="106"/>
        <v>0</v>
      </c>
      <c r="EN122" s="114">
        <f t="shared" si="106"/>
        <v>0</v>
      </c>
      <c r="EO122" s="114">
        <f t="shared" si="106"/>
        <v>0</v>
      </c>
      <c r="EP122" s="114">
        <f t="shared" si="124"/>
        <v>0</v>
      </c>
      <c r="EQ122" s="114">
        <f t="shared" si="97"/>
        <v>0</v>
      </c>
      <c r="ER122" s="114">
        <f t="shared" si="148"/>
        <v>0</v>
      </c>
      <c r="ES122" s="116">
        <f t="shared" si="149"/>
        <v>0</v>
      </c>
      <c r="ET122" s="126">
        <f t="shared" ca="1" si="150"/>
        <v>0</v>
      </c>
      <c r="EU122" s="115">
        <f t="shared" ca="1" si="125"/>
        <v>0</v>
      </c>
      <c r="EV122" s="118" t="str">
        <f t="shared" si="126"/>
        <v>Uncapped</v>
      </c>
      <c r="EW122" s="115">
        <f t="shared" ca="1" si="127"/>
        <v>0</v>
      </c>
      <c r="EX122" s="112">
        <f t="shared" ca="1" si="128"/>
        <v>0</v>
      </c>
      <c r="EY122" s="114">
        <f t="shared" ca="1" si="151"/>
        <v>0</v>
      </c>
      <c r="EZ122" s="115">
        <v>0</v>
      </c>
      <c r="FA122" s="115"/>
      <c r="FB122" s="115"/>
      <c r="FC122" s="115">
        <v>0</v>
      </c>
      <c r="FD122" s="115">
        <f t="shared" si="98"/>
        <v>0</v>
      </c>
      <c r="FE122" s="114">
        <f t="shared" si="177"/>
        <v>0</v>
      </c>
      <c r="FF122" s="115">
        <v>0</v>
      </c>
      <c r="FG122" s="115">
        <v>0</v>
      </c>
      <c r="FH122" s="115">
        <v>0</v>
      </c>
      <c r="FI122" s="115">
        <v>0</v>
      </c>
      <c r="FJ122" s="115">
        <f t="shared" si="99"/>
        <v>0</v>
      </c>
      <c r="FK122" s="114">
        <f t="shared" si="178"/>
        <v>0</v>
      </c>
      <c r="FL122" s="113"/>
      <c r="FM122" s="111"/>
      <c r="FN122" s="111"/>
      <c r="FO122" s="111"/>
      <c r="FP122" s="115">
        <f t="shared" si="129"/>
        <v>0</v>
      </c>
      <c r="FQ122" s="115"/>
      <c r="FR122" s="115"/>
      <c r="FS122" s="115"/>
      <c r="FT122" s="114">
        <f t="shared" si="152"/>
        <v>0</v>
      </c>
      <c r="FU122" s="366">
        <f t="shared" ca="1" si="155"/>
        <v>0</v>
      </c>
      <c r="FV122" s="121">
        <f t="shared" ca="1" si="153"/>
        <v>0</v>
      </c>
      <c r="FW122" s="114">
        <f t="shared" si="181"/>
        <v>0</v>
      </c>
      <c r="FX122" s="114">
        <f t="shared" si="181"/>
        <v>0</v>
      </c>
      <c r="FY122" s="114">
        <f t="shared" si="181"/>
        <v>0</v>
      </c>
      <c r="FZ122" s="114">
        <f t="shared" si="181"/>
        <v>0</v>
      </c>
      <c r="GA122" s="114">
        <f t="shared" si="183"/>
        <v>0</v>
      </c>
      <c r="GB122" s="114">
        <f t="shared" si="182"/>
        <v>0</v>
      </c>
      <c r="GC122" s="114">
        <f t="shared" si="182"/>
        <v>0</v>
      </c>
      <c r="GD122" s="114">
        <f t="shared" si="182"/>
        <v>0</v>
      </c>
      <c r="GE122" s="114">
        <f t="shared" si="182"/>
        <v>0</v>
      </c>
      <c r="GF122" s="114">
        <f t="shared" si="184"/>
        <v>0</v>
      </c>
      <c r="GG122" s="114">
        <f t="shared" si="184"/>
        <v>0</v>
      </c>
      <c r="GH122" s="114">
        <f t="shared" si="184"/>
        <v>0</v>
      </c>
      <c r="GI122" s="114">
        <f t="shared" si="184"/>
        <v>0</v>
      </c>
      <c r="GJ122" s="115">
        <f t="shared" si="100"/>
        <v>0</v>
      </c>
      <c r="GK122" s="114">
        <f t="shared" si="131"/>
        <v>0</v>
      </c>
      <c r="GL122" s="114">
        <f t="shared" si="132"/>
        <v>0</v>
      </c>
      <c r="GM122" s="114">
        <f t="shared" si="133"/>
        <v>0</v>
      </c>
      <c r="GN122" s="114">
        <f t="shared" si="134"/>
        <v>0</v>
      </c>
      <c r="GO122" s="114">
        <f t="shared" si="135"/>
        <v>0</v>
      </c>
      <c r="GP122" s="114">
        <f t="shared" si="101"/>
        <v>0</v>
      </c>
      <c r="GQ122" s="114">
        <f t="shared" si="136"/>
        <v>0</v>
      </c>
      <c r="GR122" s="193"/>
      <c r="GS122" s="122">
        <f t="shared" si="166"/>
        <v>30375354.133170042</v>
      </c>
      <c r="GT122" s="122">
        <f t="shared" si="166"/>
        <v>43493443.39344468</v>
      </c>
      <c r="GU122" s="123">
        <f t="shared" si="137"/>
        <v>0.6983892688926121</v>
      </c>
      <c r="GV122" s="124">
        <f t="shared" ca="1" si="138"/>
        <v>0</v>
      </c>
      <c r="GW122" s="124">
        <v>0</v>
      </c>
      <c r="GX122" s="32">
        <f t="shared" ca="1" si="139"/>
        <v>0</v>
      </c>
      <c r="GY122" s="100"/>
    </row>
    <row r="123" spans="1:207" s="408" customFormat="1" hidden="1">
      <c r="C123" s="402"/>
      <c r="D123" s="402"/>
      <c r="E123" s="403"/>
      <c r="F123" s="403" t="s">
        <v>720</v>
      </c>
      <c r="G123" s="403" t="s">
        <v>226</v>
      </c>
      <c r="H123" s="105" t="s">
        <v>556</v>
      </c>
      <c r="I123" s="403" t="s">
        <v>590</v>
      </c>
      <c r="J123" s="403" t="s">
        <v>212</v>
      </c>
      <c r="K123" s="403" t="s">
        <v>544</v>
      </c>
      <c r="L123" s="403"/>
      <c r="M123" s="403"/>
      <c r="N123" s="404"/>
      <c r="O123" s="108">
        <v>43003</v>
      </c>
      <c r="P123" s="108">
        <v>43003</v>
      </c>
      <c r="Q123" s="323">
        <f t="shared" si="112"/>
        <v>0</v>
      </c>
      <c r="R123" s="109">
        <f>IF((P123-VLOOKUP(Q123,month!$A$1:$C$13,3,0))&lt;0,Q123,Q123+1)</f>
        <v>0</v>
      </c>
      <c r="S123" s="108"/>
      <c r="T123" s="110" t="str">
        <f t="shared" si="154"/>
        <v/>
      </c>
      <c r="U123" s="404"/>
      <c r="V123" s="404"/>
      <c r="W123" s="405"/>
      <c r="X123" s="405"/>
      <c r="Y123" s="492"/>
      <c r="Z123" s="406" t="s">
        <v>545</v>
      </c>
      <c r="AA123" s="394">
        <v>1000</v>
      </c>
      <c r="AB123" s="394">
        <v>1000</v>
      </c>
      <c r="AC123" s="394">
        <v>1000</v>
      </c>
      <c r="AD123" s="394">
        <v>1000</v>
      </c>
      <c r="AE123" s="394">
        <v>1000</v>
      </c>
      <c r="AF123" s="394">
        <v>1000</v>
      </c>
      <c r="AG123" s="394">
        <v>1000</v>
      </c>
      <c r="AH123" s="394">
        <v>1000</v>
      </c>
      <c r="AI123" s="394">
        <v>1000</v>
      </c>
      <c r="AJ123" s="394">
        <v>1000</v>
      </c>
      <c r="AK123" s="394">
        <v>1000</v>
      </c>
      <c r="AL123" s="394">
        <v>1000</v>
      </c>
      <c r="AM123" s="388">
        <f t="shared" ref="AM123:AM153" si="185">IF($H$2=1,SUM(AA123:AC123),IF($H$2=2,SUM(AA123:AF123),IF($H$2=3,SUM(AA123:AI123),SUM(AA123:AL123))))</f>
        <v>12000</v>
      </c>
      <c r="AN123" s="388">
        <f t="shared" si="113"/>
        <v>12000</v>
      </c>
      <c r="AO123" s="389">
        <f t="shared" si="180"/>
        <v>1000</v>
      </c>
      <c r="AP123" s="502" t="s">
        <v>739</v>
      </c>
      <c r="AQ123" s="159">
        <v>0.5</v>
      </c>
      <c r="AR123" s="103" t="s">
        <v>211</v>
      </c>
      <c r="AS123" s="119" t="s">
        <v>210</v>
      </c>
      <c r="AT123" s="111">
        <v>1817911.2699174744</v>
      </c>
      <c r="AU123" s="111">
        <v>1963207.6517371542</v>
      </c>
      <c r="AV123" s="111">
        <v>1938737.6633645268</v>
      </c>
      <c r="AW123" s="111">
        <v>2382885.3654021272</v>
      </c>
      <c r="AX123" s="113">
        <v>583092.06000000006</v>
      </c>
      <c r="AY123" s="113">
        <v>530043.22000000009</v>
      </c>
      <c r="AZ123" s="113">
        <v>1308417.72</v>
      </c>
      <c r="BA123" s="113"/>
      <c r="BB123" s="113"/>
      <c r="BC123" s="113"/>
      <c r="BD123" s="113"/>
      <c r="BE123" s="113"/>
      <c r="BF123" s="114">
        <f t="shared" ref="BF123:BI165" si="186">AX123+BB123</f>
        <v>583092.06000000006</v>
      </c>
      <c r="BG123" s="114">
        <f t="shared" si="186"/>
        <v>530043.22000000009</v>
      </c>
      <c r="BH123" s="114">
        <f t="shared" si="186"/>
        <v>1308417.72</v>
      </c>
      <c r="BI123" s="114">
        <f t="shared" si="186"/>
        <v>0</v>
      </c>
      <c r="BJ123" s="114">
        <f t="shared" si="165"/>
        <v>2421553</v>
      </c>
      <c r="BK123" s="115">
        <f t="shared" si="173"/>
        <v>8102741.950421283</v>
      </c>
      <c r="BL123" s="115">
        <f t="shared" si="140"/>
        <v>8102741.950421283</v>
      </c>
      <c r="BM123" s="116">
        <f t="shared" si="141"/>
        <v>0.2989</v>
      </c>
      <c r="BN123" s="126">
        <f t="shared" ca="1" si="174"/>
        <v>0</v>
      </c>
      <c r="BO123" s="117">
        <f t="shared" ca="1" si="175"/>
        <v>0</v>
      </c>
      <c r="BP123" s="118" t="str">
        <f t="shared" si="176"/>
        <v>Uncapped</v>
      </c>
      <c r="BQ123" s="115">
        <f t="shared" ca="1" si="117"/>
        <v>0</v>
      </c>
      <c r="BR123" s="174" t="s">
        <v>761</v>
      </c>
      <c r="BS123" s="175">
        <v>0.3</v>
      </c>
      <c r="BT123" s="174" t="s">
        <v>211</v>
      </c>
      <c r="BU123" s="174" t="s">
        <v>210</v>
      </c>
      <c r="BV123" s="113">
        <v>23000</v>
      </c>
      <c r="BW123" s="113">
        <v>144250</v>
      </c>
      <c r="BX123" s="113">
        <v>201949.99999999997</v>
      </c>
      <c r="BY123" s="113">
        <v>230800</v>
      </c>
      <c r="BZ123" s="113">
        <v>22269.17</v>
      </c>
      <c r="CA123" s="113">
        <v>154523.45499999996</v>
      </c>
      <c r="CB123" s="113">
        <v>158652.35999999999</v>
      </c>
      <c r="CC123" s="113"/>
      <c r="CD123" s="113"/>
      <c r="CE123" s="113"/>
      <c r="CF123" s="113"/>
      <c r="CG123" s="113"/>
      <c r="CH123" s="114">
        <f t="shared" ref="CH123:CK165" si="187">BZ123+CD123</f>
        <v>22269.17</v>
      </c>
      <c r="CI123" s="114">
        <f t="shared" si="187"/>
        <v>154523.45499999996</v>
      </c>
      <c r="CJ123" s="120">
        <f t="shared" si="187"/>
        <v>158652.35999999999</v>
      </c>
      <c r="CK123" s="114">
        <f t="shared" si="187"/>
        <v>0</v>
      </c>
      <c r="CL123" s="114">
        <f t="shared" si="118"/>
        <v>335444.98499999993</v>
      </c>
      <c r="CM123" s="114">
        <f t="shared" ref="CM123:CM152" si="188">IF($H$2=1,BV123,IF($H$2=2,SUM(BV123:BW123),IF($H$2=3,SUM(BV123:BX123),SUM(BV123:BY123))))</f>
        <v>600000</v>
      </c>
      <c r="CN123" s="114">
        <f t="shared" ref="CN123:CN180" si="189">SUM(BV123:BY123)</f>
        <v>600000</v>
      </c>
      <c r="CO123" s="116">
        <f t="shared" si="143"/>
        <v>0.55910000000000004</v>
      </c>
      <c r="CP123" s="126">
        <f t="shared" ca="1" si="144"/>
        <v>0</v>
      </c>
      <c r="CQ123" s="115">
        <f t="shared" ca="1" si="119"/>
        <v>0</v>
      </c>
      <c r="CR123" s="118" t="str">
        <f t="shared" si="145"/>
        <v>Uncapped</v>
      </c>
      <c r="CS123" s="115">
        <f t="shared" ca="1" si="120"/>
        <v>0</v>
      </c>
      <c r="CT123" s="113" t="s">
        <v>729</v>
      </c>
      <c r="CU123" s="119">
        <v>0.2</v>
      </c>
      <c r="CV123" s="113" t="s">
        <v>217</v>
      </c>
      <c r="CW123" s="113" t="s">
        <v>210</v>
      </c>
      <c r="CX123" s="113">
        <v>13631298.3753272</v>
      </c>
      <c r="CY123" s="113">
        <v>15463517.626933601</v>
      </c>
      <c r="CZ123" s="113">
        <v>15159650.061351301</v>
      </c>
      <c r="DA123" s="113">
        <v>16523055.704212198</v>
      </c>
      <c r="DB123" s="113">
        <v>13485327.436090879</v>
      </c>
      <c r="DC123" s="113">
        <v>13198691</v>
      </c>
      <c r="DD123" s="113">
        <v>13923765.347779993</v>
      </c>
      <c r="DE123" s="113"/>
      <c r="DF123" s="113"/>
      <c r="DG123" s="113"/>
      <c r="DH123" s="113"/>
      <c r="DI123" s="113"/>
      <c r="DJ123" s="114">
        <f t="shared" ref="DJ123:DM165" si="190">DB123+DF123</f>
        <v>13485327.436090879</v>
      </c>
      <c r="DK123" s="114">
        <f t="shared" si="190"/>
        <v>13198691</v>
      </c>
      <c r="DL123" s="114">
        <f t="shared" si="190"/>
        <v>13923765.347779993</v>
      </c>
      <c r="DM123" s="114">
        <f t="shared" si="190"/>
        <v>0</v>
      </c>
      <c r="DN123" s="114">
        <f t="shared" si="168"/>
        <v>40607783.783870876</v>
      </c>
      <c r="DO123" s="114">
        <f t="shared" si="96"/>
        <v>60777521.7678243</v>
      </c>
      <c r="DP123" s="114">
        <f t="shared" si="105"/>
        <v>60777521.7678243</v>
      </c>
      <c r="DQ123" s="116">
        <f t="shared" si="146"/>
        <v>0.66810000000000003</v>
      </c>
      <c r="DR123" s="126">
        <f t="shared" ca="1" si="121"/>
        <v>0</v>
      </c>
      <c r="DS123" s="115">
        <f t="shared" ca="1" si="122"/>
        <v>0</v>
      </c>
      <c r="DT123" s="118" t="str">
        <f t="shared" si="147"/>
        <v>Uncapped</v>
      </c>
      <c r="DU123" s="115">
        <f t="shared" ca="1" si="123"/>
        <v>0</v>
      </c>
      <c r="DV123" s="113"/>
      <c r="DW123" s="119">
        <v>0</v>
      </c>
      <c r="DX123" s="113"/>
      <c r="DY123" s="113"/>
      <c r="DZ123" s="113">
        <v>0</v>
      </c>
      <c r="EA123" s="113">
        <v>0</v>
      </c>
      <c r="EB123" s="113">
        <v>0</v>
      </c>
      <c r="EC123" s="113">
        <v>0</v>
      </c>
      <c r="ED123" s="113">
        <v>0</v>
      </c>
      <c r="EE123" s="113">
        <v>0</v>
      </c>
      <c r="EF123" s="113"/>
      <c r="EG123" s="113"/>
      <c r="EH123" s="113"/>
      <c r="EI123" s="113"/>
      <c r="EJ123" s="113"/>
      <c r="EK123" s="113"/>
      <c r="EL123" s="114">
        <f t="shared" ref="EL123:EO165" si="191">ED123+EH123</f>
        <v>0</v>
      </c>
      <c r="EM123" s="114">
        <f t="shared" si="191"/>
        <v>0</v>
      </c>
      <c r="EN123" s="114">
        <f t="shared" si="191"/>
        <v>0</v>
      </c>
      <c r="EO123" s="114">
        <f t="shared" si="191"/>
        <v>0</v>
      </c>
      <c r="EP123" s="114">
        <f t="shared" si="124"/>
        <v>0</v>
      </c>
      <c r="EQ123" s="114">
        <f t="shared" si="97"/>
        <v>0</v>
      </c>
      <c r="ER123" s="114">
        <f t="shared" ref="ER123:ER180" si="192">SUM(DZ123:EC123)</f>
        <v>0</v>
      </c>
      <c r="ES123" s="116">
        <f t="shared" si="149"/>
        <v>0</v>
      </c>
      <c r="ET123" s="126">
        <f t="shared" ca="1" si="150"/>
        <v>0</v>
      </c>
      <c r="EU123" s="115">
        <f t="shared" ca="1" si="125"/>
        <v>0</v>
      </c>
      <c r="EV123" s="118" t="str">
        <f t="shared" si="126"/>
        <v>Uncapped</v>
      </c>
      <c r="EW123" s="115">
        <f t="shared" ca="1" si="127"/>
        <v>0</v>
      </c>
      <c r="EX123" s="112">
        <f t="shared" ca="1" si="128"/>
        <v>0</v>
      </c>
      <c r="EY123" s="114">
        <f t="shared" ca="1" si="151"/>
        <v>0</v>
      </c>
      <c r="EZ123" s="115">
        <v>0</v>
      </c>
      <c r="FA123" s="115"/>
      <c r="FB123" s="115"/>
      <c r="FC123" s="115">
        <v>0</v>
      </c>
      <c r="FD123" s="115">
        <f t="shared" si="98"/>
        <v>0</v>
      </c>
      <c r="FE123" s="114">
        <f t="shared" si="177"/>
        <v>0</v>
      </c>
      <c r="FF123" s="115">
        <v>0</v>
      </c>
      <c r="FG123" s="115">
        <v>0</v>
      </c>
      <c r="FH123" s="115">
        <v>0</v>
      </c>
      <c r="FI123" s="115">
        <v>0</v>
      </c>
      <c r="FJ123" s="115">
        <f t="shared" si="99"/>
        <v>0</v>
      </c>
      <c r="FK123" s="114">
        <f t="shared" si="178"/>
        <v>0</v>
      </c>
      <c r="FL123" s="113"/>
      <c r="FM123" s="111"/>
      <c r="FN123" s="111"/>
      <c r="FO123" s="111"/>
      <c r="FP123" s="115">
        <f t="shared" si="129"/>
        <v>0</v>
      </c>
      <c r="FQ123" s="115"/>
      <c r="FR123" s="115"/>
      <c r="FS123" s="115"/>
      <c r="FT123" s="114">
        <f t="shared" si="152"/>
        <v>0</v>
      </c>
      <c r="FU123" s="366">
        <f t="shared" ca="1" si="155"/>
        <v>0</v>
      </c>
      <c r="FV123" s="121">
        <f t="shared" ca="1" si="153"/>
        <v>0</v>
      </c>
      <c r="FW123" s="114">
        <f t="shared" si="181"/>
        <v>0</v>
      </c>
      <c r="FX123" s="114">
        <f t="shared" si="181"/>
        <v>0</v>
      </c>
      <c r="FY123" s="114">
        <f t="shared" si="181"/>
        <v>0</v>
      </c>
      <c r="FZ123" s="114">
        <f t="shared" si="181"/>
        <v>0</v>
      </c>
      <c r="GA123" s="114">
        <f t="shared" si="183"/>
        <v>0</v>
      </c>
      <c r="GB123" s="114">
        <f t="shared" si="182"/>
        <v>0</v>
      </c>
      <c r="GC123" s="114">
        <f t="shared" si="182"/>
        <v>0</v>
      </c>
      <c r="GD123" s="114">
        <f t="shared" si="182"/>
        <v>0</v>
      </c>
      <c r="GE123" s="114">
        <f t="shared" si="182"/>
        <v>0</v>
      </c>
      <c r="GF123" s="114">
        <f t="shared" si="184"/>
        <v>0</v>
      </c>
      <c r="GG123" s="114">
        <f t="shared" si="184"/>
        <v>0</v>
      </c>
      <c r="GH123" s="114">
        <f t="shared" si="184"/>
        <v>0</v>
      </c>
      <c r="GI123" s="114">
        <f t="shared" si="184"/>
        <v>0</v>
      </c>
      <c r="GJ123" s="115">
        <f t="shared" si="100"/>
        <v>0</v>
      </c>
      <c r="GK123" s="114">
        <f t="shared" si="131"/>
        <v>0</v>
      </c>
      <c r="GL123" s="114">
        <f t="shared" si="132"/>
        <v>0</v>
      </c>
      <c r="GM123" s="114">
        <f t="shared" si="133"/>
        <v>0</v>
      </c>
      <c r="GN123" s="114">
        <f t="shared" si="134"/>
        <v>0</v>
      </c>
      <c r="GO123" s="114">
        <f t="shared" si="135"/>
        <v>0</v>
      </c>
      <c r="GP123" s="114">
        <f t="shared" si="101"/>
        <v>0</v>
      </c>
      <c r="GQ123" s="114">
        <f t="shared" si="136"/>
        <v>0</v>
      </c>
      <c r="GR123" s="193"/>
      <c r="GS123" s="122">
        <f t="shared" si="166"/>
        <v>43364781.768870875</v>
      </c>
      <c r="GT123" s="122">
        <f t="shared" si="166"/>
        <v>69480263.718245581</v>
      </c>
      <c r="GU123" s="123">
        <f t="shared" si="137"/>
        <v>0.62413093227052974</v>
      </c>
      <c r="GV123" s="124">
        <f t="shared" ca="1" si="138"/>
        <v>0</v>
      </c>
      <c r="GW123" s="124">
        <v>0</v>
      </c>
      <c r="GX123" s="32">
        <f t="shared" ca="1" si="139"/>
        <v>0</v>
      </c>
      <c r="GY123" s="100"/>
    </row>
    <row r="124" spans="1:207" s="408" customFormat="1" hidden="1">
      <c r="C124" s="402"/>
      <c r="D124" s="402"/>
      <c r="E124" s="403"/>
      <c r="F124" s="403" t="s">
        <v>720</v>
      </c>
      <c r="G124" s="403" t="s">
        <v>226</v>
      </c>
      <c r="H124" s="105" t="s">
        <v>557</v>
      </c>
      <c r="I124" s="403" t="s">
        <v>591</v>
      </c>
      <c r="J124" s="403" t="s">
        <v>212</v>
      </c>
      <c r="K124" s="403" t="s">
        <v>544</v>
      </c>
      <c r="L124" s="403"/>
      <c r="M124" s="403"/>
      <c r="N124" s="404"/>
      <c r="O124" s="108">
        <v>43374</v>
      </c>
      <c r="P124" s="108">
        <v>43374</v>
      </c>
      <c r="Q124" s="323">
        <f t="shared" si="112"/>
        <v>0</v>
      </c>
      <c r="R124" s="109">
        <f>IF((P124-VLOOKUP(Q124,month!$A$1:$C$13,3,0))&lt;0,Q124,Q124+1)</f>
        <v>0</v>
      </c>
      <c r="S124" s="108"/>
      <c r="T124" s="110" t="str">
        <f t="shared" si="154"/>
        <v/>
      </c>
      <c r="U124" s="404"/>
      <c r="V124" s="404"/>
      <c r="W124" s="405"/>
      <c r="X124" s="405"/>
      <c r="Y124" s="492"/>
      <c r="Z124" s="406" t="s">
        <v>545</v>
      </c>
      <c r="AA124" s="394">
        <v>1000</v>
      </c>
      <c r="AB124" s="394">
        <v>1000</v>
      </c>
      <c r="AC124" s="394">
        <v>1000</v>
      </c>
      <c r="AD124" s="394">
        <v>1000</v>
      </c>
      <c r="AE124" s="394">
        <v>1000</v>
      </c>
      <c r="AF124" s="394">
        <v>1000</v>
      </c>
      <c r="AG124" s="394">
        <v>1000</v>
      </c>
      <c r="AH124" s="394">
        <v>1000</v>
      </c>
      <c r="AI124" s="394">
        <v>1000</v>
      </c>
      <c r="AJ124" s="394">
        <v>1000</v>
      </c>
      <c r="AK124" s="394">
        <v>1000</v>
      </c>
      <c r="AL124" s="394">
        <v>1000</v>
      </c>
      <c r="AM124" s="388">
        <f t="shared" si="185"/>
        <v>12000</v>
      </c>
      <c r="AN124" s="388">
        <f t="shared" si="113"/>
        <v>12000</v>
      </c>
      <c r="AO124" s="389">
        <f t="shared" si="180"/>
        <v>1000</v>
      </c>
      <c r="AP124" s="502" t="s">
        <v>750</v>
      </c>
      <c r="AQ124" s="159">
        <v>0.5</v>
      </c>
      <c r="AR124" s="103" t="s">
        <v>211</v>
      </c>
      <c r="AS124" s="119" t="s">
        <v>210</v>
      </c>
      <c r="AT124" s="111">
        <v>720887.91968241916</v>
      </c>
      <c r="AU124" s="111">
        <v>784595.67437440774</v>
      </c>
      <c r="AV124" s="111">
        <v>746491.73576980887</v>
      </c>
      <c r="AW124" s="111">
        <v>808196.19358136377</v>
      </c>
      <c r="AX124" s="113">
        <v>1424487.42</v>
      </c>
      <c r="AY124" s="113">
        <v>1196357.4045000002</v>
      </c>
      <c r="AZ124" s="113">
        <v>721705.2470999998</v>
      </c>
      <c r="BA124" s="113"/>
      <c r="BB124" s="113"/>
      <c r="BC124" s="113"/>
      <c r="BD124" s="113"/>
      <c r="BE124" s="113"/>
      <c r="BF124" s="114">
        <f t="shared" si="186"/>
        <v>1424487.42</v>
      </c>
      <c r="BG124" s="114">
        <f t="shared" si="186"/>
        <v>1196357.4045000002</v>
      </c>
      <c r="BH124" s="114">
        <f t="shared" si="186"/>
        <v>721705.2470999998</v>
      </c>
      <c r="BI124" s="114">
        <f t="shared" si="186"/>
        <v>0</v>
      </c>
      <c r="BJ124" s="114">
        <f t="shared" si="165"/>
        <v>3342550.0715999999</v>
      </c>
      <c r="BK124" s="115">
        <f t="shared" si="173"/>
        <v>3060171.5234079994</v>
      </c>
      <c r="BL124" s="115">
        <f t="shared" si="140"/>
        <v>3060171.5234079994</v>
      </c>
      <c r="BM124" s="116">
        <f t="shared" si="141"/>
        <v>1.0923</v>
      </c>
      <c r="BN124" s="126">
        <f t="shared" ca="1" si="174"/>
        <v>0</v>
      </c>
      <c r="BO124" s="117">
        <f t="shared" ca="1" si="175"/>
        <v>0</v>
      </c>
      <c r="BP124" s="118" t="str">
        <f t="shared" si="176"/>
        <v>Uncapped</v>
      </c>
      <c r="BQ124" s="115">
        <f t="shared" ca="1" si="117"/>
        <v>0</v>
      </c>
      <c r="BR124" s="174" t="s">
        <v>762</v>
      </c>
      <c r="BS124" s="175">
        <v>0.3</v>
      </c>
      <c r="BT124" s="174" t="s">
        <v>211</v>
      </c>
      <c r="BU124" s="174" t="s">
        <v>210</v>
      </c>
      <c r="BV124" s="113">
        <v>2237916.9674079753</v>
      </c>
      <c r="BW124" s="113">
        <v>2593737.6672715819</v>
      </c>
      <c r="BX124" s="113">
        <v>2631062.6626689765</v>
      </c>
      <c r="BY124" s="113">
        <v>2613100.8468210953</v>
      </c>
      <c r="BZ124" s="113">
        <v>2333200.87</v>
      </c>
      <c r="CA124" s="113">
        <v>2209902.1916999999</v>
      </c>
      <c r="CB124" s="113">
        <v>1880202.3</v>
      </c>
      <c r="CC124" s="113"/>
      <c r="CD124" s="113"/>
      <c r="CE124" s="113"/>
      <c r="CF124" s="113"/>
      <c r="CG124" s="113"/>
      <c r="CH124" s="114">
        <f t="shared" si="187"/>
        <v>2333200.87</v>
      </c>
      <c r="CI124" s="114">
        <f t="shared" si="187"/>
        <v>2209902.1916999999</v>
      </c>
      <c r="CJ124" s="120">
        <f t="shared" si="187"/>
        <v>1880202.3</v>
      </c>
      <c r="CK124" s="114">
        <f t="shared" si="187"/>
        <v>0</v>
      </c>
      <c r="CL124" s="114">
        <f t="shared" si="118"/>
        <v>6423305.3616999993</v>
      </c>
      <c r="CM124" s="114">
        <f t="shared" si="188"/>
        <v>10075818.14416963</v>
      </c>
      <c r="CN124" s="114">
        <f t="shared" si="189"/>
        <v>10075818.14416963</v>
      </c>
      <c r="CO124" s="116">
        <f t="shared" si="143"/>
        <v>0.63749999999999996</v>
      </c>
      <c r="CP124" s="126">
        <f t="shared" ca="1" si="144"/>
        <v>0</v>
      </c>
      <c r="CQ124" s="115">
        <f t="shared" ca="1" si="119"/>
        <v>0</v>
      </c>
      <c r="CR124" s="118" t="str">
        <f t="shared" si="145"/>
        <v>Uncapped</v>
      </c>
      <c r="CS124" s="115">
        <f t="shared" ca="1" si="120"/>
        <v>0</v>
      </c>
      <c r="CT124" s="113" t="s">
        <v>729</v>
      </c>
      <c r="CU124" s="119">
        <v>0.2</v>
      </c>
      <c r="CV124" s="113" t="s">
        <v>217</v>
      </c>
      <c r="CW124" s="113" t="s">
        <v>210</v>
      </c>
      <c r="CX124" s="113">
        <v>13631298.3753272</v>
      </c>
      <c r="CY124" s="113">
        <v>15463517.626933601</v>
      </c>
      <c r="CZ124" s="113">
        <v>15159650.061351301</v>
      </c>
      <c r="DA124" s="113">
        <v>16523055.704212198</v>
      </c>
      <c r="DB124" s="113">
        <v>13485327.436090879</v>
      </c>
      <c r="DC124" s="113">
        <v>13198691</v>
      </c>
      <c r="DD124" s="113">
        <v>13923765.347779993</v>
      </c>
      <c r="DE124" s="113"/>
      <c r="DF124" s="113"/>
      <c r="DG124" s="113"/>
      <c r="DH124" s="113"/>
      <c r="DI124" s="113"/>
      <c r="DJ124" s="114">
        <f t="shared" si="190"/>
        <v>13485327.436090879</v>
      </c>
      <c r="DK124" s="114">
        <f t="shared" si="190"/>
        <v>13198691</v>
      </c>
      <c r="DL124" s="114">
        <f t="shared" si="190"/>
        <v>13923765.347779993</v>
      </c>
      <c r="DM124" s="114">
        <f t="shared" si="190"/>
        <v>0</v>
      </c>
      <c r="DN124" s="114">
        <f t="shared" si="168"/>
        <v>40607783.783870876</v>
      </c>
      <c r="DO124" s="114">
        <f t="shared" si="96"/>
        <v>60777521.7678243</v>
      </c>
      <c r="DP124" s="114">
        <f t="shared" si="105"/>
        <v>60777521.7678243</v>
      </c>
      <c r="DQ124" s="116">
        <f t="shared" si="146"/>
        <v>0.66810000000000003</v>
      </c>
      <c r="DR124" s="126">
        <f t="shared" ca="1" si="121"/>
        <v>0</v>
      </c>
      <c r="DS124" s="115">
        <f t="shared" ca="1" si="122"/>
        <v>0</v>
      </c>
      <c r="DT124" s="118" t="str">
        <f t="shared" si="147"/>
        <v>Uncapped</v>
      </c>
      <c r="DU124" s="115">
        <f t="shared" ca="1" si="123"/>
        <v>0</v>
      </c>
      <c r="DV124" s="113"/>
      <c r="DW124" s="119">
        <v>0</v>
      </c>
      <c r="DX124" s="113"/>
      <c r="DY124" s="113"/>
      <c r="DZ124" s="113">
        <v>0</v>
      </c>
      <c r="EA124" s="113">
        <v>0</v>
      </c>
      <c r="EB124" s="113">
        <v>0</v>
      </c>
      <c r="EC124" s="113">
        <v>0</v>
      </c>
      <c r="ED124" s="113">
        <v>0</v>
      </c>
      <c r="EE124" s="113">
        <v>0</v>
      </c>
      <c r="EF124" s="113"/>
      <c r="EG124" s="113"/>
      <c r="EH124" s="113"/>
      <c r="EI124" s="113"/>
      <c r="EJ124" s="113"/>
      <c r="EK124" s="113"/>
      <c r="EL124" s="114">
        <f t="shared" si="191"/>
        <v>0</v>
      </c>
      <c r="EM124" s="114">
        <f t="shared" si="191"/>
        <v>0</v>
      </c>
      <c r="EN124" s="114">
        <f t="shared" si="191"/>
        <v>0</v>
      </c>
      <c r="EO124" s="114">
        <f t="shared" si="191"/>
        <v>0</v>
      </c>
      <c r="EP124" s="114">
        <f t="shared" si="124"/>
        <v>0</v>
      </c>
      <c r="EQ124" s="114">
        <f t="shared" si="97"/>
        <v>0</v>
      </c>
      <c r="ER124" s="114">
        <f t="shared" si="192"/>
        <v>0</v>
      </c>
      <c r="ES124" s="116">
        <f t="shared" si="149"/>
        <v>0</v>
      </c>
      <c r="ET124" s="126">
        <f t="shared" ca="1" si="150"/>
        <v>0</v>
      </c>
      <c r="EU124" s="115">
        <f t="shared" ca="1" si="125"/>
        <v>0</v>
      </c>
      <c r="EV124" s="118" t="str">
        <f t="shared" si="126"/>
        <v>Uncapped</v>
      </c>
      <c r="EW124" s="115">
        <f t="shared" ca="1" si="127"/>
        <v>0</v>
      </c>
      <c r="EX124" s="112">
        <f t="shared" ca="1" si="128"/>
        <v>0</v>
      </c>
      <c r="EY124" s="114">
        <f t="shared" ca="1" si="151"/>
        <v>0</v>
      </c>
      <c r="EZ124" s="115">
        <v>0</v>
      </c>
      <c r="FA124" s="115"/>
      <c r="FB124" s="115"/>
      <c r="FC124" s="115">
        <v>0</v>
      </c>
      <c r="FD124" s="115">
        <f t="shared" si="98"/>
        <v>0</v>
      </c>
      <c r="FE124" s="114">
        <f t="shared" si="177"/>
        <v>0</v>
      </c>
      <c r="FF124" s="115">
        <v>0</v>
      </c>
      <c r="FG124" s="115">
        <v>0</v>
      </c>
      <c r="FH124" s="115">
        <v>0</v>
      </c>
      <c r="FI124" s="115">
        <v>0</v>
      </c>
      <c r="FJ124" s="115">
        <f t="shared" si="99"/>
        <v>0</v>
      </c>
      <c r="FK124" s="114">
        <f t="shared" si="178"/>
        <v>0</v>
      </c>
      <c r="FL124" s="113"/>
      <c r="FM124" s="111"/>
      <c r="FN124" s="111"/>
      <c r="FO124" s="111"/>
      <c r="FP124" s="115">
        <f t="shared" si="129"/>
        <v>0</v>
      </c>
      <c r="FQ124" s="115"/>
      <c r="FR124" s="115"/>
      <c r="FS124" s="115"/>
      <c r="FT124" s="114">
        <f t="shared" si="152"/>
        <v>0</v>
      </c>
      <c r="FU124" s="366">
        <f t="shared" ca="1" si="155"/>
        <v>0</v>
      </c>
      <c r="FV124" s="121">
        <f t="shared" ca="1" si="153"/>
        <v>0</v>
      </c>
      <c r="FW124" s="114">
        <f t="shared" si="181"/>
        <v>0</v>
      </c>
      <c r="FX124" s="114">
        <f t="shared" si="181"/>
        <v>0</v>
      </c>
      <c r="FY124" s="114">
        <f t="shared" si="181"/>
        <v>0</v>
      </c>
      <c r="FZ124" s="114">
        <f t="shared" si="181"/>
        <v>0</v>
      </c>
      <c r="GA124" s="114">
        <f t="shared" si="183"/>
        <v>0</v>
      </c>
      <c r="GB124" s="114">
        <f t="shared" si="182"/>
        <v>0</v>
      </c>
      <c r="GC124" s="114">
        <f t="shared" si="182"/>
        <v>0</v>
      </c>
      <c r="GD124" s="114">
        <f t="shared" si="182"/>
        <v>0</v>
      </c>
      <c r="GE124" s="114">
        <f t="shared" si="182"/>
        <v>0</v>
      </c>
      <c r="GF124" s="114">
        <f t="shared" si="184"/>
        <v>0</v>
      </c>
      <c r="GG124" s="114">
        <f t="shared" si="184"/>
        <v>0</v>
      </c>
      <c r="GH124" s="114">
        <f t="shared" si="184"/>
        <v>0</v>
      </c>
      <c r="GI124" s="114">
        <f t="shared" si="184"/>
        <v>0</v>
      </c>
      <c r="GJ124" s="115">
        <f t="shared" si="100"/>
        <v>0</v>
      </c>
      <c r="GK124" s="114">
        <f t="shared" si="131"/>
        <v>0</v>
      </c>
      <c r="GL124" s="114">
        <f t="shared" si="132"/>
        <v>0</v>
      </c>
      <c r="GM124" s="114">
        <f t="shared" si="133"/>
        <v>0</v>
      </c>
      <c r="GN124" s="114">
        <f t="shared" si="134"/>
        <v>0</v>
      </c>
      <c r="GO124" s="114">
        <f t="shared" si="135"/>
        <v>0</v>
      </c>
      <c r="GP124" s="114">
        <f t="shared" si="101"/>
        <v>0</v>
      </c>
      <c r="GQ124" s="114">
        <f t="shared" si="136"/>
        <v>0</v>
      </c>
      <c r="GR124" s="193"/>
      <c r="GS124" s="122">
        <f t="shared" si="166"/>
        <v>50373639.217170879</v>
      </c>
      <c r="GT124" s="122">
        <f t="shared" si="166"/>
        <v>73913511.435401931</v>
      </c>
      <c r="GU124" s="123">
        <f t="shared" si="137"/>
        <v>0.68152139221792818</v>
      </c>
      <c r="GV124" s="124">
        <f t="shared" ca="1" si="138"/>
        <v>0</v>
      </c>
      <c r="GW124" s="124">
        <v>0</v>
      </c>
      <c r="GX124" s="32">
        <f t="shared" ca="1" si="139"/>
        <v>0</v>
      </c>
      <c r="GY124" s="100"/>
    </row>
    <row r="125" spans="1:207" s="408" customFormat="1" hidden="1">
      <c r="C125" s="402"/>
      <c r="D125" s="402"/>
      <c r="E125" s="403"/>
      <c r="F125" s="403" t="s">
        <v>720</v>
      </c>
      <c r="G125" s="403" t="s">
        <v>226</v>
      </c>
      <c r="H125" s="105" t="s">
        <v>558</v>
      </c>
      <c r="I125" s="403" t="s">
        <v>592</v>
      </c>
      <c r="J125" s="403" t="s">
        <v>212</v>
      </c>
      <c r="K125" s="403" t="s">
        <v>544</v>
      </c>
      <c r="L125" s="403"/>
      <c r="M125" s="403"/>
      <c r="N125" s="404"/>
      <c r="O125" s="108">
        <v>43221</v>
      </c>
      <c r="P125" s="108">
        <v>43221</v>
      </c>
      <c r="Q125" s="323">
        <f t="shared" si="112"/>
        <v>0</v>
      </c>
      <c r="R125" s="109">
        <f>IF((P125-VLOOKUP(Q125,month!$A$1:$C$13,3,0))&lt;0,Q125,Q125+1)</f>
        <v>0</v>
      </c>
      <c r="S125" s="108"/>
      <c r="T125" s="110" t="str">
        <f t="shared" si="154"/>
        <v/>
      </c>
      <c r="U125" s="404"/>
      <c r="V125" s="404"/>
      <c r="W125" s="405"/>
      <c r="X125" s="405"/>
      <c r="Y125" s="492"/>
      <c r="Z125" s="406" t="s">
        <v>545</v>
      </c>
      <c r="AA125" s="394">
        <v>1000</v>
      </c>
      <c r="AB125" s="394">
        <v>1000</v>
      </c>
      <c r="AC125" s="394">
        <v>1000</v>
      </c>
      <c r="AD125" s="394">
        <v>1000</v>
      </c>
      <c r="AE125" s="394">
        <v>1000</v>
      </c>
      <c r="AF125" s="394">
        <v>1000</v>
      </c>
      <c r="AG125" s="394">
        <v>1000</v>
      </c>
      <c r="AH125" s="394">
        <v>1000</v>
      </c>
      <c r="AI125" s="394">
        <v>1000</v>
      </c>
      <c r="AJ125" s="394">
        <v>1000</v>
      </c>
      <c r="AK125" s="394">
        <v>1000</v>
      </c>
      <c r="AL125" s="394">
        <v>1000</v>
      </c>
      <c r="AM125" s="388">
        <f t="shared" si="185"/>
        <v>12000</v>
      </c>
      <c r="AN125" s="388">
        <f t="shared" si="113"/>
        <v>12000</v>
      </c>
      <c r="AO125" s="389">
        <f t="shared" si="180"/>
        <v>1000</v>
      </c>
      <c r="AP125" s="502" t="s">
        <v>750</v>
      </c>
      <c r="AQ125" s="159">
        <v>0.5</v>
      </c>
      <c r="AR125" s="103" t="s">
        <v>211</v>
      </c>
      <c r="AS125" s="119" t="s">
        <v>210</v>
      </c>
      <c r="AT125" s="111">
        <v>619023.70180270565</v>
      </c>
      <c r="AU125" s="111">
        <v>689370.67089741363</v>
      </c>
      <c r="AV125" s="111">
        <v>657617.80913764494</v>
      </c>
      <c r="AW125" s="111">
        <v>770191.79826823843</v>
      </c>
      <c r="AX125" s="113">
        <v>773116.82</v>
      </c>
      <c r="AY125" s="113">
        <v>760063.59</v>
      </c>
      <c r="AZ125" s="113">
        <v>705215.07</v>
      </c>
      <c r="BA125" s="113"/>
      <c r="BB125" s="113"/>
      <c r="BC125" s="113"/>
      <c r="BD125" s="113"/>
      <c r="BE125" s="113"/>
      <c r="BF125" s="114">
        <f t="shared" si="186"/>
        <v>773116.82</v>
      </c>
      <c r="BG125" s="114">
        <f t="shared" si="186"/>
        <v>760063.59</v>
      </c>
      <c r="BH125" s="114">
        <f t="shared" si="186"/>
        <v>705215.07</v>
      </c>
      <c r="BI125" s="114">
        <f t="shared" si="186"/>
        <v>0</v>
      </c>
      <c r="BJ125" s="114">
        <f t="shared" ref="BJ125:BJ153" si="193">IF($BB$3="After AR Adjustment",IF($H$2=1,BF125,IF($H$2=2,SUM(BF125:BG125),IF($H$2=3,SUM(BF125:BH125),SUM(BF125:BI125)))),IF($H$2=1,AX125,IF($H$2=2,SUM(AX125:AY125),IF($H$2=3,SUM(AX125:AZ125),SUM(AX125:BA125)))))</f>
        <v>2238395.48</v>
      </c>
      <c r="BK125" s="115">
        <f t="shared" si="173"/>
        <v>2736203.9801060027</v>
      </c>
      <c r="BL125" s="115">
        <f t="shared" si="140"/>
        <v>2736203.9801060027</v>
      </c>
      <c r="BM125" s="116">
        <f t="shared" si="141"/>
        <v>0.81810000000000005</v>
      </c>
      <c r="BN125" s="126">
        <f t="shared" ca="1" si="174"/>
        <v>0</v>
      </c>
      <c r="BO125" s="117">
        <f t="shared" ca="1" si="175"/>
        <v>0</v>
      </c>
      <c r="BP125" s="118" t="str">
        <f t="shared" si="176"/>
        <v>Uncapped</v>
      </c>
      <c r="BQ125" s="115">
        <f t="shared" ca="1" si="117"/>
        <v>0</v>
      </c>
      <c r="BR125" s="174" t="s">
        <v>762</v>
      </c>
      <c r="BS125" s="175">
        <v>0.3</v>
      </c>
      <c r="BT125" s="174" t="s">
        <v>211</v>
      </c>
      <c r="BU125" s="174" t="s">
        <v>210</v>
      </c>
      <c r="BV125" s="113">
        <v>2060801.742359617</v>
      </c>
      <c r="BW125" s="113">
        <v>2402466.5250502843</v>
      </c>
      <c r="BX125" s="113">
        <v>2442175.5793229761</v>
      </c>
      <c r="BY125" s="113">
        <v>2380941.3983696885</v>
      </c>
      <c r="BZ125" s="113">
        <v>2137162.0499999998</v>
      </c>
      <c r="CA125" s="113">
        <v>2025228.7860000017</v>
      </c>
      <c r="CB125" s="113">
        <v>2007691</v>
      </c>
      <c r="CC125" s="113"/>
      <c r="CD125" s="113"/>
      <c r="CE125" s="113"/>
      <c r="CF125" s="113"/>
      <c r="CG125" s="113"/>
      <c r="CH125" s="114">
        <f t="shared" si="187"/>
        <v>2137162.0499999998</v>
      </c>
      <c r="CI125" s="114">
        <f t="shared" si="187"/>
        <v>2025228.7860000017</v>
      </c>
      <c r="CJ125" s="120">
        <f t="shared" si="187"/>
        <v>2007691</v>
      </c>
      <c r="CK125" s="114">
        <f t="shared" si="187"/>
        <v>0</v>
      </c>
      <c r="CL125" s="114">
        <f t="shared" ref="CL125:CL159" si="194">IF($BB$3="After AR Adjustment",IF($H$2=1,CH125,IF($H$2=2,SUM(CH125:CI125),IF($H$2=3,SUM(CH125:CJ125),SUM(CH125:CK125)))),IF($H$2=1,BZ125,IF($H$2=2,SUM(BZ125:CA125),IF($H$2=3,SUM(BZ125:CB125),SUM(BZ125:CC125)))))</f>
        <v>6170081.8360000011</v>
      </c>
      <c r="CM125" s="114">
        <f t="shared" si="188"/>
        <v>9286385.2451025657</v>
      </c>
      <c r="CN125" s="114">
        <f t="shared" si="189"/>
        <v>9286385.2451025657</v>
      </c>
      <c r="CO125" s="116">
        <f t="shared" si="143"/>
        <v>0.66439999999999999</v>
      </c>
      <c r="CP125" s="126">
        <f t="shared" ca="1" si="144"/>
        <v>0</v>
      </c>
      <c r="CQ125" s="115">
        <f t="shared" ca="1" si="119"/>
        <v>0</v>
      </c>
      <c r="CR125" s="118" t="str">
        <f t="shared" si="145"/>
        <v>Uncapped</v>
      </c>
      <c r="CS125" s="115">
        <f t="shared" ca="1" si="120"/>
        <v>0</v>
      </c>
      <c r="CT125" s="113" t="s">
        <v>729</v>
      </c>
      <c r="CU125" s="119">
        <v>0.2</v>
      </c>
      <c r="CV125" s="113" t="s">
        <v>217</v>
      </c>
      <c r="CW125" s="113" t="s">
        <v>210</v>
      </c>
      <c r="CX125" s="113">
        <v>13631298.3753272</v>
      </c>
      <c r="CY125" s="113">
        <v>15463517.626933601</v>
      </c>
      <c r="CZ125" s="113">
        <v>15159650.061351301</v>
      </c>
      <c r="DA125" s="113">
        <v>16523055.704212198</v>
      </c>
      <c r="DB125" s="113">
        <v>13485327.436090879</v>
      </c>
      <c r="DC125" s="113">
        <v>13198691</v>
      </c>
      <c r="DD125" s="113">
        <v>13923765.347779993</v>
      </c>
      <c r="DE125" s="113"/>
      <c r="DF125" s="113"/>
      <c r="DG125" s="113"/>
      <c r="DH125" s="113"/>
      <c r="DI125" s="113"/>
      <c r="DJ125" s="114">
        <f t="shared" si="190"/>
        <v>13485327.436090879</v>
      </c>
      <c r="DK125" s="114">
        <f t="shared" si="190"/>
        <v>13198691</v>
      </c>
      <c r="DL125" s="114">
        <f t="shared" si="190"/>
        <v>13923765.347779993</v>
      </c>
      <c r="DM125" s="114">
        <f t="shared" si="190"/>
        <v>0</v>
      </c>
      <c r="DN125" s="114">
        <f t="shared" si="168"/>
        <v>40607783.783870876</v>
      </c>
      <c r="DO125" s="114">
        <f t="shared" ref="DO125:DO152" si="195">IF($H$2=1,CX125,IF($H$2=2,SUM(CX125:CY125),IF($H$2=3,SUM(CX125:CZ125),SUM(CX125:DA125))))</f>
        <v>60777521.7678243</v>
      </c>
      <c r="DP125" s="114">
        <f t="shared" si="105"/>
        <v>60777521.7678243</v>
      </c>
      <c r="DQ125" s="116">
        <f t="shared" si="146"/>
        <v>0.66810000000000003</v>
      </c>
      <c r="DR125" s="126">
        <f t="shared" ca="1" si="121"/>
        <v>0</v>
      </c>
      <c r="DS125" s="115">
        <f t="shared" ca="1" si="122"/>
        <v>0</v>
      </c>
      <c r="DT125" s="118" t="str">
        <f t="shared" si="147"/>
        <v>Uncapped</v>
      </c>
      <c r="DU125" s="115">
        <f t="shared" ca="1" si="123"/>
        <v>0</v>
      </c>
      <c r="DV125" s="113"/>
      <c r="DW125" s="119">
        <v>0</v>
      </c>
      <c r="DX125" s="113"/>
      <c r="DY125" s="113"/>
      <c r="DZ125" s="113">
        <v>0</v>
      </c>
      <c r="EA125" s="113">
        <v>0</v>
      </c>
      <c r="EB125" s="113">
        <v>0</v>
      </c>
      <c r="EC125" s="113">
        <v>0</v>
      </c>
      <c r="ED125" s="113">
        <v>0</v>
      </c>
      <c r="EE125" s="113">
        <v>0</v>
      </c>
      <c r="EF125" s="113"/>
      <c r="EG125" s="113"/>
      <c r="EH125" s="113"/>
      <c r="EI125" s="113"/>
      <c r="EJ125" s="113"/>
      <c r="EK125" s="113"/>
      <c r="EL125" s="114">
        <f t="shared" si="191"/>
        <v>0</v>
      </c>
      <c r="EM125" s="114">
        <f t="shared" si="191"/>
        <v>0</v>
      </c>
      <c r="EN125" s="114">
        <f t="shared" si="191"/>
        <v>0</v>
      </c>
      <c r="EO125" s="114">
        <f t="shared" si="191"/>
        <v>0</v>
      </c>
      <c r="EP125" s="114">
        <f t="shared" si="124"/>
        <v>0</v>
      </c>
      <c r="EQ125" s="114">
        <f t="shared" ref="EQ125:EQ152" si="196">IF($H$2=1,DZ125,IF($H$2=2,SUM(DZ125:EA125),IF($H$2=3,SUM(DZ125:EB125),SUM(DZ125:EC125))))</f>
        <v>0</v>
      </c>
      <c r="ER125" s="114">
        <f t="shared" si="192"/>
        <v>0</v>
      </c>
      <c r="ES125" s="116">
        <f t="shared" si="149"/>
        <v>0</v>
      </c>
      <c r="ET125" s="126">
        <f t="shared" ca="1" si="150"/>
        <v>0</v>
      </c>
      <c r="EU125" s="115">
        <f t="shared" ca="1" si="125"/>
        <v>0</v>
      </c>
      <c r="EV125" s="118" t="str">
        <f t="shared" si="126"/>
        <v>Uncapped</v>
      </c>
      <c r="EW125" s="115">
        <f t="shared" ca="1" si="127"/>
        <v>0</v>
      </c>
      <c r="EX125" s="112">
        <f t="shared" ca="1" si="128"/>
        <v>0</v>
      </c>
      <c r="EY125" s="114">
        <f t="shared" ca="1" si="151"/>
        <v>0</v>
      </c>
      <c r="EZ125" s="115">
        <v>0</v>
      </c>
      <c r="FA125" s="115"/>
      <c r="FB125" s="115"/>
      <c r="FC125" s="115">
        <v>0</v>
      </c>
      <c r="FD125" s="115">
        <f t="shared" ref="FD125:FD152" si="197">IF($H$2=1,EZ125,IF($H$2=2,SUM(EZ125:FA125),IF($H$2=3,SUM(EZ125:FB125),SUM(EZ125:FC125))))</f>
        <v>0</v>
      </c>
      <c r="FE125" s="114">
        <f t="shared" si="177"/>
        <v>0</v>
      </c>
      <c r="FF125" s="115">
        <v>0</v>
      </c>
      <c r="FG125" s="115">
        <v>0</v>
      </c>
      <c r="FH125" s="115">
        <v>0</v>
      </c>
      <c r="FI125" s="115">
        <v>0</v>
      </c>
      <c r="FJ125" s="115">
        <f t="shared" ref="FJ125:FJ178" si="198">IF($H$2=1,FF125,IF($H$2=2,SUM(FF125:FG125),IF($H$2=3,SUM(FF125:FH125),SUM(FF125:FI125))))</f>
        <v>0</v>
      </c>
      <c r="FK125" s="114">
        <f t="shared" si="178"/>
        <v>0</v>
      </c>
      <c r="FL125" s="113"/>
      <c r="FM125" s="111"/>
      <c r="FN125" s="111"/>
      <c r="FO125" s="111"/>
      <c r="FP125" s="115">
        <f t="shared" si="129"/>
        <v>0</v>
      </c>
      <c r="FQ125" s="115"/>
      <c r="FR125" s="115"/>
      <c r="FS125" s="115"/>
      <c r="FT125" s="114">
        <f t="shared" si="152"/>
        <v>0</v>
      </c>
      <c r="FU125" s="366">
        <f t="shared" ca="1" si="155"/>
        <v>0</v>
      </c>
      <c r="FV125" s="121">
        <f t="shared" ca="1" si="153"/>
        <v>0</v>
      </c>
      <c r="FW125" s="114">
        <f t="shared" si="181"/>
        <v>0</v>
      </c>
      <c r="FX125" s="114">
        <f t="shared" si="181"/>
        <v>0</v>
      </c>
      <c r="FY125" s="114">
        <f t="shared" si="181"/>
        <v>0</v>
      </c>
      <c r="FZ125" s="114">
        <f t="shared" si="181"/>
        <v>0</v>
      </c>
      <c r="GA125" s="114">
        <f t="shared" si="183"/>
        <v>0</v>
      </c>
      <c r="GB125" s="114">
        <f t="shared" si="182"/>
        <v>0</v>
      </c>
      <c r="GC125" s="114">
        <f t="shared" si="182"/>
        <v>0</v>
      </c>
      <c r="GD125" s="114">
        <f t="shared" si="182"/>
        <v>0</v>
      </c>
      <c r="GE125" s="114">
        <f t="shared" si="182"/>
        <v>0</v>
      </c>
      <c r="GF125" s="114">
        <f t="shared" si="184"/>
        <v>0</v>
      </c>
      <c r="GG125" s="114">
        <f t="shared" si="184"/>
        <v>0</v>
      </c>
      <c r="GH125" s="114">
        <f t="shared" si="184"/>
        <v>0</v>
      </c>
      <c r="GI125" s="114">
        <f t="shared" si="184"/>
        <v>0</v>
      </c>
      <c r="GJ125" s="115">
        <f t="shared" ref="GJ125:GJ180" si="199">IF($H$2=1,GF125,IF($H$2=2,SUM(GF125:GG125),IF($H$2=3,SUM(GF125:GH125),SUM(GF125:GI125))))</f>
        <v>0</v>
      </c>
      <c r="GK125" s="114">
        <f t="shared" si="131"/>
        <v>0</v>
      </c>
      <c r="GL125" s="114">
        <f t="shared" si="132"/>
        <v>0</v>
      </c>
      <c r="GM125" s="114">
        <f t="shared" si="133"/>
        <v>0</v>
      </c>
      <c r="GN125" s="114">
        <f t="shared" si="134"/>
        <v>0</v>
      </c>
      <c r="GO125" s="114">
        <f t="shared" si="135"/>
        <v>0</v>
      </c>
      <c r="GP125" s="114">
        <f t="shared" ref="GP125:GP188" si="200">IF($H$2=1,GL125,IF($H$2=2,SUM(GL125:GM125),IF($H$2=3,SUM(GL125:GN125),IF($H$2=4,SUM(GL125:GO125)))))</f>
        <v>0</v>
      </c>
      <c r="GQ125" s="114">
        <f t="shared" si="136"/>
        <v>0</v>
      </c>
      <c r="GR125" s="193"/>
      <c r="GS125" s="122">
        <f t="shared" si="166"/>
        <v>49016261.099870875</v>
      </c>
      <c r="GT125" s="122">
        <f t="shared" si="166"/>
        <v>72800110.993032873</v>
      </c>
      <c r="GU125" s="123">
        <f t="shared" si="137"/>
        <v>0.6732992633014232</v>
      </c>
      <c r="GV125" s="124">
        <f t="shared" ca="1" si="138"/>
        <v>0</v>
      </c>
      <c r="GW125" s="124">
        <v>0</v>
      </c>
      <c r="GX125" s="32">
        <f t="shared" ca="1" si="139"/>
        <v>0</v>
      </c>
      <c r="GY125" s="100"/>
    </row>
    <row r="126" spans="1:207" s="408" customFormat="1" hidden="1">
      <c r="C126" s="402"/>
      <c r="D126" s="402"/>
      <c r="E126" s="403"/>
      <c r="F126" s="403" t="s">
        <v>720</v>
      </c>
      <c r="G126" s="403" t="s">
        <v>226</v>
      </c>
      <c r="H126" s="105" t="s">
        <v>559</v>
      </c>
      <c r="I126" s="403" t="s">
        <v>593</v>
      </c>
      <c r="J126" s="403" t="s">
        <v>212</v>
      </c>
      <c r="K126" s="403" t="s">
        <v>544</v>
      </c>
      <c r="L126" s="403"/>
      <c r="M126" s="403"/>
      <c r="N126" s="404"/>
      <c r="O126" s="108">
        <v>43283</v>
      </c>
      <c r="P126" s="108">
        <v>43283</v>
      </c>
      <c r="Q126" s="323">
        <f t="shared" si="112"/>
        <v>0</v>
      </c>
      <c r="R126" s="109">
        <f>IF((P126-VLOOKUP(Q126,month!$A$1:$C$13,3,0))&lt;0,Q126,Q126+1)</f>
        <v>0</v>
      </c>
      <c r="S126" s="108"/>
      <c r="T126" s="110" t="str">
        <f t="shared" si="154"/>
        <v/>
      </c>
      <c r="U126" s="404"/>
      <c r="V126" s="404"/>
      <c r="W126" s="405"/>
      <c r="X126" s="405"/>
      <c r="Y126" s="492"/>
      <c r="Z126" s="406" t="s">
        <v>545</v>
      </c>
      <c r="AA126" s="394">
        <v>1000</v>
      </c>
      <c r="AB126" s="394">
        <v>1000</v>
      </c>
      <c r="AC126" s="394">
        <v>1000</v>
      </c>
      <c r="AD126" s="394">
        <v>1000</v>
      </c>
      <c r="AE126" s="394">
        <v>1000</v>
      </c>
      <c r="AF126" s="394">
        <v>1000</v>
      </c>
      <c r="AG126" s="394">
        <v>1000</v>
      </c>
      <c r="AH126" s="394">
        <v>1000</v>
      </c>
      <c r="AI126" s="394">
        <v>1000</v>
      </c>
      <c r="AJ126" s="394">
        <v>1000</v>
      </c>
      <c r="AK126" s="394">
        <v>1000</v>
      </c>
      <c r="AL126" s="394">
        <v>1000</v>
      </c>
      <c r="AM126" s="388">
        <f t="shared" si="185"/>
        <v>12000</v>
      </c>
      <c r="AN126" s="388">
        <f t="shared" si="113"/>
        <v>12000</v>
      </c>
      <c r="AO126" s="389">
        <f t="shared" si="180"/>
        <v>1000</v>
      </c>
      <c r="AP126" s="502" t="s">
        <v>750</v>
      </c>
      <c r="AQ126" s="159">
        <v>0.5</v>
      </c>
      <c r="AR126" s="103" t="s">
        <v>211</v>
      </c>
      <c r="AS126" s="119" t="s">
        <v>210</v>
      </c>
      <c r="AT126" s="111">
        <v>619023.70180270565</v>
      </c>
      <c r="AU126" s="111">
        <v>689370.67089741363</v>
      </c>
      <c r="AV126" s="111">
        <v>657617.80913764494</v>
      </c>
      <c r="AW126" s="111">
        <v>770191.79826823843</v>
      </c>
      <c r="AX126" s="113">
        <v>773116.82</v>
      </c>
      <c r="AY126" s="113">
        <v>760063.59</v>
      </c>
      <c r="AZ126" s="113">
        <v>705215.07</v>
      </c>
      <c r="BA126" s="113"/>
      <c r="BB126" s="113"/>
      <c r="BC126" s="113"/>
      <c r="BD126" s="113"/>
      <c r="BE126" s="113"/>
      <c r="BF126" s="114">
        <f t="shared" si="186"/>
        <v>773116.82</v>
      </c>
      <c r="BG126" s="114">
        <f t="shared" si="186"/>
        <v>760063.59</v>
      </c>
      <c r="BH126" s="114">
        <f t="shared" si="186"/>
        <v>705215.07</v>
      </c>
      <c r="BI126" s="114">
        <f t="shared" si="186"/>
        <v>0</v>
      </c>
      <c r="BJ126" s="114">
        <f t="shared" si="193"/>
        <v>2238395.48</v>
      </c>
      <c r="BK126" s="115">
        <f t="shared" si="173"/>
        <v>2736203.9801060027</v>
      </c>
      <c r="BL126" s="115">
        <f t="shared" si="140"/>
        <v>2736203.9801060027</v>
      </c>
      <c r="BM126" s="116">
        <f t="shared" si="141"/>
        <v>0.81810000000000005</v>
      </c>
      <c r="BN126" s="126">
        <f t="shared" ca="1" si="174"/>
        <v>0</v>
      </c>
      <c r="BO126" s="117">
        <f t="shared" ca="1" si="175"/>
        <v>0</v>
      </c>
      <c r="BP126" s="118" t="str">
        <f t="shared" si="176"/>
        <v>Uncapped</v>
      </c>
      <c r="BQ126" s="115">
        <f t="shared" ca="1" si="117"/>
        <v>0</v>
      </c>
      <c r="BR126" s="174" t="s">
        <v>762</v>
      </c>
      <c r="BS126" s="175">
        <v>0.3</v>
      </c>
      <c r="BT126" s="174" t="s">
        <v>211</v>
      </c>
      <c r="BU126" s="174" t="s">
        <v>210</v>
      </c>
      <c r="BV126" s="113">
        <v>2060801.742359617</v>
      </c>
      <c r="BW126" s="113">
        <v>2402466.5250502843</v>
      </c>
      <c r="BX126" s="113">
        <v>2442175.5793229761</v>
      </c>
      <c r="BY126" s="113">
        <v>2380941.3983696885</v>
      </c>
      <c r="BZ126" s="113">
        <v>2137162.0499999998</v>
      </c>
      <c r="CA126" s="113">
        <v>2025228.7860000017</v>
      </c>
      <c r="CB126" s="113">
        <v>2007691</v>
      </c>
      <c r="CC126" s="113"/>
      <c r="CD126" s="113"/>
      <c r="CE126" s="113"/>
      <c r="CF126" s="113"/>
      <c r="CG126" s="113"/>
      <c r="CH126" s="114">
        <f t="shared" si="187"/>
        <v>2137162.0499999998</v>
      </c>
      <c r="CI126" s="114">
        <f t="shared" si="187"/>
        <v>2025228.7860000017</v>
      </c>
      <c r="CJ126" s="120">
        <f t="shared" si="187"/>
        <v>2007691</v>
      </c>
      <c r="CK126" s="114">
        <f t="shared" si="187"/>
        <v>0</v>
      </c>
      <c r="CL126" s="114">
        <f t="shared" si="194"/>
        <v>6170081.8360000011</v>
      </c>
      <c r="CM126" s="114">
        <f t="shared" si="188"/>
        <v>9286385.2451025657</v>
      </c>
      <c r="CN126" s="114">
        <f t="shared" si="189"/>
        <v>9286385.2451025657</v>
      </c>
      <c r="CO126" s="116">
        <f t="shared" si="143"/>
        <v>0.66439999999999999</v>
      </c>
      <c r="CP126" s="126">
        <f t="shared" ca="1" si="144"/>
        <v>0</v>
      </c>
      <c r="CQ126" s="115">
        <f t="shared" ca="1" si="119"/>
        <v>0</v>
      </c>
      <c r="CR126" s="118" t="str">
        <f t="shared" si="145"/>
        <v>Uncapped</v>
      </c>
      <c r="CS126" s="115">
        <f t="shared" ca="1" si="120"/>
        <v>0</v>
      </c>
      <c r="CT126" s="113" t="s">
        <v>729</v>
      </c>
      <c r="CU126" s="119">
        <v>0.2</v>
      </c>
      <c r="CV126" s="113" t="s">
        <v>217</v>
      </c>
      <c r="CW126" s="113" t="s">
        <v>210</v>
      </c>
      <c r="CX126" s="113">
        <v>13631298.3753272</v>
      </c>
      <c r="CY126" s="113">
        <v>15463517.626933601</v>
      </c>
      <c r="CZ126" s="113">
        <v>15159650.061351301</v>
      </c>
      <c r="DA126" s="113">
        <v>16523055.704212198</v>
      </c>
      <c r="DB126" s="113">
        <v>13485327.436090879</v>
      </c>
      <c r="DC126" s="113">
        <v>13198691</v>
      </c>
      <c r="DD126" s="113">
        <v>13923765.347779993</v>
      </c>
      <c r="DE126" s="113"/>
      <c r="DF126" s="113"/>
      <c r="DG126" s="113"/>
      <c r="DH126" s="113"/>
      <c r="DI126" s="113"/>
      <c r="DJ126" s="114">
        <f t="shared" si="190"/>
        <v>13485327.436090879</v>
      </c>
      <c r="DK126" s="114">
        <f t="shared" si="190"/>
        <v>13198691</v>
      </c>
      <c r="DL126" s="114">
        <f t="shared" si="190"/>
        <v>13923765.347779993</v>
      </c>
      <c r="DM126" s="114">
        <f t="shared" si="190"/>
        <v>0</v>
      </c>
      <c r="DN126" s="114">
        <f t="shared" si="168"/>
        <v>40607783.783870876</v>
      </c>
      <c r="DO126" s="114">
        <f t="shared" si="195"/>
        <v>60777521.7678243</v>
      </c>
      <c r="DP126" s="114">
        <f t="shared" ref="DP126:DP180" si="201">SUM(CX126:DA126)</f>
        <v>60777521.7678243</v>
      </c>
      <c r="DQ126" s="116">
        <f t="shared" si="146"/>
        <v>0.66810000000000003</v>
      </c>
      <c r="DR126" s="126">
        <f t="shared" ca="1" si="121"/>
        <v>0</v>
      </c>
      <c r="DS126" s="115">
        <f t="shared" ca="1" si="122"/>
        <v>0</v>
      </c>
      <c r="DT126" s="118" t="str">
        <f t="shared" si="147"/>
        <v>Uncapped</v>
      </c>
      <c r="DU126" s="115">
        <f t="shared" ca="1" si="123"/>
        <v>0</v>
      </c>
      <c r="DV126" s="113"/>
      <c r="DW126" s="119">
        <v>0</v>
      </c>
      <c r="DX126" s="113"/>
      <c r="DY126" s="113"/>
      <c r="DZ126" s="113">
        <v>0</v>
      </c>
      <c r="EA126" s="113">
        <v>0</v>
      </c>
      <c r="EB126" s="113">
        <v>0</v>
      </c>
      <c r="EC126" s="113">
        <v>0</v>
      </c>
      <c r="ED126" s="113">
        <v>0</v>
      </c>
      <c r="EE126" s="113">
        <v>0</v>
      </c>
      <c r="EF126" s="113"/>
      <c r="EG126" s="113"/>
      <c r="EH126" s="113"/>
      <c r="EI126" s="113"/>
      <c r="EJ126" s="113"/>
      <c r="EK126" s="113"/>
      <c r="EL126" s="114">
        <f t="shared" si="191"/>
        <v>0</v>
      </c>
      <c r="EM126" s="114">
        <f t="shared" si="191"/>
        <v>0</v>
      </c>
      <c r="EN126" s="114">
        <f t="shared" si="191"/>
        <v>0</v>
      </c>
      <c r="EO126" s="114">
        <f t="shared" si="191"/>
        <v>0</v>
      </c>
      <c r="EP126" s="114">
        <f t="shared" si="124"/>
        <v>0</v>
      </c>
      <c r="EQ126" s="114">
        <f t="shared" si="196"/>
        <v>0</v>
      </c>
      <c r="ER126" s="114">
        <f t="shared" si="192"/>
        <v>0</v>
      </c>
      <c r="ES126" s="116">
        <f t="shared" si="149"/>
        <v>0</v>
      </c>
      <c r="ET126" s="126">
        <f t="shared" ca="1" si="150"/>
        <v>0</v>
      </c>
      <c r="EU126" s="115">
        <f t="shared" ca="1" si="125"/>
        <v>0</v>
      </c>
      <c r="EV126" s="118" t="str">
        <f t="shared" si="126"/>
        <v>Uncapped</v>
      </c>
      <c r="EW126" s="115">
        <f t="shared" ca="1" si="127"/>
        <v>0</v>
      </c>
      <c r="EX126" s="112">
        <f t="shared" ca="1" si="128"/>
        <v>0</v>
      </c>
      <c r="EY126" s="114">
        <f t="shared" ca="1" si="151"/>
        <v>0</v>
      </c>
      <c r="EZ126" s="115">
        <v>0</v>
      </c>
      <c r="FA126" s="115"/>
      <c r="FB126" s="115"/>
      <c r="FC126" s="115">
        <v>0</v>
      </c>
      <c r="FD126" s="115">
        <f t="shared" si="197"/>
        <v>0</v>
      </c>
      <c r="FE126" s="114">
        <f t="shared" si="177"/>
        <v>0</v>
      </c>
      <c r="FF126" s="115">
        <v>0</v>
      </c>
      <c r="FG126" s="115">
        <v>0</v>
      </c>
      <c r="FH126" s="115">
        <v>0</v>
      </c>
      <c r="FI126" s="115">
        <v>0</v>
      </c>
      <c r="FJ126" s="115">
        <f t="shared" si="198"/>
        <v>0</v>
      </c>
      <c r="FK126" s="114">
        <f t="shared" si="178"/>
        <v>0</v>
      </c>
      <c r="FL126" s="113"/>
      <c r="FM126" s="111"/>
      <c r="FN126" s="111"/>
      <c r="FO126" s="111"/>
      <c r="FP126" s="115">
        <f t="shared" si="129"/>
        <v>0</v>
      </c>
      <c r="FQ126" s="115"/>
      <c r="FR126" s="115"/>
      <c r="FS126" s="115"/>
      <c r="FT126" s="114">
        <f t="shared" si="152"/>
        <v>0</v>
      </c>
      <c r="FU126" s="366">
        <f t="shared" ca="1" si="155"/>
        <v>0</v>
      </c>
      <c r="FV126" s="121">
        <f t="shared" ca="1" si="153"/>
        <v>0</v>
      </c>
      <c r="FW126" s="114">
        <f t="shared" si="181"/>
        <v>0</v>
      </c>
      <c r="FX126" s="114">
        <f t="shared" si="181"/>
        <v>0</v>
      </c>
      <c r="FY126" s="114">
        <f t="shared" si="181"/>
        <v>0</v>
      </c>
      <c r="FZ126" s="114">
        <f t="shared" si="181"/>
        <v>0</v>
      </c>
      <c r="GA126" s="114">
        <f t="shared" si="183"/>
        <v>0</v>
      </c>
      <c r="GB126" s="114">
        <f t="shared" si="182"/>
        <v>0</v>
      </c>
      <c r="GC126" s="114">
        <f t="shared" si="182"/>
        <v>0</v>
      </c>
      <c r="GD126" s="114">
        <f t="shared" si="182"/>
        <v>0</v>
      </c>
      <c r="GE126" s="114">
        <f t="shared" si="182"/>
        <v>0</v>
      </c>
      <c r="GF126" s="114">
        <f t="shared" si="184"/>
        <v>0</v>
      </c>
      <c r="GG126" s="114">
        <f t="shared" si="184"/>
        <v>0</v>
      </c>
      <c r="GH126" s="114">
        <f t="shared" si="184"/>
        <v>0</v>
      </c>
      <c r="GI126" s="114">
        <f t="shared" si="184"/>
        <v>0</v>
      </c>
      <c r="GJ126" s="115">
        <f t="shared" si="199"/>
        <v>0</v>
      </c>
      <c r="GK126" s="114">
        <f t="shared" si="131"/>
        <v>0</v>
      </c>
      <c r="GL126" s="114">
        <f t="shared" si="132"/>
        <v>0</v>
      </c>
      <c r="GM126" s="114">
        <f t="shared" si="133"/>
        <v>0</v>
      </c>
      <c r="GN126" s="114">
        <f t="shared" si="134"/>
        <v>0</v>
      </c>
      <c r="GO126" s="114">
        <f t="shared" si="135"/>
        <v>0</v>
      </c>
      <c r="GP126" s="114">
        <f t="shared" si="200"/>
        <v>0</v>
      </c>
      <c r="GQ126" s="114">
        <f t="shared" si="136"/>
        <v>0</v>
      </c>
      <c r="GR126" s="193"/>
      <c r="GS126" s="122">
        <f t="shared" ref="GS126:GT153" si="202">IFERROR(BJ126+CL126+DN126+EP126,0)</f>
        <v>49016261.099870875</v>
      </c>
      <c r="GT126" s="122">
        <f t="shared" si="202"/>
        <v>72800110.993032873</v>
      </c>
      <c r="GU126" s="123">
        <f t="shared" si="137"/>
        <v>0.6732992633014232</v>
      </c>
      <c r="GV126" s="124">
        <f t="shared" ca="1" si="138"/>
        <v>0</v>
      </c>
      <c r="GW126" s="124">
        <v>0</v>
      </c>
      <c r="GX126" s="32">
        <f t="shared" ca="1" si="139"/>
        <v>0</v>
      </c>
      <c r="GY126" s="100"/>
    </row>
    <row r="127" spans="1:207" s="408" customFormat="1" hidden="1">
      <c r="C127" s="402"/>
      <c r="D127" s="402"/>
      <c r="E127" s="403"/>
      <c r="F127" s="403" t="s">
        <v>720</v>
      </c>
      <c r="G127" s="403" t="s">
        <v>226</v>
      </c>
      <c r="H127" s="105" t="s">
        <v>560</v>
      </c>
      <c r="I127" s="403" t="s">
        <v>594</v>
      </c>
      <c r="J127" s="403" t="s">
        <v>212</v>
      </c>
      <c r="K127" s="403" t="s">
        <v>544</v>
      </c>
      <c r="L127" s="403"/>
      <c r="M127" s="403"/>
      <c r="N127" s="404"/>
      <c r="O127" s="108">
        <v>43304</v>
      </c>
      <c r="P127" s="108">
        <v>43304</v>
      </c>
      <c r="Q127" s="323">
        <f t="shared" si="112"/>
        <v>0</v>
      </c>
      <c r="R127" s="109">
        <f>IF((P127-VLOOKUP(Q127,month!$A$1:$C$13,3,0))&lt;0,Q127,Q127+1)</f>
        <v>0</v>
      </c>
      <c r="S127" s="108"/>
      <c r="T127" s="110" t="str">
        <f t="shared" si="154"/>
        <v/>
      </c>
      <c r="U127" s="404"/>
      <c r="V127" s="404"/>
      <c r="W127" s="405"/>
      <c r="X127" s="405"/>
      <c r="Y127" s="492"/>
      <c r="Z127" s="406" t="s">
        <v>545</v>
      </c>
      <c r="AA127" s="394">
        <v>1000</v>
      </c>
      <c r="AB127" s="394">
        <v>1000</v>
      </c>
      <c r="AC127" s="394">
        <v>1000</v>
      </c>
      <c r="AD127" s="394">
        <v>1000</v>
      </c>
      <c r="AE127" s="394">
        <v>1000</v>
      </c>
      <c r="AF127" s="394">
        <v>1000</v>
      </c>
      <c r="AG127" s="394">
        <v>1000</v>
      </c>
      <c r="AH127" s="394">
        <v>1000</v>
      </c>
      <c r="AI127" s="394">
        <v>1000</v>
      </c>
      <c r="AJ127" s="394">
        <v>1000</v>
      </c>
      <c r="AK127" s="394">
        <v>1000</v>
      </c>
      <c r="AL127" s="394">
        <v>1000</v>
      </c>
      <c r="AM127" s="388">
        <f t="shared" si="185"/>
        <v>12000</v>
      </c>
      <c r="AN127" s="388">
        <f t="shared" si="113"/>
        <v>12000</v>
      </c>
      <c r="AO127" s="389">
        <f t="shared" si="180"/>
        <v>1000</v>
      </c>
      <c r="AP127" s="502" t="s">
        <v>750</v>
      </c>
      <c r="AQ127" s="159">
        <v>0.5</v>
      </c>
      <c r="AR127" s="103" t="s">
        <v>211</v>
      </c>
      <c r="AS127" s="119" t="s">
        <v>210</v>
      </c>
      <c r="AT127" s="111">
        <v>720887.91968241916</v>
      </c>
      <c r="AU127" s="111">
        <v>784595.67437440774</v>
      </c>
      <c r="AV127" s="111">
        <v>746491.73576980887</v>
      </c>
      <c r="AW127" s="111">
        <v>808196.19358136377</v>
      </c>
      <c r="AX127" s="113">
        <v>1424487.42</v>
      </c>
      <c r="AY127" s="113">
        <v>1196357.4045000002</v>
      </c>
      <c r="AZ127" s="113">
        <v>721705.2470999998</v>
      </c>
      <c r="BA127" s="113"/>
      <c r="BB127" s="113"/>
      <c r="BC127" s="113"/>
      <c r="BD127" s="113"/>
      <c r="BE127" s="113"/>
      <c r="BF127" s="114">
        <f t="shared" si="186"/>
        <v>1424487.42</v>
      </c>
      <c r="BG127" s="114">
        <f t="shared" si="186"/>
        <v>1196357.4045000002</v>
      </c>
      <c r="BH127" s="114">
        <f t="shared" si="186"/>
        <v>721705.2470999998</v>
      </c>
      <c r="BI127" s="114">
        <f t="shared" si="186"/>
        <v>0</v>
      </c>
      <c r="BJ127" s="114">
        <f t="shared" si="193"/>
        <v>3342550.0715999999</v>
      </c>
      <c r="BK127" s="115">
        <f t="shared" si="173"/>
        <v>3060171.5234079994</v>
      </c>
      <c r="BL127" s="115">
        <f t="shared" si="140"/>
        <v>3060171.5234079994</v>
      </c>
      <c r="BM127" s="116">
        <f t="shared" si="141"/>
        <v>1.0923</v>
      </c>
      <c r="BN127" s="126">
        <f t="shared" ca="1" si="174"/>
        <v>0</v>
      </c>
      <c r="BO127" s="117">
        <f t="shared" ca="1" si="175"/>
        <v>0</v>
      </c>
      <c r="BP127" s="118" t="str">
        <f t="shared" si="176"/>
        <v>Uncapped</v>
      </c>
      <c r="BQ127" s="115">
        <f t="shared" ca="1" si="117"/>
        <v>0</v>
      </c>
      <c r="BR127" s="174" t="s">
        <v>762</v>
      </c>
      <c r="BS127" s="175">
        <v>0.3</v>
      </c>
      <c r="BT127" s="174" t="s">
        <v>211</v>
      </c>
      <c r="BU127" s="174" t="s">
        <v>210</v>
      </c>
      <c r="BV127" s="113">
        <v>2237916.9674079753</v>
      </c>
      <c r="BW127" s="113">
        <v>2593737.6672715819</v>
      </c>
      <c r="BX127" s="113">
        <v>2631062.6626689765</v>
      </c>
      <c r="BY127" s="113">
        <v>2613100.8468210953</v>
      </c>
      <c r="BZ127" s="113">
        <v>2333200.87</v>
      </c>
      <c r="CA127" s="113">
        <v>2209902.1916999999</v>
      </c>
      <c r="CB127" s="113">
        <v>1880202.3</v>
      </c>
      <c r="CC127" s="113"/>
      <c r="CD127" s="113"/>
      <c r="CE127" s="113"/>
      <c r="CF127" s="113"/>
      <c r="CG127" s="113"/>
      <c r="CH127" s="114">
        <f t="shared" si="187"/>
        <v>2333200.87</v>
      </c>
      <c r="CI127" s="114">
        <f t="shared" si="187"/>
        <v>2209902.1916999999</v>
      </c>
      <c r="CJ127" s="120">
        <f t="shared" si="187"/>
        <v>1880202.3</v>
      </c>
      <c r="CK127" s="114">
        <f t="shared" si="187"/>
        <v>0</v>
      </c>
      <c r="CL127" s="114">
        <f t="shared" si="194"/>
        <v>6423305.3616999993</v>
      </c>
      <c r="CM127" s="114">
        <f t="shared" si="188"/>
        <v>10075818.14416963</v>
      </c>
      <c r="CN127" s="114">
        <f t="shared" si="189"/>
        <v>10075818.14416963</v>
      </c>
      <c r="CO127" s="116">
        <f t="shared" si="143"/>
        <v>0.63749999999999996</v>
      </c>
      <c r="CP127" s="126">
        <f t="shared" ca="1" si="144"/>
        <v>0</v>
      </c>
      <c r="CQ127" s="115">
        <f t="shared" ca="1" si="119"/>
        <v>0</v>
      </c>
      <c r="CR127" s="118" t="str">
        <f t="shared" si="145"/>
        <v>Uncapped</v>
      </c>
      <c r="CS127" s="115">
        <f t="shared" ca="1" si="120"/>
        <v>0</v>
      </c>
      <c r="CT127" s="113" t="s">
        <v>729</v>
      </c>
      <c r="CU127" s="119">
        <v>0.2</v>
      </c>
      <c r="CV127" s="113" t="s">
        <v>217</v>
      </c>
      <c r="CW127" s="113" t="s">
        <v>210</v>
      </c>
      <c r="CX127" s="113">
        <v>13631298.3753272</v>
      </c>
      <c r="CY127" s="113">
        <v>15463517.626933601</v>
      </c>
      <c r="CZ127" s="113">
        <v>15159650.061351301</v>
      </c>
      <c r="DA127" s="113">
        <v>16523055.704212198</v>
      </c>
      <c r="DB127" s="113">
        <v>13485327.436090879</v>
      </c>
      <c r="DC127" s="113">
        <v>13198691</v>
      </c>
      <c r="DD127" s="113">
        <v>13923765.347779993</v>
      </c>
      <c r="DE127" s="113"/>
      <c r="DF127" s="113"/>
      <c r="DG127" s="113"/>
      <c r="DH127" s="113"/>
      <c r="DI127" s="113"/>
      <c r="DJ127" s="114">
        <f t="shared" si="190"/>
        <v>13485327.436090879</v>
      </c>
      <c r="DK127" s="114">
        <f t="shared" si="190"/>
        <v>13198691</v>
      </c>
      <c r="DL127" s="114">
        <f t="shared" si="190"/>
        <v>13923765.347779993</v>
      </c>
      <c r="DM127" s="114">
        <f t="shared" si="190"/>
        <v>0</v>
      </c>
      <c r="DN127" s="114">
        <f t="shared" si="168"/>
        <v>40607783.783870876</v>
      </c>
      <c r="DO127" s="114">
        <f t="shared" si="195"/>
        <v>60777521.7678243</v>
      </c>
      <c r="DP127" s="114">
        <f t="shared" si="201"/>
        <v>60777521.7678243</v>
      </c>
      <c r="DQ127" s="116">
        <f t="shared" si="146"/>
        <v>0.66810000000000003</v>
      </c>
      <c r="DR127" s="126">
        <f t="shared" ca="1" si="121"/>
        <v>0</v>
      </c>
      <c r="DS127" s="115">
        <f t="shared" ca="1" si="122"/>
        <v>0</v>
      </c>
      <c r="DT127" s="118" t="str">
        <f t="shared" si="147"/>
        <v>Uncapped</v>
      </c>
      <c r="DU127" s="115">
        <f t="shared" ca="1" si="123"/>
        <v>0</v>
      </c>
      <c r="DV127" s="113"/>
      <c r="DW127" s="119">
        <v>0</v>
      </c>
      <c r="DX127" s="113"/>
      <c r="DY127" s="113"/>
      <c r="DZ127" s="113">
        <v>0</v>
      </c>
      <c r="EA127" s="113">
        <v>0</v>
      </c>
      <c r="EB127" s="113">
        <v>0</v>
      </c>
      <c r="EC127" s="113">
        <v>0</v>
      </c>
      <c r="ED127" s="113">
        <v>0</v>
      </c>
      <c r="EE127" s="113">
        <v>0</v>
      </c>
      <c r="EF127" s="113"/>
      <c r="EG127" s="113"/>
      <c r="EH127" s="113"/>
      <c r="EI127" s="113"/>
      <c r="EJ127" s="113"/>
      <c r="EK127" s="113"/>
      <c r="EL127" s="114">
        <f t="shared" si="191"/>
        <v>0</v>
      </c>
      <c r="EM127" s="114">
        <f t="shared" si="191"/>
        <v>0</v>
      </c>
      <c r="EN127" s="114">
        <f t="shared" si="191"/>
        <v>0</v>
      </c>
      <c r="EO127" s="114">
        <f t="shared" si="191"/>
        <v>0</v>
      </c>
      <c r="EP127" s="114">
        <f t="shared" si="124"/>
        <v>0</v>
      </c>
      <c r="EQ127" s="114">
        <f t="shared" si="196"/>
        <v>0</v>
      </c>
      <c r="ER127" s="114">
        <f t="shared" si="192"/>
        <v>0</v>
      </c>
      <c r="ES127" s="116">
        <f t="shared" si="149"/>
        <v>0</v>
      </c>
      <c r="ET127" s="126">
        <f t="shared" ca="1" si="150"/>
        <v>0</v>
      </c>
      <c r="EU127" s="115">
        <f t="shared" ca="1" si="125"/>
        <v>0</v>
      </c>
      <c r="EV127" s="118" t="str">
        <f t="shared" si="126"/>
        <v>Uncapped</v>
      </c>
      <c r="EW127" s="115">
        <f t="shared" ca="1" si="127"/>
        <v>0</v>
      </c>
      <c r="EX127" s="112">
        <f t="shared" ca="1" si="128"/>
        <v>0</v>
      </c>
      <c r="EY127" s="114">
        <f t="shared" ca="1" si="151"/>
        <v>0</v>
      </c>
      <c r="EZ127" s="115">
        <v>0</v>
      </c>
      <c r="FA127" s="115">
        <v>187330</v>
      </c>
      <c r="FB127" s="115">
        <v>384000</v>
      </c>
      <c r="FC127" s="115">
        <v>0</v>
      </c>
      <c r="FD127" s="115">
        <f t="shared" si="197"/>
        <v>571330</v>
      </c>
      <c r="FE127" s="114">
        <f t="shared" si="177"/>
        <v>0</v>
      </c>
      <c r="FF127" s="115">
        <v>0</v>
      </c>
      <c r="FG127" s="115">
        <v>0</v>
      </c>
      <c r="FH127" s="115">
        <v>0</v>
      </c>
      <c r="FI127" s="115">
        <v>0</v>
      </c>
      <c r="FJ127" s="115">
        <f t="shared" si="198"/>
        <v>0</v>
      </c>
      <c r="FK127" s="114">
        <f t="shared" si="178"/>
        <v>0</v>
      </c>
      <c r="FL127" s="113"/>
      <c r="FM127" s="111"/>
      <c r="FN127" s="111"/>
      <c r="FO127" s="111"/>
      <c r="FP127" s="115">
        <f t="shared" si="129"/>
        <v>0</v>
      </c>
      <c r="FQ127" s="115"/>
      <c r="FR127" s="115"/>
      <c r="FS127" s="115"/>
      <c r="FT127" s="114">
        <f t="shared" si="152"/>
        <v>0</v>
      </c>
      <c r="FU127" s="366">
        <f t="shared" ca="1" si="155"/>
        <v>571330</v>
      </c>
      <c r="FV127" s="121">
        <f t="shared" ca="1" si="153"/>
        <v>571330</v>
      </c>
      <c r="FW127" s="114">
        <f t="shared" si="181"/>
        <v>0</v>
      </c>
      <c r="FX127" s="114">
        <f t="shared" si="181"/>
        <v>0</v>
      </c>
      <c r="FY127" s="114">
        <f t="shared" si="181"/>
        <v>0</v>
      </c>
      <c r="FZ127" s="114">
        <f t="shared" si="181"/>
        <v>0</v>
      </c>
      <c r="GA127" s="114">
        <f t="shared" si="183"/>
        <v>0</v>
      </c>
      <c r="GB127" s="114">
        <f t="shared" si="182"/>
        <v>0</v>
      </c>
      <c r="GC127" s="114">
        <f t="shared" si="182"/>
        <v>187330</v>
      </c>
      <c r="GD127" s="114">
        <f t="shared" si="182"/>
        <v>384000</v>
      </c>
      <c r="GE127" s="114">
        <f t="shared" si="182"/>
        <v>0</v>
      </c>
      <c r="GF127" s="114">
        <f t="shared" si="184"/>
        <v>0</v>
      </c>
      <c r="GG127" s="114">
        <f t="shared" si="184"/>
        <v>187330</v>
      </c>
      <c r="GH127" s="114">
        <f t="shared" si="184"/>
        <v>384000</v>
      </c>
      <c r="GI127" s="114">
        <f t="shared" si="184"/>
        <v>0</v>
      </c>
      <c r="GJ127" s="115">
        <f t="shared" si="199"/>
        <v>571330</v>
      </c>
      <c r="GK127" s="114">
        <f t="shared" si="131"/>
        <v>571330</v>
      </c>
      <c r="GL127" s="114">
        <f t="shared" si="132"/>
        <v>0</v>
      </c>
      <c r="GM127" s="114">
        <f t="shared" si="133"/>
        <v>0</v>
      </c>
      <c r="GN127" s="114">
        <f t="shared" si="134"/>
        <v>0</v>
      </c>
      <c r="GO127" s="114">
        <f t="shared" si="135"/>
        <v>0</v>
      </c>
      <c r="GP127" s="114">
        <f t="shared" si="200"/>
        <v>0</v>
      </c>
      <c r="GQ127" s="114">
        <f t="shared" si="136"/>
        <v>0</v>
      </c>
      <c r="GR127" s="193"/>
      <c r="GS127" s="122">
        <f t="shared" si="202"/>
        <v>50373639.217170879</v>
      </c>
      <c r="GT127" s="122">
        <f t="shared" si="202"/>
        <v>73913511.435401931</v>
      </c>
      <c r="GU127" s="123">
        <f t="shared" si="137"/>
        <v>0.68152139221792818</v>
      </c>
      <c r="GV127" s="124">
        <f t="shared" ca="1" si="138"/>
        <v>0</v>
      </c>
      <c r="GW127" s="124">
        <v>0</v>
      </c>
      <c r="GX127" s="32">
        <f t="shared" ca="1" si="139"/>
        <v>0</v>
      </c>
      <c r="GY127" s="100"/>
    </row>
    <row r="128" spans="1:207" s="408" customFormat="1" hidden="1">
      <c r="C128" s="402"/>
      <c r="D128" s="402"/>
      <c r="E128" s="403"/>
      <c r="F128" s="403" t="s">
        <v>720</v>
      </c>
      <c r="G128" s="403" t="s">
        <v>226</v>
      </c>
      <c r="H128" s="105" t="s">
        <v>561</v>
      </c>
      <c r="I128" s="403" t="s">
        <v>595</v>
      </c>
      <c r="J128" s="403" t="s">
        <v>207</v>
      </c>
      <c r="K128" s="403" t="s">
        <v>544</v>
      </c>
      <c r="L128" s="403"/>
      <c r="M128" s="403"/>
      <c r="N128" s="404"/>
      <c r="O128" s="537">
        <v>43374</v>
      </c>
      <c r="P128" s="108">
        <v>43374</v>
      </c>
      <c r="Q128" s="323">
        <f t="shared" si="112"/>
        <v>0</v>
      </c>
      <c r="R128" s="109">
        <f>IF((P128-VLOOKUP(Q128,month!$A$1:$C$13,3,0))&lt;0,Q128,Q128+1)</f>
        <v>0</v>
      </c>
      <c r="S128" s="108"/>
      <c r="T128" s="110" t="str">
        <f t="shared" si="154"/>
        <v/>
      </c>
      <c r="U128" s="404"/>
      <c r="V128" s="404"/>
      <c r="W128" s="405"/>
      <c r="X128" s="405"/>
      <c r="Y128" s="492"/>
      <c r="Z128" s="406" t="s">
        <v>545</v>
      </c>
      <c r="AA128" s="394">
        <v>1000</v>
      </c>
      <c r="AB128" s="394">
        <v>1000</v>
      </c>
      <c r="AC128" s="394">
        <v>1000</v>
      </c>
      <c r="AD128" s="394">
        <v>1000</v>
      </c>
      <c r="AE128" s="394">
        <v>1000</v>
      </c>
      <c r="AF128" s="394">
        <v>1000</v>
      </c>
      <c r="AG128" s="394">
        <v>1000</v>
      </c>
      <c r="AH128" s="394">
        <v>1000</v>
      </c>
      <c r="AI128" s="394">
        <v>1000</v>
      </c>
      <c r="AJ128" s="394">
        <v>1000</v>
      </c>
      <c r="AK128" s="394">
        <v>1000</v>
      </c>
      <c r="AL128" s="394">
        <v>1000</v>
      </c>
      <c r="AM128" s="388">
        <f t="shared" si="185"/>
        <v>12000</v>
      </c>
      <c r="AN128" s="388">
        <f t="shared" si="113"/>
        <v>12000</v>
      </c>
      <c r="AO128" s="389">
        <f t="shared" si="180"/>
        <v>1000</v>
      </c>
      <c r="AP128" s="502" t="s">
        <v>751</v>
      </c>
      <c r="AQ128" s="159">
        <v>0.5</v>
      </c>
      <c r="AR128" s="103" t="s">
        <v>211</v>
      </c>
      <c r="AS128" s="119" t="s">
        <v>210</v>
      </c>
      <c r="AT128" s="111">
        <v>1473690.0191715213</v>
      </c>
      <c r="AU128" s="111">
        <v>1601896.0601008309</v>
      </c>
      <c r="AV128" s="111">
        <v>594694.32825934701</v>
      </c>
      <c r="AW128" s="111">
        <v>604495.44684246101</v>
      </c>
      <c r="AX128" s="113">
        <v>1436290.7616200005</v>
      </c>
      <c r="AY128" s="113">
        <v>1234137</v>
      </c>
      <c r="AZ128" s="113"/>
      <c r="BA128" s="581"/>
      <c r="BB128" s="113"/>
      <c r="BC128" s="113"/>
      <c r="BD128" s="113"/>
      <c r="BE128" s="113"/>
      <c r="BF128" s="114">
        <f t="shared" si="186"/>
        <v>1436290.7616200005</v>
      </c>
      <c r="BG128" s="114">
        <f t="shared" si="186"/>
        <v>1234137</v>
      </c>
      <c r="BH128" s="114">
        <f t="shared" si="186"/>
        <v>0</v>
      </c>
      <c r="BI128" s="114">
        <f t="shared" si="186"/>
        <v>0</v>
      </c>
      <c r="BJ128" s="114">
        <f t="shared" si="193"/>
        <v>2670427.7616200005</v>
      </c>
      <c r="BK128" s="115">
        <f t="shared" si="173"/>
        <v>4274775.8543741601</v>
      </c>
      <c r="BL128" s="115">
        <f t="shared" si="140"/>
        <v>4274775.8543741601</v>
      </c>
      <c r="BM128" s="116">
        <f t="shared" si="141"/>
        <v>0.62470000000000003</v>
      </c>
      <c r="BN128" s="126">
        <f t="shared" ca="1" si="174"/>
        <v>0</v>
      </c>
      <c r="BO128" s="117">
        <f t="shared" ca="1" si="175"/>
        <v>0</v>
      </c>
      <c r="BP128" s="118" t="str">
        <f t="shared" si="176"/>
        <v>Uncapped</v>
      </c>
      <c r="BQ128" s="115">
        <f t="shared" ca="1" si="117"/>
        <v>0</v>
      </c>
      <c r="BR128" s="174" t="s">
        <v>738</v>
      </c>
      <c r="BS128" s="175">
        <v>0.3</v>
      </c>
      <c r="BT128" s="174" t="s">
        <v>211</v>
      </c>
      <c r="BU128" s="174" t="s">
        <v>725</v>
      </c>
      <c r="BV128" s="113">
        <v>0</v>
      </c>
      <c r="BW128" s="113">
        <v>0</v>
      </c>
      <c r="BX128" s="113">
        <v>0</v>
      </c>
      <c r="BY128" s="113">
        <v>0</v>
      </c>
      <c r="BZ128" s="113">
        <v>0</v>
      </c>
      <c r="CA128" s="113">
        <v>0</v>
      </c>
      <c r="CB128" s="113">
        <v>0</v>
      </c>
      <c r="CC128" s="113"/>
      <c r="CD128" s="113"/>
      <c r="CE128" s="113"/>
      <c r="CF128" s="113"/>
      <c r="CG128" s="113"/>
      <c r="CH128" s="114">
        <f t="shared" si="187"/>
        <v>0</v>
      </c>
      <c r="CI128" s="114">
        <f t="shared" si="187"/>
        <v>0</v>
      </c>
      <c r="CJ128" s="120">
        <f t="shared" si="187"/>
        <v>0</v>
      </c>
      <c r="CK128" s="114">
        <f t="shared" si="187"/>
        <v>0</v>
      </c>
      <c r="CL128" s="114">
        <f t="shared" si="194"/>
        <v>0</v>
      </c>
      <c r="CM128" s="114">
        <f t="shared" si="188"/>
        <v>0</v>
      </c>
      <c r="CN128" s="114">
        <f t="shared" si="189"/>
        <v>0</v>
      </c>
      <c r="CO128" s="116">
        <f t="shared" si="143"/>
        <v>0</v>
      </c>
      <c r="CP128" s="126">
        <f t="shared" ca="1" si="144"/>
        <v>0</v>
      </c>
      <c r="CQ128" s="115">
        <f t="shared" ca="1" si="119"/>
        <v>0</v>
      </c>
      <c r="CR128" s="118" t="str">
        <f t="shared" si="145"/>
        <v>Uncapped</v>
      </c>
      <c r="CS128" s="115">
        <f t="shared" ca="1" si="120"/>
        <v>0</v>
      </c>
      <c r="CT128" s="113" t="s">
        <v>729</v>
      </c>
      <c r="CU128" s="119">
        <v>0.2</v>
      </c>
      <c r="CV128" s="113" t="s">
        <v>217</v>
      </c>
      <c r="CW128" s="113" t="s">
        <v>210</v>
      </c>
      <c r="CX128" s="113">
        <v>13631298.3753272</v>
      </c>
      <c r="CY128" s="113">
        <v>15463517.626933601</v>
      </c>
      <c r="CZ128" s="113"/>
      <c r="DA128" s="113"/>
      <c r="DB128" s="113">
        <v>13485327.436090879</v>
      </c>
      <c r="DC128" s="113">
        <v>13198691</v>
      </c>
      <c r="DD128" s="113"/>
      <c r="DE128" s="113"/>
      <c r="DF128" s="113"/>
      <c r="DG128" s="113"/>
      <c r="DH128" s="113"/>
      <c r="DI128" s="113"/>
      <c r="DJ128" s="114">
        <f t="shared" si="190"/>
        <v>13485327.436090879</v>
      </c>
      <c r="DK128" s="114">
        <f t="shared" si="190"/>
        <v>13198691</v>
      </c>
      <c r="DL128" s="114">
        <f t="shared" si="190"/>
        <v>0</v>
      </c>
      <c r="DM128" s="114">
        <f t="shared" si="190"/>
        <v>0</v>
      </c>
      <c r="DN128" s="114">
        <f t="shared" si="168"/>
        <v>26684018.436090879</v>
      </c>
      <c r="DO128" s="114">
        <f t="shared" si="195"/>
        <v>29094816.0022608</v>
      </c>
      <c r="DP128" s="114">
        <f t="shared" si="201"/>
        <v>29094816.0022608</v>
      </c>
      <c r="DQ128" s="116">
        <f t="shared" si="146"/>
        <v>0.91710000000000003</v>
      </c>
      <c r="DR128" s="126">
        <f t="shared" ca="1" si="121"/>
        <v>0</v>
      </c>
      <c r="DS128" s="115">
        <f t="shared" ca="1" si="122"/>
        <v>0</v>
      </c>
      <c r="DT128" s="118" t="str">
        <f t="shared" si="147"/>
        <v>Uncapped</v>
      </c>
      <c r="DU128" s="115">
        <f t="shared" ca="1" si="123"/>
        <v>0</v>
      </c>
      <c r="DV128" s="113"/>
      <c r="DW128" s="119">
        <v>0</v>
      </c>
      <c r="DX128" s="113"/>
      <c r="DY128" s="113"/>
      <c r="DZ128" s="113">
        <v>0</v>
      </c>
      <c r="EA128" s="113">
        <v>0</v>
      </c>
      <c r="EB128" s="113">
        <v>0</v>
      </c>
      <c r="EC128" s="113">
        <v>0</v>
      </c>
      <c r="ED128" s="113">
        <v>0</v>
      </c>
      <c r="EE128" s="113">
        <v>0</v>
      </c>
      <c r="EF128" s="113"/>
      <c r="EG128" s="113"/>
      <c r="EH128" s="113"/>
      <c r="EI128" s="113"/>
      <c r="EJ128" s="113"/>
      <c r="EK128" s="113"/>
      <c r="EL128" s="114">
        <f t="shared" si="191"/>
        <v>0</v>
      </c>
      <c r="EM128" s="114">
        <f t="shared" si="191"/>
        <v>0</v>
      </c>
      <c r="EN128" s="114">
        <f t="shared" si="191"/>
        <v>0</v>
      </c>
      <c r="EO128" s="114">
        <f t="shared" si="191"/>
        <v>0</v>
      </c>
      <c r="EP128" s="114">
        <f t="shared" si="124"/>
        <v>0</v>
      </c>
      <c r="EQ128" s="114">
        <f t="shared" si="196"/>
        <v>0</v>
      </c>
      <c r="ER128" s="114">
        <f t="shared" si="192"/>
        <v>0</v>
      </c>
      <c r="ES128" s="116">
        <f t="shared" si="149"/>
        <v>0</v>
      </c>
      <c r="ET128" s="126">
        <f t="shared" ca="1" si="150"/>
        <v>0</v>
      </c>
      <c r="EU128" s="115">
        <f t="shared" ca="1" si="125"/>
        <v>0</v>
      </c>
      <c r="EV128" s="118" t="str">
        <f t="shared" si="126"/>
        <v>Uncapped</v>
      </c>
      <c r="EW128" s="115">
        <f t="shared" ca="1" si="127"/>
        <v>0</v>
      </c>
      <c r="EX128" s="112">
        <f t="shared" ca="1" si="128"/>
        <v>0</v>
      </c>
      <c r="EY128" s="114">
        <f t="shared" ca="1" si="151"/>
        <v>0</v>
      </c>
      <c r="EZ128" s="115">
        <v>0</v>
      </c>
      <c r="FA128" s="115"/>
      <c r="FB128" s="115"/>
      <c r="FC128" s="115">
        <v>0</v>
      </c>
      <c r="FD128" s="115">
        <f t="shared" si="197"/>
        <v>0</v>
      </c>
      <c r="FE128" s="114">
        <f t="shared" si="177"/>
        <v>0</v>
      </c>
      <c r="FF128" s="115">
        <v>0</v>
      </c>
      <c r="FG128" s="115">
        <v>0</v>
      </c>
      <c r="FH128" s="115">
        <v>0</v>
      </c>
      <c r="FI128" s="115">
        <v>0</v>
      </c>
      <c r="FJ128" s="115">
        <f t="shared" si="198"/>
        <v>0</v>
      </c>
      <c r="FK128" s="114">
        <f t="shared" si="178"/>
        <v>0</v>
      </c>
      <c r="FL128" s="113"/>
      <c r="FM128" s="111"/>
      <c r="FN128" s="111"/>
      <c r="FO128" s="111"/>
      <c r="FP128" s="115">
        <f t="shared" si="129"/>
        <v>0</v>
      </c>
      <c r="FQ128" s="115"/>
      <c r="FR128" s="115"/>
      <c r="FS128" s="115"/>
      <c r="FT128" s="114">
        <f t="shared" si="152"/>
        <v>0</v>
      </c>
      <c r="FU128" s="366">
        <f t="shared" ca="1" si="155"/>
        <v>0</v>
      </c>
      <c r="FV128" s="121">
        <f t="shared" ca="1" si="153"/>
        <v>0</v>
      </c>
      <c r="FW128" s="114">
        <f t="shared" si="181"/>
        <v>0</v>
      </c>
      <c r="FX128" s="114">
        <f t="shared" si="181"/>
        <v>0</v>
      </c>
      <c r="FY128" s="114">
        <f t="shared" si="181"/>
        <v>0</v>
      </c>
      <c r="FZ128" s="114">
        <f t="shared" si="181"/>
        <v>0</v>
      </c>
      <c r="GA128" s="114">
        <f t="shared" si="183"/>
        <v>0</v>
      </c>
      <c r="GB128" s="114">
        <f t="shared" si="182"/>
        <v>0</v>
      </c>
      <c r="GC128" s="114">
        <f t="shared" si="182"/>
        <v>0</v>
      </c>
      <c r="GD128" s="114">
        <f t="shared" si="182"/>
        <v>0</v>
      </c>
      <c r="GE128" s="114">
        <f t="shared" si="182"/>
        <v>0</v>
      </c>
      <c r="GF128" s="114">
        <f t="shared" si="184"/>
        <v>0</v>
      </c>
      <c r="GG128" s="114">
        <f t="shared" si="184"/>
        <v>0</v>
      </c>
      <c r="GH128" s="114">
        <f t="shared" si="184"/>
        <v>0</v>
      </c>
      <c r="GI128" s="114">
        <f t="shared" si="184"/>
        <v>0</v>
      </c>
      <c r="GJ128" s="115">
        <f t="shared" si="199"/>
        <v>0</v>
      </c>
      <c r="GK128" s="114">
        <f t="shared" si="131"/>
        <v>0</v>
      </c>
      <c r="GL128" s="114">
        <f t="shared" si="132"/>
        <v>0</v>
      </c>
      <c r="GM128" s="114">
        <f t="shared" si="133"/>
        <v>0</v>
      </c>
      <c r="GN128" s="114">
        <f t="shared" si="134"/>
        <v>0</v>
      </c>
      <c r="GO128" s="114">
        <f t="shared" si="135"/>
        <v>0</v>
      </c>
      <c r="GP128" s="114">
        <f t="shared" si="200"/>
        <v>0</v>
      </c>
      <c r="GQ128" s="114">
        <f t="shared" si="136"/>
        <v>0</v>
      </c>
      <c r="GR128" s="193"/>
      <c r="GS128" s="122">
        <f t="shared" si="202"/>
        <v>29354446.197710879</v>
      </c>
      <c r="GT128" s="122">
        <f t="shared" si="202"/>
        <v>33369591.85663496</v>
      </c>
      <c r="GU128" s="123">
        <f t="shared" si="137"/>
        <v>0.87967651279121839</v>
      </c>
      <c r="GV128" s="124">
        <f t="shared" ca="1" si="138"/>
        <v>0</v>
      </c>
      <c r="GW128" s="124">
        <v>0</v>
      </c>
      <c r="GX128" s="32">
        <f t="shared" ca="1" si="139"/>
        <v>0</v>
      </c>
      <c r="GY128" s="100"/>
    </row>
    <row r="129" spans="3:207" s="408" customFormat="1" hidden="1">
      <c r="C129" s="402"/>
      <c r="D129" s="402"/>
      <c r="E129" s="403"/>
      <c r="F129" s="403" t="s">
        <v>720</v>
      </c>
      <c r="G129" s="403" t="s">
        <v>226</v>
      </c>
      <c r="H129" s="105" t="s">
        <v>562</v>
      </c>
      <c r="I129" s="403" t="s">
        <v>596</v>
      </c>
      <c r="J129" s="403" t="s">
        <v>212</v>
      </c>
      <c r="K129" s="403" t="s">
        <v>544</v>
      </c>
      <c r="L129" s="403"/>
      <c r="M129" s="403"/>
      <c r="N129" s="404"/>
      <c r="O129" s="108">
        <v>43395</v>
      </c>
      <c r="P129" s="108">
        <v>43395</v>
      </c>
      <c r="Q129" s="323">
        <f t="shared" si="112"/>
        <v>0</v>
      </c>
      <c r="R129" s="109">
        <f>IF((P129-VLOOKUP(Q129,month!$A$1:$C$13,3,0))&lt;0,Q129,Q129+1)</f>
        <v>0</v>
      </c>
      <c r="S129" s="108"/>
      <c r="T129" s="110" t="str">
        <f t="shared" si="154"/>
        <v/>
      </c>
      <c r="U129" s="404"/>
      <c r="V129" s="404"/>
      <c r="W129" s="405"/>
      <c r="X129" s="405"/>
      <c r="Y129" s="492"/>
      <c r="Z129" s="406" t="s">
        <v>545</v>
      </c>
      <c r="AA129" s="394">
        <v>1000</v>
      </c>
      <c r="AB129" s="394">
        <v>1000</v>
      </c>
      <c r="AC129" s="394">
        <v>1000</v>
      </c>
      <c r="AD129" s="394">
        <v>1000</v>
      </c>
      <c r="AE129" s="394">
        <v>1000</v>
      </c>
      <c r="AF129" s="394">
        <v>1000</v>
      </c>
      <c r="AG129" s="394">
        <v>1000</v>
      </c>
      <c r="AH129" s="394">
        <v>1000</v>
      </c>
      <c r="AI129" s="394">
        <v>1000</v>
      </c>
      <c r="AJ129" s="394">
        <v>1000</v>
      </c>
      <c r="AK129" s="394">
        <v>1000</v>
      </c>
      <c r="AL129" s="394">
        <v>1000</v>
      </c>
      <c r="AM129" s="388">
        <f t="shared" si="185"/>
        <v>12000</v>
      </c>
      <c r="AN129" s="388">
        <f t="shared" si="113"/>
        <v>12000</v>
      </c>
      <c r="AO129" s="389">
        <f t="shared" si="180"/>
        <v>1000</v>
      </c>
      <c r="AP129" s="502" t="s">
        <v>739</v>
      </c>
      <c r="AQ129" s="159">
        <v>0.4</v>
      </c>
      <c r="AR129" s="103" t="s">
        <v>211</v>
      </c>
      <c r="AS129" s="119" t="s">
        <v>210</v>
      </c>
      <c r="AT129" s="111">
        <v>3303532.5981613281</v>
      </c>
      <c r="AU129" s="111">
        <v>3658876.8275554618</v>
      </c>
      <c r="AV129" s="111">
        <v>3539622.6234550145</v>
      </c>
      <c r="AW129" s="111">
        <v>3541548.5655471394</v>
      </c>
      <c r="AX129" s="113">
        <v>3446903.51</v>
      </c>
      <c r="AY129" s="113">
        <v>3218966.0412500044</v>
      </c>
      <c r="AZ129" s="113">
        <v>2940994.7070000023</v>
      </c>
      <c r="BA129" s="113"/>
      <c r="BB129" s="113"/>
      <c r="BC129" s="113"/>
      <c r="BD129" s="113"/>
      <c r="BE129" s="113"/>
      <c r="BF129" s="114">
        <f t="shared" si="186"/>
        <v>3446903.51</v>
      </c>
      <c r="BG129" s="114">
        <f t="shared" si="186"/>
        <v>3218966.0412500044</v>
      </c>
      <c r="BH129" s="114">
        <f t="shared" si="186"/>
        <v>2940994.7070000023</v>
      </c>
      <c r="BI129" s="114">
        <f t="shared" si="186"/>
        <v>0</v>
      </c>
      <c r="BJ129" s="114">
        <f t="shared" si="193"/>
        <v>9606864.2582500055</v>
      </c>
      <c r="BK129" s="115">
        <f t="shared" si="173"/>
        <v>14043580.614718944</v>
      </c>
      <c r="BL129" s="115">
        <f t="shared" si="140"/>
        <v>14043580.614718944</v>
      </c>
      <c r="BM129" s="116">
        <f t="shared" si="141"/>
        <v>0.68410000000000004</v>
      </c>
      <c r="BN129" s="126">
        <f t="shared" ca="1" si="174"/>
        <v>0</v>
      </c>
      <c r="BO129" s="117">
        <f t="shared" ca="1" si="175"/>
        <v>0</v>
      </c>
      <c r="BP129" s="118" t="str">
        <f t="shared" si="176"/>
        <v>Uncapped</v>
      </c>
      <c r="BQ129" s="115">
        <f t="shared" ca="1" si="117"/>
        <v>0</v>
      </c>
      <c r="BR129" s="174" t="s">
        <v>740</v>
      </c>
      <c r="BS129" s="175">
        <v>0.4</v>
      </c>
      <c r="BT129" s="174" t="s">
        <v>211</v>
      </c>
      <c r="BU129" s="174" t="s">
        <v>210</v>
      </c>
      <c r="BV129" s="113">
        <v>5205901.7546552001</v>
      </c>
      <c r="BW129" s="113">
        <v>6041740.1313270004</v>
      </c>
      <c r="BX129" s="113">
        <v>5756053.1908810986</v>
      </c>
      <c r="BY129" s="113">
        <v>6160067.2421446964</v>
      </c>
      <c r="BZ129" s="113">
        <v>5515068.8665199988</v>
      </c>
      <c r="CA129" s="113">
        <v>5778683</v>
      </c>
      <c r="CB129" s="113">
        <f>3919994.43121+1172274.56879</f>
        <v>5092269</v>
      </c>
      <c r="CC129" s="113"/>
      <c r="CD129" s="113"/>
      <c r="CE129" s="113"/>
      <c r="CF129" s="113"/>
      <c r="CG129" s="113"/>
      <c r="CH129" s="114">
        <f t="shared" si="187"/>
        <v>5515068.8665199988</v>
      </c>
      <c r="CI129" s="114">
        <f t="shared" si="187"/>
        <v>5778683</v>
      </c>
      <c r="CJ129" s="120">
        <f t="shared" si="187"/>
        <v>5092269</v>
      </c>
      <c r="CK129" s="114">
        <f t="shared" si="187"/>
        <v>0</v>
      </c>
      <c r="CL129" s="114">
        <f t="shared" si="194"/>
        <v>16386020.866519999</v>
      </c>
      <c r="CM129" s="114">
        <f t="shared" si="188"/>
        <v>23163762.319007996</v>
      </c>
      <c r="CN129" s="114">
        <f t="shared" si="189"/>
        <v>23163762.319007996</v>
      </c>
      <c r="CO129" s="116">
        <f t="shared" si="143"/>
        <v>0.70740000000000003</v>
      </c>
      <c r="CP129" s="126">
        <f t="shared" ca="1" si="144"/>
        <v>0</v>
      </c>
      <c r="CQ129" s="115">
        <f t="shared" ca="1" si="119"/>
        <v>0</v>
      </c>
      <c r="CR129" s="118" t="str">
        <f t="shared" si="145"/>
        <v>Uncapped</v>
      </c>
      <c r="CS129" s="115">
        <f t="shared" ca="1" si="120"/>
        <v>0</v>
      </c>
      <c r="CT129" s="113" t="s">
        <v>733</v>
      </c>
      <c r="CU129" s="119">
        <v>0.2</v>
      </c>
      <c r="CV129" s="113" t="s">
        <v>217</v>
      </c>
      <c r="CW129" s="113" t="s">
        <v>210</v>
      </c>
      <c r="CX129" s="113">
        <v>4332720.3217541184</v>
      </c>
      <c r="CY129" s="113">
        <v>4778527.2500066841</v>
      </c>
      <c r="CZ129" s="113">
        <v>4616888.1107896138</v>
      </c>
      <c r="DA129" s="113">
        <v>4787499.8855306264</v>
      </c>
      <c r="DB129" s="113">
        <v>4282731.8</v>
      </c>
      <c r="DC129" s="113">
        <v>4427269.8909500409</v>
      </c>
      <c r="DD129" s="113">
        <v>3879830.89</v>
      </c>
      <c r="DE129" s="113"/>
      <c r="DF129" s="113"/>
      <c r="DG129" s="113"/>
      <c r="DH129" s="113"/>
      <c r="DI129" s="113"/>
      <c r="DJ129" s="114">
        <f t="shared" si="190"/>
        <v>4282731.8</v>
      </c>
      <c r="DK129" s="114">
        <f t="shared" si="190"/>
        <v>4427269.8909500409</v>
      </c>
      <c r="DL129" s="114">
        <f t="shared" si="190"/>
        <v>3879830.89</v>
      </c>
      <c r="DM129" s="114">
        <f t="shared" si="190"/>
        <v>0</v>
      </c>
      <c r="DN129" s="114">
        <f t="shared" si="168"/>
        <v>12589832.58095004</v>
      </c>
      <c r="DO129" s="114">
        <f t="shared" si="195"/>
        <v>18515635.568081044</v>
      </c>
      <c r="DP129" s="114">
        <f t="shared" si="201"/>
        <v>18515635.568081044</v>
      </c>
      <c r="DQ129" s="116">
        <f t="shared" si="146"/>
        <v>0.68</v>
      </c>
      <c r="DR129" s="126">
        <f t="shared" ca="1" si="121"/>
        <v>0</v>
      </c>
      <c r="DS129" s="115">
        <f t="shared" ca="1" si="122"/>
        <v>0</v>
      </c>
      <c r="DT129" s="118" t="str">
        <f t="shared" si="147"/>
        <v>Uncapped</v>
      </c>
      <c r="DU129" s="115">
        <f t="shared" ca="1" si="123"/>
        <v>0</v>
      </c>
      <c r="DV129" s="113"/>
      <c r="DW129" s="119">
        <v>0</v>
      </c>
      <c r="DX129" s="113"/>
      <c r="DY129" s="113"/>
      <c r="DZ129" s="113">
        <v>0</v>
      </c>
      <c r="EA129" s="113">
        <v>0</v>
      </c>
      <c r="EB129" s="113">
        <v>0</v>
      </c>
      <c r="EC129" s="113">
        <v>0</v>
      </c>
      <c r="ED129" s="113">
        <v>0</v>
      </c>
      <c r="EE129" s="113">
        <v>0</v>
      </c>
      <c r="EF129" s="113"/>
      <c r="EG129" s="113"/>
      <c r="EH129" s="113"/>
      <c r="EI129" s="113"/>
      <c r="EJ129" s="113"/>
      <c r="EK129" s="113"/>
      <c r="EL129" s="114">
        <f t="shared" si="191"/>
        <v>0</v>
      </c>
      <c r="EM129" s="114">
        <f t="shared" si="191"/>
        <v>0</v>
      </c>
      <c r="EN129" s="114">
        <f t="shared" si="191"/>
        <v>0</v>
      </c>
      <c r="EO129" s="114">
        <f t="shared" si="191"/>
        <v>0</v>
      </c>
      <c r="EP129" s="114">
        <f t="shared" si="124"/>
        <v>0</v>
      </c>
      <c r="EQ129" s="114">
        <f t="shared" si="196"/>
        <v>0</v>
      </c>
      <c r="ER129" s="114">
        <f t="shared" si="192"/>
        <v>0</v>
      </c>
      <c r="ES129" s="116">
        <f t="shared" si="149"/>
        <v>0</v>
      </c>
      <c r="ET129" s="126">
        <f t="shared" ca="1" si="150"/>
        <v>0</v>
      </c>
      <c r="EU129" s="115">
        <f t="shared" ca="1" si="125"/>
        <v>0</v>
      </c>
      <c r="EV129" s="118" t="str">
        <f t="shared" si="126"/>
        <v>Uncapped</v>
      </c>
      <c r="EW129" s="115">
        <f t="shared" ca="1" si="127"/>
        <v>0</v>
      </c>
      <c r="EX129" s="112">
        <f t="shared" ca="1" si="128"/>
        <v>0</v>
      </c>
      <c r="EY129" s="114">
        <f t="shared" ca="1" si="151"/>
        <v>0</v>
      </c>
      <c r="EZ129" s="115">
        <v>0</v>
      </c>
      <c r="FA129" s="115"/>
      <c r="FB129" s="115"/>
      <c r="FC129" s="115">
        <v>0</v>
      </c>
      <c r="FD129" s="115">
        <f t="shared" si="197"/>
        <v>0</v>
      </c>
      <c r="FE129" s="114">
        <f t="shared" si="177"/>
        <v>0</v>
      </c>
      <c r="FF129" s="115">
        <v>0</v>
      </c>
      <c r="FG129" s="115">
        <v>0</v>
      </c>
      <c r="FH129" s="115">
        <v>0</v>
      </c>
      <c r="FI129" s="115">
        <v>0</v>
      </c>
      <c r="FJ129" s="115">
        <f t="shared" si="198"/>
        <v>0</v>
      </c>
      <c r="FK129" s="114">
        <f t="shared" si="178"/>
        <v>0</v>
      </c>
      <c r="FL129" s="113"/>
      <c r="FM129" s="111"/>
      <c r="FN129" s="111"/>
      <c r="FO129" s="111"/>
      <c r="FP129" s="115">
        <f t="shared" si="129"/>
        <v>0</v>
      </c>
      <c r="FQ129" s="115"/>
      <c r="FR129" s="115"/>
      <c r="FS129" s="115"/>
      <c r="FT129" s="114">
        <f t="shared" si="152"/>
        <v>0</v>
      </c>
      <c r="FU129" s="366">
        <f t="shared" ca="1" si="155"/>
        <v>0</v>
      </c>
      <c r="FV129" s="121">
        <f t="shared" ca="1" si="153"/>
        <v>0</v>
      </c>
      <c r="FW129" s="114">
        <f t="shared" si="181"/>
        <v>0</v>
      </c>
      <c r="FX129" s="114">
        <f t="shared" si="181"/>
        <v>0</v>
      </c>
      <c r="FY129" s="114">
        <f t="shared" si="181"/>
        <v>0</v>
      </c>
      <c r="FZ129" s="114">
        <f t="shared" si="181"/>
        <v>0</v>
      </c>
      <c r="GA129" s="114">
        <f t="shared" si="183"/>
        <v>0</v>
      </c>
      <c r="GB129" s="114">
        <f t="shared" si="182"/>
        <v>0</v>
      </c>
      <c r="GC129" s="114">
        <f t="shared" si="182"/>
        <v>0</v>
      </c>
      <c r="GD129" s="114">
        <f t="shared" si="182"/>
        <v>0</v>
      </c>
      <c r="GE129" s="114">
        <f t="shared" si="182"/>
        <v>0</v>
      </c>
      <c r="GF129" s="114">
        <f t="shared" si="184"/>
        <v>0</v>
      </c>
      <c r="GG129" s="114">
        <f t="shared" si="184"/>
        <v>0</v>
      </c>
      <c r="GH129" s="114">
        <f t="shared" si="184"/>
        <v>0</v>
      </c>
      <c r="GI129" s="114">
        <f t="shared" si="184"/>
        <v>0</v>
      </c>
      <c r="GJ129" s="115">
        <f t="shared" si="199"/>
        <v>0</v>
      </c>
      <c r="GK129" s="114">
        <f t="shared" si="131"/>
        <v>0</v>
      </c>
      <c r="GL129" s="114">
        <f t="shared" si="132"/>
        <v>0</v>
      </c>
      <c r="GM129" s="114">
        <f t="shared" si="133"/>
        <v>0</v>
      </c>
      <c r="GN129" s="114">
        <f t="shared" si="134"/>
        <v>0</v>
      </c>
      <c r="GO129" s="114">
        <f t="shared" si="135"/>
        <v>0</v>
      </c>
      <c r="GP129" s="114">
        <f t="shared" si="200"/>
        <v>0</v>
      </c>
      <c r="GQ129" s="114">
        <f t="shared" si="136"/>
        <v>0</v>
      </c>
      <c r="GR129" s="193"/>
      <c r="GS129" s="122">
        <f t="shared" si="202"/>
        <v>38582717.705720045</v>
      </c>
      <c r="GT129" s="122">
        <f t="shared" si="202"/>
        <v>55722978.50180798</v>
      </c>
      <c r="GU129" s="123">
        <f t="shared" si="137"/>
        <v>0.69240228614965715</v>
      </c>
      <c r="GV129" s="124">
        <f t="shared" ca="1" si="138"/>
        <v>0</v>
      </c>
      <c r="GW129" s="124">
        <v>0</v>
      </c>
      <c r="GX129" s="32">
        <f t="shared" ca="1" si="139"/>
        <v>0</v>
      </c>
      <c r="GY129" s="100"/>
    </row>
    <row r="130" spans="3:207" s="408" customFormat="1" hidden="1">
      <c r="C130" s="402"/>
      <c r="D130" s="402"/>
      <c r="E130" s="403"/>
      <c r="F130" s="403" t="s">
        <v>720</v>
      </c>
      <c r="G130" s="403" t="s">
        <v>226</v>
      </c>
      <c r="H130" s="105" t="s">
        <v>563</v>
      </c>
      <c r="I130" s="403" t="s">
        <v>597</v>
      </c>
      <c r="J130" s="403" t="s">
        <v>212</v>
      </c>
      <c r="K130" s="403" t="s">
        <v>544</v>
      </c>
      <c r="L130" s="403"/>
      <c r="M130" s="403"/>
      <c r="N130" s="404"/>
      <c r="O130" s="108">
        <v>43374</v>
      </c>
      <c r="P130" s="108">
        <v>43374</v>
      </c>
      <c r="Q130" s="323">
        <f t="shared" si="112"/>
        <v>0</v>
      </c>
      <c r="R130" s="109">
        <f>IF((P130-VLOOKUP(Q130,month!$A$1:$C$13,3,0))&lt;0,Q130,Q130+1)</f>
        <v>0</v>
      </c>
      <c r="S130" s="108"/>
      <c r="T130" s="110" t="str">
        <f t="shared" si="154"/>
        <v/>
      </c>
      <c r="U130" s="404"/>
      <c r="V130" s="404"/>
      <c r="W130" s="405"/>
      <c r="X130" s="405"/>
      <c r="Y130" s="492"/>
      <c r="Z130" s="406" t="s">
        <v>545</v>
      </c>
      <c r="AA130" s="394">
        <v>1000</v>
      </c>
      <c r="AB130" s="394">
        <v>1000</v>
      </c>
      <c r="AC130" s="394">
        <v>1000</v>
      </c>
      <c r="AD130" s="394">
        <v>1000</v>
      </c>
      <c r="AE130" s="394">
        <v>1000</v>
      </c>
      <c r="AF130" s="394">
        <v>1000</v>
      </c>
      <c r="AG130" s="394">
        <v>1000</v>
      </c>
      <c r="AH130" s="394">
        <v>1000</v>
      </c>
      <c r="AI130" s="394">
        <v>1000</v>
      </c>
      <c r="AJ130" s="394">
        <v>1000</v>
      </c>
      <c r="AK130" s="394">
        <v>1000</v>
      </c>
      <c r="AL130" s="394">
        <v>1000</v>
      </c>
      <c r="AM130" s="388">
        <f t="shared" si="185"/>
        <v>12000</v>
      </c>
      <c r="AN130" s="388">
        <f t="shared" si="113"/>
        <v>12000</v>
      </c>
      <c r="AO130" s="389">
        <f t="shared" si="180"/>
        <v>1000</v>
      </c>
      <c r="AP130" s="502" t="s">
        <v>739</v>
      </c>
      <c r="AQ130" s="159">
        <v>0.4</v>
      </c>
      <c r="AR130" s="103" t="s">
        <v>211</v>
      </c>
      <c r="AS130" s="119" t="s">
        <v>210</v>
      </c>
      <c r="AT130" s="111">
        <v>616390.08916673041</v>
      </c>
      <c r="AU130" s="111">
        <v>671167.08426676516</v>
      </c>
      <c r="AV130" s="111">
        <v>640978.86732239777</v>
      </c>
      <c r="AW130" s="111">
        <v>729473.40625056799</v>
      </c>
      <c r="AX130" s="113">
        <v>450242.64500000002</v>
      </c>
      <c r="AY130" s="113">
        <v>609916.10399999889</v>
      </c>
      <c r="AZ130" s="113">
        <v>448154.38</v>
      </c>
      <c r="BA130" s="113"/>
      <c r="BB130" s="113"/>
      <c r="BC130" s="113"/>
      <c r="BD130" s="113"/>
      <c r="BE130" s="113"/>
      <c r="BF130" s="114">
        <f t="shared" si="186"/>
        <v>450242.64500000002</v>
      </c>
      <c r="BG130" s="114">
        <f t="shared" si="186"/>
        <v>609916.10399999889</v>
      </c>
      <c r="BH130" s="114">
        <f t="shared" si="186"/>
        <v>448154.38</v>
      </c>
      <c r="BI130" s="114">
        <f t="shared" si="186"/>
        <v>0</v>
      </c>
      <c r="BJ130" s="114">
        <f t="shared" si="193"/>
        <v>1508313.1289999988</v>
      </c>
      <c r="BK130" s="115">
        <f t="shared" si="173"/>
        <v>2658009.4470064617</v>
      </c>
      <c r="BL130" s="115">
        <f t="shared" si="140"/>
        <v>2658009.4470064617</v>
      </c>
      <c r="BM130" s="116">
        <f t="shared" si="141"/>
        <v>0.5675</v>
      </c>
      <c r="BN130" s="126">
        <f t="shared" ca="1" si="174"/>
        <v>0</v>
      </c>
      <c r="BO130" s="117">
        <f t="shared" ca="1" si="175"/>
        <v>0</v>
      </c>
      <c r="BP130" s="118" t="str">
        <f t="shared" si="176"/>
        <v>Uncapped</v>
      </c>
      <c r="BQ130" s="115">
        <f t="shared" ca="1" si="117"/>
        <v>0</v>
      </c>
      <c r="BR130" s="174" t="s">
        <v>740</v>
      </c>
      <c r="BS130" s="175">
        <v>0.4</v>
      </c>
      <c r="BT130" s="174" t="s">
        <v>211</v>
      </c>
      <c r="BU130" s="174" t="s">
        <v>210</v>
      </c>
      <c r="BV130" s="113">
        <v>5205901.7546552001</v>
      </c>
      <c r="BW130" s="113">
        <v>6041740.1313270004</v>
      </c>
      <c r="BX130" s="113">
        <v>5756053.1908810986</v>
      </c>
      <c r="BY130" s="113">
        <v>6160067.2421446964</v>
      </c>
      <c r="BZ130" s="113">
        <v>5515068.8665199988</v>
      </c>
      <c r="CA130" s="113">
        <v>5778683</v>
      </c>
      <c r="CB130" s="113">
        <f>3919994.43121+1172274.56879</f>
        <v>5092269</v>
      </c>
      <c r="CC130" s="113"/>
      <c r="CD130" s="113"/>
      <c r="CE130" s="113"/>
      <c r="CF130" s="113"/>
      <c r="CG130" s="113"/>
      <c r="CH130" s="114">
        <f t="shared" si="187"/>
        <v>5515068.8665199988</v>
      </c>
      <c r="CI130" s="114">
        <f t="shared" si="187"/>
        <v>5778683</v>
      </c>
      <c r="CJ130" s="120">
        <f t="shared" si="187"/>
        <v>5092269</v>
      </c>
      <c r="CK130" s="114">
        <f t="shared" si="187"/>
        <v>0</v>
      </c>
      <c r="CL130" s="114">
        <f t="shared" si="194"/>
        <v>16386020.866519999</v>
      </c>
      <c r="CM130" s="114">
        <f t="shared" si="188"/>
        <v>23163762.319007996</v>
      </c>
      <c r="CN130" s="114">
        <f t="shared" si="189"/>
        <v>23163762.319007996</v>
      </c>
      <c r="CO130" s="116">
        <f t="shared" si="143"/>
        <v>0.70740000000000003</v>
      </c>
      <c r="CP130" s="126">
        <f t="shared" ca="1" si="144"/>
        <v>0</v>
      </c>
      <c r="CQ130" s="115">
        <f t="shared" ca="1" si="119"/>
        <v>0</v>
      </c>
      <c r="CR130" s="118" t="str">
        <f t="shared" si="145"/>
        <v>Uncapped</v>
      </c>
      <c r="CS130" s="115">
        <f t="shared" ca="1" si="120"/>
        <v>0</v>
      </c>
      <c r="CT130" s="113" t="s">
        <v>733</v>
      </c>
      <c r="CU130" s="119">
        <v>0.2</v>
      </c>
      <c r="CV130" s="113" t="s">
        <v>217</v>
      </c>
      <c r="CW130" s="113" t="s">
        <v>210</v>
      </c>
      <c r="CX130" s="113">
        <v>4332720.3217541184</v>
      </c>
      <c r="CY130" s="113">
        <v>4778527.2500066841</v>
      </c>
      <c r="CZ130" s="113">
        <v>4616888.1107896138</v>
      </c>
      <c r="DA130" s="113">
        <v>4787499.8855306264</v>
      </c>
      <c r="DB130" s="113">
        <v>4282731.8</v>
      </c>
      <c r="DC130" s="113">
        <v>4427269.8909500409</v>
      </c>
      <c r="DD130" s="113">
        <v>3879830.89</v>
      </c>
      <c r="DE130" s="113"/>
      <c r="DF130" s="113"/>
      <c r="DG130" s="113"/>
      <c r="DH130" s="113"/>
      <c r="DI130" s="113"/>
      <c r="DJ130" s="114">
        <f t="shared" si="190"/>
        <v>4282731.8</v>
      </c>
      <c r="DK130" s="114">
        <f t="shared" si="190"/>
        <v>4427269.8909500409</v>
      </c>
      <c r="DL130" s="114">
        <f t="shared" si="190"/>
        <v>3879830.89</v>
      </c>
      <c r="DM130" s="114">
        <f t="shared" si="190"/>
        <v>0</v>
      </c>
      <c r="DN130" s="114">
        <f t="shared" si="168"/>
        <v>12589832.58095004</v>
      </c>
      <c r="DO130" s="114">
        <f t="shared" si="195"/>
        <v>18515635.568081044</v>
      </c>
      <c r="DP130" s="114">
        <f t="shared" si="201"/>
        <v>18515635.568081044</v>
      </c>
      <c r="DQ130" s="116">
        <f t="shared" si="146"/>
        <v>0.68</v>
      </c>
      <c r="DR130" s="126">
        <f t="shared" ca="1" si="121"/>
        <v>0</v>
      </c>
      <c r="DS130" s="115">
        <f t="shared" ca="1" si="122"/>
        <v>0</v>
      </c>
      <c r="DT130" s="118" t="str">
        <f t="shared" si="147"/>
        <v>Uncapped</v>
      </c>
      <c r="DU130" s="115">
        <f t="shared" ca="1" si="123"/>
        <v>0</v>
      </c>
      <c r="DV130" s="113"/>
      <c r="DW130" s="119">
        <v>0</v>
      </c>
      <c r="DX130" s="113"/>
      <c r="DY130" s="113"/>
      <c r="DZ130" s="113">
        <v>0</v>
      </c>
      <c r="EA130" s="113">
        <v>0</v>
      </c>
      <c r="EB130" s="113">
        <v>0</v>
      </c>
      <c r="EC130" s="113">
        <v>0</v>
      </c>
      <c r="ED130" s="113">
        <v>0</v>
      </c>
      <c r="EE130" s="113">
        <v>0</v>
      </c>
      <c r="EF130" s="113"/>
      <c r="EG130" s="113"/>
      <c r="EH130" s="113"/>
      <c r="EI130" s="113"/>
      <c r="EJ130" s="113"/>
      <c r="EK130" s="113"/>
      <c r="EL130" s="114">
        <f t="shared" si="191"/>
        <v>0</v>
      </c>
      <c r="EM130" s="114">
        <f t="shared" si="191"/>
        <v>0</v>
      </c>
      <c r="EN130" s="114">
        <f t="shared" si="191"/>
        <v>0</v>
      </c>
      <c r="EO130" s="114">
        <f t="shared" si="191"/>
        <v>0</v>
      </c>
      <c r="EP130" s="114">
        <f t="shared" si="124"/>
        <v>0</v>
      </c>
      <c r="EQ130" s="114">
        <f t="shared" si="196"/>
        <v>0</v>
      </c>
      <c r="ER130" s="114">
        <f t="shared" si="192"/>
        <v>0</v>
      </c>
      <c r="ES130" s="116">
        <f t="shared" si="149"/>
        <v>0</v>
      </c>
      <c r="ET130" s="126">
        <f t="shared" ca="1" si="150"/>
        <v>0</v>
      </c>
      <c r="EU130" s="115">
        <f t="shared" ca="1" si="125"/>
        <v>0</v>
      </c>
      <c r="EV130" s="118" t="str">
        <f t="shared" si="126"/>
        <v>Uncapped</v>
      </c>
      <c r="EW130" s="115">
        <f t="shared" ca="1" si="127"/>
        <v>0</v>
      </c>
      <c r="EX130" s="112">
        <f t="shared" ca="1" si="128"/>
        <v>0</v>
      </c>
      <c r="EY130" s="114">
        <f t="shared" ca="1" si="151"/>
        <v>0</v>
      </c>
      <c r="EZ130" s="115">
        <v>0</v>
      </c>
      <c r="FA130" s="115"/>
      <c r="FB130" s="115"/>
      <c r="FC130" s="115">
        <v>0</v>
      </c>
      <c r="FD130" s="115">
        <f t="shared" si="197"/>
        <v>0</v>
      </c>
      <c r="FE130" s="114">
        <f t="shared" si="177"/>
        <v>0</v>
      </c>
      <c r="FF130" s="115">
        <v>0</v>
      </c>
      <c r="FG130" s="115">
        <v>0</v>
      </c>
      <c r="FH130" s="115">
        <v>0</v>
      </c>
      <c r="FI130" s="115">
        <v>0</v>
      </c>
      <c r="FJ130" s="115">
        <f t="shared" si="198"/>
        <v>0</v>
      </c>
      <c r="FK130" s="114">
        <f t="shared" si="178"/>
        <v>0</v>
      </c>
      <c r="FL130" s="113"/>
      <c r="FM130" s="111"/>
      <c r="FN130" s="111"/>
      <c r="FO130" s="111"/>
      <c r="FP130" s="115">
        <f t="shared" si="129"/>
        <v>0</v>
      </c>
      <c r="FQ130" s="115"/>
      <c r="FR130" s="115"/>
      <c r="FS130" s="115"/>
      <c r="FT130" s="114">
        <f t="shared" si="152"/>
        <v>0</v>
      </c>
      <c r="FU130" s="366">
        <f t="shared" ca="1" si="155"/>
        <v>0</v>
      </c>
      <c r="FV130" s="121">
        <f t="shared" ca="1" si="153"/>
        <v>0</v>
      </c>
      <c r="FW130" s="114">
        <f t="shared" si="181"/>
        <v>0</v>
      </c>
      <c r="FX130" s="114">
        <f t="shared" si="181"/>
        <v>0</v>
      </c>
      <c r="FY130" s="114">
        <f t="shared" si="181"/>
        <v>0</v>
      </c>
      <c r="FZ130" s="114">
        <f t="shared" si="181"/>
        <v>0</v>
      </c>
      <c r="GA130" s="114">
        <f t="shared" si="183"/>
        <v>0</v>
      </c>
      <c r="GB130" s="114">
        <f t="shared" si="182"/>
        <v>0</v>
      </c>
      <c r="GC130" s="114">
        <f t="shared" si="182"/>
        <v>0</v>
      </c>
      <c r="GD130" s="114">
        <f t="shared" si="182"/>
        <v>0</v>
      </c>
      <c r="GE130" s="114">
        <f t="shared" si="182"/>
        <v>0</v>
      </c>
      <c r="GF130" s="114">
        <f t="shared" si="184"/>
        <v>0</v>
      </c>
      <c r="GG130" s="114">
        <f t="shared" si="184"/>
        <v>0</v>
      </c>
      <c r="GH130" s="114">
        <f t="shared" si="184"/>
        <v>0</v>
      </c>
      <c r="GI130" s="114">
        <f t="shared" si="184"/>
        <v>0</v>
      </c>
      <c r="GJ130" s="115">
        <f t="shared" si="199"/>
        <v>0</v>
      </c>
      <c r="GK130" s="114">
        <f t="shared" si="131"/>
        <v>0</v>
      </c>
      <c r="GL130" s="114">
        <f t="shared" si="132"/>
        <v>0</v>
      </c>
      <c r="GM130" s="114">
        <f t="shared" si="133"/>
        <v>0</v>
      </c>
      <c r="GN130" s="114">
        <f t="shared" si="134"/>
        <v>0</v>
      </c>
      <c r="GO130" s="114">
        <f t="shared" si="135"/>
        <v>0</v>
      </c>
      <c r="GP130" s="114">
        <f t="shared" si="200"/>
        <v>0</v>
      </c>
      <c r="GQ130" s="114">
        <f t="shared" si="136"/>
        <v>0</v>
      </c>
      <c r="GR130" s="193"/>
      <c r="GS130" s="122">
        <f t="shared" si="202"/>
        <v>30484166.576470036</v>
      </c>
      <c r="GT130" s="122">
        <f t="shared" si="202"/>
        <v>44337407.3340955</v>
      </c>
      <c r="GU130" s="123">
        <f t="shared" si="137"/>
        <v>0.68754959771920832</v>
      </c>
      <c r="GV130" s="124">
        <f t="shared" ca="1" si="138"/>
        <v>0</v>
      </c>
      <c r="GW130" s="124">
        <v>0</v>
      </c>
      <c r="GX130" s="32">
        <f t="shared" ca="1" si="139"/>
        <v>0</v>
      </c>
      <c r="GY130" s="100"/>
    </row>
    <row r="131" spans="3:207" s="408" customFormat="1" hidden="1">
      <c r="C131" s="402"/>
      <c r="D131" s="402"/>
      <c r="E131" s="403"/>
      <c r="F131" s="403" t="s">
        <v>720</v>
      </c>
      <c r="G131" s="403" t="s">
        <v>226</v>
      </c>
      <c r="H131" s="105" t="s">
        <v>564</v>
      </c>
      <c r="I131" s="403" t="s">
        <v>598</v>
      </c>
      <c r="J131" s="403" t="s">
        <v>471</v>
      </c>
      <c r="K131" s="403" t="s">
        <v>544</v>
      </c>
      <c r="L131" s="403" t="s">
        <v>471</v>
      </c>
      <c r="M131" s="403" t="s">
        <v>472</v>
      </c>
      <c r="N131" s="404"/>
      <c r="O131" s="537">
        <v>43416</v>
      </c>
      <c r="P131" s="108">
        <v>43416</v>
      </c>
      <c r="Q131" s="323">
        <f t="shared" si="112"/>
        <v>0</v>
      </c>
      <c r="R131" s="109">
        <f>IF((P131-VLOOKUP(Q131,month!$A$1:$C$13,3,0))&lt;0,Q131,Q131+1)</f>
        <v>0</v>
      </c>
      <c r="S131" s="108"/>
      <c r="T131" s="110" t="str">
        <f t="shared" si="154"/>
        <v/>
      </c>
      <c r="U131" s="483" t="s">
        <v>214</v>
      </c>
      <c r="V131" s="483">
        <v>1</v>
      </c>
      <c r="W131" s="405"/>
      <c r="X131" s="405"/>
      <c r="Y131" s="492"/>
      <c r="Z131" s="406" t="s">
        <v>545</v>
      </c>
      <c r="AA131" s="394">
        <v>1000</v>
      </c>
      <c r="AB131" s="394">
        <v>1000</v>
      </c>
      <c r="AC131" s="394">
        <v>1000</v>
      </c>
      <c r="AD131" s="394">
        <v>1000</v>
      </c>
      <c r="AE131" s="394">
        <v>1000</v>
      </c>
      <c r="AF131" s="394">
        <v>1000</v>
      </c>
      <c r="AG131" s="394">
        <v>1000</v>
      </c>
      <c r="AH131" s="394">
        <v>1000</v>
      </c>
      <c r="AI131" s="394">
        <v>1000</v>
      </c>
      <c r="AJ131" s="394">
        <v>1000</v>
      </c>
      <c r="AK131" s="394">
        <v>1000</v>
      </c>
      <c r="AL131" s="394">
        <v>1000</v>
      </c>
      <c r="AM131" s="388">
        <f t="shared" si="185"/>
        <v>12000</v>
      </c>
      <c r="AN131" s="388">
        <f t="shared" si="113"/>
        <v>12000</v>
      </c>
      <c r="AO131" s="389">
        <f>AA131</f>
        <v>1000</v>
      </c>
      <c r="AP131" s="502" t="s">
        <v>741</v>
      </c>
      <c r="AQ131" s="159">
        <v>0.6</v>
      </c>
      <c r="AR131" s="103" t="s">
        <v>211</v>
      </c>
      <c r="AS131" s="119" t="s">
        <v>210</v>
      </c>
      <c r="AT131" s="111">
        <f>7660213.01062671*50%</f>
        <v>3830106.505313355</v>
      </c>
      <c r="AU131" s="111">
        <v>9018493.9927070495</v>
      </c>
      <c r="AV131" s="111"/>
      <c r="AW131" s="111"/>
      <c r="AX131" s="113"/>
      <c r="AY131" s="113">
        <v>8567846</v>
      </c>
      <c r="AZ131" s="113"/>
      <c r="BA131" s="113"/>
      <c r="BB131" s="113"/>
      <c r="BC131" s="113"/>
      <c r="BD131" s="113"/>
      <c r="BE131" s="113"/>
      <c r="BF131" s="114">
        <f t="shared" si="186"/>
        <v>0</v>
      </c>
      <c r="BG131" s="114">
        <f t="shared" si="186"/>
        <v>8567846</v>
      </c>
      <c r="BH131" s="114">
        <f t="shared" si="186"/>
        <v>0</v>
      </c>
      <c r="BI131" s="114">
        <f t="shared" si="186"/>
        <v>0</v>
      </c>
      <c r="BJ131" s="114">
        <f t="shared" si="193"/>
        <v>8567846</v>
      </c>
      <c r="BK131" s="115">
        <f t="shared" si="173"/>
        <v>12848600.498020405</v>
      </c>
      <c r="BL131" s="115">
        <f t="shared" si="140"/>
        <v>12848600.498020405</v>
      </c>
      <c r="BM131" s="116">
        <f t="shared" si="141"/>
        <v>0.66679999999999995</v>
      </c>
      <c r="BN131" s="126">
        <f t="shared" ca="1" si="174"/>
        <v>0</v>
      </c>
      <c r="BO131" s="117">
        <f t="shared" ca="1" si="175"/>
        <v>0</v>
      </c>
      <c r="BP131" s="118" t="str">
        <f t="shared" si="176"/>
        <v>Uncapped</v>
      </c>
      <c r="BQ131" s="115">
        <f t="shared" ca="1" si="117"/>
        <v>0</v>
      </c>
      <c r="BR131" s="174" t="s">
        <v>742</v>
      </c>
      <c r="BS131" s="175">
        <v>0.2</v>
      </c>
      <c r="BT131" s="174" t="s">
        <v>211</v>
      </c>
      <c r="BU131" s="174" t="s">
        <v>210</v>
      </c>
      <c r="BV131" s="113">
        <v>2985542.6861821399</v>
      </c>
      <c r="BW131" s="113">
        <v>6445023.6418903396</v>
      </c>
      <c r="BX131" s="113">
        <v>0</v>
      </c>
      <c r="BY131" s="113">
        <v>0</v>
      </c>
      <c r="BZ131" s="113"/>
      <c r="CA131" s="113">
        <v>4532450</v>
      </c>
      <c r="CB131" s="113">
        <v>0</v>
      </c>
      <c r="CC131" s="113"/>
      <c r="CD131" s="113"/>
      <c r="CE131" s="113"/>
      <c r="CF131" s="113"/>
      <c r="CG131" s="113"/>
      <c r="CH131" s="114">
        <f t="shared" si="187"/>
        <v>0</v>
      </c>
      <c r="CI131" s="114">
        <f t="shared" si="187"/>
        <v>4532450</v>
      </c>
      <c r="CJ131" s="120">
        <f t="shared" si="187"/>
        <v>0</v>
      </c>
      <c r="CK131" s="114">
        <f t="shared" si="187"/>
        <v>0</v>
      </c>
      <c r="CL131" s="114">
        <f t="shared" si="194"/>
        <v>4532450</v>
      </c>
      <c r="CM131" s="114">
        <f t="shared" si="188"/>
        <v>9430566.328072479</v>
      </c>
      <c r="CN131" s="114">
        <f t="shared" si="189"/>
        <v>9430566.328072479</v>
      </c>
      <c r="CO131" s="116">
        <f t="shared" si="143"/>
        <v>0.48060000000000003</v>
      </c>
      <c r="CP131" s="126">
        <f t="shared" ca="1" si="144"/>
        <v>0</v>
      </c>
      <c r="CQ131" s="115">
        <f t="shared" ca="1" si="119"/>
        <v>0</v>
      </c>
      <c r="CR131" s="118" t="str">
        <f t="shared" si="145"/>
        <v>Uncapped</v>
      </c>
      <c r="CS131" s="115">
        <f t="shared" ca="1" si="120"/>
        <v>0</v>
      </c>
      <c r="CT131" s="113" t="s">
        <v>696</v>
      </c>
      <c r="CU131" s="119">
        <v>0.2</v>
      </c>
      <c r="CV131" s="113" t="s">
        <v>217</v>
      </c>
      <c r="CW131" s="113" t="s">
        <v>210</v>
      </c>
      <c r="CX131" s="533">
        <v>30940861.023927297</v>
      </c>
      <c r="CY131" s="113">
        <v>72180793.063260496</v>
      </c>
      <c r="CZ131" s="113"/>
      <c r="DA131" s="113"/>
      <c r="DB131" s="113"/>
      <c r="DC131" s="113">
        <v>65995192.891159974</v>
      </c>
      <c r="DD131" s="113"/>
      <c r="DE131" s="113"/>
      <c r="DF131" s="113"/>
      <c r="DG131" s="113"/>
      <c r="DH131" s="113"/>
      <c r="DI131" s="113"/>
      <c r="DJ131" s="114">
        <f t="shared" si="190"/>
        <v>0</v>
      </c>
      <c r="DK131" s="114">
        <f t="shared" si="190"/>
        <v>65995192.891159974</v>
      </c>
      <c r="DL131" s="114">
        <f t="shared" si="190"/>
        <v>0</v>
      </c>
      <c r="DM131" s="114">
        <f t="shared" si="190"/>
        <v>0</v>
      </c>
      <c r="DN131" s="114">
        <f t="shared" si="168"/>
        <v>65995192.891159974</v>
      </c>
      <c r="DO131" s="114">
        <f t="shared" si="195"/>
        <v>103121654.0871878</v>
      </c>
      <c r="DP131" s="114">
        <f t="shared" si="201"/>
        <v>103121654.0871878</v>
      </c>
      <c r="DQ131" s="116">
        <f t="shared" si="146"/>
        <v>0.64</v>
      </c>
      <c r="DR131" s="126">
        <f t="shared" ca="1" si="121"/>
        <v>0</v>
      </c>
      <c r="DS131" s="115">
        <f t="shared" ca="1" si="122"/>
        <v>0</v>
      </c>
      <c r="DT131" s="118" t="str">
        <f t="shared" si="147"/>
        <v>Uncapped</v>
      </c>
      <c r="DU131" s="115">
        <f t="shared" ca="1" si="123"/>
        <v>0</v>
      </c>
      <c r="DV131" s="113"/>
      <c r="DW131" s="119">
        <v>0</v>
      </c>
      <c r="DX131" s="113"/>
      <c r="DY131" s="113"/>
      <c r="DZ131" s="113">
        <v>0</v>
      </c>
      <c r="EA131" s="113">
        <v>0</v>
      </c>
      <c r="EB131" s="113">
        <v>0</v>
      </c>
      <c r="EC131" s="113">
        <v>0</v>
      </c>
      <c r="ED131" s="113">
        <v>0</v>
      </c>
      <c r="EE131" s="113">
        <v>0</v>
      </c>
      <c r="EF131" s="113"/>
      <c r="EG131" s="113"/>
      <c r="EH131" s="113"/>
      <c r="EI131" s="113"/>
      <c r="EJ131" s="113"/>
      <c r="EK131" s="113"/>
      <c r="EL131" s="114">
        <f t="shared" si="191"/>
        <v>0</v>
      </c>
      <c r="EM131" s="114">
        <f t="shared" si="191"/>
        <v>0</v>
      </c>
      <c r="EN131" s="114">
        <f t="shared" si="191"/>
        <v>0</v>
      </c>
      <c r="EO131" s="114">
        <f t="shared" si="191"/>
        <v>0</v>
      </c>
      <c r="EP131" s="114">
        <f t="shared" si="124"/>
        <v>0</v>
      </c>
      <c r="EQ131" s="114">
        <f t="shared" si="196"/>
        <v>0</v>
      </c>
      <c r="ER131" s="114">
        <f t="shared" si="192"/>
        <v>0</v>
      </c>
      <c r="ES131" s="116">
        <f t="shared" si="149"/>
        <v>0</v>
      </c>
      <c r="ET131" s="126">
        <f t="shared" ca="1" si="150"/>
        <v>0</v>
      </c>
      <c r="EU131" s="115">
        <f t="shared" ca="1" si="125"/>
        <v>0</v>
      </c>
      <c r="EV131" s="118" t="str">
        <f t="shared" si="126"/>
        <v>Uncapped</v>
      </c>
      <c r="EW131" s="115">
        <f t="shared" ca="1" si="127"/>
        <v>0</v>
      </c>
      <c r="EX131" s="112">
        <f t="shared" ca="1" si="128"/>
        <v>0</v>
      </c>
      <c r="EY131" s="114">
        <f t="shared" ca="1" si="151"/>
        <v>1000</v>
      </c>
      <c r="EZ131" s="115">
        <v>0</v>
      </c>
      <c r="FA131" s="115"/>
      <c r="FB131" s="115"/>
      <c r="FC131" s="115">
        <v>0</v>
      </c>
      <c r="FD131" s="115">
        <f t="shared" si="197"/>
        <v>0</v>
      </c>
      <c r="FE131" s="114">
        <f t="shared" si="177"/>
        <v>0</v>
      </c>
      <c r="FF131" s="115">
        <v>0</v>
      </c>
      <c r="FG131" s="115">
        <v>0</v>
      </c>
      <c r="FH131" s="115">
        <v>0</v>
      </c>
      <c r="FI131" s="115">
        <v>0</v>
      </c>
      <c r="FJ131" s="115">
        <f t="shared" si="198"/>
        <v>0</v>
      </c>
      <c r="FK131" s="114">
        <f t="shared" si="178"/>
        <v>0</v>
      </c>
      <c r="FL131" s="113"/>
      <c r="FM131" s="111"/>
      <c r="FN131" s="111"/>
      <c r="FO131" s="111"/>
      <c r="FP131" s="115">
        <f t="shared" si="129"/>
        <v>0</v>
      </c>
      <c r="FQ131" s="115"/>
      <c r="FR131" s="115"/>
      <c r="FS131" s="115"/>
      <c r="FT131" s="114">
        <f t="shared" si="152"/>
        <v>0</v>
      </c>
      <c r="FU131" s="366">
        <f t="shared" ca="1" si="155"/>
        <v>1000</v>
      </c>
      <c r="FV131" s="121">
        <f t="shared" ca="1" si="153"/>
        <v>1000</v>
      </c>
      <c r="FW131" s="114">
        <f t="shared" si="181"/>
        <v>0</v>
      </c>
      <c r="FX131" s="114">
        <f t="shared" si="181"/>
        <v>0</v>
      </c>
      <c r="FY131" s="114">
        <f t="shared" si="181"/>
        <v>0</v>
      </c>
      <c r="FZ131" s="114">
        <f t="shared" si="181"/>
        <v>0</v>
      </c>
      <c r="GA131" s="114">
        <f t="shared" si="183"/>
        <v>0</v>
      </c>
      <c r="GB131" s="114">
        <f t="shared" si="182"/>
        <v>0</v>
      </c>
      <c r="GC131" s="114">
        <f t="shared" si="182"/>
        <v>0</v>
      </c>
      <c r="GD131" s="114">
        <f t="shared" si="182"/>
        <v>0</v>
      </c>
      <c r="GE131" s="114">
        <f t="shared" si="182"/>
        <v>0</v>
      </c>
      <c r="GF131" s="114">
        <f t="shared" si="184"/>
        <v>0</v>
      </c>
      <c r="GG131" s="114">
        <f t="shared" si="184"/>
        <v>0</v>
      </c>
      <c r="GH131" s="114">
        <f t="shared" si="184"/>
        <v>0</v>
      </c>
      <c r="GI131" s="114">
        <f t="shared" si="184"/>
        <v>0</v>
      </c>
      <c r="GJ131" s="115">
        <f t="shared" si="199"/>
        <v>0</v>
      </c>
      <c r="GK131" s="114">
        <f t="shared" si="131"/>
        <v>0</v>
      </c>
      <c r="GL131" s="114">
        <f t="shared" si="132"/>
        <v>1000</v>
      </c>
      <c r="GM131" s="114">
        <f t="shared" si="133"/>
        <v>0</v>
      </c>
      <c r="GN131" s="114">
        <f t="shared" si="134"/>
        <v>0</v>
      </c>
      <c r="GO131" s="114">
        <f t="shared" si="135"/>
        <v>0</v>
      </c>
      <c r="GP131" s="114">
        <f t="shared" si="200"/>
        <v>1000</v>
      </c>
      <c r="GQ131" s="114">
        <f t="shared" si="136"/>
        <v>1000</v>
      </c>
      <c r="GR131" s="193"/>
      <c r="GS131" s="122">
        <f t="shared" si="202"/>
        <v>79095488.891159981</v>
      </c>
      <c r="GT131" s="122">
        <f t="shared" si="202"/>
        <v>125400820.91328068</v>
      </c>
      <c r="GU131" s="123">
        <f t="shared" si="137"/>
        <v>0.63074139638892357</v>
      </c>
      <c r="GV131" s="124">
        <f t="shared" ca="1" si="138"/>
        <v>0</v>
      </c>
      <c r="GW131" s="124">
        <v>0</v>
      </c>
      <c r="GX131" s="32">
        <f t="shared" ca="1" si="139"/>
        <v>0</v>
      </c>
      <c r="GY131" s="100"/>
    </row>
    <row r="132" spans="3:207" s="408" customFormat="1" hidden="1">
      <c r="C132" s="402"/>
      <c r="D132" s="402"/>
      <c r="E132" s="403"/>
      <c r="F132" s="403" t="s">
        <v>720</v>
      </c>
      <c r="G132" s="403" t="s">
        <v>226</v>
      </c>
      <c r="H132" s="105" t="s">
        <v>565</v>
      </c>
      <c r="I132" s="544" t="s">
        <v>647</v>
      </c>
      <c r="J132" s="403" t="s">
        <v>238</v>
      </c>
      <c r="K132" s="544" t="s">
        <v>544</v>
      </c>
      <c r="L132" s="403"/>
      <c r="M132" s="403"/>
      <c r="N132" s="404"/>
      <c r="O132" s="537">
        <v>43549</v>
      </c>
      <c r="P132" s="359">
        <v>43549</v>
      </c>
      <c r="Q132" s="323">
        <f t="shared" si="112"/>
        <v>3</v>
      </c>
      <c r="R132" s="109">
        <f>IF((P132-VLOOKUP(Q132,month!$A$1:$C$13,3,0))&lt;0,Q132,Q132+1)</f>
        <v>3</v>
      </c>
      <c r="S132" s="108"/>
      <c r="T132" s="110" t="str">
        <f t="shared" si="154"/>
        <v/>
      </c>
      <c r="U132" s="483" t="s">
        <v>214</v>
      </c>
      <c r="V132" s="483"/>
      <c r="W132" s="320">
        <v>3</v>
      </c>
      <c r="X132" s="405"/>
      <c r="Y132" s="492"/>
      <c r="Z132" s="406" t="s">
        <v>545</v>
      </c>
      <c r="AA132" s="394">
        <v>1000</v>
      </c>
      <c r="AB132" s="394">
        <v>1000</v>
      </c>
      <c r="AC132" s="394">
        <v>1000</v>
      </c>
      <c r="AD132" s="394">
        <v>1000</v>
      </c>
      <c r="AE132" s="394">
        <v>1000</v>
      </c>
      <c r="AF132" s="394">
        <v>1000</v>
      </c>
      <c r="AG132" s="394">
        <v>1000</v>
      </c>
      <c r="AH132" s="394">
        <v>1000</v>
      </c>
      <c r="AI132" s="394">
        <v>1000</v>
      </c>
      <c r="AJ132" s="394">
        <v>1000</v>
      </c>
      <c r="AK132" s="394">
        <v>1000</v>
      </c>
      <c r="AL132" s="394">
        <v>1000</v>
      </c>
      <c r="AM132" s="388">
        <f t="shared" si="185"/>
        <v>12000</v>
      </c>
      <c r="AN132" s="388">
        <f t="shared" si="113"/>
        <v>12000</v>
      </c>
      <c r="AO132" s="389">
        <f>AD132</f>
        <v>1000</v>
      </c>
      <c r="AP132" s="502" t="s">
        <v>741</v>
      </c>
      <c r="AQ132" s="159">
        <v>0.5</v>
      </c>
      <c r="AR132" s="103" t="s">
        <v>211</v>
      </c>
      <c r="AS132" s="119" t="s">
        <v>210</v>
      </c>
      <c r="AT132" s="111"/>
      <c r="AU132" s="111">
        <v>9018493.9927070495</v>
      </c>
      <c r="AV132" s="111">
        <v>8796147.5207522418</v>
      </c>
      <c r="AW132" s="111">
        <v>8692302.8088380583</v>
      </c>
      <c r="AX132" s="113"/>
      <c r="AY132" s="113">
        <v>8567846</v>
      </c>
      <c r="AZ132" s="113">
        <v>8476727.1855899971</v>
      </c>
      <c r="BA132" s="581"/>
      <c r="BB132" s="113"/>
      <c r="BC132" s="113"/>
      <c r="BD132" s="113"/>
      <c r="BE132" s="113"/>
      <c r="BF132" s="114">
        <f t="shared" si="186"/>
        <v>0</v>
      </c>
      <c r="BG132" s="114">
        <f t="shared" si="186"/>
        <v>8567846</v>
      </c>
      <c r="BH132" s="114">
        <f t="shared" si="186"/>
        <v>8476727.1855899971</v>
      </c>
      <c r="BI132" s="114">
        <f t="shared" si="186"/>
        <v>0</v>
      </c>
      <c r="BJ132" s="114">
        <f t="shared" si="193"/>
        <v>17044573.185589999</v>
      </c>
      <c r="BK132" s="115">
        <f t="shared" si="173"/>
        <v>26506944.32229735</v>
      </c>
      <c r="BL132" s="115">
        <f t="shared" si="140"/>
        <v>26506944.32229735</v>
      </c>
      <c r="BM132" s="116">
        <f t="shared" si="141"/>
        <v>0.64300000000000002</v>
      </c>
      <c r="BN132" s="126">
        <f t="shared" ca="1" si="174"/>
        <v>0</v>
      </c>
      <c r="BO132" s="117">
        <f t="shared" ca="1" si="175"/>
        <v>0</v>
      </c>
      <c r="BP132" s="118" t="str">
        <f t="shared" si="176"/>
        <v>Uncapped</v>
      </c>
      <c r="BQ132" s="115">
        <f t="shared" ca="1" si="117"/>
        <v>0</v>
      </c>
      <c r="BR132" s="174" t="s">
        <v>742</v>
      </c>
      <c r="BS132" s="175">
        <v>0.3</v>
      </c>
      <c r="BT132" s="174" t="s">
        <v>211</v>
      </c>
      <c r="BU132" s="174" t="s">
        <v>210</v>
      </c>
      <c r="BV132" s="113"/>
      <c r="BW132" s="113">
        <v>6445023.6418903396</v>
      </c>
      <c r="BX132" s="113">
        <v>6363502.5482628401</v>
      </c>
      <c r="BY132" s="113">
        <v>7830752.9030379094</v>
      </c>
      <c r="BZ132" s="113"/>
      <c r="CA132" s="113">
        <v>4532450</v>
      </c>
      <c r="CB132" s="113">
        <v>5447038.1621899921</v>
      </c>
      <c r="CC132" s="581"/>
      <c r="CD132" s="113"/>
      <c r="CE132" s="113"/>
      <c r="CF132" s="113"/>
      <c r="CG132" s="113"/>
      <c r="CH132" s="114">
        <f t="shared" si="187"/>
        <v>0</v>
      </c>
      <c r="CI132" s="114">
        <f t="shared" si="187"/>
        <v>4532450</v>
      </c>
      <c r="CJ132" s="120">
        <f t="shared" si="187"/>
        <v>5447038.1621899921</v>
      </c>
      <c r="CK132" s="114">
        <f t="shared" si="187"/>
        <v>0</v>
      </c>
      <c r="CL132" s="114">
        <f t="shared" si="194"/>
        <v>9979488.1621899921</v>
      </c>
      <c r="CM132" s="114">
        <f t="shared" si="188"/>
        <v>20639279.093191087</v>
      </c>
      <c r="CN132" s="114">
        <f t="shared" si="189"/>
        <v>20639279.093191087</v>
      </c>
      <c r="CO132" s="116">
        <f t="shared" si="143"/>
        <v>0.48349999999999999</v>
      </c>
      <c r="CP132" s="126">
        <f t="shared" ca="1" si="144"/>
        <v>0</v>
      </c>
      <c r="CQ132" s="115">
        <f t="shared" ca="1" si="119"/>
        <v>0</v>
      </c>
      <c r="CR132" s="118" t="str">
        <f t="shared" si="145"/>
        <v>Uncapped</v>
      </c>
      <c r="CS132" s="115">
        <f t="shared" ca="1" si="120"/>
        <v>0</v>
      </c>
      <c r="CT132" s="113" t="s">
        <v>728</v>
      </c>
      <c r="CU132" s="119">
        <v>0.2</v>
      </c>
      <c r="CV132" s="113" t="s">
        <v>217</v>
      </c>
      <c r="CW132" s="113" t="s">
        <v>667</v>
      </c>
      <c r="CX132" s="113"/>
      <c r="CY132" s="113">
        <v>72180793.063260496</v>
      </c>
      <c r="CZ132" s="113">
        <v>69179032.514420599</v>
      </c>
      <c r="DA132" s="113">
        <v>76323964.015026003</v>
      </c>
      <c r="DB132" s="113"/>
      <c r="DC132" s="113">
        <v>65995192.891159974</v>
      </c>
      <c r="DD132" s="113">
        <v>66410604.684560001</v>
      </c>
      <c r="DE132" s="581"/>
      <c r="DF132" s="113"/>
      <c r="DG132" s="113"/>
      <c r="DH132" s="113"/>
      <c r="DI132" s="113"/>
      <c r="DJ132" s="114">
        <f t="shared" si="190"/>
        <v>0</v>
      </c>
      <c r="DK132" s="114">
        <f t="shared" si="190"/>
        <v>65995192.891159974</v>
      </c>
      <c r="DL132" s="114">
        <f t="shared" si="190"/>
        <v>66410604.684560001</v>
      </c>
      <c r="DM132" s="114">
        <f t="shared" si="190"/>
        <v>0</v>
      </c>
      <c r="DN132" s="114">
        <f t="shared" si="168"/>
        <v>132405797.57571998</v>
      </c>
      <c r="DO132" s="114">
        <f t="shared" si="195"/>
        <v>217683789.5927071</v>
      </c>
      <c r="DP132" s="114">
        <f t="shared" si="201"/>
        <v>217683789.5927071</v>
      </c>
      <c r="DQ132" s="116">
        <f t="shared" si="146"/>
        <v>0.60819999999999996</v>
      </c>
      <c r="DR132" s="126">
        <f t="shared" ca="1" si="121"/>
        <v>0</v>
      </c>
      <c r="DS132" s="115">
        <f t="shared" ca="1" si="122"/>
        <v>0</v>
      </c>
      <c r="DT132" s="118" t="str">
        <f t="shared" si="147"/>
        <v>Uncapped</v>
      </c>
      <c r="DU132" s="115">
        <f t="shared" ca="1" si="123"/>
        <v>0</v>
      </c>
      <c r="DV132" s="113"/>
      <c r="DW132" s="119">
        <v>0</v>
      </c>
      <c r="DX132" s="113"/>
      <c r="DY132" s="113"/>
      <c r="DZ132" s="113">
        <v>0</v>
      </c>
      <c r="EA132" s="113">
        <v>0</v>
      </c>
      <c r="EB132" s="113">
        <v>0</v>
      </c>
      <c r="EC132" s="113">
        <v>0</v>
      </c>
      <c r="ED132" s="113">
        <v>0</v>
      </c>
      <c r="EE132" s="113">
        <v>0</v>
      </c>
      <c r="EF132" s="113"/>
      <c r="EG132" s="113"/>
      <c r="EH132" s="113"/>
      <c r="EI132" s="113"/>
      <c r="EJ132" s="113"/>
      <c r="EK132" s="113"/>
      <c r="EL132" s="114">
        <f t="shared" si="191"/>
        <v>0</v>
      </c>
      <c r="EM132" s="114">
        <f t="shared" si="191"/>
        <v>0</v>
      </c>
      <c r="EN132" s="114">
        <f t="shared" si="191"/>
        <v>0</v>
      </c>
      <c r="EO132" s="114">
        <f t="shared" si="191"/>
        <v>0</v>
      </c>
      <c r="EP132" s="114">
        <f t="shared" si="124"/>
        <v>0</v>
      </c>
      <c r="EQ132" s="114">
        <f t="shared" si="196"/>
        <v>0</v>
      </c>
      <c r="ER132" s="114">
        <f t="shared" si="192"/>
        <v>0</v>
      </c>
      <c r="ES132" s="116">
        <f t="shared" si="149"/>
        <v>0</v>
      </c>
      <c r="ET132" s="126">
        <f t="shared" ca="1" si="150"/>
        <v>0</v>
      </c>
      <c r="EU132" s="115">
        <f t="shared" ca="1" si="125"/>
        <v>0</v>
      </c>
      <c r="EV132" s="118" t="str">
        <f t="shared" si="126"/>
        <v>Uncapped</v>
      </c>
      <c r="EW132" s="115">
        <f t="shared" ca="1" si="127"/>
        <v>0</v>
      </c>
      <c r="EX132" s="112">
        <f t="shared" ca="1" si="128"/>
        <v>0</v>
      </c>
      <c r="EY132" s="114">
        <f t="shared" ca="1" si="151"/>
        <v>3000</v>
      </c>
      <c r="EZ132" s="115">
        <v>0</v>
      </c>
      <c r="FA132" s="115"/>
      <c r="FB132" s="115"/>
      <c r="FC132" s="115">
        <v>0</v>
      </c>
      <c r="FD132" s="115">
        <f t="shared" si="197"/>
        <v>0</v>
      </c>
      <c r="FE132" s="114">
        <f t="shared" si="177"/>
        <v>0</v>
      </c>
      <c r="FF132" s="115">
        <v>0</v>
      </c>
      <c r="FG132" s="115">
        <v>0</v>
      </c>
      <c r="FH132" s="115">
        <v>0</v>
      </c>
      <c r="FI132" s="115">
        <v>0</v>
      </c>
      <c r="FJ132" s="115">
        <f t="shared" si="198"/>
        <v>0</v>
      </c>
      <c r="FK132" s="114">
        <f t="shared" si="178"/>
        <v>0</v>
      </c>
      <c r="FL132" s="113"/>
      <c r="FM132" s="111"/>
      <c r="FN132" s="111"/>
      <c r="FO132" s="111"/>
      <c r="FP132" s="115">
        <f t="shared" ref="FP132:FP181" si="203">SUM(FL132:FO132)</f>
        <v>0</v>
      </c>
      <c r="FQ132" s="115"/>
      <c r="FR132" s="115"/>
      <c r="FS132" s="115"/>
      <c r="FT132" s="114">
        <f t="shared" si="152"/>
        <v>0</v>
      </c>
      <c r="FU132" s="366">
        <f t="shared" ca="1" si="155"/>
        <v>3000</v>
      </c>
      <c r="FV132" s="121">
        <f t="shared" ca="1" si="153"/>
        <v>3000</v>
      </c>
      <c r="FW132" s="114">
        <f t="shared" ref="FW132:FZ165" si="204">FF132</f>
        <v>0</v>
      </c>
      <c r="FX132" s="114">
        <f t="shared" si="204"/>
        <v>0</v>
      </c>
      <c r="FY132" s="114">
        <f t="shared" si="204"/>
        <v>0</v>
      </c>
      <c r="FZ132" s="114">
        <f t="shared" si="204"/>
        <v>0</v>
      </c>
      <c r="GA132" s="114">
        <f t="shared" si="183"/>
        <v>0</v>
      </c>
      <c r="GB132" s="114">
        <f t="shared" ref="GB132:GE165" si="205">EZ132</f>
        <v>0</v>
      </c>
      <c r="GC132" s="114">
        <f t="shared" si="205"/>
        <v>0</v>
      </c>
      <c r="GD132" s="114">
        <f t="shared" si="205"/>
        <v>0</v>
      </c>
      <c r="GE132" s="114">
        <f t="shared" si="205"/>
        <v>0</v>
      </c>
      <c r="GF132" s="114">
        <f t="shared" si="184"/>
        <v>0</v>
      </c>
      <c r="GG132" s="114">
        <f t="shared" si="184"/>
        <v>0</v>
      </c>
      <c r="GH132" s="114">
        <f t="shared" si="184"/>
        <v>0</v>
      </c>
      <c r="GI132" s="114">
        <f t="shared" si="184"/>
        <v>0</v>
      </c>
      <c r="GJ132" s="115">
        <f t="shared" si="199"/>
        <v>0</v>
      </c>
      <c r="GK132" s="114">
        <f t="shared" si="131"/>
        <v>0</v>
      </c>
      <c r="GL132" s="114">
        <f t="shared" si="132"/>
        <v>0</v>
      </c>
      <c r="GM132" s="114">
        <f t="shared" si="133"/>
        <v>3000</v>
      </c>
      <c r="GN132" s="114">
        <f t="shared" si="134"/>
        <v>0</v>
      </c>
      <c r="GO132" s="114">
        <f t="shared" si="135"/>
        <v>0</v>
      </c>
      <c r="GP132" s="114">
        <f t="shared" si="200"/>
        <v>3000</v>
      </c>
      <c r="GQ132" s="114">
        <f t="shared" si="136"/>
        <v>3000</v>
      </c>
      <c r="GR132" s="193"/>
      <c r="GS132" s="122">
        <f t="shared" si="202"/>
        <v>159429858.92349997</v>
      </c>
      <c r="GT132" s="122">
        <f t="shared" si="202"/>
        <v>264830013.00819552</v>
      </c>
      <c r="GU132" s="123">
        <f t="shared" si="137"/>
        <v>0.60200827358100917</v>
      </c>
      <c r="GV132" s="124">
        <f t="shared" ca="1" si="138"/>
        <v>0</v>
      </c>
      <c r="GW132" s="124">
        <v>0</v>
      </c>
      <c r="GX132" s="32">
        <f t="shared" ca="1" si="139"/>
        <v>0</v>
      </c>
      <c r="GY132" s="100"/>
    </row>
    <row r="133" spans="3:207" s="408" customFormat="1" hidden="1">
      <c r="C133" s="402"/>
      <c r="D133" s="402"/>
      <c r="E133" s="403"/>
      <c r="F133" s="403" t="s">
        <v>720</v>
      </c>
      <c r="G133" s="403" t="s">
        <v>226</v>
      </c>
      <c r="H133" s="105" t="s">
        <v>566</v>
      </c>
      <c r="I133" s="403" t="s">
        <v>599</v>
      </c>
      <c r="J133" s="403" t="s">
        <v>615</v>
      </c>
      <c r="K133" s="403" t="s">
        <v>544</v>
      </c>
      <c r="L133" s="403"/>
      <c r="M133" s="403"/>
      <c r="N133" s="404"/>
      <c r="O133" s="108">
        <v>41263</v>
      </c>
      <c r="P133" s="108">
        <v>41263</v>
      </c>
      <c r="Q133" s="323">
        <f t="shared" si="112"/>
        <v>0</v>
      </c>
      <c r="R133" s="109">
        <f>IF((P133-VLOOKUP(Q133,month!$A$1:$C$13,3,0))&lt;0,Q133,Q133+1)</f>
        <v>0</v>
      </c>
      <c r="S133" s="108"/>
      <c r="T133" s="110" t="str">
        <f t="shared" si="154"/>
        <v/>
      </c>
      <c r="U133" s="404"/>
      <c r="V133" s="404"/>
      <c r="W133" s="405"/>
      <c r="X133" s="405"/>
      <c r="Y133" s="492"/>
      <c r="Z133" s="406" t="s">
        <v>545</v>
      </c>
      <c r="AA133" s="394">
        <v>1000</v>
      </c>
      <c r="AB133" s="394">
        <v>1000</v>
      </c>
      <c r="AC133" s="394">
        <v>1000</v>
      </c>
      <c r="AD133" s="394">
        <v>1000</v>
      </c>
      <c r="AE133" s="394">
        <v>1000</v>
      </c>
      <c r="AF133" s="394">
        <v>1000</v>
      </c>
      <c r="AG133" s="394">
        <v>1000</v>
      </c>
      <c r="AH133" s="394">
        <v>1000</v>
      </c>
      <c r="AI133" s="394">
        <v>1000</v>
      </c>
      <c r="AJ133" s="394">
        <v>1000</v>
      </c>
      <c r="AK133" s="394">
        <v>1000</v>
      </c>
      <c r="AL133" s="394">
        <v>1000</v>
      </c>
      <c r="AM133" s="388">
        <f t="shared" si="185"/>
        <v>12000</v>
      </c>
      <c r="AN133" s="388">
        <f t="shared" si="113"/>
        <v>12000</v>
      </c>
      <c r="AO133" s="389">
        <f t="shared" ref="AO133:AO148" si="206">AI133</f>
        <v>1000</v>
      </c>
      <c r="AP133" s="502" t="s">
        <v>752</v>
      </c>
      <c r="AQ133" s="159">
        <v>0.4</v>
      </c>
      <c r="AR133" s="103" t="s">
        <v>211</v>
      </c>
      <c r="AS133" s="119" t="s">
        <v>210</v>
      </c>
      <c r="AT133" s="111">
        <v>4360578.9259366393</v>
      </c>
      <c r="AU133" s="111">
        <v>4893312.7375113787</v>
      </c>
      <c r="AV133" s="111">
        <v>4735121.6985724214</v>
      </c>
      <c r="AW133" s="111">
        <v>4908195.1324120481</v>
      </c>
      <c r="AX133" s="113">
        <v>4322655.22</v>
      </c>
      <c r="AY133" s="113">
        <v>4427269.8909500409</v>
      </c>
      <c r="AZ133" s="113">
        <v>3879830.89</v>
      </c>
      <c r="BA133" s="113"/>
      <c r="BB133" s="113"/>
      <c r="BC133" s="113"/>
      <c r="BD133" s="113"/>
      <c r="BE133" s="113"/>
      <c r="BF133" s="114">
        <f t="shared" si="186"/>
        <v>4322655.22</v>
      </c>
      <c r="BG133" s="114">
        <f t="shared" si="186"/>
        <v>4427269.8909500409</v>
      </c>
      <c r="BH133" s="114">
        <f t="shared" si="186"/>
        <v>3879830.89</v>
      </c>
      <c r="BI133" s="114">
        <f t="shared" si="186"/>
        <v>0</v>
      </c>
      <c r="BJ133" s="114">
        <f t="shared" si="193"/>
        <v>12629756.000950042</v>
      </c>
      <c r="BK133" s="115">
        <f t="shared" si="173"/>
        <v>18897208.494432487</v>
      </c>
      <c r="BL133" s="115">
        <f t="shared" si="140"/>
        <v>18897208.494432487</v>
      </c>
      <c r="BM133" s="116">
        <f t="shared" si="141"/>
        <v>0.66830000000000001</v>
      </c>
      <c r="BN133" s="126">
        <f t="shared" ca="1" si="174"/>
        <v>0</v>
      </c>
      <c r="BO133" s="117">
        <f t="shared" ca="1" si="175"/>
        <v>0</v>
      </c>
      <c r="BP133" s="118" t="str">
        <f t="shared" si="176"/>
        <v>Uncapped</v>
      </c>
      <c r="BQ133" s="115">
        <f t="shared" ca="1" si="117"/>
        <v>0</v>
      </c>
      <c r="BR133" s="174" t="s">
        <v>740</v>
      </c>
      <c r="BS133" s="175">
        <v>0.4</v>
      </c>
      <c r="BT133" s="174" t="s">
        <v>211</v>
      </c>
      <c r="BU133" s="174" t="s">
        <v>210</v>
      </c>
      <c r="BV133" s="113">
        <v>5205901.7546552001</v>
      </c>
      <c r="BW133" s="113">
        <v>6041740.1313270004</v>
      </c>
      <c r="BX133" s="113">
        <v>5756053.1908810986</v>
      </c>
      <c r="BY133" s="113">
        <v>6160067.2421446964</v>
      </c>
      <c r="BZ133" s="113">
        <v>5515068.8665199988</v>
      </c>
      <c r="CA133" s="113">
        <v>5778683</v>
      </c>
      <c r="CB133" s="113">
        <f>3919994.43121+1172274.56879</f>
        <v>5092269</v>
      </c>
      <c r="CC133" s="113"/>
      <c r="CD133" s="113"/>
      <c r="CE133" s="113"/>
      <c r="CF133" s="113"/>
      <c r="CG133" s="113"/>
      <c r="CH133" s="114">
        <f t="shared" si="187"/>
        <v>5515068.8665199988</v>
      </c>
      <c r="CI133" s="114">
        <f t="shared" si="187"/>
        <v>5778683</v>
      </c>
      <c r="CJ133" s="120">
        <f t="shared" si="187"/>
        <v>5092269</v>
      </c>
      <c r="CK133" s="114">
        <f t="shared" si="187"/>
        <v>0</v>
      </c>
      <c r="CL133" s="114">
        <f t="shared" si="194"/>
        <v>16386020.866519999</v>
      </c>
      <c r="CM133" s="114">
        <f t="shared" si="188"/>
        <v>23163762.319007996</v>
      </c>
      <c r="CN133" s="114">
        <f t="shared" si="189"/>
        <v>23163762.319007996</v>
      </c>
      <c r="CO133" s="116">
        <f t="shared" si="143"/>
        <v>0.70740000000000003</v>
      </c>
      <c r="CP133" s="126">
        <f t="shared" ca="1" si="144"/>
        <v>0</v>
      </c>
      <c r="CQ133" s="115">
        <f t="shared" ca="1" si="119"/>
        <v>0</v>
      </c>
      <c r="CR133" s="118" t="str">
        <f t="shared" si="145"/>
        <v>Uncapped</v>
      </c>
      <c r="CS133" s="115">
        <f t="shared" ca="1" si="120"/>
        <v>0</v>
      </c>
      <c r="CT133" s="113" t="s">
        <v>729</v>
      </c>
      <c r="CU133" s="119">
        <v>0.2</v>
      </c>
      <c r="CV133" s="113" t="s">
        <v>217</v>
      </c>
      <c r="CW133" s="113" t="s">
        <v>210</v>
      </c>
      <c r="CX133" s="113">
        <v>13631298.3753272</v>
      </c>
      <c r="CY133" s="113">
        <v>15463517.626933601</v>
      </c>
      <c r="CZ133" s="113">
        <v>15159650.061351301</v>
      </c>
      <c r="DA133" s="113">
        <v>16523055.704212198</v>
      </c>
      <c r="DB133" s="113">
        <v>13485327.436090879</v>
      </c>
      <c r="DC133" s="113">
        <v>13198691</v>
      </c>
      <c r="DD133" s="113">
        <v>13923765.347779993</v>
      </c>
      <c r="DE133" s="113"/>
      <c r="DF133" s="113"/>
      <c r="DG133" s="113"/>
      <c r="DH133" s="113"/>
      <c r="DI133" s="113"/>
      <c r="DJ133" s="114">
        <f t="shared" si="190"/>
        <v>13485327.436090879</v>
      </c>
      <c r="DK133" s="114">
        <f t="shared" si="190"/>
        <v>13198691</v>
      </c>
      <c r="DL133" s="114">
        <f t="shared" si="190"/>
        <v>13923765.347779993</v>
      </c>
      <c r="DM133" s="114">
        <f t="shared" si="190"/>
        <v>0</v>
      </c>
      <c r="DN133" s="114">
        <f t="shared" si="168"/>
        <v>40607783.783870876</v>
      </c>
      <c r="DO133" s="114">
        <f t="shared" si="195"/>
        <v>60777521.7678243</v>
      </c>
      <c r="DP133" s="114">
        <f t="shared" si="201"/>
        <v>60777521.7678243</v>
      </c>
      <c r="DQ133" s="116">
        <f t="shared" si="146"/>
        <v>0.66810000000000003</v>
      </c>
      <c r="DR133" s="126">
        <f t="shared" ca="1" si="121"/>
        <v>0</v>
      </c>
      <c r="DS133" s="115">
        <f t="shared" ca="1" si="122"/>
        <v>0</v>
      </c>
      <c r="DT133" s="118" t="str">
        <f t="shared" si="147"/>
        <v>Uncapped</v>
      </c>
      <c r="DU133" s="115">
        <f t="shared" ca="1" si="123"/>
        <v>0</v>
      </c>
      <c r="DV133" s="113"/>
      <c r="DW133" s="119">
        <v>0</v>
      </c>
      <c r="DX133" s="113"/>
      <c r="DY133" s="113"/>
      <c r="DZ133" s="113">
        <v>0</v>
      </c>
      <c r="EA133" s="113">
        <v>0</v>
      </c>
      <c r="EB133" s="113">
        <v>0</v>
      </c>
      <c r="EC133" s="113">
        <v>0</v>
      </c>
      <c r="ED133" s="113">
        <v>0</v>
      </c>
      <c r="EE133" s="113">
        <v>0</v>
      </c>
      <c r="EF133" s="113"/>
      <c r="EG133" s="113"/>
      <c r="EH133" s="113"/>
      <c r="EI133" s="113"/>
      <c r="EJ133" s="113"/>
      <c r="EK133" s="113"/>
      <c r="EL133" s="114">
        <f t="shared" si="191"/>
        <v>0</v>
      </c>
      <c r="EM133" s="114">
        <f t="shared" si="191"/>
        <v>0</v>
      </c>
      <c r="EN133" s="114">
        <f t="shared" si="191"/>
        <v>0</v>
      </c>
      <c r="EO133" s="114">
        <f t="shared" si="191"/>
        <v>0</v>
      </c>
      <c r="EP133" s="114">
        <f t="shared" si="124"/>
        <v>0</v>
      </c>
      <c r="EQ133" s="114">
        <f t="shared" si="196"/>
        <v>0</v>
      </c>
      <c r="ER133" s="114">
        <f t="shared" si="192"/>
        <v>0</v>
      </c>
      <c r="ES133" s="116">
        <f t="shared" si="149"/>
        <v>0</v>
      </c>
      <c r="ET133" s="126">
        <f t="shared" ca="1" si="150"/>
        <v>0</v>
      </c>
      <c r="EU133" s="115">
        <f t="shared" ca="1" si="125"/>
        <v>0</v>
      </c>
      <c r="EV133" s="118" t="str">
        <f t="shared" si="126"/>
        <v>Uncapped</v>
      </c>
      <c r="EW133" s="115">
        <f t="shared" ca="1" si="127"/>
        <v>0</v>
      </c>
      <c r="EX133" s="112">
        <f t="shared" ca="1" si="128"/>
        <v>0</v>
      </c>
      <c r="EY133" s="114">
        <f t="shared" ca="1" si="151"/>
        <v>0</v>
      </c>
      <c r="EZ133" s="115">
        <v>0</v>
      </c>
      <c r="FA133" s="115"/>
      <c r="FB133" s="115"/>
      <c r="FC133" s="115">
        <v>0</v>
      </c>
      <c r="FD133" s="115">
        <f t="shared" si="197"/>
        <v>0</v>
      </c>
      <c r="FE133" s="114">
        <f t="shared" si="177"/>
        <v>0</v>
      </c>
      <c r="FF133" s="115">
        <v>0</v>
      </c>
      <c r="FG133" s="115">
        <v>0</v>
      </c>
      <c r="FH133" s="115">
        <v>0</v>
      </c>
      <c r="FI133" s="115">
        <v>0</v>
      </c>
      <c r="FJ133" s="115">
        <f t="shared" si="198"/>
        <v>0</v>
      </c>
      <c r="FK133" s="114">
        <f t="shared" si="178"/>
        <v>0</v>
      </c>
      <c r="FL133" s="113"/>
      <c r="FM133" s="111"/>
      <c r="FN133" s="111"/>
      <c r="FO133" s="111"/>
      <c r="FP133" s="115">
        <f t="shared" si="203"/>
        <v>0</v>
      </c>
      <c r="FQ133" s="115"/>
      <c r="FR133" s="115"/>
      <c r="FS133" s="115"/>
      <c r="FT133" s="114">
        <f t="shared" si="152"/>
        <v>0</v>
      </c>
      <c r="FU133" s="366">
        <f t="shared" ca="1" si="155"/>
        <v>0</v>
      </c>
      <c r="FV133" s="121">
        <f t="shared" ca="1" si="153"/>
        <v>0</v>
      </c>
      <c r="FW133" s="114">
        <f t="shared" si="204"/>
        <v>0</v>
      </c>
      <c r="FX133" s="114">
        <f t="shared" si="204"/>
        <v>0</v>
      </c>
      <c r="FY133" s="114">
        <f t="shared" si="204"/>
        <v>0</v>
      </c>
      <c r="FZ133" s="114">
        <f t="shared" si="204"/>
        <v>0</v>
      </c>
      <c r="GA133" s="114">
        <f t="shared" si="183"/>
        <v>0</v>
      </c>
      <c r="GB133" s="114">
        <f t="shared" si="205"/>
        <v>0</v>
      </c>
      <c r="GC133" s="114">
        <f t="shared" si="205"/>
        <v>0</v>
      </c>
      <c r="GD133" s="114">
        <f t="shared" si="205"/>
        <v>0</v>
      </c>
      <c r="GE133" s="114">
        <f t="shared" si="205"/>
        <v>0</v>
      </c>
      <c r="GF133" s="114">
        <f t="shared" si="184"/>
        <v>0</v>
      </c>
      <c r="GG133" s="114">
        <f t="shared" si="184"/>
        <v>0</v>
      </c>
      <c r="GH133" s="114">
        <f t="shared" si="184"/>
        <v>0</v>
      </c>
      <c r="GI133" s="114">
        <f t="shared" si="184"/>
        <v>0</v>
      </c>
      <c r="GJ133" s="115">
        <f t="shared" si="199"/>
        <v>0</v>
      </c>
      <c r="GK133" s="114">
        <f t="shared" si="131"/>
        <v>0</v>
      </c>
      <c r="GL133" s="114">
        <f t="shared" si="132"/>
        <v>0</v>
      </c>
      <c r="GM133" s="114">
        <f t="shared" si="133"/>
        <v>0</v>
      </c>
      <c r="GN133" s="114">
        <f t="shared" si="134"/>
        <v>0</v>
      </c>
      <c r="GO133" s="114">
        <f t="shared" si="135"/>
        <v>0</v>
      </c>
      <c r="GP133" s="114">
        <f t="shared" si="200"/>
        <v>0</v>
      </c>
      <c r="GQ133" s="114">
        <f t="shared" si="136"/>
        <v>0</v>
      </c>
      <c r="GR133" s="193"/>
      <c r="GS133" s="122">
        <f t="shared" si="202"/>
        <v>69623560.651340917</v>
      </c>
      <c r="GT133" s="122">
        <f t="shared" si="202"/>
        <v>102838492.58126479</v>
      </c>
      <c r="GU133" s="123">
        <f t="shared" si="137"/>
        <v>0.67701848698650602</v>
      </c>
      <c r="GV133" s="124">
        <f t="shared" ca="1" si="138"/>
        <v>0</v>
      </c>
      <c r="GW133" s="124">
        <v>0</v>
      </c>
      <c r="GX133" s="32">
        <f t="shared" ca="1" si="139"/>
        <v>0</v>
      </c>
      <c r="GY133" s="100"/>
    </row>
    <row r="134" spans="3:207" s="408" customFormat="1" hidden="1">
      <c r="C134" s="402"/>
      <c r="D134" s="402"/>
      <c r="E134" s="403"/>
      <c r="F134" s="403" t="s">
        <v>720</v>
      </c>
      <c r="G134" s="403" t="s">
        <v>226</v>
      </c>
      <c r="H134" s="105" t="s">
        <v>567</v>
      </c>
      <c r="I134" s="403" t="s">
        <v>600</v>
      </c>
      <c r="J134" s="403" t="s">
        <v>212</v>
      </c>
      <c r="K134" s="403" t="s">
        <v>544</v>
      </c>
      <c r="L134" s="403"/>
      <c r="M134" s="403"/>
      <c r="N134" s="404"/>
      <c r="O134" s="108">
        <v>41365</v>
      </c>
      <c r="P134" s="108">
        <v>41365</v>
      </c>
      <c r="Q134" s="323">
        <f t="shared" ref="Q134:Q165" si="207">IF(P134&gt;$Q$2,MONTH(P134),0)</f>
        <v>0</v>
      </c>
      <c r="R134" s="109">
        <f>IF((P134-VLOOKUP(Q134,month!$A$1:$C$13,3,0))&lt;0,Q134,Q134+1)</f>
        <v>0</v>
      </c>
      <c r="S134" s="108"/>
      <c r="T134" s="110" t="str">
        <f t="shared" si="154"/>
        <v/>
      </c>
      <c r="U134" s="404"/>
      <c r="V134" s="404"/>
      <c r="W134" s="405"/>
      <c r="X134" s="405"/>
      <c r="Y134" s="492"/>
      <c r="Z134" s="406" t="s">
        <v>545</v>
      </c>
      <c r="AA134" s="394">
        <v>1000</v>
      </c>
      <c r="AB134" s="394">
        <v>1000</v>
      </c>
      <c r="AC134" s="394">
        <v>1000</v>
      </c>
      <c r="AD134" s="394">
        <v>1000</v>
      </c>
      <c r="AE134" s="394">
        <v>1000</v>
      </c>
      <c r="AF134" s="394">
        <v>1000</v>
      </c>
      <c r="AG134" s="394">
        <v>1000</v>
      </c>
      <c r="AH134" s="394">
        <v>1000</v>
      </c>
      <c r="AI134" s="394">
        <v>1000</v>
      </c>
      <c r="AJ134" s="394">
        <v>1000</v>
      </c>
      <c r="AK134" s="394">
        <v>1000</v>
      </c>
      <c r="AL134" s="394">
        <v>1000</v>
      </c>
      <c r="AM134" s="388">
        <f t="shared" si="185"/>
        <v>12000</v>
      </c>
      <c r="AN134" s="388">
        <f t="shared" ref="AN134:AN159" si="208">SUM(AA134:AL134)+INDEX(AA134:AL134,,MATCH($H$3,$AA$5:$AL$5,0))*(12-COUNTA(AA134:AL134))</f>
        <v>12000</v>
      </c>
      <c r="AO134" s="389">
        <f t="shared" si="206"/>
        <v>1000</v>
      </c>
      <c r="AP134" s="502" t="s">
        <v>739</v>
      </c>
      <c r="AQ134" s="159">
        <v>0.4</v>
      </c>
      <c r="AR134" s="103" t="s">
        <v>211</v>
      </c>
      <c r="AS134" s="119" t="s">
        <v>210</v>
      </c>
      <c r="AT134" s="111">
        <v>616390.08916673041</v>
      </c>
      <c r="AU134" s="111">
        <v>671167.08426676516</v>
      </c>
      <c r="AV134" s="111">
        <v>640978.86732239777</v>
      </c>
      <c r="AW134" s="111">
        <v>729473.40625056799</v>
      </c>
      <c r="AX134" s="113">
        <v>450242.64500000002</v>
      </c>
      <c r="AY134" s="113">
        <v>609916.10399999889</v>
      </c>
      <c r="AZ134" s="113">
        <v>448154.38</v>
      </c>
      <c r="BA134" s="113"/>
      <c r="BB134" s="113"/>
      <c r="BC134" s="113"/>
      <c r="BD134" s="113"/>
      <c r="BE134" s="113"/>
      <c r="BF134" s="114">
        <f t="shared" si="186"/>
        <v>450242.64500000002</v>
      </c>
      <c r="BG134" s="114">
        <f t="shared" si="186"/>
        <v>609916.10399999889</v>
      </c>
      <c r="BH134" s="114">
        <f t="shared" si="186"/>
        <v>448154.38</v>
      </c>
      <c r="BI134" s="114">
        <f t="shared" si="186"/>
        <v>0</v>
      </c>
      <c r="BJ134" s="114">
        <f t="shared" si="193"/>
        <v>1508313.1289999988</v>
      </c>
      <c r="BK134" s="115">
        <f t="shared" si="173"/>
        <v>2658009.4470064617</v>
      </c>
      <c r="BL134" s="115">
        <f t="shared" si="140"/>
        <v>2658009.4470064617</v>
      </c>
      <c r="BM134" s="116">
        <f t="shared" si="141"/>
        <v>0.5675</v>
      </c>
      <c r="BN134" s="126">
        <f t="shared" ca="1" si="174"/>
        <v>0</v>
      </c>
      <c r="BO134" s="117">
        <f t="shared" ca="1" si="175"/>
        <v>0</v>
      </c>
      <c r="BP134" s="118" t="str">
        <f t="shared" si="176"/>
        <v>Uncapped</v>
      </c>
      <c r="BQ134" s="115">
        <f t="shared" ref="BQ134:BQ181" ca="1" si="209">IF(BP134="Uncapped",BO134,IFERROR(AM134*AQ134*BP134,0))</f>
        <v>0</v>
      </c>
      <c r="BR134" s="174" t="s">
        <v>740</v>
      </c>
      <c r="BS134" s="175">
        <v>0.4</v>
      </c>
      <c r="BT134" s="174" t="s">
        <v>211</v>
      </c>
      <c r="BU134" s="174" t="s">
        <v>210</v>
      </c>
      <c r="BV134" s="113">
        <v>5205901.7546552001</v>
      </c>
      <c r="BW134" s="113">
        <v>6041740.1313270004</v>
      </c>
      <c r="BX134" s="113">
        <v>5756053.1908810986</v>
      </c>
      <c r="BY134" s="113">
        <v>6160067.2421446964</v>
      </c>
      <c r="BZ134" s="113">
        <v>5515068.8665199988</v>
      </c>
      <c r="CA134" s="113">
        <v>5778683</v>
      </c>
      <c r="CB134" s="113">
        <f>3919994.43121+1172274.56879</f>
        <v>5092269</v>
      </c>
      <c r="CC134" s="113"/>
      <c r="CD134" s="113"/>
      <c r="CE134" s="113"/>
      <c r="CF134" s="113"/>
      <c r="CG134" s="113"/>
      <c r="CH134" s="114">
        <f t="shared" si="187"/>
        <v>5515068.8665199988</v>
      </c>
      <c r="CI134" s="114">
        <f t="shared" si="187"/>
        <v>5778683</v>
      </c>
      <c r="CJ134" s="120">
        <f t="shared" si="187"/>
        <v>5092269</v>
      </c>
      <c r="CK134" s="114">
        <f t="shared" si="187"/>
        <v>0</v>
      </c>
      <c r="CL134" s="114">
        <f t="shared" si="194"/>
        <v>16386020.866519999</v>
      </c>
      <c r="CM134" s="114">
        <f t="shared" si="188"/>
        <v>23163762.319007996</v>
      </c>
      <c r="CN134" s="114">
        <f t="shared" si="189"/>
        <v>23163762.319007996</v>
      </c>
      <c r="CO134" s="116">
        <f t="shared" si="143"/>
        <v>0.70740000000000003</v>
      </c>
      <c r="CP134" s="126">
        <f t="shared" ca="1" si="144"/>
        <v>0</v>
      </c>
      <c r="CQ134" s="115">
        <f t="shared" ref="CQ134:CQ181" ca="1" si="210">AM134*BS134*CP134</f>
        <v>0</v>
      </c>
      <c r="CR134" s="118" t="str">
        <f t="shared" si="145"/>
        <v>Uncapped</v>
      </c>
      <c r="CS134" s="115">
        <f t="shared" ref="CS134:CS181" ca="1" si="211">IF(CR134="Uncapped",CQ134,IFERROR(AM134*BS134*CR134,0))</f>
        <v>0</v>
      </c>
      <c r="CT134" s="113" t="s">
        <v>733</v>
      </c>
      <c r="CU134" s="119">
        <v>0.2</v>
      </c>
      <c r="CV134" s="113" t="s">
        <v>217</v>
      </c>
      <c r="CW134" s="113" t="s">
        <v>210</v>
      </c>
      <c r="CX134" s="113">
        <v>4332720.3217541184</v>
      </c>
      <c r="CY134" s="113">
        <v>4778527.2500066841</v>
      </c>
      <c r="CZ134" s="113">
        <v>4616888.1107896138</v>
      </c>
      <c r="DA134" s="113">
        <v>4787499.8855306264</v>
      </c>
      <c r="DB134" s="113">
        <v>4282731.8</v>
      </c>
      <c r="DC134" s="113">
        <v>4427269.8909500409</v>
      </c>
      <c r="DD134" s="113">
        <v>3879830.89</v>
      </c>
      <c r="DE134" s="113"/>
      <c r="DF134" s="113"/>
      <c r="DG134" s="113"/>
      <c r="DH134" s="113"/>
      <c r="DI134" s="113"/>
      <c r="DJ134" s="114">
        <f t="shared" si="190"/>
        <v>4282731.8</v>
      </c>
      <c r="DK134" s="114">
        <f t="shared" si="190"/>
        <v>4427269.8909500409</v>
      </c>
      <c r="DL134" s="114">
        <f t="shared" si="190"/>
        <v>3879830.89</v>
      </c>
      <c r="DM134" s="114">
        <f t="shared" si="190"/>
        <v>0</v>
      </c>
      <c r="DN134" s="114">
        <f t="shared" si="168"/>
        <v>12589832.58095004</v>
      </c>
      <c r="DO134" s="114">
        <f t="shared" si="195"/>
        <v>18515635.568081044</v>
      </c>
      <c r="DP134" s="114">
        <f t="shared" si="201"/>
        <v>18515635.568081044</v>
      </c>
      <c r="DQ134" s="116">
        <f t="shared" si="146"/>
        <v>0.68</v>
      </c>
      <c r="DR134" s="126">
        <f t="shared" ref="DR134:DR193" ca="1" si="212">IF(OR(CT134="MBO",CT134="10% Realized Price"),DQ134,SUMPRODUCT(Lower_Payout*(Curve=CV134)*(Lower_Attain&lt;=DQ134)*(Upper_Attain&gt;DQ134))+(DQ134-SUMPRODUCT(Lower_Attain*(Curve=CV134)*(Lower_Attain&lt;=DQ134)*(Upper_Attain&gt;DQ134)))*SUMPRODUCT(Slope*(Curve=CV134)*(Lower_Attain&lt;=DQ134)*(Upper_Attain&gt;DQ134)))</f>
        <v>0</v>
      </c>
      <c r="DS134" s="115">
        <f t="shared" ref="DS134:DS193" ca="1" si="213">AM134*CU134*DR134</f>
        <v>0</v>
      </c>
      <c r="DT134" s="118" t="str">
        <f t="shared" si="147"/>
        <v>Uncapped</v>
      </c>
      <c r="DU134" s="115">
        <f t="shared" ref="DU134:DU193" ca="1" si="214">IF(DT134="Uncapped",DS134,IFERROR(AM134*CU134*DT134,0))</f>
        <v>0</v>
      </c>
      <c r="DV134" s="113"/>
      <c r="DW134" s="119">
        <v>0</v>
      </c>
      <c r="DX134" s="113"/>
      <c r="DY134" s="113"/>
      <c r="DZ134" s="113">
        <v>0</v>
      </c>
      <c r="EA134" s="113">
        <v>0</v>
      </c>
      <c r="EB134" s="113">
        <v>0</v>
      </c>
      <c r="EC134" s="113">
        <v>0</v>
      </c>
      <c r="ED134" s="113">
        <v>0</v>
      </c>
      <c r="EE134" s="113">
        <v>0</v>
      </c>
      <c r="EF134" s="113"/>
      <c r="EG134" s="113"/>
      <c r="EH134" s="113"/>
      <c r="EI134" s="113"/>
      <c r="EJ134" s="113"/>
      <c r="EK134" s="113"/>
      <c r="EL134" s="114">
        <f t="shared" si="191"/>
        <v>0</v>
      </c>
      <c r="EM134" s="114">
        <f t="shared" si="191"/>
        <v>0</v>
      </c>
      <c r="EN134" s="114">
        <f t="shared" si="191"/>
        <v>0</v>
      </c>
      <c r="EO134" s="114">
        <f t="shared" si="191"/>
        <v>0</v>
      </c>
      <c r="EP134" s="114">
        <f t="shared" ref="EP134:EP167" si="215">IF($BB$3="After AR Adjustment",IF($H$2=1,EL134,IF($H$2=2,SUM(EL134:EM134),IF($H$2=3,SUM(EL134:EN134),SUM(EL134:EO134)))),IF($H$2=1,ED134,IF($H$2=2,SUM(ED134:EE134),IF($H$2=3,SUM(ED134:EF134),SUM(ED134:EG134)))))</f>
        <v>0</v>
      </c>
      <c r="EQ134" s="114">
        <f t="shared" si="196"/>
        <v>0</v>
      </c>
      <c r="ER134" s="114">
        <f t="shared" si="192"/>
        <v>0</v>
      </c>
      <c r="ES134" s="116">
        <f t="shared" si="149"/>
        <v>0</v>
      </c>
      <c r="ET134" s="126">
        <f t="shared" ca="1" si="150"/>
        <v>0</v>
      </c>
      <c r="EU134" s="115">
        <f t="shared" ref="EU134:EU193" ca="1" si="216">AM134*DW134*ET134</f>
        <v>0</v>
      </c>
      <c r="EV134" s="118" t="str">
        <f t="shared" ref="EV134:EV193" si="217">IF($T134="Y","100%",IF(DX134="T2","200%",IF($H$2=4,"Uncapped",IF($G134="AA","50%",IF($G134="SA","90%",IF($G134="APJ Regional-AA","50%",IF($G134="APJ Regional-SA","90%",75%)))))))</f>
        <v>Uncapped</v>
      </c>
      <c r="EW134" s="115">
        <f t="shared" ref="EW134:EW193" ca="1" si="218">IF(EV134="Uncapped",EU134,IFERROR(AM134*DW134*EV134,0))</f>
        <v>0</v>
      </c>
      <c r="EX134" s="112">
        <f t="shared" ref="EX134:EX193" ca="1" si="219">MIN(BO134,BQ134)+MIN(CQ134,CS134)+MIN(DS134,DU134)+MIN(EU134,EW134)</f>
        <v>0</v>
      </c>
      <c r="EY134" s="114">
        <f t="shared" ca="1" si="151"/>
        <v>0</v>
      </c>
      <c r="EZ134" s="115">
        <v>0</v>
      </c>
      <c r="FA134" s="115"/>
      <c r="FB134" s="115"/>
      <c r="FC134" s="115">
        <v>0</v>
      </c>
      <c r="FD134" s="115">
        <f t="shared" si="197"/>
        <v>0</v>
      </c>
      <c r="FE134" s="114">
        <f t="shared" si="177"/>
        <v>0</v>
      </c>
      <c r="FF134" s="115">
        <v>0</v>
      </c>
      <c r="FG134" s="115">
        <v>0</v>
      </c>
      <c r="FH134" s="115">
        <v>0</v>
      </c>
      <c r="FI134" s="115">
        <v>0</v>
      </c>
      <c r="FJ134" s="115">
        <f t="shared" si="198"/>
        <v>0</v>
      </c>
      <c r="FK134" s="114">
        <f t="shared" si="178"/>
        <v>0</v>
      </c>
      <c r="FL134" s="113"/>
      <c r="FM134" s="111"/>
      <c r="FN134" s="111"/>
      <c r="FO134" s="111"/>
      <c r="FP134" s="115">
        <f t="shared" si="203"/>
        <v>0</v>
      </c>
      <c r="FQ134" s="115"/>
      <c r="FR134" s="115"/>
      <c r="FS134" s="115"/>
      <c r="FT134" s="114">
        <f t="shared" si="152"/>
        <v>0</v>
      </c>
      <c r="FU134" s="366">
        <f t="shared" ca="1" si="155"/>
        <v>0</v>
      </c>
      <c r="FV134" s="121">
        <f t="shared" ca="1" si="153"/>
        <v>0</v>
      </c>
      <c r="FW134" s="114">
        <f t="shared" si="204"/>
        <v>0</v>
      </c>
      <c r="FX134" s="114">
        <f t="shared" si="204"/>
        <v>0</v>
      </c>
      <c r="FY134" s="114">
        <f t="shared" si="204"/>
        <v>0</v>
      </c>
      <c r="FZ134" s="114">
        <f t="shared" si="204"/>
        <v>0</v>
      </c>
      <c r="GA134" s="114">
        <f t="shared" si="183"/>
        <v>0</v>
      </c>
      <c r="GB134" s="114">
        <f t="shared" si="205"/>
        <v>0</v>
      </c>
      <c r="GC134" s="114">
        <f t="shared" si="205"/>
        <v>0</v>
      </c>
      <c r="GD134" s="114">
        <f t="shared" si="205"/>
        <v>0</v>
      </c>
      <c r="GE134" s="114">
        <f t="shared" si="205"/>
        <v>0</v>
      </c>
      <c r="GF134" s="114">
        <f t="shared" si="184"/>
        <v>0</v>
      </c>
      <c r="GG134" s="114">
        <f t="shared" si="184"/>
        <v>0</v>
      </c>
      <c r="GH134" s="114">
        <f t="shared" si="184"/>
        <v>0</v>
      </c>
      <c r="GI134" s="114">
        <f t="shared" si="184"/>
        <v>0</v>
      </c>
      <c r="GJ134" s="115">
        <f t="shared" si="199"/>
        <v>0</v>
      </c>
      <c r="GK134" s="114">
        <f t="shared" ref="GK134:GK181" si="220">SUM(GF134:GI134)</f>
        <v>0</v>
      </c>
      <c r="GL134" s="114">
        <f t="shared" ref="GL134:GL193" si="221">IF(U134="Y",V134*AO134,0)</f>
        <v>0</v>
      </c>
      <c r="GM134" s="114">
        <f t="shared" ref="GM134:GM193" si="222">IF(U134="Y",W134*AO134,0)</f>
        <v>0</v>
      </c>
      <c r="GN134" s="114">
        <f t="shared" ref="GN134:GN193" si="223">IF(U134="Y",X134*AO134,0)</f>
        <v>0</v>
      </c>
      <c r="GO134" s="114">
        <f t="shared" ref="GO134:GO193" si="224">IF(U134="Y",Y134*AO134,0)</f>
        <v>0</v>
      </c>
      <c r="GP134" s="114">
        <f t="shared" si="200"/>
        <v>0</v>
      </c>
      <c r="GQ134" s="114">
        <f t="shared" ref="GQ134:GQ162" si="225">SUM(GL134:GO134)</f>
        <v>0</v>
      </c>
      <c r="GR134" s="193"/>
      <c r="GS134" s="122">
        <f t="shared" si="202"/>
        <v>30484166.576470036</v>
      </c>
      <c r="GT134" s="122">
        <f t="shared" si="202"/>
        <v>44337407.3340955</v>
      </c>
      <c r="GU134" s="123">
        <f t="shared" ref="GU134:GU181" si="226">IFERROR(GS134/GT134,"")</f>
        <v>0.68754959771920832</v>
      </c>
      <c r="GV134" s="124">
        <f t="shared" ref="GV134:GV193" ca="1" si="227">BO134+CQ134+DS134+EU134</f>
        <v>0</v>
      </c>
      <c r="GW134" s="124">
        <v>0</v>
      </c>
      <c r="GX134" s="32">
        <f t="shared" ref="GX134:GX193" ca="1" si="228">IFERROR(GV134/AM134,0)</f>
        <v>0</v>
      </c>
      <c r="GY134" s="100"/>
    </row>
    <row r="135" spans="3:207" s="408" customFormat="1" hidden="1">
      <c r="C135" s="402"/>
      <c r="D135" s="402"/>
      <c r="E135" s="403"/>
      <c r="F135" s="403" t="s">
        <v>720</v>
      </c>
      <c r="G135" s="403" t="s">
        <v>226</v>
      </c>
      <c r="H135" s="105" t="s">
        <v>568</v>
      </c>
      <c r="I135" s="403" t="s">
        <v>601</v>
      </c>
      <c r="J135" s="403" t="s">
        <v>212</v>
      </c>
      <c r="K135" s="403" t="s">
        <v>544</v>
      </c>
      <c r="L135" s="403"/>
      <c r="M135" s="403"/>
      <c r="N135" s="404"/>
      <c r="O135" s="108">
        <v>41730</v>
      </c>
      <c r="P135" s="108">
        <v>41730</v>
      </c>
      <c r="Q135" s="323">
        <f t="shared" si="207"/>
        <v>0</v>
      </c>
      <c r="R135" s="109">
        <f>IF((P135-VLOOKUP(Q135,month!$A$1:$C$13,3,0))&lt;0,Q135,Q135+1)</f>
        <v>0</v>
      </c>
      <c r="S135" s="108"/>
      <c r="T135" s="110" t="str">
        <f t="shared" si="154"/>
        <v/>
      </c>
      <c r="U135" s="404"/>
      <c r="V135" s="404"/>
      <c r="W135" s="405"/>
      <c r="X135" s="405"/>
      <c r="Y135" s="492"/>
      <c r="Z135" s="406" t="s">
        <v>545</v>
      </c>
      <c r="AA135" s="394">
        <v>1000</v>
      </c>
      <c r="AB135" s="394">
        <v>1000</v>
      </c>
      <c r="AC135" s="394">
        <v>1000</v>
      </c>
      <c r="AD135" s="394">
        <v>1000</v>
      </c>
      <c r="AE135" s="394">
        <v>1000</v>
      </c>
      <c r="AF135" s="394">
        <v>1000</v>
      </c>
      <c r="AG135" s="394">
        <v>1000</v>
      </c>
      <c r="AH135" s="394">
        <v>1000</v>
      </c>
      <c r="AI135" s="394">
        <v>1000</v>
      </c>
      <c r="AJ135" s="394">
        <v>1000</v>
      </c>
      <c r="AK135" s="394">
        <v>1000</v>
      </c>
      <c r="AL135" s="394">
        <v>1000</v>
      </c>
      <c r="AM135" s="388">
        <f t="shared" si="185"/>
        <v>12000</v>
      </c>
      <c r="AN135" s="388">
        <f t="shared" si="208"/>
        <v>12000</v>
      </c>
      <c r="AO135" s="389">
        <f t="shared" si="206"/>
        <v>1000</v>
      </c>
      <c r="AP135" s="502" t="s">
        <v>750</v>
      </c>
      <c r="AQ135" s="159">
        <v>0.5</v>
      </c>
      <c r="AR135" s="103" t="s">
        <v>211</v>
      </c>
      <c r="AS135" s="119" t="s">
        <v>210</v>
      </c>
      <c r="AT135" s="111">
        <v>720887.91968241916</v>
      </c>
      <c r="AU135" s="111">
        <v>784595.67437440774</v>
      </c>
      <c r="AV135" s="111">
        <v>746491.73576980887</v>
      </c>
      <c r="AW135" s="111">
        <v>808196.19358136377</v>
      </c>
      <c r="AX135" s="113">
        <v>1424487.42</v>
      </c>
      <c r="AY135" s="113">
        <v>1196357.4045000002</v>
      </c>
      <c r="AZ135" s="113">
        <v>721705.2470999998</v>
      </c>
      <c r="BA135" s="113"/>
      <c r="BB135" s="113"/>
      <c r="BC135" s="113"/>
      <c r="BD135" s="113"/>
      <c r="BE135" s="113"/>
      <c r="BF135" s="114">
        <f t="shared" si="186"/>
        <v>1424487.42</v>
      </c>
      <c r="BG135" s="114">
        <f t="shared" si="186"/>
        <v>1196357.4045000002</v>
      </c>
      <c r="BH135" s="114">
        <f t="shared" si="186"/>
        <v>721705.2470999998</v>
      </c>
      <c r="BI135" s="114">
        <f t="shared" si="186"/>
        <v>0</v>
      </c>
      <c r="BJ135" s="114">
        <f t="shared" si="193"/>
        <v>3342550.0715999999</v>
      </c>
      <c r="BK135" s="115">
        <f t="shared" ref="BK135:BK164" si="229">IF($H$2=1,AT135,IF($H$2=2,SUM(AT135:AU135),IF($H$2=3,SUM(AT135:AV135),SUM(AT135:AW135))))</f>
        <v>3060171.5234079994</v>
      </c>
      <c r="BL135" s="115">
        <f t="shared" ref="BL135:BL180" si="230">SUM(AT135:AW135)</f>
        <v>3060171.5234079994</v>
      </c>
      <c r="BM135" s="116">
        <f t="shared" ref="BM135:BM180" si="231">IFERROR(ROUND(BJ135/BK135,4),0)</f>
        <v>1.0923</v>
      </c>
      <c r="BN135" s="126">
        <f t="shared" ca="1" si="174"/>
        <v>0</v>
      </c>
      <c r="BO135" s="117">
        <f t="shared" ca="1" si="175"/>
        <v>0</v>
      </c>
      <c r="BP135" s="118" t="str">
        <f t="shared" si="176"/>
        <v>Uncapped</v>
      </c>
      <c r="BQ135" s="115">
        <f t="shared" ca="1" si="209"/>
        <v>0</v>
      </c>
      <c r="BR135" s="174" t="s">
        <v>762</v>
      </c>
      <c r="BS135" s="175">
        <v>0.3</v>
      </c>
      <c r="BT135" s="174" t="s">
        <v>211</v>
      </c>
      <c r="BU135" s="174" t="s">
        <v>210</v>
      </c>
      <c r="BV135" s="113">
        <v>2237916.9674079753</v>
      </c>
      <c r="BW135" s="113">
        <v>2593737.6672715819</v>
      </c>
      <c r="BX135" s="113">
        <v>2631062.6626689765</v>
      </c>
      <c r="BY135" s="113">
        <v>2613100.8468210953</v>
      </c>
      <c r="BZ135" s="113">
        <v>2333200.87</v>
      </c>
      <c r="CA135" s="113">
        <v>2209902.1916999999</v>
      </c>
      <c r="CB135" s="113">
        <v>1880202.3</v>
      </c>
      <c r="CC135" s="113"/>
      <c r="CD135" s="113"/>
      <c r="CE135" s="113"/>
      <c r="CF135" s="113"/>
      <c r="CG135" s="113"/>
      <c r="CH135" s="114">
        <f t="shared" si="187"/>
        <v>2333200.87</v>
      </c>
      <c r="CI135" s="114">
        <f t="shared" si="187"/>
        <v>2209902.1916999999</v>
      </c>
      <c r="CJ135" s="120">
        <f t="shared" si="187"/>
        <v>1880202.3</v>
      </c>
      <c r="CK135" s="114">
        <f t="shared" si="187"/>
        <v>0</v>
      </c>
      <c r="CL135" s="114">
        <f t="shared" si="194"/>
        <v>6423305.3616999993</v>
      </c>
      <c r="CM135" s="114">
        <f t="shared" si="188"/>
        <v>10075818.14416963</v>
      </c>
      <c r="CN135" s="114">
        <f t="shared" si="189"/>
        <v>10075818.14416963</v>
      </c>
      <c r="CO135" s="116">
        <f t="shared" ref="CO135:CO180" si="232">IFERROR(ROUND(CL135/CM135,4),0)</f>
        <v>0.63749999999999996</v>
      </c>
      <c r="CP135" s="126">
        <f t="shared" ref="CP135:CP180" ca="1" si="233">IF(OR(BR135="MBO",BR135="10% Realized Price"),CO135,SUMPRODUCT(Lower_Payout*(Curve=BT135)*(Lower_Attain&lt;=CO135)*(Upper_Attain&gt;CO135))+(CO135-SUMPRODUCT(Lower_Attain*(Curve=BT135)*(Lower_Attain&lt;=CO135)*(Upper_Attain&gt;CO135)))*SUMPRODUCT(Slope*(Curve=BT135)*(Lower_Attain&lt;=CO135)*(Upper_Attain&gt;CO135)))</f>
        <v>0</v>
      </c>
      <c r="CQ135" s="115">
        <f t="shared" ca="1" si="210"/>
        <v>0</v>
      </c>
      <c r="CR135" s="118" t="str">
        <f t="shared" ref="CR135:CR181" si="234">IF($T135="Y","100%",IF($H$2=4,"Uncapped",IF(N135="Y","100%",IF($G135="AA","50%",IF($G135="SA","90%",IF($G135="APJ Regional-AA","50%",IF($G135="APJ Regional-SA","90%",75%)))))))</f>
        <v>Uncapped</v>
      </c>
      <c r="CS135" s="115">
        <f t="shared" ca="1" si="211"/>
        <v>0</v>
      </c>
      <c r="CT135" s="113" t="s">
        <v>729</v>
      </c>
      <c r="CU135" s="119">
        <v>0.2</v>
      </c>
      <c r="CV135" s="113" t="s">
        <v>217</v>
      </c>
      <c r="CW135" s="113" t="s">
        <v>210</v>
      </c>
      <c r="CX135" s="113">
        <v>13631298.3753272</v>
      </c>
      <c r="CY135" s="113">
        <v>15463517.626933601</v>
      </c>
      <c r="CZ135" s="113">
        <v>15159650.061351301</v>
      </c>
      <c r="DA135" s="113">
        <v>16523055.704212198</v>
      </c>
      <c r="DB135" s="113">
        <v>13485327.436090879</v>
      </c>
      <c r="DC135" s="113">
        <v>13198691</v>
      </c>
      <c r="DD135" s="113">
        <v>13923765.347779993</v>
      </c>
      <c r="DE135" s="113"/>
      <c r="DF135" s="113"/>
      <c r="DG135" s="113"/>
      <c r="DH135" s="113"/>
      <c r="DI135" s="113"/>
      <c r="DJ135" s="114">
        <f t="shared" si="190"/>
        <v>13485327.436090879</v>
      </c>
      <c r="DK135" s="114">
        <f t="shared" si="190"/>
        <v>13198691</v>
      </c>
      <c r="DL135" s="114">
        <f t="shared" si="190"/>
        <v>13923765.347779993</v>
      </c>
      <c r="DM135" s="114">
        <f t="shared" si="190"/>
        <v>0</v>
      </c>
      <c r="DN135" s="114">
        <f t="shared" si="168"/>
        <v>40607783.783870876</v>
      </c>
      <c r="DO135" s="114">
        <f t="shared" si="195"/>
        <v>60777521.7678243</v>
      </c>
      <c r="DP135" s="114">
        <f t="shared" si="201"/>
        <v>60777521.7678243</v>
      </c>
      <c r="DQ135" s="116">
        <f t="shared" ref="DQ135:DQ180" si="235">IFERROR(ROUND(DN135/DO135,4),0)</f>
        <v>0.66810000000000003</v>
      </c>
      <c r="DR135" s="126">
        <f t="shared" ca="1" si="212"/>
        <v>0</v>
      </c>
      <c r="DS135" s="115">
        <f t="shared" ca="1" si="213"/>
        <v>0</v>
      </c>
      <c r="DT135" s="118" t="str">
        <f t="shared" ref="DT135:DT193" si="236">IF($T135="Y","100%",IF($H$2=4,"Uncapped",IF(N135="Y","100%",IF($G135="AA","50%",IF($G135="SA","90%",IF($G135="APJ Regional-AA","50%",IF($G135="APJ Regional-SA","90%",75%)))))))</f>
        <v>Uncapped</v>
      </c>
      <c r="DU135" s="115">
        <f t="shared" ca="1" si="214"/>
        <v>0</v>
      </c>
      <c r="DV135" s="113"/>
      <c r="DW135" s="119">
        <v>0</v>
      </c>
      <c r="DX135" s="113"/>
      <c r="DY135" s="113"/>
      <c r="DZ135" s="113">
        <v>0</v>
      </c>
      <c r="EA135" s="113">
        <v>0</v>
      </c>
      <c r="EB135" s="113">
        <v>0</v>
      </c>
      <c r="EC135" s="113">
        <v>0</v>
      </c>
      <c r="ED135" s="113">
        <v>0</v>
      </c>
      <c r="EE135" s="113">
        <v>0</v>
      </c>
      <c r="EF135" s="113"/>
      <c r="EG135" s="113"/>
      <c r="EH135" s="113"/>
      <c r="EI135" s="113"/>
      <c r="EJ135" s="113"/>
      <c r="EK135" s="113"/>
      <c r="EL135" s="114">
        <f t="shared" si="191"/>
        <v>0</v>
      </c>
      <c r="EM135" s="114">
        <f t="shared" si="191"/>
        <v>0</v>
      </c>
      <c r="EN135" s="114">
        <f t="shared" si="191"/>
        <v>0</v>
      </c>
      <c r="EO135" s="114">
        <f t="shared" si="191"/>
        <v>0</v>
      </c>
      <c r="EP135" s="114">
        <f t="shared" si="215"/>
        <v>0</v>
      </c>
      <c r="EQ135" s="114">
        <f t="shared" si="196"/>
        <v>0</v>
      </c>
      <c r="ER135" s="114">
        <f t="shared" si="192"/>
        <v>0</v>
      </c>
      <c r="ES135" s="116">
        <f t="shared" ref="ES135:ES180" si="237">IFERROR(ROUND(EP135/EQ135,4),0)</f>
        <v>0</v>
      </c>
      <c r="ET135" s="126">
        <f t="shared" ref="ET135:ET180" ca="1" si="238">IF(OR(DV135="MBO",DV135="10% Realized Price"),ES135,SUMPRODUCT(Lower_Payout*(Curve=DX135)*(Lower_Attain&lt;=ES135)*(Upper_Attain&gt;ES135))+(ES135-SUMPRODUCT(Lower_Attain*(Curve=DX135)*(Lower_Attain&lt;=ES135)*(Upper_Attain&gt;ES135)))*SUMPRODUCT(Slope*(Curve=DX135)*(Lower_Attain&lt;=ES135)*(Upper_Attain&gt;ES135)))</f>
        <v>0</v>
      </c>
      <c r="EU135" s="115">
        <f t="shared" ca="1" si="216"/>
        <v>0</v>
      </c>
      <c r="EV135" s="118" t="str">
        <f t="shared" si="217"/>
        <v>Uncapped</v>
      </c>
      <c r="EW135" s="115">
        <f t="shared" ca="1" si="218"/>
        <v>0</v>
      </c>
      <c r="EX135" s="112">
        <f t="shared" ca="1" si="219"/>
        <v>0</v>
      </c>
      <c r="EY135" s="114">
        <f t="shared" ref="EY135:EY180" ca="1" si="239">MAX(EX135,GP135)</f>
        <v>0</v>
      </c>
      <c r="EZ135" s="115">
        <v>0</v>
      </c>
      <c r="FA135" s="115"/>
      <c r="FB135" s="115"/>
      <c r="FC135" s="115">
        <v>0</v>
      </c>
      <c r="FD135" s="115">
        <f t="shared" si="197"/>
        <v>0</v>
      </c>
      <c r="FE135" s="114">
        <f t="shared" si="177"/>
        <v>0</v>
      </c>
      <c r="FF135" s="115">
        <v>0</v>
      </c>
      <c r="FG135" s="115">
        <v>0</v>
      </c>
      <c r="FH135" s="115">
        <v>0</v>
      </c>
      <c r="FI135" s="115">
        <v>0</v>
      </c>
      <c r="FJ135" s="115">
        <f t="shared" si="198"/>
        <v>0</v>
      </c>
      <c r="FK135" s="114">
        <f t="shared" si="178"/>
        <v>0</v>
      </c>
      <c r="FL135" s="113"/>
      <c r="FM135" s="111"/>
      <c r="FN135" s="111"/>
      <c r="FO135" s="111"/>
      <c r="FP135" s="115">
        <f t="shared" si="203"/>
        <v>0</v>
      </c>
      <c r="FQ135" s="115"/>
      <c r="FR135" s="115"/>
      <c r="FS135" s="115"/>
      <c r="FT135" s="114">
        <f t="shared" ref="FT135:FT180" si="240">SUM(FQ135:FS135)</f>
        <v>0</v>
      </c>
      <c r="FU135" s="366">
        <f t="shared" ca="1" si="155"/>
        <v>0</v>
      </c>
      <c r="FV135" s="121">
        <f t="shared" ref="FV135:FV180" ca="1" si="241">SUM(EY135,FD135,FJ135,FP135)</f>
        <v>0</v>
      </c>
      <c r="FW135" s="114">
        <f t="shared" si="204"/>
        <v>0</v>
      </c>
      <c r="FX135" s="114">
        <f t="shared" si="204"/>
        <v>0</v>
      </c>
      <c r="FY135" s="114">
        <f t="shared" si="204"/>
        <v>0</v>
      </c>
      <c r="FZ135" s="114">
        <f t="shared" si="204"/>
        <v>0</v>
      </c>
      <c r="GA135" s="114">
        <f t="shared" si="183"/>
        <v>0</v>
      </c>
      <c r="GB135" s="114">
        <f t="shared" si="205"/>
        <v>0</v>
      </c>
      <c r="GC135" s="114">
        <f t="shared" si="205"/>
        <v>0</v>
      </c>
      <c r="GD135" s="114">
        <f t="shared" si="205"/>
        <v>0</v>
      </c>
      <c r="GE135" s="114">
        <f t="shared" si="205"/>
        <v>0</v>
      </c>
      <c r="GF135" s="114">
        <f t="shared" ref="GF135:GI170" si="242">GB135+FW135</f>
        <v>0</v>
      </c>
      <c r="GG135" s="114">
        <f t="shared" si="242"/>
        <v>0</v>
      </c>
      <c r="GH135" s="114">
        <f t="shared" si="242"/>
        <v>0</v>
      </c>
      <c r="GI135" s="114">
        <f t="shared" si="242"/>
        <v>0</v>
      </c>
      <c r="GJ135" s="115">
        <f t="shared" si="199"/>
        <v>0</v>
      </c>
      <c r="GK135" s="114">
        <f t="shared" si="220"/>
        <v>0</v>
      </c>
      <c r="GL135" s="114">
        <f t="shared" si="221"/>
        <v>0</v>
      </c>
      <c r="GM135" s="114">
        <f t="shared" si="222"/>
        <v>0</v>
      </c>
      <c r="GN135" s="114">
        <f t="shared" si="223"/>
        <v>0</v>
      </c>
      <c r="GO135" s="114">
        <f t="shared" si="224"/>
        <v>0</v>
      </c>
      <c r="GP135" s="114">
        <f t="shared" si="200"/>
        <v>0</v>
      </c>
      <c r="GQ135" s="114">
        <f t="shared" si="225"/>
        <v>0</v>
      </c>
      <c r="GR135" s="193"/>
      <c r="GS135" s="122">
        <f t="shared" si="202"/>
        <v>50373639.217170879</v>
      </c>
      <c r="GT135" s="122">
        <f t="shared" si="202"/>
        <v>73913511.435401931</v>
      </c>
      <c r="GU135" s="123">
        <f t="shared" si="226"/>
        <v>0.68152139221792818</v>
      </c>
      <c r="GV135" s="124">
        <f t="shared" ca="1" si="227"/>
        <v>0</v>
      </c>
      <c r="GW135" s="124">
        <v>0</v>
      </c>
      <c r="GX135" s="32">
        <f t="shared" ca="1" si="228"/>
        <v>0</v>
      </c>
      <c r="GY135" s="100"/>
    </row>
    <row r="136" spans="3:207" s="408" customFormat="1" hidden="1">
      <c r="C136" s="402"/>
      <c r="D136" s="402"/>
      <c r="E136" s="403"/>
      <c r="F136" s="403" t="s">
        <v>720</v>
      </c>
      <c r="G136" s="403" t="s">
        <v>226</v>
      </c>
      <c r="H136" s="105" t="s">
        <v>569</v>
      </c>
      <c r="I136" s="403" t="s">
        <v>602</v>
      </c>
      <c r="J136" s="403" t="s">
        <v>615</v>
      </c>
      <c r="K136" s="403" t="s">
        <v>544</v>
      </c>
      <c r="L136" s="403"/>
      <c r="M136" s="403"/>
      <c r="N136" s="404"/>
      <c r="O136" s="108">
        <v>42002</v>
      </c>
      <c r="P136" s="108">
        <v>42002</v>
      </c>
      <c r="Q136" s="323">
        <f t="shared" si="207"/>
        <v>0</v>
      </c>
      <c r="R136" s="109">
        <f>IF((P136-VLOOKUP(Q136,month!$A$1:$C$13,3,0))&lt;0,Q136,Q136+1)</f>
        <v>0</v>
      </c>
      <c r="S136" s="108"/>
      <c r="T136" s="110" t="str">
        <f t="shared" ref="T136:T165" si="243">IF(S136&gt;0,"Y","")</f>
        <v/>
      </c>
      <c r="U136" s="404"/>
      <c r="V136" s="404"/>
      <c r="W136" s="405"/>
      <c r="X136" s="405"/>
      <c r="Y136" s="492"/>
      <c r="Z136" s="406" t="s">
        <v>545</v>
      </c>
      <c r="AA136" s="394">
        <v>1000</v>
      </c>
      <c r="AB136" s="394">
        <v>1000</v>
      </c>
      <c r="AC136" s="394">
        <v>1000</v>
      </c>
      <c r="AD136" s="394">
        <v>1000</v>
      </c>
      <c r="AE136" s="394">
        <v>1000</v>
      </c>
      <c r="AF136" s="394">
        <v>1000</v>
      </c>
      <c r="AG136" s="394">
        <v>1000</v>
      </c>
      <c r="AH136" s="394">
        <v>1000</v>
      </c>
      <c r="AI136" s="394">
        <v>1000</v>
      </c>
      <c r="AJ136" s="394">
        <v>1000</v>
      </c>
      <c r="AK136" s="394">
        <v>1000</v>
      </c>
      <c r="AL136" s="394">
        <v>1000</v>
      </c>
      <c r="AM136" s="388">
        <f t="shared" si="185"/>
        <v>12000</v>
      </c>
      <c r="AN136" s="388">
        <f t="shared" si="208"/>
        <v>12000</v>
      </c>
      <c r="AO136" s="389">
        <f t="shared" si="206"/>
        <v>1000</v>
      </c>
      <c r="AP136" s="502" t="s">
        <v>750</v>
      </c>
      <c r="AQ136" s="159">
        <v>0.5</v>
      </c>
      <c r="AR136" s="103" t="s">
        <v>211</v>
      </c>
      <c r="AS136" s="119" t="s">
        <v>210</v>
      </c>
      <c r="AT136" s="111">
        <v>720887.91968241916</v>
      </c>
      <c r="AU136" s="111">
        <v>784595.67437440774</v>
      </c>
      <c r="AV136" s="111">
        <v>746491.73576980887</v>
      </c>
      <c r="AW136" s="111">
        <v>808196.19358136377</v>
      </c>
      <c r="AX136" s="113">
        <v>1424487.42</v>
      </c>
      <c r="AY136" s="113">
        <v>1196357.4045000002</v>
      </c>
      <c r="AZ136" s="113">
        <v>721705.2470999998</v>
      </c>
      <c r="BA136" s="113"/>
      <c r="BB136" s="113"/>
      <c r="BC136" s="113"/>
      <c r="BD136" s="113"/>
      <c r="BE136" s="113"/>
      <c r="BF136" s="114">
        <f t="shared" si="186"/>
        <v>1424487.42</v>
      </c>
      <c r="BG136" s="114">
        <f t="shared" si="186"/>
        <v>1196357.4045000002</v>
      </c>
      <c r="BH136" s="114">
        <f t="shared" si="186"/>
        <v>721705.2470999998</v>
      </c>
      <c r="BI136" s="114">
        <f t="shared" si="186"/>
        <v>0</v>
      </c>
      <c r="BJ136" s="114">
        <f t="shared" si="193"/>
        <v>3342550.0715999999</v>
      </c>
      <c r="BK136" s="115">
        <f t="shared" si="229"/>
        <v>3060171.5234079994</v>
      </c>
      <c r="BL136" s="115">
        <f t="shared" si="230"/>
        <v>3060171.5234079994</v>
      </c>
      <c r="BM136" s="116">
        <f t="shared" si="231"/>
        <v>1.0923</v>
      </c>
      <c r="BN136" s="126">
        <f t="shared" ca="1" si="174"/>
        <v>0</v>
      </c>
      <c r="BO136" s="117">
        <f t="shared" ca="1" si="175"/>
        <v>0</v>
      </c>
      <c r="BP136" s="118" t="str">
        <f t="shared" si="176"/>
        <v>Uncapped</v>
      </c>
      <c r="BQ136" s="115">
        <f t="shared" ca="1" si="209"/>
        <v>0</v>
      </c>
      <c r="BR136" s="174" t="s">
        <v>762</v>
      </c>
      <c r="BS136" s="175">
        <v>0.3</v>
      </c>
      <c r="BT136" s="174" t="s">
        <v>211</v>
      </c>
      <c r="BU136" s="174" t="s">
        <v>210</v>
      </c>
      <c r="BV136" s="113">
        <v>2237916.9674079753</v>
      </c>
      <c r="BW136" s="113">
        <v>2593737.6672715819</v>
      </c>
      <c r="BX136" s="113">
        <v>2631062.6626689765</v>
      </c>
      <c r="BY136" s="113">
        <v>2613100.8468210953</v>
      </c>
      <c r="BZ136" s="113">
        <v>2333200.87</v>
      </c>
      <c r="CA136" s="113">
        <v>2209902.1916999999</v>
      </c>
      <c r="CB136" s="113">
        <v>1880202.3</v>
      </c>
      <c r="CC136" s="113"/>
      <c r="CD136" s="113"/>
      <c r="CE136" s="113"/>
      <c r="CF136" s="113"/>
      <c r="CG136" s="113"/>
      <c r="CH136" s="114">
        <f t="shared" si="187"/>
        <v>2333200.87</v>
      </c>
      <c r="CI136" s="114">
        <f t="shared" si="187"/>
        <v>2209902.1916999999</v>
      </c>
      <c r="CJ136" s="120">
        <f t="shared" si="187"/>
        <v>1880202.3</v>
      </c>
      <c r="CK136" s="114">
        <f t="shared" si="187"/>
        <v>0</v>
      </c>
      <c r="CL136" s="114">
        <f t="shared" si="194"/>
        <v>6423305.3616999993</v>
      </c>
      <c r="CM136" s="114">
        <f t="shared" si="188"/>
        <v>10075818.14416963</v>
      </c>
      <c r="CN136" s="114">
        <f t="shared" si="189"/>
        <v>10075818.14416963</v>
      </c>
      <c r="CO136" s="116">
        <f t="shared" si="232"/>
        <v>0.63749999999999996</v>
      </c>
      <c r="CP136" s="126">
        <f t="shared" ca="1" si="233"/>
        <v>0</v>
      </c>
      <c r="CQ136" s="115">
        <f t="shared" ca="1" si="210"/>
        <v>0</v>
      </c>
      <c r="CR136" s="118" t="str">
        <f t="shared" si="234"/>
        <v>Uncapped</v>
      </c>
      <c r="CS136" s="115">
        <f t="shared" ca="1" si="211"/>
        <v>0</v>
      </c>
      <c r="CT136" s="113" t="s">
        <v>729</v>
      </c>
      <c r="CU136" s="119">
        <v>0.2</v>
      </c>
      <c r="CV136" s="113" t="s">
        <v>217</v>
      </c>
      <c r="CW136" s="113" t="s">
        <v>210</v>
      </c>
      <c r="CX136" s="113">
        <v>13631298.3753272</v>
      </c>
      <c r="CY136" s="113">
        <v>15463517.626933601</v>
      </c>
      <c r="CZ136" s="113">
        <v>15159650.061351301</v>
      </c>
      <c r="DA136" s="113">
        <v>16523055.704212198</v>
      </c>
      <c r="DB136" s="113">
        <v>13485327.436090879</v>
      </c>
      <c r="DC136" s="113">
        <v>13198691</v>
      </c>
      <c r="DD136" s="113">
        <v>13923765.347779993</v>
      </c>
      <c r="DE136" s="113"/>
      <c r="DF136" s="113"/>
      <c r="DG136" s="113"/>
      <c r="DH136" s="113"/>
      <c r="DI136" s="113"/>
      <c r="DJ136" s="114">
        <f t="shared" si="190"/>
        <v>13485327.436090879</v>
      </c>
      <c r="DK136" s="114">
        <f t="shared" si="190"/>
        <v>13198691</v>
      </c>
      <c r="DL136" s="114">
        <f t="shared" si="190"/>
        <v>13923765.347779993</v>
      </c>
      <c r="DM136" s="114">
        <f t="shared" si="190"/>
        <v>0</v>
      </c>
      <c r="DN136" s="114">
        <f t="shared" si="168"/>
        <v>40607783.783870876</v>
      </c>
      <c r="DO136" s="114">
        <f t="shared" si="195"/>
        <v>60777521.7678243</v>
      </c>
      <c r="DP136" s="114">
        <f t="shared" si="201"/>
        <v>60777521.7678243</v>
      </c>
      <c r="DQ136" s="116">
        <f t="shared" si="235"/>
        <v>0.66810000000000003</v>
      </c>
      <c r="DR136" s="126">
        <f t="shared" ca="1" si="212"/>
        <v>0</v>
      </c>
      <c r="DS136" s="115">
        <f t="shared" ca="1" si="213"/>
        <v>0</v>
      </c>
      <c r="DT136" s="118" t="str">
        <f t="shared" si="236"/>
        <v>Uncapped</v>
      </c>
      <c r="DU136" s="115">
        <f t="shared" ca="1" si="214"/>
        <v>0</v>
      </c>
      <c r="DV136" s="113"/>
      <c r="DW136" s="119">
        <v>0</v>
      </c>
      <c r="DX136" s="113"/>
      <c r="DY136" s="113"/>
      <c r="DZ136" s="113">
        <v>0</v>
      </c>
      <c r="EA136" s="113">
        <v>0</v>
      </c>
      <c r="EB136" s="113">
        <v>0</v>
      </c>
      <c r="EC136" s="113">
        <v>0</v>
      </c>
      <c r="ED136" s="113">
        <v>0</v>
      </c>
      <c r="EE136" s="113">
        <v>0</v>
      </c>
      <c r="EF136" s="113"/>
      <c r="EG136" s="113"/>
      <c r="EH136" s="113"/>
      <c r="EI136" s="113"/>
      <c r="EJ136" s="113"/>
      <c r="EK136" s="113"/>
      <c r="EL136" s="114">
        <f t="shared" si="191"/>
        <v>0</v>
      </c>
      <c r="EM136" s="114">
        <f t="shared" si="191"/>
        <v>0</v>
      </c>
      <c r="EN136" s="114">
        <f t="shared" si="191"/>
        <v>0</v>
      </c>
      <c r="EO136" s="114">
        <f t="shared" si="191"/>
        <v>0</v>
      </c>
      <c r="EP136" s="114">
        <f t="shared" si="215"/>
        <v>0</v>
      </c>
      <c r="EQ136" s="114">
        <f t="shared" si="196"/>
        <v>0</v>
      </c>
      <c r="ER136" s="114">
        <f t="shared" si="192"/>
        <v>0</v>
      </c>
      <c r="ES136" s="116">
        <f t="shared" si="237"/>
        <v>0</v>
      </c>
      <c r="ET136" s="126">
        <f t="shared" ca="1" si="238"/>
        <v>0</v>
      </c>
      <c r="EU136" s="115">
        <f t="shared" ca="1" si="216"/>
        <v>0</v>
      </c>
      <c r="EV136" s="118" t="str">
        <f t="shared" si="217"/>
        <v>Uncapped</v>
      </c>
      <c r="EW136" s="115">
        <f t="shared" ca="1" si="218"/>
        <v>0</v>
      </c>
      <c r="EX136" s="112">
        <f t="shared" ca="1" si="219"/>
        <v>0</v>
      </c>
      <c r="EY136" s="114">
        <f t="shared" ca="1" si="239"/>
        <v>0</v>
      </c>
      <c r="EZ136" s="115">
        <v>0</v>
      </c>
      <c r="FA136" s="115"/>
      <c r="FB136" s="115"/>
      <c r="FC136" s="115">
        <v>0</v>
      </c>
      <c r="FD136" s="115">
        <f t="shared" si="197"/>
        <v>0</v>
      </c>
      <c r="FE136" s="114">
        <f t="shared" si="177"/>
        <v>0</v>
      </c>
      <c r="FF136" s="115">
        <v>0</v>
      </c>
      <c r="FG136" s="115">
        <v>0</v>
      </c>
      <c r="FH136" s="115">
        <v>0</v>
      </c>
      <c r="FI136" s="115">
        <v>0</v>
      </c>
      <c r="FJ136" s="115">
        <f t="shared" si="198"/>
        <v>0</v>
      </c>
      <c r="FK136" s="114">
        <f t="shared" si="178"/>
        <v>0</v>
      </c>
      <c r="FL136" s="113"/>
      <c r="FM136" s="111"/>
      <c r="FN136" s="111"/>
      <c r="FO136" s="111"/>
      <c r="FP136" s="115">
        <f t="shared" si="203"/>
        <v>0</v>
      </c>
      <c r="FQ136" s="115"/>
      <c r="FR136" s="115"/>
      <c r="FS136" s="115"/>
      <c r="FT136" s="114">
        <f t="shared" si="240"/>
        <v>0</v>
      </c>
      <c r="FU136" s="366">
        <f t="shared" ref="FU136:FU180" ca="1" si="244">ROUND(MAX(FV136-FT136,0),2)</f>
        <v>0</v>
      </c>
      <c r="FV136" s="121">
        <f t="shared" ca="1" si="241"/>
        <v>0</v>
      </c>
      <c r="FW136" s="114">
        <f t="shared" si="204"/>
        <v>0</v>
      </c>
      <c r="FX136" s="114">
        <f t="shared" si="204"/>
        <v>0</v>
      </c>
      <c r="FY136" s="114">
        <f t="shared" si="204"/>
        <v>0</v>
      </c>
      <c r="FZ136" s="114">
        <f t="shared" si="204"/>
        <v>0</v>
      </c>
      <c r="GA136" s="114">
        <f t="shared" si="183"/>
        <v>0</v>
      </c>
      <c r="GB136" s="114">
        <f t="shared" si="205"/>
        <v>0</v>
      </c>
      <c r="GC136" s="114">
        <f t="shared" si="205"/>
        <v>0</v>
      </c>
      <c r="GD136" s="114">
        <f t="shared" si="205"/>
        <v>0</v>
      </c>
      <c r="GE136" s="114">
        <f t="shared" si="205"/>
        <v>0</v>
      </c>
      <c r="GF136" s="114">
        <f t="shared" si="242"/>
        <v>0</v>
      </c>
      <c r="GG136" s="114">
        <f t="shared" si="242"/>
        <v>0</v>
      </c>
      <c r="GH136" s="114">
        <f t="shared" si="242"/>
        <v>0</v>
      </c>
      <c r="GI136" s="114">
        <f t="shared" si="242"/>
        <v>0</v>
      </c>
      <c r="GJ136" s="115">
        <f t="shared" si="199"/>
        <v>0</v>
      </c>
      <c r="GK136" s="114">
        <f t="shared" si="220"/>
        <v>0</v>
      </c>
      <c r="GL136" s="114">
        <f t="shared" si="221"/>
        <v>0</v>
      </c>
      <c r="GM136" s="114">
        <f t="shared" si="222"/>
        <v>0</v>
      </c>
      <c r="GN136" s="114">
        <f t="shared" si="223"/>
        <v>0</v>
      </c>
      <c r="GO136" s="114">
        <f t="shared" si="224"/>
        <v>0</v>
      </c>
      <c r="GP136" s="114">
        <f t="shared" si="200"/>
        <v>0</v>
      </c>
      <c r="GQ136" s="114">
        <f t="shared" si="225"/>
        <v>0</v>
      </c>
      <c r="GR136" s="193"/>
      <c r="GS136" s="122">
        <f t="shared" si="202"/>
        <v>50373639.217170879</v>
      </c>
      <c r="GT136" s="122">
        <f t="shared" si="202"/>
        <v>73913511.435401931</v>
      </c>
      <c r="GU136" s="123">
        <f t="shared" si="226"/>
        <v>0.68152139221792818</v>
      </c>
      <c r="GV136" s="124">
        <f t="shared" ca="1" si="227"/>
        <v>0</v>
      </c>
      <c r="GW136" s="124">
        <v>0</v>
      </c>
      <c r="GX136" s="32">
        <f t="shared" ca="1" si="228"/>
        <v>0</v>
      </c>
      <c r="GY136" s="100"/>
    </row>
    <row r="137" spans="3:207" s="408" customFormat="1" hidden="1">
      <c r="C137" s="402"/>
      <c r="D137" s="402"/>
      <c r="E137" s="403"/>
      <c r="F137" s="403" t="s">
        <v>720</v>
      </c>
      <c r="G137" s="403" t="s">
        <v>226</v>
      </c>
      <c r="H137" s="105" t="s">
        <v>570</v>
      </c>
      <c r="I137" s="403" t="s">
        <v>603</v>
      </c>
      <c r="J137" s="403" t="s">
        <v>207</v>
      </c>
      <c r="K137" s="403" t="s">
        <v>544</v>
      </c>
      <c r="L137" s="403"/>
      <c r="M137" s="403"/>
      <c r="N137" s="404"/>
      <c r="O137" s="108">
        <v>42121</v>
      </c>
      <c r="P137" s="108">
        <v>42121</v>
      </c>
      <c r="Q137" s="323">
        <f t="shared" si="207"/>
        <v>0</v>
      </c>
      <c r="R137" s="109">
        <f>IF((P137-VLOOKUP(Q137,month!$A$1:$C$13,3,0))&lt;0,Q137,Q137+1)</f>
        <v>0</v>
      </c>
      <c r="S137" s="108"/>
      <c r="T137" s="110" t="str">
        <f t="shared" si="243"/>
        <v/>
      </c>
      <c r="U137" s="404"/>
      <c r="V137" s="404"/>
      <c r="W137" s="405"/>
      <c r="X137" s="405"/>
      <c r="Y137" s="492"/>
      <c r="Z137" s="406" t="s">
        <v>545</v>
      </c>
      <c r="AA137" s="394">
        <v>1000</v>
      </c>
      <c r="AB137" s="394">
        <v>1000</v>
      </c>
      <c r="AC137" s="394">
        <v>1000</v>
      </c>
      <c r="AD137" s="394">
        <v>1000</v>
      </c>
      <c r="AE137" s="394">
        <v>1000</v>
      </c>
      <c r="AF137" s="394">
        <v>1000</v>
      </c>
      <c r="AG137" s="394">
        <v>1000</v>
      </c>
      <c r="AH137" s="394">
        <v>1000</v>
      </c>
      <c r="AI137" s="394">
        <v>1000</v>
      </c>
      <c r="AJ137" s="394">
        <v>1000</v>
      </c>
      <c r="AK137" s="394">
        <v>1000</v>
      </c>
      <c r="AL137" s="394">
        <v>1000</v>
      </c>
      <c r="AM137" s="388">
        <f t="shared" si="185"/>
        <v>12000</v>
      </c>
      <c r="AN137" s="388">
        <f t="shared" si="208"/>
        <v>12000</v>
      </c>
      <c r="AO137" s="389">
        <f t="shared" si="206"/>
        <v>1000</v>
      </c>
      <c r="AP137" s="502" t="s">
        <v>753</v>
      </c>
      <c r="AQ137" s="159">
        <v>0.5</v>
      </c>
      <c r="AR137" s="103" t="s">
        <v>211</v>
      </c>
      <c r="AS137" s="119" t="s">
        <v>210</v>
      </c>
      <c r="AT137" s="111">
        <v>2454647.0609810022</v>
      </c>
      <c r="AU137" s="111">
        <v>2977189.7605398973</v>
      </c>
      <c r="AV137" s="111">
        <v>3040490.9843134643</v>
      </c>
      <c r="AW137" s="111">
        <v>2532479.2411463298</v>
      </c>
      <c r="AX137" s="113">
        <v>2496413.3565199943</v>
      </c>
      <c r="AY137" s="113">
        <v>2789163</v>
      </c>
      <c r="AZ137" s="113">
        <v>2876255.0325699951</v>
      </c>
      <c r="BA137" s="113"/>
      <c r="BB137" s="113"/>
      <c r="BC137" s="113"/>
      <c r="BD137" s="113"/>
      <c r="BE137" s="113"/>
      <c r="BF137" s="114">
        <f t="shared" si="186"/>
        <v>2496413.3565199943</v>
      </c>
      <c r="BG137" s="114">
        <f t="shared" si="186"/>
        <v>2789163</v>
      </c>
      <c r="BH137" s="114">
        <f t="shared" si="186"/>
        <v>2876255.0325699951</v>
      </c>
      <c r="BI137" s="114">
        <f t="shared" si="186"/>
        <v>0</v>
      </c>
      <c r="BJ137" s="114">
        <f t="shared" si="193"/>
        <v>8161831.3890899895</v>
      </c>
      <c r="BK137" s="115">
        <f t="shared" si="229"/>
        <v>11004807.046980694</v>
      </c>
      <c r="BL137" s="115">
        <f t="shared" si="230"/>
        <v>11004807.046980694</v>
      </c>
      <c r="BM137" s="116">
        <f t="shared" si="231"/>
        <v>0.74170000000000003</v>
      </c>
      <c r="BN137" s="126">
        <f t="shared" ca="1" si="174"/>
        <v>0</v>
      </c>
      <c r="BO137" s="117">
        <f t="shared" ca="1" si="175"/>
        <v>0</v>
      </c>
      <c r="BP137" s="118" t="str">
        <f t="shared" si="176"/>
        <v>Uncapped</v>
      </c>
      <c r="BQ137" s="115">
        <f t="shared" ca="1" si="209"/>
        <v>0</v>
      </c>
      <c r="BR137" s="174" t="s">
        <v>738</v>
      </c>
      <c r="BS137" s="175">
        <v>0.3</v>
      </c>
      <c r="BT137" s="174" t="s">
        <v>211</v>
      </c>
      <c r="BU137" s="174" t="s">
        <v>210</v>
      </c>
      <c r="BV137" s="113">
        <v>0</v>
      </c>
      <c r="BW137" s="113">
        <v>0</v>
      </c>
      <c r="BX137" s="113">
        <v>0</v>
      </c>
      <c r="BY137" s="113">
        <v>0</v>
      </c>
      <c r="BZ137" s="113">
        <v>0</v>
      </c>
      <c r="CA137" s="113">
        <v>0</v>
      </c>
      <c r="CB137" s="113">
        <v>0</v>
      </c>
      <c r="CC137" s="113"/>
      <c r="CD137" s="113"/>
      <c r="CE137" s="113"/>
      <c r="CF137" s="113"/>
      <c r="CG137" s="113"/>
      <c r="CH137" s="114">
        <f t="shared" si="187"/>
        <v>0</v>
      </c>
      <c r="CI137" s="114">
        <f t="shared" si="187"/>
        <v>0</v>
      </c>
      <c r="CJ137" s="120">
        <f t="shared" si="187"/>
        <v>0</v>
      </c>
      <c r="CK137" s="114">
        <f t="shared" si="187"/>
        <v>0</v>
      </c>
      <c r="CL137" s="114">
        <f t="shared" si="194"/>
        <v>0</v>
      </c>
      <c r="CM137" s="114">
        <f t="shared" si="188"/>
        <v>0</v>
      </c>
      <c r="CN137" s="114">
        <f t="shared" si="189"/>
        <v>0</v>
      </c>
      <c r="CO137" s="116">
        <f t="shared" si="232"/>
        <v>0</v>
      </c>
      <c r="CP137" s="126">
        <f t="shared" ca="1" si="233"/>
        <v>0</v>
      </c>
      <c r="CQ137" s="115">
        <f t="shared" ca="1" si="210"/>
        <v>0</v>
      </c>
      <c r="CR137" s="118" t="str">
        <f t="shared" si="234"/>
        <v>Uncapped</v>
      </c>
      <c r="CS137" s="115">
        <f t="shared" ca="1" si="211"/>
        <v>0</v>
      </c>
      <c r="CT137" s="113" t="s">
        <v>729</v>
      </c>
      <c r="CU137" s="119">
        <v>0.2</v>
      </c>
      <c r="CV137" s="113" t="s">
        <v>217</v>
      </c>
      <c r="CW137" s="113" t="s">
        <v>210</v>
      </c>
      <c r="CX137" s="113">
        <v>13631298.3753272</v>
      </c>
      <c r="CY137" s="113">
        <v>15463517.626933601</v>
      </c>
      <c r="CZ137" s="113">
        <v>15159650.061351301</v>
      </c>
      <c r="DA137" s="113">
        <v>16523055.704212198</v>
      </c>
      <c r="DB137" s="113">
        <v>13485327.436090879</v>
      </c>
      <c r="DC137" s="113">
        <v>13198691</v>
      </c>
      <c r="DD137" s="113">
        <v>13923765.347779993</v>
      </c>
      <c r="DE137" s="113"/>
      <c r="DF137" s="113"/>
      <c r="DG137" s="113"/>
      <c r="DH137" s="113"/>
      <c r="DI137" s="113"/>
      <c r="DJ137" s="114">
        <f t="shared" si="190"/>
        <v>13485327.436090879</v>
      </c>
      <c r="DK137" s="114">
        <f t="shared" si="190"/>
        <v>13198691</v>
      </c>
      <c r="DL137" s="114">
        <f t="shared" si="190"/>
        <v>13923765.347779993</v>
      </c>
      <c r="DM137" s="114">
        <f t="shared" si="190"/>
        <v>0</v>
      </c>
      <c r="DN137" s="114">
        <f t="shared" si="168"/>
        <v>40607783.783870876</v>
      </c>
      <c r="DO137" s="114">
        <f t="shared" si="195"/>
        <v>60777521.7678243</v>
      </c>
      <c r="DP137" s="114">
        <f t="shared" si="201"/>
        <v>60777521.7678243</v>
      </c>
      <c r="DQ137" s="116">
        <f t="shared" si="235"/>
        <v>0.66810000000000003</v>
      </c>
      <c r="DR137" s="126">
        <f t="shared" ca="1" si="212"/>
        <v>0</v>
      </c>
      <c r="DS137" s="115">
        <f t="shared" ca="1" si="213"/>
        <v>0</v>
      </c>
      <c r="DT137" s="118" t="str">
        <f t="shared" si="236"/>
        <v>Uncapped</v>
      </c>
      <c r="DU137" s="115">
        <f t="shared" ca="1" si="214"/>
        <v>0</v>
      </c>
      <c r="DV137" s="113"/>
      <c r="DW137" s="119">
        <v>0</v>
      </c>
      <c r="DX137" s="113"/>
      <c r="DY137" s="113"/>
      <c r="DZ137" s="113">
        <v>0</v>
      </c>
      <c r="EA137" s="113">
        <v>0</v>
      </c>
      <c r="EB137" s="113">
        <v>0</v>
      </c>
      <c r="EC137" s="113">
        <v>0</v>
      </c>
      <c r="ED137" s="113">
        <v>0</v>
      </c>
      <c r="EE137" s="113">
        <v>0</v>
      </c>
      <c r="EF137" s="113"/>
      <c r="EG137" s="113"/>
      <c r="EH137" s="113"/>
      <c r="EI137" s="113"/>
      <c r="EJ137" s="113"/>
      <c r="EK137" s="113"/>
      <c r="EL137" s="114">
        <f t="shared" si="191"/>
        <v>0</v>
      </c>
      <c r="EM137" s="114">
        <f t="shared" si="191"/>
        <v>0</v>
      </c>
      <c r="EN137" s="114">
        <f t="shared" si="191"/>
        <v>0</v>
      </c>
      <c r="EO137" s="114">
        <f t="shared" si="191"/>
        <v>0</v>
      </c>
      <c r="EP137" s="114">
        <f t="shared" si="215"/>
        <v>0</v>
      </c>
      <c r="EQ137" s="114">
        <f t="shared" si="196"/>
        <v>0</v>
      </c>
      <c r="ER137" s="114">
        <f t="shared" si="192"/>
        <v>0</v>
      </c>
      <c r="ES137" s="116">
        <f t="shared" si="237"/>
        <v>0</v>
      </c>
      <c r="ET137" s="126">
        <f t="shared" ca="1" si="238"/>
        <v>0</v>
      </c>
      <c r="EU137" s="115">
        <f t="shared" ca="1" si="216"/>
        <v>0</v>
      </c>
      <c r="EV137" s="118" t="str">
        <f t="shared" si="217"/>
        <v>Uncapped</v>
      </c>
      <c r="EW137" s="115">
        <f t="shared" ca="1" si="218"/>
        <v>0</v>
      </c>
      <c r="EX137" s="112">
        <f t="shared" ca="1" si="219"/>
        <v>0</v>
      </c>
      <c r="EY137" s="114">
        <f t="shared" ca="1" si="239"/>
        <v>0</v>
      </c>
      <c r="EZ137" s="115">
        <v>0</v>
      </c>
      <c r="FA137" s="115"/>
      <c r="FB137" s="115"/>
      <c r="FC137" s="115">
        <v>0</v>
      </c>
      <c r="FD137" s="115">
        <f t="shared" si="197"/>
        <v>0</v>
      </c>
      <c r="FE137" s="114">
        <f t="shared" si="177"/>
        <v>0</v>
      </c>
      <c r="FF137" s="115">
        <v>0</v>
      </c>
      <c r="FG137" s="115">
        <v>0</v>
      </c>
      <c r="FH137" s="115">
        <v>0</v>
      </c>
      <c r="FI137" s="115">
        <v>0</v>
      </c>
      <c r="FJ137" s="115">
        <f t="shared" si="198"/>
        <v>0</v>
      </c>
      <c r="FK137" s="114">
        <f t="shared" si="178"/>
        <v>0</v>
      </c>
      <c r="FL137" s="113"/>
      <c r="FM137" s="111"/>
      <c r="FN137" s="111"/>
      <c r="FO137" s="111"/>
      <c r="FP137" s="115">
        <f t="shared" si="203"/>
        <v>0</v>
      </c>
      <c r="FQ137" s="115"/>
      <c r="FR137" s="115"/>
      <c r="FS137" s="115"/>
      <c r="FT137" s="114">
        <f t="shared" si="240"/>
        <v>0</v>
      </c>
      <c r="FU137" s="366">
        <f t="shared" ca="1" si="244"/>
        <v>0</v>
      </c>
      <c r="FV137" s="121">
        <f t="shared" ca="1" si="241"/>
        <v>0</v>
      </c>
      <c r="FW137" s="114">
        <f t="shared" si="204"/>
        <v>0</v>
      </c>
      <c r="FX137" s="114">
        <f t="shared" si="204"/>
        <v>0</v>
      </c>
      <c r="FY137" s="114">
        <f t="shared" si="204"/>
        <v>0</v>
      </c>
      <c r="FZ137" s="114">
        <f t="shared" si="204"/>
        <v>0</v>
      </c>
      <c r="GA137" s="114">
        <f t="shared" si="183"/>
        <v>0</v>
      </c>
      <c r="GB137" s="114">
        <f t="shared" si="205"/>
        <v>0</v>
      </c>
      <c r="GC137" s="114">
        <f t="shared" si="205"/>
        <v>0</v>
      </c>
      <c r="GD137" s="114">
        <f t="shared" si="205"/>
        <v>0</v>
      </c>
      <c r="GE137" s="114">
        <f t="shared" si="205"/>
        <v>0</v>
      </c>
      <c r="GF137" s="114">
        <f t="shared" si="242"/>
        <v>0</v>
      </c>
      <c r="GG137" s="114">
        <f t="shared" si="242"/>
        <v>0</v>
      </c>
      <c r="GH137" s="114">
        <f t="shared" si="242"/>
        <v>0</v>
      </c>
      <c r="GI137" s="114">
        <f t="shared" si="242"/>
        <v>0</v>
      </c>
      <c r="GJ137" s="115">
        <f t="shared" si="199"/>
        <v>0</v>
      </c>
      <c r="GK137" s="114">
        <f t="shared" si="220"/>
        <v>0</v>
      </c>
      <c r="GL137" s="114">
        <f t="shared" si="221"/>
        <v>0</v>
      </c>
      <c r="GM137" s="114">
        <f t="shared" si="222"/>
        <v>0</v>
      </c>
      <c r="GN137" s="114">
        <f t="shared" si="223"/>
        <v>0</v>
      </c>
      <c r="GO137" s="114">
        <f t="shared" si="224"/>
        <v>0</v>
      </c>
      <c r="GP137" s="114">
        <f t="shared" si="200"/>
        <v>0</v>
      </c>
      <c r="GQ137" s="114">
        <f t="shared" si="225"/>
        <v>0</v>
      </c>
      <c r="GR137" s="193"/>
      <c r="GS137" s="122">
        <f t="shared" si="202"/>
        <v>48769615.172960863</v>
      </c>
      <c r="GT137" s="122">
        <f t="shared" si="202"/>
        <v>71782328.814805001</v>
      </c>
      <c r="GU137" s="123">
        <f t="shared" si="226"/>
        <v>0.67940976530288055</v>
      </c>
      <c r="GV137" s="124">
        <f t="shared" ca="1" si="227"/>
        <v>0</v>
      </c>
      <c r="GW137" s="124">
        <v>0</v>
      </c>
      <c r="GX137" s="32">
        <f t="shared" ca="1" si="228"/>
        <v>0</v>
      </c>
      <c r="GY137" s="100"/>
    </row>
    <row r="138" spans="3:207" s="408" customFormat="1" hidden="1">
      <c r="C138" s="402"/>
      <c r="D138" s="402"/>
      <c r="E138" s="403"/>
      <c r="F138" s="403" t="s">
        <v>720</v>
      </c>
      <c r="G138" s="403" t="s">
        <v>226</v>
      </c>
      <c r="H138" s="105" t="s">
        <v>571</v>
      </c>
      <c r="I138" s="403" t="s">
        <v>604</v>
      </c>
      <c r="J138" s="403" t="s">
        <v>615</v>
      </c>
      <c r="K138" s="403" t="s">
        <v>544</v>
      </c>
      <c r="L138" s="403"/>
      <c r="M138" s="403"/>
      <c r="N138" s="404"/>
      <c r="O138" s="108">
        <v>36843</v>
      </c>
      <c r="P138" s="108">
        <v>36843</v>
      </c>
      <c r="Q138" s="323">
        <f t="shared" si="207"/>
        <v>0</v>
      </c>
      <c r="R138" s="109">
        <f>IF((P138-VLOOKUP(Q138,month!$A$1:$C$13,3,0))&lt;0,Q138,Q138+1)</f>
        <v>0</v>
      </c>
      <c r="S138" s="108"/>
      <c r="T138" s="110" t="str">
        <f t="shared" si="243"/>
        <v/>
      </c>
      <c r="U138" s="404"/>
      <c r="V138" s="404"/>
      <c r="W138" s="405"/>
      <c r="X138" s="405"/>
      <c r="Y138" s="492"/>
      <c r="Z138" s="406" t="s">
        <v>545</v>
      </c>
      <c r="AA138" s="394">
        <v>1000</v>
      </c>
      <c r="AB138" s="394">
        <v>1000</v>
      </c>
      <c r="AC138" s="394">
        <v>1000</v>
      </c>
      <c r="AD138" s="394">
        <v>1000</v>
      </c>
      <c r="AE138" s="394">
        <v>1000</v>
      </c>
      <c r="AF138" s="394">
        <v>1000</v>
      </c>
      <c r="AG138" s="394">
        <v>1000</v>
      </c>
      <c r="AH138" s="394">
        <v>1000</v>
      </c>
      <c r="AI138" s="394">
        <v>1000</v>
      </c>
      <c r="AJ138" s="394">
        <v>1000</v>
      </c>
      <c r="AK138" s="394">
        <v>1000</v>
      </c>
      <c r="AL138" s="394">
        <v>1000</v>
      </c>
      <c r="AM138" s="388">
        <f t="shared" si="185"/>
        <v>12000</v>
      </c>
      <c r="AN138" s="388">
        <f t="shared" si="208"/>
        <v>12000</v>
      </c>
      <c r="AO138" s="389">
        <f t="shared" si="206"/>
        <v>1000</v>
      </c>
      <c r="AP138" s="502" t="s">
        <v>754</v>
      </c>
      <c r="AQ138" s="159">
        <v>0.5</v>
      </c>
      <c r="AR138" s="103" t="s">
        <v>211</v>
      </c>
      <c r="AS138" s="119" t="s">
        <v>210</v>
      </c>
      <c r="AT138" s="111">
        <v>3095762.967133414</v>
      </c>
      <c r="AU138" s="111">
        <v>3495217.8613749291</v>
      </c>
      <c r="AV138" s="111">
        <v>3494803.8642856767</v>
      </c>
      <c r="AW138" s="111">
        <v>4206957.2576272646</v>
      </c>
      <c r="AX138" s="113">
        <f>1406571.56+113070.6+33680</f>
        <v>1553322.1600000001</v>
      </c>
      <c r="AY138" s="113">
        <f>2717684.09+18642</f>
        <v>2736326.09</v>
      </c>
      <c r="AZ138" s="113">
        <f>2558443.39+40839</f>
        <v>2599282.39</v>
      </c>
      <c r="BA138" s="113"/>
      <c r="BB138" s="113"/>
      <c r="BC138" s="113"/>
      <c r="BD138" s="113"/>
      <c r="BE138" s="113"/>
      <c r="BF138" s="114">
        <f t="shared" si="186"/>
        <v>1553322.1600000001</v>
      </c>
      <c r="BG138" s="114">
        <f t="shared" si="186"/>
        <v>2736326.09</v>
      </c>
      <c r="BH138" s="114">
        <f t="shared" si="186"/>
        <v>2599282.39</v>
      </c>
      <c r="BI138" s="114">
        <f t="shared" si="186"/>
        <v>0</v>
      </c>
      <c r="BJ138" s="114">
        <f t="shared" si="193"/>
        <v>6888930.6400000006</v>
      </c>
      <c r="BK138" s="115">
        <f t="shared" si="229"/>
        <v>14292741.950421285</v>
      </c>
      <c r="BL138" s="115">
        <f t="shared" si="230"/>
        <v>14292741.950421285</v>
      </c>
      <c r="BM138" s="116">
        <f t="shared" si="231"/>
        <v>0.48199999999999998</v>
      </c>
      <c r="BN138" s="126">
        <f t="shared" ca="1" si="174"/>
        <v>0</v>
      </c>
      <c r="BO138" s="117">
        <f t="shared" ca="1" si="175"/>
        <v>0</v>
      </c>
      <c r="BP138" s="118" t="str">
        <f t="shared" si="176"/>
        <v>Uncapped</v>
      </c>
      <c r="BQ138" s="115">
        <f t="shared" ca="1" si="209"/>
        <v>0</v>
      </c>
      <c r="BR138" s="174" t="s">
        <v>741</v>
      </c>
      <c r="BS138" s="175">
        <v>0.3</v>
      </c>
      <c r="BT138" s="174" t="s">
        <v>211</v>
      </c>
      <c r="BU138" s="174" t="s">
        <v>210</v>
      </c>
      <c r="BV138" s="113">
        <v>7660213.0106267072</v>
      </c>
      <c r="BW138" s="113">
        <v>9018493.9927070495</v>
      </c>
      <c r="BX138" s="113">
        <v>8796147.5207522418</v>
      </c>
      <c r="BY138" s="113">
        <v>8692302.8088380583</v>
      </c>
      <c r="BZ138" s="113">
        <v>7834656.9941839725</v>
      </c>
      <c r="CA138" s="113">
        <v>8567846</v>
      </c>
      <c r="CB138" s="113">
        <v>8476727.1855899971</v>
      </c>
      <c r="CC138" s="113"/>
      <c r="CD138" s="113"/>
      <c r="CE138" s="113"/>
      <c r="CF138" s="113"/>
      <c r="CG138" s="113"/>
      <c r="CH138" s="114">
        <f t="shared" si="187"/>
        <v>7834656.9941839725</v>
      </c>
      <c r="CI138" s="114">
        <f t="shared" si="187"/>
        <v>8567846</v>
      </c>
      <c r="CJ138" s="120">
        <f t="shared" si="187"/>
        <v>8476727.1855899971</v>
      </c>
      <c r="CK138" s="114">
        <f t="shared" si="187"/>
        <v>0</v>
      </c>
      <c r="CL138" s="114">
        <f t="shared" si="194"/>
        <v>24879230.179773971</v>
      </c>
      <c r="CM138" s="114">
        <f t="shared" si="188"/>
        <v>34167157.332924053</v>
      </c>
      <c r="CN138" s="114">
        <f t="shared" si="189"/>
        <v>34167157.332924053</v>
      </c>
      <c r="CO138" s="116">
        <f t="shared" si="232"/>
        <v>0.72819999999999996</v>
      </c>
      <c r="CP138" s="126">
        <f t="shared" ca="1" si="233"/>
        <v>0</v>
      </c>
      <c r="CQ138" s="115">
        <f t="shared" ca="1" si="210"/>
        <v>0</v>
      </c>
      <c r="CR138" s="118" t="str">
        <f t="shared" si="234"/>
        <v>Uncapped</v>
      </c>
      <c r="CS138" s="115">
        <f t="shared" ca="1" si="211"/>
        <v>0</v>
      </c>
      <c r="CT138" s="113" t="s">
        <v>696</v>
      </c>
      <c r="CU138" s="119">
        <v>0.2</v>
      </c>
      <c r="CV138" s="113" t="s">
        <v>217</v>
      </c>
      <c r="CW138" s="113" t="s">
        <v>210</v>
      </c>
      <c r="CX138" s="113">
        <v>61881722.047854595</v>
      </c>
      <c r="CY138" s="113">
        <v>72180793.063260496</v>
      </c>
      <c r="CZ138" s="113">
        <v>69179032.514420599</v>
      </c>
      <c r="DA138" s="113">
        <v>76323964.015026003</v>
      </c>
      <c r="DB138" s="113">
        <v>63657388.730680585</v>
      </c>
      <c r="DC138" s="113">
        <v>65995192.891159974</v>
      </c>
      <c r="DD138" s="113">
        <v>66410604.684560001</v>
      </c>
      <c r="DE138" s="113"/>
      <c r="DF138" s="113"/>
      <c r="DG138" s="113"/>
      <c r="DH138" s="113"/>
      <c r="DI138" s="113"/>
      <c r="DJ138" s="114">
        <f t="shared" si="190"/>
        <v>63657388.730680585</v>
      </c>
      <c r="DK138" s="114">
        <f t="shared" si="190"/>
        <v>65995192.891159974</v>
      </c>
      <c r="DL138" s="114">
        <f t="shared" si="190"/>
        <v>66410604.684560001</v>
      </c>
      <c r="DM138" s="114">
        <f t="shared" si="190"/>
        <v>0</v>
      </c>
      <c r="DN138" s="114">
        <f t="shared" si="168"/>
        <v>196063186.30640057</v>
      </c>
      <c r="DO138" s="114">
        <f t="shared" si="195"/>
        <v>279565511.6405617</v>
      </c>
      <c r="DP138" s="114">
        <f t="shared" si="201"/>
        <v>279565511.6405617</v>
      </c>
      <c r="DQ138" s="116">
        <f t="shared" si="235"/>
        <v>0.70130000000000003</v>
      </c>
      <c r="DR138" s="126">
        <f t="shared" ca="1" si="212"/>
        <v>0</v>
      </c>
      <c r="DS138" s="115">
        <f t="shared" ca="1" si="213"/>
        <v>0</v>
      </c>
      <c r="DT138" s="118" t="str">
        <f t="shared" si="236"/>
        <v>Uncapped</v>
      </c>
      <c r="DU138" s="115">
        <f t="shared" ca="1" si="214"/>
        <v>0</v>
      </c>
      <c r="DV138" s="113"/>
      <c r="DW138" s="119">
        <v>0</v>
      </c>
      <c r="DX138" s="113"/>
      <c r="DY138" s="113"/>
      <c r="DZ138" s="113">
        <v>0</v>
      </c>
      <c r="EA138" s="113">
        <v>0</v>
      </c>
      <c r="EB138" s="113">
        <v>0</v>
      </c>
      <c r="EC138" s="113">
        <v>0</v>
      </c>
      <c r="ED138" s="113">
        <v>0</v>
      </c>
      <c r="EE138" s="113">
        <v>0</v>
      </c>
      <c r="EF138" s="113"/>
      <c r="EG138" s="113"/>
      <c r="EH138" s="113"/>
      <c r="EI138" s="113"/>
      <c r="EJ138" s="113"/>
      <c r="EK138" s="113"/>
      <c r="EL138" s="114">
        <f t="shared" si="191"/>
        <v>0</v>
      </c>
      <c r="EM138" s="114">
        <f t="shared" si="191"/>
        <v>0</v>
      </c>
      <c r="EN138" s="114">
        <f t="shared" si="191"/>
        <v>0</v>
      </c>
      <c r="EO138" s="114">
        <f t="shared" si="191"/>
        <v>0</v>
      </c>
      <c r="EP138" s="114">
        <f t="shared" si="215"/>
        <v>0</v>
      </c>
      <c r="EQ138" s="114">
        <f t="shared" si="196"/>
        <v>0</v>
      </c>
      <c r="ER138" s="114">
        <f t="shared" si="192"/>
        <v>0</v>
      </c>
      <c r="ES138" s="116">
        <f t="shared" si="237"/>
        <v>0</v>
      </c>
      <c r="ET138" s="126">
        <f t="shared" ca="1" si="238"/>
        <v>0</v>
      </c>
      <c r="EU138" s="115">
        <f t="shared" ca="1" si="216"/>
        <v>0</v>
      </c>
      <c r="EV138" s="118" t="str">
        <f t="shared" si="217"/>
        <v>Uncapped</v>
      </c>
      <c r="EW138" s="115">
        <f t="shared" ca="1" si="218"/>
        <v>0</v>
      </c>
      <c r="EX138" s="112">
        <f t="shared" ca="1" si="219"/>
        <v>0</v>
      </c>
      <c r="EY138" s="114">
        <f t="shared" ca="1" si="239"/>
        <v>0</v>
      </c>
      <c r="EZ138" s="115">
        <v>0</v>
      </c>
      <c r="FA138" s="115"/>
      <c r="FB138" s="115"/>
      <c r="FC138" s="115">
        <v>0</v>
      </c>
      <c r="FD138" s="115">
        <f t="shared" si="197"/>
        <v>0</v>
      </c>
      <c r="FE138" s="114">
        <f t="shared" si="177"/>
        <v>0</v>
      </c>
      <c r="FF138" s="115">
        <v>0</v>
      </c>
      <c r="FG138" s="115">
        <v>0</v>
      </c>
      <c r="FH138" s="115">
        <v>0</v>
      </c>
      <c r="FI138" s="115">
        <v>0</v>
      </c>
      <c r="FJ138" s="115">
        <f t="shared" si="198"/>
        <v>0</v>
      </c>
      <c r="FK138" s="114">
        <f t="shared" si="178"/>
        <v>0</v>
      </c>
      <c r="FL138" s="113"/>
      <c r="FM138" s="111"/>
      <c r="FN138" s="111"/>
      <c r="FO138" s="111"/>
      <c r="FP138" s="115">
        <f t="shared" si="203"/>
        <v>0</v>
      </c>
      <c r="FQ138" s="115"/>
      <c r="FR138" s="115"/>
      <c r="FS138" s="115"/>
      <c r="FT138" s="114">
        <f t="shared" si="240"/>
        <v>0</v>
      </c>
      <c r="FU138" s="366">
        <f t="shared" ca="1" si="244"/>
        <v>0</v>
      </c>
      <c r="FV138" s="121">
        <f t="shared" ca="1" si="241"/>
        <v>0</v>
      </c>
      <c r="FW138" s="114">
        <f t="shared" si="204"/>
        <v>0</v>
      </c>
      <c r="FX138" s="114">
        <f t="shared" si="204"/>
        <v>0</v>
      </c>
      <c r="FY138" s="114">
        <f t="shared" si="204"/>
        <v>0</v>
      </c>
      <c r="FZ138" s="114">
        <f t="shared" si="204"/>
        <v>0</v>
      </c>
      <c r="GA138" s="114">
        <f t="shared" si="183"/>
        <v>0</v>
      </c>
      <c r="GB138" s="114">
        <f t="shared" si="205"/>
        <v>0</v>
      </c>
      <c r="GC138" s="114">
        <f t="shared" si="205"/>
        <v>0</v>
      </c>
      <c r="GD138" s="114">
        <f t="shared" si="205"/>
        <v>0</v>
      </c>
      <c r="GE138" s="114">
        <f t="shared" si="205"/>
        <v>0</v>
      </c>
      <c r="GF138" s="114">
        <f t="shared" si="242"/>
        <v>0</v>
      </c>
      <c r="GG138" s="114">
        <f t="shared" si="242"/>
        <v>0</v>
      </c>
      <c r="GH138" s="114">
        <f t="shared" si="242"/>
        <v>0</v>
      </c>
      <c r="GI138" s="114">
        <f t="shared" si="242"/>
        <v>0</v>
      </c>
      <c r="GJ138" s="115">
        <f t="shared" si="199"/>
        <v>0</v>
      </c>
      <c r="GK138" s="114">
        <f t="shared" si="220"/>
        <v>0</v>
      </c>
      <c r="GL138" s="114">
        <f t="shared" si="221"/>
        <v>0</v>
      </c>
      <c r="GM138" s="114">
        <f t="shared" si="222"/>
        <v>0</v>
      </c>
      <c r="GN138" s="114">
        <f t="shared" si="223"/>
        <v>0</v>
      </c>
      <c r="GO138" s="114">
        <f t="shared" si="224"/>
        <v>0</v>
      </c>
      <c r="GP138" s="114">
        <f t="shared" si="200"/>
        <v>0</v>
      </c>
      <c r="GQ138" s="114">
        <f t="shared" si="225"/>
        <v>0</v>
      </c>
      <c r="GR138" s="193"/>
      <c r="GS138" s="122">
        <f t="shared" si="202"/>
        <v>227831347.12617454</v>
      </c>
      <c r="GT138" s="122">
        <f t="shared" si="202"/>
        <v>328025410.92390704</v>
      </c>
      <c r="GU138" s="123">
        <f t="shared" si="226"/>
        <v>0.69455395691593302</v>
      </c>
      <c r="GV138" s="124">
        <f t="shared" ca="1" si="227"/>
        <v>0</v>
      </c>
      <c r="GW138" s="124">
        <v>0</v>
      </c>
      <c r="GX138" s="32">
        <f t="shared" ca="1" si="228"/>
        <v>0</v>
      </c>
      <c r="GY138" s="100"/>
    </row>
    <row r="139" spans="3:207" s="408" customFormat="1" hidden="1">
      <c r="C139" s="402"/>
      <c r="D139" s="402"/>
      <c r="E139" s="403"/>
      <c r="F139" s="403" t="s">
        <v>720</v>
      </c>
      <c r="G139" s="403" t="s">
        <v>226</v>
      </c>
      <c r="H139" s="105" t="s">
        <v>572</v>
      </c>
      <c r="I139" s="403" t="s">
        <v>605</v>
      </c>
      <c r="J139" s="403" t="s">
        <v>207</v>
      </c>
      <c r="K139" s="403" t="s">
        <v>544</v>
      </c>
      <c r="L139" s="403"/>
      <c r="M139" s="403"/>
      <c r="N139" s="404"/>
      <c r="O139" s="108">
        <v>39022</v>
      </c>
      <c r="P139" s="108">
        <v>39022</v>
      </c>
      <c r="Q139" s="323">
        <f t="shared" si="207"/>
        <v>0</v>
      </c>
      <c r="R139" s="109">
        <f>IF((P139-VLOOKUP(Q139,month!$A$1:$C$13,3,0))&lt;0,Q139,Q139+1)</f>
        <v>0</v>
      </c>
      <c r="S139" s="108"/>
      <c r="T139" s="110" t="str">
        <f t="shared" si="243"/>
        <v/>
      </c>
      <c r="U139" s="404"/>
      <c r="V139" s="404"/>
      <c r="W139" s="405"/>
      <c r="X139" s="405"/>
      <c r="Y139" s="492"/>
      <c r="Z139" s="406" t="s">
        <v>545</v>
      </c>
      <c r="AA139" s="394">
        <v>1000</v>
      </c>
      <c r="AB139" s="394">
        <v>1000</v>
      </c>
      <c r="AC139" s="394">
        <v>1000</v>
      </c>
      <c r="AD139" s="394">
        <v>1000</v>
      </c>
      <c r="AE139" s="394">
        <v>1000</v>
      </c>
      <c r="AF139" s="394">
        <v>1000</v>
      </c>
      <c r="AG139" s="394">
        <v>1000</v>
      </c>
      <c r="AH139" s="394">
        <v>1000</v>
      </c>
      <c r="AI139" s="394">
        <v>1000</v>
      </c>
      <c r="AJ139" s="394">
        <v>1000</v>
      </c>
      <c r="AK139" s="394">
        <v>1000</v>
      </c>
      <c r="AL139" s="394">
        <v>1000</v>
      </c>
      <c r="AM139" s="388">
        <f t="shared" si="185"/>
        <v>12000</v>
      </c>
      <c r="AN139" s="388">
        <f t="shared" si="208"/>
        <v>12000</v>
      </c>
      <c r="AO139" s="389">
        <f t="shared" si="206"/>
        <v>1000</v>
      </c>
      <c r="AP139" s="502" t="s">
        <v>755</v>
      </c>
      <c r="AQ139" s="159">
        <v>0.5</v>
      </c>
      <c r="AR139" s="103" t="s">
        <v>211</v>
      </c>
      <c r="AS139" s="119" t="s">
        <v>210</v>
      </c>
      <c r="AT139" s="111">
        <v>7660213.0106267072</v>
      </c>
      <c r="AU139" s="111">
        <v>9018493.9927070495</v>
      </c>
      <c r="AV139" s="111">
        <v>8796147.5207522418</v>
      </c>
      <c r="AW139" s="111">
        <v>8692302.8088380583</v>
      </c>
      <c r="AX139" s="113">
        <v>8011482.2230399977</v>
      </c>
      <c r="AY139" s="113">
        <v>8567846</v>
      </c>
      <c r="AZ139" s="113">
        <v>8476727.1855899971</v>
      </c>
      <c r="BA139" s="113"/>
      <c r="BB139" s="113"/>
      <c r="BC139" s="113"/>
      <c r="BD139" s="113"/>
      <c r="BE139" s="113"/>
      <c r="BF139" s="114">
        <f t="shared" si="186"/>
        <v>8011482.2230399977</v>
      </c>
      <c r="BG139" s="114">
        <f t="shared" si="186"/>
        <v>8567846</v>
      </c>
      <c r="BH139" s="114">
        <f t="shared" si="186"/>
        <v>8476727.1855899971</v>
      </c>
      <c r="BI139" s="114">
        <f t="shared" si="186"/>
        <v>0</v>
      </c>
      <c r="BJ139" s="114">
        <f t="shared" si="193"/>
        <v>25056055.408629995</v>
      </c>
      <c r="BK139" s="115">
        <f t="shared" si="229"/>
        <v>34167157.332924053</v>
      </c>
      <c r="BL139" s="115">
        <f t="shared" si="230"/>
        <v>34167157.332924053</v>
      </c>
      <c r="BM139" s="116">
        <f t="shared" si="231"/>
        <v>0.73329999999999995</v>
      </c>
      <c r="BN139" s="126">
        <f t="shared" ca="1" si="174"/>
        <v>0</v>
      </c>
      <c r="BO139" s="117">
        <f t="shared" ca="1" si="175"/>
        <v>0</v>
      </c>
      <c r="BP139" s="118" t="str">
        <f t="shared" si="176"/>
        <v>Uncapped</v>
      </c>
      <c r="BQ139" s="115">
        <f t="shared" ca="1" si="209"/>
        <v>0</v>
      </c>
      <c r="BR139" s="174" t="s">
        <v>738</v>
      </c>
      <c r="BS139" s="175">
        <v>0.3</v>
      </c>
      <c r="BT139" s="174" t="s">
        <v>211</v>
      </c>
      <c r="BU139" s="174" t="s">
        <v>210</v>
      </c>
      <c r="BV139" s="113">
        <v>0</v>
      </c>
      <c r="BW139" s="113">
        <v>0</v>
      </c>
      <c r="BX139" s="113">
        <v>0</v>
      </c>
      <c r="BY139" s="113">
        <v>0</v>
      </c>
      <c r="BZ139" s="113">
        <v>0</v>
      </c>
      <c r="CA139" s="113">
        <v>0</v>
      </c>
      <c r="CB139" s="113">
        <v>0</v>
      </c>
      <c r="CC139" s="113"/>
      <c r="CD139" s="113"/>
      <c r="CE139" s="113"/>
      <c r="CF139" s="113"/>
      <c r="CG139" s="113"/>
      <c r="CH139" s="114">
        <f t="shared" si="187"/>
        <v>0</v>
      </c>
      <c r="CI139" s="114">
        <f t="shared" si="187"/>
        <v>0</v>
      </c>
      <c r="CJ139" s="120">
        <f t="shared" si="187"/>
        <v>0</v>
      </c>
      <c r="CK139" s="114">
        <f t="shared" si="187"/>
        <v>0</v>
      </c>
      <c r="CL139" s="114">
        <f t="shared" si="194"/>
        <v>0</v>
      </c>
      <c r="CM139" s="114">
        <f t="shared" si="188"/>
        <v>0</v>
      </c>
      <c r="CN139" s="114">
        <f t="shared" si="189"/>
        <v>0</v>
      </c>
      <c r="CO139" s="116">
        <f t="shared" si="232"/>
        <v>0</v>
      </c>
      <c r="CP139" s="126">
        <f t="shared" ca="1" si="233"/>
        <v>0</v>
      </c>
      <c r="CQ139" s="115">
        <f t="shared" ca="1" si="210"/>
        <v>0</v>
      </c>
      <c r="CR139" s="118" t="str">
        <f t="shared" si="234"/>
        <v>Uncapped</v>
      </c>
      <c r="CS139" s="115">
        <f t="shared" ca="1" si="211"/>
        <v>0</v>
      </c>
      <c r="CT139" s="113" t="s">
        <v>729</v>
      </c>
      <c r="CU139" s="119">
        <v>0.2</v>
      </c>
      <c r="CV139" s="113" t="s">
        <v>217</v>
      </c>
      <c r="CW139" s="113" t="s">
        <v>210</v>
      </c>
      <c r="CX139" s="113">
        <v>13631298.3753272</v>
      </c>
      <c r="CY139" s="113">
        <v>15463517.626933601</v>
      </c>
      <c r="CZ139" s="113">
        <v>15159650.061351301</v>
      </c>
      <c r="DA139" s="113">
        <v>16523055.704212198</v>
      </c>
      <c r="DB139" s="113">
        <v>13485327.436090879</v>
      </c>
      <c r="DC139" s="113">
        <v>13198691</v>
      </c>
      <c r="DD139" s="113">
        <v>13923765.347779993</v>
      </c>
      <c r="DE139" s="113"/>
      <c r="DF139" s="113"/>
      <c r="DG139" s="113"/>
      <c r="DH139" s="113"/>
      <c r="DI139" s="113"/>
      <c r="DJ139" s="114">
        <f t="shared" si="190"/>
        <v>13485327.436090879</v>
      </c>
      <c r="DK139" s="114">
        <f t="shared" si="190"/>
        <v>13198691</v>
      </c>
      <c r="DL139" s="114">
        <f t="shared" si="190"/>
        <v>13923765.347779993</v>
      </c>
      <c r="DM139" s="114">
        <f t="shared" si="190"/>
        <v>0</v>
      </c>
      <c r="DN139" s="114">
        <f t="shared" si="168"/>
        <v>40607783.783870876</v>
      </c>
      <c r="DO139" s="114">
        <f t="shared" si="195"/>
        <v>60777521.7678243</v>
      </c>
      <c r="DP139" s="114">
        <f t="shared" si="201"/>
        <v>60777521.7678243</v>
      </c>
      <c r="DQ139" s="116">
        <f t="shared" si="235"/>
        <v>0.66810000000000003</v>
      </c>
      <c r="DR139" s="126">
        <f t="shared" ca="1" si="212"/>
        <v>0</v>
      </c>
      <c r="DS139" s="115">
        <f t="shared" ca="1" si="213"/>
        <v>0</v>
      </c>
      <c r="DT139" s="118" t="str">
        <f t="shared" si="236"/>
        <v>Uncapped</v>
      </c>
      <c r="DU139" s="115">
        <f t="shared" ca="1" si="214"/>
        <v>0</v>
      </c>
      <c r="DV139" s="113"/>
      <c r="DW139" s="119">
        <v>0</v>
      </c>
      <c r="DX139" s="113"/>
      <c r="DY139" s="113"/>
      <c r="DZ139" s="113">
        <v>0</v>
      </c>
      <c r="EA139" s="113">
        <v>0</v>
      </c>
      <c r="EB139" s="113">
        <v>0</v>
      </c>
      <c r="EC139" s="113">
        <v>0</v>
      </c>
      <c r="ED139" s="113">
        <v>0</v>
      </c>
      <c r="EE139" s="113">
        <v>0</v>
      </c>
      <c r="EF139" s="113"/>
      <c r="EG139" s="113"/>
      <c r="EH139" s="113"/>
      <c r="EI139" s="113"/>
      <c r="EJ139" s="113"/>
      <c r="EK139" s="113"/>
      <c r="EL139" s="114">
        <f t="shared" si="191"/>
        <v>0</v>
      </c>
      <c r="EM139" s="114">
        <f t="shared" si="191"/>
        <v>0</v>
      </c>
      <c r="EN139" s="114">
        <f t="shared" si="191"/>
        <v>0</v>
      </c>
      <c r="EO139" s="114">
        <f t="shared" si="191"/>
        <v>0</v>
      </c>
      <c r="EP139" s="114">
        <f t="shared" si="215"/>
        <v>0</v>
      </c>
      <c r="EQ139" s="114">
        <f t="shared" si="196"/>
        <v>0</v>
      </c>
      <c r="ER139" s="114">
        <f t="shared" si="192"/>
        <v>0</v>
      </c>
      <c r="ES139" s="116">
        <f t="shared" si="237"/>
        <v>0</v>
      </c>
      <c r="ET139" s="126">
        <f t="shared" ca="1" si="238"/>
        <v>0</v>
      </c>
      <c r="EU139" s="115">
        <f t="shared" ca="1" si="216"/>
        <v>0</v>
      </c>
      <c r="EV139" s="118" t="str">
        <f t="shared" si="217"/>
        <v>Uncapped</v>
      </c>
      <c r="EW139" s="115">
        <f t="shared" ca="1" si="218"/>
        <v>0</v>
      </c>
      <c r="EX139" s="112">
        <f t="shared" ca="1" si="219"/>
        <v>0</v>
      </c>
      <c r="EY139" s="114">
        <f t="shared" ca="1" si="239"/>
        <v>0</v>
      </c>
      <c r="EZ139" s="115">
        <v>0</v>
      </c>
      <c r="FA139" s="115"/>
      <c r="FB139" s="115"/>
      <c r="FC139" s="115">
        <v>0</v>
      </c>
      <c r="FD139" s="115">
        <f t="shared" si="197"/>
        <v>0</v>
      </c>
      <c r="FE139" s="114">
        <f t="shared" si="177"/>
        <v>0</v>
      </c>
      <c r="FF139" s="115">
        <v>0</v>
      </c>
      <c r="FG139" s="115">
        <v>0</v>
      </c>
      <c r="FH139" s="115">
        <v>0</v>
      </c>
      <c r="FI139" s="115">
        <v>0</v>
      </c>
      <c r="FJ139" s="115">
        <f t="shared" si="198"/>
        <v>0</v>
      </c>
      <c r="FK139" s="114">
        <f t="shared" si="178"/>
        <v>0</v>
      </c>
      <c r="FL139" s="113"/>
      <c r="FM139" s="111"/>
      <c r="FN139" s="111"/>
      <c r="FO139" s="111"/>
      <c r="FP139" s="115">
        <f t="shared" si="203"/>
        <v>0</v>
      </c>
      <c r="FQ139" s="115"/>
      <c r="FR139" s="115"/>
      <c r="FS139" s="115"/>
      <c r="FT139" s="114">
        <f t="shared" si="240"/>
        <v>0</v>
      </c>
      <c r="FU139" s="366">
        <f t="shared" ca="1" si="244"/>
        <v>0</v>
      </c>
      <c r="FV139" s="121">
        <f t="shared" ca="1" si="241"/>
        <v>0</v>
      </c>
      <c r="FW139" s="114">
        <f t="shared" si="204"/>
        <v>0</v>
      </c>
      <c r="FX139" s="114">
        <f t="shared" si="204"/>
        <v>0</v>
      </c>
      <c r="FY139" s="114">
        <f t="shared" si="204"/>
        <v>0</v>
      </c>
      <c r="FZ139" s="114">
        <f t="shared" si="204"/>
        <v>0</v>
      </c>
      <c r="GA139" s="114">
        <f t="shared" si="183"/>
        <v>0</v>
      </c>
      <c r="GB139" s="114">
        <f t="shared" si="205"/>
        <v>0</v>
      </c>
      <c r="GC139" s="114">
        <f t="shared" si="205"/>
        <v>0</v>
      </c>
      <c r="GD139" s="114">
        <f t="shared" si="205"/>
        <v>0</v>
      </c>
      <c r="GE139" s="114">
        <f t="shared" si="205"/>
        <v>0</v>
      </c>
      <c r="GF139" s="114">
        <f t="shared" si="242"/>
        <v>0</v>
      </c>
      <c r="GG139" s="114">
        <f t="shared" si="242"/>
        <v>0</v>
      </c>
      <c r="GH139" s="114">
        <f t="shared" si="242"/>
        <v>0</v>
      </c>
      <c r="GI139" s="114">
        <f t="shared" si="242"/>
        <v>0</v>
      </c>
      <c r="GJ139" s="115">
        <f t="shared" si="199"/>
        <v>0</v>
      </c>
      <c r="GK139" s="114">
        <f t="shared" si="220"/>
        <v>0</v>
      </c>
      <c r="GL139" s="114">
        <f t="shared" si="221"/>
        <v>0</v>
      </c>
      <c r="GM139" s="114">
        <f t="shared" si="222"/>
        <v>0</v>
      </c>
      <c r="GN139" s="114">
        <f t="shared" si="223"/>
        <v>0</v>
      </c>
      <c r="GO139" s="114">
        <f t="shared" si="224"/>
        <v>0</v>
      </c>
      <c r="GP139" s="114">
        <f t="shared" si="200"/>
        <v>0</v>
      </c>
      <c r="GQ139" s="114">
        <f t="shared" si="225"/>
        <v>0</v>
      </c>
      <c r="GR139" s="193"/>
      <c r="GS139" s="122">
        <f t="shared" si="202"/>
        <v>65663839.192500874</v>
      </c>
      <c r="GT139" s="122">
        <f t="shared" si="202"/>
        <v>94944679.10074836</v>
      </c>
      <c r="GU139" s="123">
        <f t="shared" si="226"/>
        <v>0.69160104404400802</v>
      </c>
      <c r="GV139" s="124">
        <f t="shared" ca="1" si="227"/>
        <v>0</v>
      </c>
      <c r="GW139" s="124">
        <v>0</v>
      </c>
      <c r="GX139" s="32">
        <f t="shared" ca="1" si="228"/>
        <v>0</v>
      </c>
      <c r="GY139" s="100"/>
    </row>
    <row r="140" spans="3:207" s="408" customFormat="1" hidden="1">
      <c r="C140" s="402"/>
      <c r="D140" s="402"/>
      <c r="E140" s="403"/>
      <c r="F140" s="403" t="s">
        <v>720</v>
      </c>
      <c r="G140" s="403" t="s">
        <v>226</v>
      </c>
      <c r="H140" s="105" t="s">
        <v>573</v>
      </c>
      <c r="I140" s="403" t="s">
        <v>606</v>
      </c>
      <c r="J140" s="403" t="s">
        <v>207</v>
      </c>
      <c r="K140" s="403" t="s">
        <v>544</v>
      </c>
      <c r="L140" s="403"/>
      <c r="M140" s="403"/>
      <c r="N140" s="404"/>
      <c r="O140" s="108">
        <v>39153</v>
      </c>
      <c r="P140" s="108">
        <v>39153</v>
      </c>
      <c r="Q140" s="323">
        <f t="shared" si="207"/>
        <v>0</v>
      </c>
      <c r="R140" s="109">
        <f>IF((P140-VLOOKUP(Q140,month!$A$1:$C$13,3,0))&lt;0,Q140,Q140+1)</f>
        <v>0</v>
      </c>
      <c r="S140" s="108"/>
      <c r="T140" s="110" t="str">
        <f t="shared" si="243"/>
        <v/>
      </c>
      <c r="U140" s="404"/>
      <c r="V140" s="404"/>
      <c r="W140" s="405"/>
      <c r="X140" s="405"/>
      <c r="Y140" s="492"/>
      <c r="Z140" s="406" t="s">
        <v>545</v>
      </c>
      <c r="AA140" s="394">
        <v>1000</v>
      </c>
      <c r="AB140" s="394">
        <v>1000</v>
      </c>
      <c r="AC140" s="394">
        <v>1000</v>
      </c>
      <c r="AD140" s="394">
        <v>1000</v>
      </c>
      <c r="AE140" s="394">
        <v>1000</v>
      </c>
      <c r="AF140" s="394">
        <v>1000</v>
      </c>
      <c r="AG140" s="394">
        <v>1000</v>
      </c>
      <c r="AH140" s="394">
        <v>1000</v>
      </c>
      <c r="AI140" s="394">
        <v>1000</v>
      </c>
      <c r="AJ140" s="394">
        <v>1000</v>
      </c>
      <c r="AK140" s="394">
        <v>1000</v>
      </c>
      <c r="AL140" s="394">
        <v>1000</v>
      </c>
      <c r="AM140" s="388">
        <f t="shared" si="185"/>
        <v>12000</v>
      </c>
      <c r="AN140" s="388">
        <f t="shared" si="208"/>
        <v>12000</v>
      </c>
      <c r="AO140" s="389">
        <f t="shared" si="206"/>
        <v>1000</v>
      </c>
      <c r="AP140" s="502" t="s">
        <v>754</v>
      </c>
      <c r="AQ140" s="159">
        <v>0.5</v>
      </c>
      <c r="AR140" s="103" t="s">
        <v>211</v>
      </c>
      <c r="AS140" s="119" t="s">
        <v>210</v>
      </c>
      <c r="AT140" s="111">
        <v>3095762.967133414</v>
      </c>
      <c r="AU140" s="111">
        <v>3495217.8613749291</v>
      </c>
      <c r="AV140" s="111">
        <v>3494803.8642856767</v>
      </c>
      <c r="AW140" s="111">
        <v>4206957.2576272646</v>
      </c>
      <c r="AX140" s="113">
        <f>1406571.56+113070.6+33680</f>
        <v>1553322.1600000001</v>
      </c>
      <c r="AY140" s="113">
        <f>2717684.09+18642</f>
        <v>2736326.09</v>
      </c>
      <c r="AZ140" s="113">
        <f>2558443.39+40839</f>
        <v>2599282.39</v>
      </c>
      <c r="BA140" s="113"/>
      <c r="BB140" s="113"/>
      <c r="BC140" s="113"/>
      <c r="BD140" s="113"/>
      <c r="BE140" s="113"/>
      <c r="BF140" s="114">
        <f t="shared" si="186"/>
        <v>1553322.1600000001</v>
      </c>
      <c r="BG140" s="114">
        <f t="shared" si="186"/>
        <v>2736326.09</v>
      </c>
      <c r="BH140" s="114">
        <f t="shared" si="186"/>
        <v>2599282.39</v>
      </c>
      <c r="BI140" s="114">
        <f t="shared" si="186"/>
        <v>0</v>
      </c>
      <c r="BJ140" s="114">
        <f t="shared" si="193"/>
        <v>6888930.6400000006</v>
      </c>
      <c r="BK140" s="115">
        <f t="shared" si="229"/>
        <v>14292741.950421285</v>
      </c>
      <c r="BL140" s="115">
        <f t="shared" si="230"/>
        <v>14292741.950421285</v>
      </c>
      <c r="BM140" s="116">
        <f t="shared" si="231"/>
        <v>0.48199999999999998</v>
      </c>
      <c r="BN140" s="126">
        <f t="shared" ca="1" si="174"/>
        <v>0</v>
      </c>
      <c r="BO140" s="117">
        <f t="shared" ca="1" si="175"/>
        <v>0</v>
      </c>
      <c r="BP140" s="118" t="str">
        <f t="shared" si="176"/>
        <v>Uncapped</v>
      </c>
      <c r="BQ140" s="115">
        <f t="shared" ca="1" si="209"/>
        <v>0</v>
      </c>
      <c r="BR140" s="174" t="s">
        <v>741</v>
      </c>
      <c r="BS140" s="175">
        <v>0.3</v>
      </c>
      <c r="BT140" s="174" t="s">
        <v>211</v>
      </c>
      <c r="BU140" s="174" t="s">
        <v>210</v>
      </c>
      <c r="BV140" s="113">
        <v>7660213.0106267072</v>
      </c>
      <c r="BW140" s="113">
        <v>9018493.9927070495</v>
      </c>
      <c r="BX140" s="113">
        <v>8796147.5207522418</v>
      </c>
      <c r="BY140" s="113">
        <v>8692302.8088380583</v>
      </c>
      <c r="BZ140" s="113">
        <v>7834656.9941839725</v>
      </c>
      <c r="CA140" s="113">
        <v>8567846</v>
      </c>
      <c r="CB140" s="113">
        <v>8476727.1855899971</v>
      </c>
      <c r="CC140" s="113"/>
      <c r="CD140" s="113"/>
      <c r="CE140" s="113"/>
      <c r="CF140" s="113"/>
      <c r="CG140" s="113"/>
      <c r="CH140" s="114">
        <f t="shared" si="187"/>
        <v>7834656.9941839725</v>
      </c>
      <c r="CI140" s="114">
        <f t="shared" si="187"/>
        <v>8567846</v>
      </c>
      <c r="CJ140" s="120">
        <f t="shared" si="187"/>
        <v>8476727.1855899971</v>
      </c>
      <c r="CK140" s="114">
        <f t="shared" si="187"/>
        <v>0</v>
      </c>
      <c r="CL140" s="114">
        <f t="shared" si="194"/>
        <v>24879230.179773971</v>
      </c>
      <c r="CM140" s="114">
        <f t="shared" si="188"/>
        <v>34167157.332924053</v>
      </c>
      <c r="CN140" s="114">
        <f t="shared" si="189"/>
        <v>34167157.332924053</v>
      </c>
      <c r="CO140" s="116">
        <f t="shared" si="232"/>
        <v>0.72819999999999996</v>
      </c>
      <c r="CP140" s="126">
        <f t="shared" ca="1" si="233"/>
        <v>0</v>
      </c>
      <c r="CQ140" s="115">
        <f t="shared" ca="1" si="210"/>
        <v>0</v>
      </c>
      <c r="CR140" s="118" t="str">
        <f t="shared" si="234"/>
        <v>Uncapped</v>
      </c>
      <c r="CS140" s="115">
        <f t="shared" ca="1" si="211"/>
        <v>0</v>
      </c>
      <c r="CT140" s="113" t="s">
        <v>696</v>
      </c>
      <c r="CU140" s="119">
        <v>0.2</v>
      </c>
      <c r="CV140" s="113" t="s">
        <v>217</v>
      </c>
      <c r="CW140" s="113" t="s">
        <v>210</v>
      </c>
      <c r="CX140" s="113">
        <v>61881722.047854595</v>
      </c>
      <c r="CY140" s="113">
        <v>72180793.063260496</v>
      </c>
      <c r="CZ140" s="113">
        <v>69179032.514420599</v>
      </c>
      <c r="DA140" s="113">
        <v>76323964.015026003</v>
      </c>
      <c r="DB140" s="113">
        <v>63657388.730680585</v>
      </c>
      <c r="DC140" s="113">
        <v>65995192.891159974</v>
      </c>
      <c r="DD140" s="113">
        <v>66410604.684560001</v>
      </c>
      <c r="DE140" s="113"/>
      <c r="DF140" s="113"/>
      <c r="DG140" s="113"/>
      <c r="DH140" s="113"/>
      <c r="DI140" s="113"/>
      <c r="DJ140" s="114">
        <f t="shared" si="190"/>
        <v>63657388.730680585</v>
      </c>
      <c r="DK140" s="114">
        <f t="shared" si="190"/>
        <v>65995192.891159974</v>
      </c>
      <c r="DL140" s="114">
        <f t="shared" si="190"/>
        <v>66410604.684560001</v>
      </c>
      <c r="DM140" s="114">
        <f t="shared" si="190"/>
        <v>0</v>
      </c>
      <c r="DN140" s="114">
        <f t="shared" si="168"/>
        <v>196063186.30640057</v>
      </c>
      <c r="DO140" s="114">
        <f t="shared" si="195"/>
        <v>279565511.6405617</v>
      </c>
      <c r="DP140" s="114">
        <f t="shared" si="201"/>
        <v>279565511.6405617</v>
      </c>
      <c r="DQ140" s="116">
        <f t="shared" si="235"/>
        <v>0.70130000000000003</v>
      </c>
      <c r="DR140" s="126">
        <f t="shared" ca="1" si="212"/>
        <v>0</v>
      </c>
      <c r="DS140" s="115">
        <f t="shared" ca="1" si="213"/>
        <v>0</v>
      </c>
      <c r="DT140" s="118" t="str">
        <f t="shared" si="236"/>
        <v>Uncapped</v>
      </c>
      <c r="DU140" s="115">
        <f t="shared" ca="1" si="214"/>
        <v>0</v>
      </c>
      <c r="DV140" s="113"/>
      <c r="DW140" s="119">
        <v>0</v>
      </c>
      <c r="DX140" s="113"/>
      <c r="DY140" s="113"/>
      <c r="DZ140" s="113">
        <v>0</v>
      </c>
      <c r="EA140" s="113">
        <v>0</v>
      </c>
      <c r="EB140" s="113">
        <v>0</v>
      </c>
      <c r="EC140" s="113">
        <v>0</v>
      </c>
      <c r="ED140" s="113">
        <v>0</v>
      </c>
      <c r="EE140" s="113">
        <v>0</v>
      </c>
      <c r="EF140" s="113"/>
      <c r="EG140" s="113"/>
      <c r="EH140" s="113"/>
      <c r="EI140" s="113"/>
      <c r="EJ140" s="113"/>
      <c r="EK140" s="113"/>
      <c r="EL140" s="114">
        <f t="shared" si="191"/>
        <v>0</v>
      </c>
      <c r="EM140" s="114">
        <f t="shared" si="191"/>
        <v>0</v>
      </c>
      <c r="EN140" s="114">
        <f t="shared" si="191"/>
        <v>0</v>
      </c>
      <c r="EO140" s="114">
        <f t="shared" si="191"/>
        <v>0</v>
      </c>
      <c r="EP140" s="114">
        <f t="shared" si="215"/>
        <v>0</v>
      </c>
      <c r="EQ140" s="114">
        <f t="shared" si="196"/>
        <v>0</v>
      </c>
      <c r="ER140" s="114">
        <f t="shared" si="192"/>
        <v>0</v>
      </c>
      <c r="ES140" s="116">
        <f t="shared" si="237"/>
        <v>0</v>
      </c>
      <c r="ET140" s="126">
        <f t="shared" ca="1" si="238"/>
        <v>0</v>
      </c>
      <c r="EU140" s="115">
        <f t="shared" ca="1" si="216"/>
        <v>0</v>
      </c>
      <c r="EV140" s="118" t="str">
        <f t="shared" si="217"/>
        <v>Uncapped</v>
      </c>
      <c r="EW140" s="115">
        <f t="shared" ca="1" si="218"/>
        <v>0</v>
      </c>
      <c r="EX140" s="112">
        <f t="shared" ca="1" si="219"/>
        <v>0</v>
      </c>
      <c r="EY140" s="114">
        <f t="shared" ca="1" si="239"/>
        <v>0</v>
      </c>
      <c r="EZ140" s="115">
        <v>0</v>
      </c>
      <c r="FA140" s="115"/>
      <c r="FB140" s="115"/>
      <c r="FC140" s="115">
        <v>0</v>
      </c>
      <c r="FD140" s="115">
        <f t="shared" si="197"/>
        <v>0</v>
      </c>
      <c r="FE140" s="114">
        <f t="shared" si="177"/>
        <v>0</v>
      </c>
      <c r="FF140" s="115">
        <v>0</v>
      </c>
      <c r="FG140" s="115">
        <v>0</v>
      </c>
      <c r="FH140" s="115">
        <v>0</v>
      </c>
      <c r="FI140" s="115">
        <v>0</v>
      </c>
      <c r="FJ140" s="115">
        <f t="shared" si="198"/>
        <v>0</v>
      </c>
      <c r="FK140" s="114">
        <f t="shared" si="178"/>
        <v>0</v>
      </c>
      <c r="FL140" s="113"/>
      <c r="FM140" s="111"/>
      <c r="FN140" s="111"/>
      <c r="FO140" s="111"/>
      <c r="FP140" s="115">
        <f t="shared" si="203"/>
        <v>0</v>
      </c>
      <c r="FQ140" s="115"/>
      <c r="FR140" s="115"/>
      <c r="FS140" s="115"/>
      <c r="FT140" s="114">
        <f t="shared" si="240"/>
        <v>0</v>
      </c>
      <c r="FU140" s="366">
        <f t="shared" ca="1" si="244"/>
        <v>0</v>
      </c>
      <c r="FV140" s="121">
        <f t="shared" ca="1" si="241"/>
        <v>0</v>
      </c>
      <c r="FW140" s="114">
        <f t="shared" si="204"/>
        <v>0</v>
      </c>
      <c r="FX140" s="114">
        <f t="shared" si="204"/>
        <v>0</v>
      </c>
      <c r="FY140" s="114">
        <f t="shared" si="204"/>
        <v>0</v>
      </c>
      <c r="FZ140" s="114">
        <f t="shared" si="204"/>
        <v>0</v>
      </c>
      <c r="GA140" s="114">
        <f t="shared" si="183"/>
        <v>0</v>
      </c>
      <c r="GB140" s="114">
        <f t="shared" si="205"/>
        <v>0</v>
      </c>
      <c r="GC140" s="114">
        <f t="shared" si="205"/>
        <v>0</v>
      </c>
      <c r="GD140" s="114">
        <f t="shared" si="205"/>
        <v>0</v>
      </c>
      <c r="GE140" s="114">
        <f t="shared" si="205"/>
        <v>0</v>
      </c>
      <c r="GF140" s="114">
        <f t="shared" si="242"/>
        <v>0</v>
      </c>
      <c r="GG140" s="114">
        <f t="shared" si="242"/>
        <v>0</v>
      </c>
      <c r="GH140" s="114">
        <f t="shared" si="242"/>
        <v>0</v>
      </c>
      <c r="GI140" s="114">
        <f t="shared" si="242"/>
        <v>0</v>
      </c>
      <c r="GJ140" s="115">
        <f t="shared" si="199"/>
        <v>0</v>
      </c>
      <c r="GK140" s="114">
        <f t="shared" si="220"/>
        <v>0</v>
      </c>
      <c r="GL140" s="114">
        <f t="shared" si="221"/>
        <v>0</v>
      </c>
      <c r="GM140" s="114">
        <f t="shared" si="222"/>
        <v>0</v>
      </c>
      <c r="GN140" s="114">
        <f t="shared" si="223"/>
        <v>0</v>
      </c>
      <c r="GO140" s="114">
        <f t="shared" si="224"/>
        <v>0</v>
      </c>
      <c r="GP140" s="114">
        <f t="shared" si="200"/>
        <v>0</v>
      </c>
      <c r="GQ140" s="114">
        <f t="shared" si="225"/>
        <v>0</v>
      </c>
      <c r="GR140" s="193"/>
      <c r="GS140" s="122">
        <f t="shared" si="202"/>
        <v>227831347.12617454</v>
      </c>
      <c r="GT140" s="122">
        <f t="shared" si="202"/>
        <v>328025410.92390704</v>
      </c>
      <c r="GU140" s="123">
        <f t="shared" si="226"/>
        <v>0.69455395691593302</v>
      </c>
      <c r="GV140" s="124">
        <f t="shared" ca="1" si="227"/>
        <v>0</v>
      </c>
      <c r="GW140" s="124">
        <v>0</v>
      </c>
      <c r="GX140" s="32">
        <f t="shared" ca="1" si="228"/>
        <v>0</v>
      </c>
      <c r="GY140" s="100"/>
    </row>
    <row r="141" spans="3:207" s="408" customFormat="1" hidden="1">
      <c r="C141" s="402"/>
      <c r="D141" s="402"/>
      <c r="E141" s="403"/>
      <c r="F141" s="403" t="s">
        <v>720</v>
      </c>
      <c r="G141" s="403" t="s">
        <v>226</v>
      </c>
      <c r="H141" s="105" t="s">
        <v>574</v>
      </c>
      <c r="I141" s="403" t="s">
        <v>607</v>
      </c>
      <c r="J141" s="403" t="s">
        <v>212</v>
      </c>
      <c r="K141" s="403" t="s">
        <v>544</v>
      </c>
      <c r="L141" s="403"/>
      <c r="M141" s="403"/>
      <c r="N141" s="404"/>
      <c r="O141" s="108">
        <v>39860</v>
      </c>
      <c r="P141" s="108">
        <v>39860</v>
      </c>
      <c r="Q141" s="323">
        <f t="shared" si="207"/>
        <v>0</v>
      </c>
      <c r="R141" s="109">
        <f>IF((P141-VLOOKUP(Q141,month!$A$1:$C$13,3,0))&lt;0,Q141,Q141+1)</f>
        <v>0</v>
      </c>
      <c r="S141" s="108"/>
      <c r="T141" s="110" t="str">
        <f t="shared" si="243"/>
        <v/>
      </c>
      <c r="U141" s="404"/>
      <c r="V141" s="404"/>
      <c r="W141" s="405"/>
      <c r="X141" s="405"/>
      <c r="Y141" s="492"/>
      <c r="Z141" s="406" t="s">
        <v>545</v>
      </c>
      <c r="AA141" s="394">
        <v>1000</v>
      </c>
      <c r="AB141" s="394">
        <v>1000</v>
      </c>
      <c r="AC141" s="394">
        <v>1000</v>
      </c>
      <c r="AD141" s="394">
        <v>1000</v>
      </c>
      <c r="AE141" s="394">
        <v>1000</v>
      </c>
      <c r="AF141" s="394">
        <v>1000</v>
      </c>
      <c r="AG141" s="394">
        <v>1000</v>
      </c>
      <c r="AH141" s="394">
        <v>1000</v>
      </c>
      <c r="AI141" s="394">
        <v>1000</v>
      </c>
      <c r="AJ141" s="394">
        <v>1000</v>
      </c>
      <c r="AK141" s="394">
        <v>1000</v>
      </c>
      <c r="AL141" s="394">
        <v>1000</v>
      </c>
      <c r="AM141" s="388">
        <f t="shared" si="185"/>
        <v>12000</v>
      </c>
      <c r="AN141" s="388">
        <f t="shared" si="208"/>
        <v>12000</v>
      </c>
      <c r="AO141" s="389">
        <f t="shared" si="206"/>
        <v>1000</v>
      </c>
      <c r="AP141" s="502" t="s">
        <v>739</v>
      </c>
      <c r="AQ141" s="159">
        <v>0.4</v>
      </c>
      <c r="AR141" s="103" t="s">
        <v>211</v>
      </c>
      <c r="AS141" s="119" t="s">
        <v>210</v>
      </c>
      <c r="AT141" s="111">
        <v>3303532.5981613281</v>
      </c>
      <c r="AU141" s="111">
        <v>3658876.8275554618</v>
      </c>
      <c r="AV141" s="111">
        <v>3539622.6234550145</v>
      </c>
      <c r="AW141" s="111">
        <v>3541548.5655471394</v>
      </c>
      <c r="AX141" s="113">
        <v>3446903.51</v>
      </c>
      <c r="AY141" s="113">
        <v>3218966.0412500044</v>
      </c>
      <c r="AZ141" s="113">
        <v>2940994.7070000023</v>
      </c>
      <c r="BA141" s="113"/>
      <c r="BB141" s="113"/>
      <c r="BC141" s="113"/>
      <c r="BD141" s="113"/>
      <c r="BE141" s="113"/>
      <c r="BF141" s="114">
        <f t="shared" si="186"/>
        <v>3446903.51</v>
      </c>
      <c r="BG141" s="114">
        <f t="shared" si="186"/>
        <v>3218966.0412500044</v>
      </c>
      <c r="BH141" s="114">
        <f t="shared" si="186"/>
        <v>2940994.7070000023</v>
      </c>
      <c r="BI141" s="114">
        <f t="shared" si="186"/>
        <v>0</v>
      </c>
      <c r="BJ141" s="114">
        <f t="shared" si="193"/>
        <v>9606864.2582500055</v>
      </c>
      <c r="BK141" s="115">
        <f t="shared" si="229"/>
        <v>14043580.614718944</v>
      </c>
      <c r="BL141" s="115">
        <f t="shared" si="230"/>
        <v>14043580.614718944</v>
      </c>
      <c r="BM141" s="116">
        <f t="shared" si="231"/>
        <v>0.68410000000000004</v>
      </c>
      <c r="BN141" s="126">
        <f t="shared" ca="1" si="174"/>
        <v>0</v>
      </c>
      <c r="BO141" s="117">
        <f t="shared" ca="1" si="175"/>
        <v>0</v>
      </c>
      <c r="BP141" s="118" t="str">
        <f t="shared" si="176"/>
        <v>Uncapped</v>
      </c>
      <c r="BQ141" s="115">
        <f t="shared" ca="1" si="209"/>
        <v>0</v>
      </c>
      <c r="BR141" s="174" t="s">
        <v>740</v>
      </c>
      <c r="BS141" s="175">
        <v>0.4</v>
      </c>
      <c r="BT141" s="174" t="s">
        <v>211</v>
      </c>
      <c r="BU141" s="174" t="s">
        <v>210</v>
      </c>
      <c r="BV141" s="113">
        <v>5205901.7546552001</v>
      </c>
      <c r="BW141" s="113">
        <v>6041740.1313270004</v>
      </c>
      <c r="BX141" s="113">
        <v>5756053.1908810986</v>
      </c>
      <c r="BY141" s="113">
        <v>6160067.2421446964</v>
      </c>
      <c r="BZ141" s="113">
        <v>5515068.8665199988</v>
      </c>
      <c r="CA141" s="113">
        <v>5778683</v>
      </c>
      <c r="CB141" s="113">
        <f>3919994.43121+1172274.56879</f>
        <v>5092269</v>
      </c>
      <c r="CC141" s="113"/>
      <c r="CD141" s="113"/>
      <c r="CE141" s="113"/>
      <c r="CF141" s="113"/>
      <c r="CG141" s="113"/>
      <c r="CH141" s="114">
        <f t="shared" si="187"/>
        <v>5515068.8665199988</v>
      </c>
      <c r="CI141" s="114">
        <f t="shared" si="187"/>
        <v>5778683</v>
      </c>
      <c r="CJ141" s="120">
        <f t="shared" si="187"/>
        <v>5092269</v>
      </c>
      <c r="CK141" s="114">
        <f t="shared" si="187"/>
        <v>0</v>
      </c>
      <c r="CL141" s="114">
        <f t="shared" si="194"/>
        <v>16386020.866519999</v>
      </c>
      <c r="CM141" s="114">
        <f t="shared" si="188"/>
        <v>23163762.319007996</v>
      </c>
      <c r="CN141" s="114">
        <f t="shared" si="189"/>
        <v>23163762.319007996</v>
      </c>
      <c r="CO141" s="116">
        <f t="shared" si="232"/>
        <v>0.70740000000000003</v>
      </c>
      <c r="CP141" s="126">
        <f t="shared" ca="1" si="233"/>
        <v>0</v>
      </c>
      <c r="CQ141" s="115">
        <f t="shared" ca="1" si="210"/>
        <v>0</v>
      </c>
      <c r="CR141" s="118" t="str">
        <f t="shared" si="234"/>
        <v>Uncapped</v>
      </c>
      <c r="CS141" s="115">
        <f t="shared" ca="1" si="211"/>
        <v>0</v>
      </c>
      <c r="CT141" s="113" t="s">
        <v>733</v>
      </c>
      <c r="CU141" s="119">
        <v>0.2</v>
      </c>
      <c r="CV141" s="113" t="s">
        <v>217</v>
      </c>
      <c r="CW141" s="113" t="s">
        <v>210</v>
      </c>
      <c r="CX141" s="113">
        <v>4332720.3217541184</v>
      </c>
      <c r="CY141" s="113">
        <v>4778527.2500066841</v>
      </c>
      <c r="CZ141" s="113">
        <v>4616888.1107896138</v>
      </c>
      <c r="DA141" s="113">
        <v>4787499.8855306264</v>
      </c>
      <c r="DB141" s="113">
        <v>4282731.8</v>
      </c>
      <c r="DC141" s="113">
        <v>4427269.8909500409</v>
      </c>
      <c r="DD141" s="113">
        <v>3879830.89</v>
      </c>
      <c r="DE141" s="113"/>
      <c r="DF141" s="113"/>
      <c r="DG141" s="113"/>
      <c r="DH141" s="113"/>
      <c r="DI141" s="113"/>
      <c r="DJ141" s="114">
        <f t="shared" si="190"/>
        <v>4282731.8</v>
      </c>
      <c r="DK141" s="114">
        <f t="shared" si="190"/>
        <v>4427269.8909500409</v>
      </c>
      <c r="DL141" s="114">
        <f t="shared" si="190"/>
        <v>3879830.89</v>
      </c>
      <c r="DM141" s="114">
        <f t="shared" si="190"/>
        <v>0</v>
      </c>
      <c r="DN141" s="114">
        <f t="shared" si="168"/>
        <v>12589832.58095004</v>
      </c>
      <c r="DO141" s="114">
        <f t="shared" si="195"/>
        <v>18515635.568081044</v>
      </c>
      <c r="DP141" s="114">
        <f t="shared" si="201"/>
        <v>18515635.568081044</v>
      </c>
      <c r="DQ141" s="116">
        <f t="shared" si="235"/>
        <v>0.68</v>
      </c>
      <c r="DR141" s="126">
        <f t="shared" ca="1" si="212"/>
        <v>0</v>
      </c>
      <c r="DS141" s="115">
        <f t="shared" ca="1" si="213"/>
        <v>0</v>
      </c>
      <c r="DT141" s="118" t="str">
        <f t="shared" si="236"/>
        <v>Uncapped</v>
      </c>
      <c r="DU141" s="115">
        <f t="shared" ca="1" si="214"/>
        <v>0</v>
      </c>
      <c r="DV141" s="113"/>
      <c r="DW141" s="119">
        <v>0</v>
      </c>
      <c r="DX141" s="113"/>
      <c r="DY141" s="113"/>
      <c r="DZ141" s="113">
        <v>0</v>
      </c>
      <c r="EA141" s="113">
        <v>0</v>
      </c>
      <c r="EB141" s="113">
        <v>0</v>
      </c>
      <c r="EC141" s="113">
        <v>0</v>
      </c>
      <c r="ED141" s="113">
        <v>0</v>
      </c>
      <c r="EE141" s="113">
        <v>0</v>
      </c>
      <c r="EF141" s="113"/>
      <c r="EG141" s="113"/>
      <c r="EH141" s="113"/>
      <c r="EI141" s="113"/>
      <c r="EJ141" s="113"/>
      <c r="EK141" s="113"/>
      <c r="EL141" s="114">
        <f t="shared" si="191"/>
        <v>0</v>
      </c>
      <c r="EM141" s="114">
        <f t="shared" si="191"/>
        <v>0</v>
      </c>
      <c r="EN141" s="114">
        <f t="shared" si="191"/>
        <v>0</v>
      </c>
      <c r="EO141" s="114">
        <f t="shared" si="191"/>
        <v>0</v>
      </c>
      <c r="EP141" s="114">
        <f t="shared" si="215"/>
        <v>0</v>
      </c>
      <c r="EQ141" s="114">
        <f t="shared" si="196"/>
        <v>0</v>
      </c>
      <c r="ER141" s="114">
        <f t="shared" si="192"/>
        <v>0</v>
      </c>
      <c r="ES141" s="116">
        <f t="shared" si="237"/>
        <v>0</v>
      </c>
      <c r="ET141" s="126">
        <f t="shared" ca="1" si="238"/>
        <v>0</v>
      </c>
      <c r="EU141" s="115">
        <f t="shared" ca="1" si="216"/>
        <v>0</v>
      </c>
      <c r="EV141" s="118" t="str">
        <f t="shared" si="217"/>
        <v>Uncapped</v>
      </c>
      <c r="EW141" s="115">
        <f t="shared" ca="1" si="218"/>
        <v>0</v>
      </c>
      <c r="EX141" s="112">
        <f t="shared" ca="1" si="219"/>
        <v>0</v>
      </c>
      <c r="EY141" s="114">
        <f t="shared" ca="1" si="239"/>
        <v>0</v>
      </c>
      <c r="EZ141" s="115">
        <v>0</v>
      </c>
      <c r="FA141" s="115"/>
      <c r="FB141" s="115"/>
      <c r="FC141" s="115">
        <v>0</v>
      </c>
      <c r="FD141" s="115">
        <f t="shared" si="197"/>
        <v>0</v>
      </c>
      <c r="FE141" s="114">
        <f t="shared" si="177"/>
        <v>0</v>
      </c>
      <c r="FF141" s="115">
        <v>0</v>
      </c>
      <c r="FG141" s="115">
        <v>0</v>
      </c>
      <c r="FH141" s="115">
        <v>0</v>
      </c>
      <c r="FI141" s="115">
        <v>0</v>
      </c>
      <c r="FJ141" s="115">
        <f t="shared" si="198"/>
        <v>0</v>
      </c>
      <c r="FK141" s="114">
        <f t="shared" si="178"/>
        <v>0</v>
      </c>
      <c r="FL141" s="113"/>
      <c r="FM141" s="111"/>
      <c r="FN141" s="111"/>
      <c r="FO141" s="111"/>
      <c r="FP141" s="115">
        <f t="shared" si="203"/>
        <v>0</v>
      </c>
      <c r="FQ141" s="115"/>
      <c r="FR141" s="115"/>
      <c r="FS141" s="115"/>
      <c r="FT141" s="114">
        <f t="shared" si="240"/>
        <v>0</v>
      </c>
      <c r="FU141" s="366">
        <f t="shared" ca="1" si="244"/>
        <v>0</v>
      </c>
      <c r="FV141" s="121">
        <f t="shared" ca="1" si="241"/>
        <v>0</v>
      </c>
      <c r="FW141" s="114">
        <f t="shared" si="204"/>
        <v>0</v>
      </c>
      <c r="FX141" s="114">
        <f t="shared" si="204"/>
        <v>0</v>
      </c>
      <c r="FY141" s="114">
        <f t="shared" si="204"/>
        <v>0</v>
      </c>
      <c r="FZ141" s="114">
        <f t="shared" si="204"/>
        <v>0</v>
      </c>
      <c r="GA141" s="114">
        <f t="shared" si="183"/>
        <v>0</v>
      </c>
      <c r="GB141" s="114">
        <f t="shared" si="205"/>
        <v>0</v>
      </c>
      <c r="GC141" s="114">
        <f t="shared" si="205"/>
        <v>0</v>
      </c>
      <c r="GD141" s="114">
        <f t="shared" si="205"/>
        <v>0</v>
      </c>
      <c r="GE141" s="114">
        <f t="shared" si="205"/>
        <v>0</v>
      </c>
      <c r="GF141" s="114">
        <f t="shared" si="242"/>
        <v>0</v>
      </c>
      <c r="GG141" s="114">
        <f t="shared" si="242"/>
        <v>0</v>
      </c>
      <c r="GH141" s="114">
        <f t="shared" si="242"/>
        <v>0</v>
      </c>
      <c r="GI141" s="114">
        <f t="shared" si="242"/>
        <v>0</v>
      </c>
      <c r="GJ141" s="115">
        <f t="shared" si="199"/>
        <v>0</v>
      </c>
      <c r="GK141" s="114">
        <f t="shared" si="220"/>
        <v>0</v>
      </c>
      <c r="GL141" s="114">
        <f t="shared" si="221"/>
        <v>0</v>
      </c>
      <c r="GM141" s="114">
        <f t="shared" si="222"/>
        <v>0</v>
      </c>
      <c r="GN141" s="114">
        <f t="shared" si="223"/>
        <v>0</v>
      </c>
      <c r="GO141" s="114">
        <f t="shared" si="224"/>
        <v>0</v>
      </c>
      <c r="GP141" s="114">
        <f t="shared" si="200"/>
        <v>0</v>
      </c>
      <c r="GQ141" s="114">
        <f t="shared" si="225"/>
        <v>0</v>
      </c>
      <c r="GR141" s="193"/>
      <c r="GS141" s="122">
        <f t="shared" si="202"/>
        <v>38582717.705720045</v>
      </c>
      <c r="GT141" s="122">
        <f t="shared" si="202"/>
        <v>55722978.50180798</v>
      </c>
      <c r="GU141" s="123">
        <f t="shared" si="226"/>
        <v>0.69240228614965715</v>
      </c>
      <c r="GV141" s="124">
        <f t="shared" ca="1" si="227"/>
        <v>0</v>
      </c>
      <c r="GW141" s="124">
        <v>0</v>
      </c>
      <c r="GX141" s="32">
        <f t="shared" ca="1" si="228"/>
        <v>0</v>
      </c>
      <c r="GY141" s="100"/>
    </row>
    <row r="142" spans="3:207" s="408" customFormat="1" hidden="1">
      <c r="C142" s="402"/>
      <c r="D142" s="402"/>
      <c r="E142" s="403"/>
      <c r="F142" s="403" t="s">
        <v>720</v>
      </c>
      <c r="G142" s="403" t="s">
        <v>226</v>
      </c>
      <c r="H142" s="105" t="s">
        <v>575</v>
      </c>
      <c r="I142" s="403" t="s">
        <v>608</v>
      </c>
      <c r="J142" s="403" t="s">
        <v>212</v>
      </c>
      <c r="K142" s="403" t="s">
        <v>544</v>
      </c>
      <c r="L142" s="403"/>
      <c r="M142" s="403"/>
      <c r="N142" s="404"/>
      <c r="O142" s="108">
        <v>39919</v>
      </c>
      <c r="P142" s="108">
        <v>39919</v>
      </c>
      <c r="Q142" s="323">
        <f t="shared" si="207"/>
        <v>0</v>
      </c>
      <c r="R142" s="109">
        <f>IF((P142-VLOOKUP(Q142,month!$A$1:$C$13,3,0))&lt;0,Q142,Q142+1)</f>
        <v>0</v>
      </c>
      <c r="S142" s="108"/>
      <c r="T142" s="110" t="str">
        <f t="shared" si="243"/>
        <v/>
      </c>
      <c r="U142" s="404"/>
      <c r="V142" s="404"/>
      <c r="W142" s="405"/>
      <c r="X142" s="405"/>
      <c r="Y142" s="492"/>
      <c r="Z142" s="406" t="s">
        <v>545</v>
      </c>
      <c r="AA142" s="394">
        <v>1000</v>
      </c>
      <c r="AB142" s="394">
        <v>1000</v>
      </c>
      <c r="AC142" s="394">
        <v>1000</v>
      </c>
      <c r="AD142" s="394">
        <v>1000</v>
      </c>
      <c r="AE142" s="394">
        <v>1000</v>
      </c>
      <c r="AF142" s="394">
        <v>1000</v>
      </c>
      <c r="AG142" s="394">
        <v>1000</v>
      </c>
      <c r="AH142" s="394">
        <v>1000</v>
      </c>
      <c r="AI142" s="394">
        <v>1000</v>
      </c>
      <c r="AJ142" s="394">
        <v>1000</v>
      </c>
      <c r="AK142" s="394">
        <v>1000</v>
      </c>
      <c r="AL142" s="394">
        <v>1000</v>
      </c>
      <c r="AM142" s="388">
        <f t="shared" si="185"/>
        <v>12000</v>
      </c>
      <c r="AN142" s="388">
        <f t="shared" si="208"/>
        <v>12000</v>
      </c>
      <c r="AO142" s="389">
        <f t="shared" si="206"/>
        <v>1000</v>
      </c>
      <c r="AP142" s="502" t="s">
        <v>750</v>
      </c>
      <c r="AQ142" s="159">
        <v>0.5</v>
      </c>
      <c r="AR142" s="103" t="s">
        <v>211</v>
      </c>
      <c r="AS142" s="119" t="s">
        <v>210</v>
      </c>
      <c r="AT142" s="111">
        <v>619023.70180270565</v>
      </c>
      <c r="AU142" s="111">
        <v>689370.67089741363</v>
      </c>
      <c r="AV142" s="111">
        <v>657617.80913764494</v>
      </c>
      <c r="AW142" s="111">
        <v>770191.79826823843</v>
      </c>
      <c r="AX142" s="113">
        <v>773116.82</v>
      </c>
      <c r="AY142" s="113">
        <v>760063.59</v>
      </c>
      <c r="AZ142" s="113">
        <v>705215.07</v>
      </c>
      <c r="BA142" s="113"/>
      <c r="BB142" s="113"/>
      <c r="BC142" s="113"/>
      <c r="BD142" s="113"/>
      <c r="BE142" s="113"/>
      <c r="BF142" s="114">
        <f t="shared" si="186"/>
        <v>773116.82</v>
      </c>
      <c r="BG142" s="114">
        <f t="shared" si="186"/>
        <v>760063.59</v>
      </c>
      <c r="BH142" s="114">
        <f t="shared" si="186"/>
        <v>705215.07</v>
      </c>
      <c r="BI142" s="114">
        <f t="shared" si="186"/>
        <v>0</v>
      </c>
      <c r="BJ142" s="114">
        <f t="shared" si="193"/>
        <v>2238395.48</v>
      </c>
      <c r="BK142" s="115">
        <f t="shared" si="229"/>
        <v>2736203.9801060027</v>
      </c>
      <c r="BL142" s="115">
        <f t="shared" si="230"/>
        <v>2736203.9801060027</v>
      </c>
      <c r="BM142" s="116">
        <f t="shared" si="231"/>
        <v>0.81810000000000005</v>
      </c>
      <c r="BN142" s="126">
        <f t="shared" ca="1" si="174"/>
        <v>0</v>
      </c>
      <c r="BO142" s="117">
        <f t="shared" ca="1" si="175"/>
        <v>0</v>
      </c>
      <c r="BP142" s="118" t="str">
        <f t="shared" si="176"/>
        <v>Uncapped</v>
      </c>
      <c r="BQ142" s="115">
        <f t="shared" ca="1" si="209"/>
        <v>0</v>
      </c>
      <c r="BR142" s="174" t="s">
        <v>762</v>
      </c>
      <c r="BS142" s="175">
        <v>0.3</v>
      </c>
      <c r="BT142" s="174" t="s">
        <v>211</v>
      </c>
      <c r="BU142" s="174" t="s">
        <v>210</v>
      </c>
      <c r="BV142" s="113">
        <v>2060801.742359617</v>
      </c>
      <c r="BW142" s="113">
        <v>2402466.5250502843</v>
      </c>
      <c r="BX142" s="113">
        <v>2442175.5793229761</v>
      </c>
      <c r="BY142" s="113">
        <v>2380941.3983696885</v>
      </c>
      <c r="BZ142" s="113">
        <v>2137162.0499999998</v>
      </c>
      <c r="CA142" s="113">
        <v>2025228.7860000017</v>
      </c>
      <c r="CB142" s="113">
        <v>2007691</v>
      </c>
      <c r="CC142" s="113"/>
      <c r="CD142" s="113"/>
      <c r="CE142" s="113"/>
      <c r="CF142" s="113"/>
      <c r="CG142" s="113"/>
      <c r="CH142" s="114">
        <f t="shared" si="187"/>
        <v>2137162.0499999998</v>
      </c>
      <c r="CI142" s="114">
        <f t="shared" si="187"/>
        <v>2025228.7860000017</v>
      </c>
      <c r="CJ142" s="120">
        <f t="shared" si="187"/>
        <v>2007691</v>
      </c>
      <c r="CK142" s="114">
        <f t="shared" si="187"/>
        <v>0</v>
      </c>
      <c r="CL142" s="114">
        <f t="shared" si="194"/>
        <v>6170081.8360000011</v>
      </c>
      <c r="CM142" s="114">
        <f t="shared" si="188"/>
        <v>9286385.2451025657</v>
      </c>
      <c r="CN142" s="114">
        <f t="shared" si="189"/>
        <v>9286385.2451025657</v>
      </c>
      <c r="CO142" s="116">
        <f t="shared" si="232"/>
        <v>0.66439999999999999</v>
      </c>
      <c r="CP142" s="126">
        <f t="shared" ca="1" si="233"/>
        <v>0</v>
      </c>
      <c r="CQ142" s="115">
        <f t="shared" ca="1" si="210"/>
        <v>0</v>
      </c>
      <c r="CR142" s="118" t="str">
        <f t="shared" si="234"/>
        <v>Uncapped</v>
      </c>
      <c r="CS142" s="115">
        <f t="shared" ca="1" si="211"/>
        <v>0</v>
      </c>
      <c r="CT142" s="113" t="s">
        <v>729</v>
      </c>
      <c r="CU142" s="119">
        <v>0.2</v>
      </c>
      <c r="CV142" s="113" t="s">
        <v>217</v>
      </c>
      <c r="CW142" s="113" t="s">
        <v>210</v>
      </c>
      <c r="CX142" s="113">
        <v>13631298.3753272</v>
      </c>
      <c r="CY142" s="113">
        <v>15463517.626933601</v>
      </c>
      <c r="CZ142" s="113">
        <v>15159650.061351301</v>
      </c>
      <c r="DA142" s="113">
        <v>16523055.704212198</v>
      </c>
      <c r="DB142" s="113">
        <v>13485327.436090879</v>
      </c>
      <c r="DC142" s="113">
        <v>13198691</v>
      </c>
      <c r="DD142" s="113">
        <v>13923765.347779993</v>
      </c>
      <c r="DE142" s="113"/>
      <c r="DF142" s="113"/>
      <c r="DG142" s="113"/>
      <c r="DH142" s="113"/>
      <c r="DI142" s="113"/>
      <c r="DJ142" s="114">
        <f t="shared" si="190"/>
        <v>13485327.436090879</v>
      </c>
      <c r="DK142" s="114">
        <f t="shared" si="190"/>
        <v>13198691</v>
      </c>
      <c r="DL142" s="114">
        <f t="shared" si="190"/>
        <v>13923765.347779993</v>
      </c>
      <c r="DM142" s="114">
        <f t="shared" si="190"/>
        <v>0</v>
      </c>
      <c r="DN142" s="114">
        <f t="shared" si="168"/>
        <v>40607783.783870876</v>
      </c>
      <c r="DO142" s="114">
        <f t="shared" si="195"/>
        <v>60777521.7678243</v>
      </c>
      <c r="DP142" s="114">
        <f t="shared" si="201"/>
        <v>60777521.7678243</v>
      </c>
      <c r="DQ142" s="116">
        <f t="shared" si="235"/>
        <v>0.66810000000000003</v>
      </c>
      <c r="DR142" s="126">
        <f t="shared" ca="1" si="212"/>
        <v>0</v>
      </c>
      <c r="DS142" s="115">
        <f t="shared" ca="1" si="213"/>
        <v>0</v>
      </c>
      <c r="DT142" s="118" t="str">
        <f t="shared" si="236"/>
        <v>Uncapped</v>
      </c>
      <c r="DU142" s="115">
        <f t="shared" ca="1" si="214"/>
        <v>0</v>
      </c>
      <c r="DV142" s="113"/>
      <c r="DW142" s="119">
        <v>0</v>
      </c>
      <c r="DX142" s="113"/>
      <c r="DY142" s="113"/>
      <c r="DZ142" s="113">
        <v>0</v>
      </c>
      <c r="EA142" s="113">
        <v>0</v>
      </c>
      <c r="EB142" s="113">
        <v>0</v>
      </c>
      <c r="EC142" s="113">
        <v>0</v>
      </c>
      <c r="ED142" s="113">
        <v>0</v>
      </c>
      <c r="EE142" s="113">
        <v>0</v>
      </c>
      <c r="EF142" s="113"/>
      <c r="EG142" s="113"/>
      <c r="EH142" s="113"/>
      <c r="EI142" s="113"/>
      <c r="EJ142" s="113"/>
      <c r="EK142" s="113"/>
      <c r="EL142" s="114">
        <f t="shared" si="191"/>
        <v>0</v>
      </c>
      <c r="EM142" s="114">
        <f t="shared" si="191"/>
        <v>0</v>
      </c>
      <c r="EN142" s="114">
        <f t="shared" si="191"/>
        <v>0</v>
      </c>
      <c r="EO142" s="114">
        <f t="shared" si="191"/>
        <v>0</v>
      </c>
      <c r="EP142" s="114">
        <f t="shared" si="215"/>
        <v>0</v>
      </c>
      <c r="EQ142" s="114">
        <f t="shared" si="196"/>
        <v>0</v>
      </c>
      <c r="ER142" s="114">
        <f t="shared" si="192"/>
        <v>0</v>
      </c>
      <c r="ES142" s="116">
        <f t="shared" si="237"/>
        <v>0</v>
      </c>
      <c r="ET142" s="126">
        <f t="shared" ca="1" si="238"/>
        <v>0</v>
      </c>
      <c r="EU142" s="115">
        <f t="shared" ca="1" si="216"/>
        <v>0</v>
      </c>
      <c r="EV142" s="118" t="str">
        <f t="shared" si="217"/>
        <v>Uncapped</v>
      </c>
      <c r="EW142" s="115">
        <f t="shared" ca="1" si="218"/>
        <v>0</v>
      </c>
      <c r="EX142" s="112">
        <f t="shared" ca="1" si="219"/>
        <v>0</v>
      </c>
      <c r="EY142" s="114">
        <f t="shared" ca="1" si="239"/>
        <v>0</v>
      </c>
      <c r="EZ142" s="115">
        <v>96400</v>
      </c>
      <c r="FA142" s="115"/>
      <c r="FB142" s="115"/>
      <c r="FC142" s="115">
        <v>0</v>
      </c>
      <c r="FD142" s="115">
        <f t="shared" si="197"/>
        <v>96400</v>
      </c>
      <c r="FE142" s="114">
        <f t="shared" si="177"/>
        <v>0</v>
      </c>
      <c r="FF142" s="115">
        <v>0</v>
      </c>
      <c r="FG142" s="115">
        <v>0</v>
      </c>
      <c r="FH142" s="115">
        <v>0</v>
      </c>
      <c r="FI142" s="115">
        <v>0</v>
      </c>
      <c r="FJ142" s="115">
        <f t="shared" si="198"/>
        <v>0</v>
      </c>
      <c r="FK142" s="114">
        <f t="shared" si="178"/>
        <v>0</v>
      </c>
      <c r="FL142" s="113"/>
      <c r="FM142" s="111"/>
      <c r="FN142" s="111"/>
      <c r="FO142" s="111"/>
      <c r="FP142" s="115">
        <f t="shared" si="203"/>
        <v>0</v>
      </c>
      <c r="FQ142" s="115"/>
      <c r="FR142" s="115"/>
      <c r="FS142" s="115"/>
      <c r="FT142" s="114">
        <f t="shared" si="240"/>
        <v>0</v>
      </c>
      <c r="FU142" s="366">
        <f t="shared" ca="1" si="244"/>
        <v>96400</v>
      </c>
      <c r="FV142" s="121">
        <f t="shared" ca="1" si="241"/>
        <v>96400</v>
      </c>
      <c r="FW142" s="114">
        <f t="shared" si="204"/>
        <v>0</v>
      </c>
      <c r="FX142" s="114">
        <f t="shared" si="204"/>
        <v>0</v>
      </c>
      <c r="FY142" s="114">
        <f t="shared" si="204"/>
        <v>0</v>
      </c>
      <c r="FZ142" s="114">
        <f t="shared" si="204"/>
        <v>0</v>
      </c>
      <c r="GA142" s="114">
        <f t="shared" si="183"/>
        <v>0</v>
      </c>
      <c r="GB142" s="114">
        <f t="shared" si="205"/>
        <v>96400</v>
      </c>
      <c r="GC142" s="114">
        <f t="shared" si="205"/>
        <v>0</v>
      </c>
      <c r="GD142" s="114">
        <f t="shared" si="205"/>
        <v>0</v>
      </c>
      <c r="GE142" s="114">
        <f t="shared" si="205"/>
        <v>0</v>
      </c>
      <c r="GF142" s="114">
        <f t="shared" si="242"/>
        <v>96400</v>
      </c>
      <c r="GG142" s="114">
        <f t="shared" si="242"/>
        <v>0</v>
      </c>
      <c r="GH142" s="114">
        <f t="shared" si="242"/>
        <v>0</v>
      </c>
      <c r="GI142" s="114">
        <f t="shared" si="242"/>
        <v>0</v>
      </c>
      <c r="GJ142" s="115">
        <f t="shared" si="199"/>
        <v>96400</v>
      </c>
      <c r="GK142" s="114">
        <f t="shared" si="220"/>
        <v>96400</v>
      </c>
      <c r="GL142" s="114">
        <f t="shared" si="221"/>
        <v>0</v>
      </c>
      <c r="GM142" s="114">
        <f t="shared" si="222"/>
        <v>0</v>
      </c>
      <c r="GN142" s="114">
        <f t="shared" si="223"/>
        <v>0</v>
      </c>
      <c r="GO142" s="114">
        <f t="shared" si="224"/>
        <v>0</v>
      </c>
      <c r="GP142" s="114">
        <f t="shared" si="200"/>
        <v>0</v>
      </c>
      <c r="GQ142" s="114">
        <f t="shared" si="225"/>
        <v>0</v>
      </c>
      <c r="GR142" s="193"/>
      <c r="GS142" s="122">
        <f t="shared" si="202"/>
        <v>49016261.099870875</v>
      </c>
      <c r="GT142" s="122">
        <f t="shared" si="202"/>
        <v>72800110.993032873</v>
      </c>
      <c r="GU142" s="123">
        <f t="shared" si="226"/>
        <v>0.6732992633014232</v>
      </c>
      <c r="GV142" s="124">
        <f t="shared" ca="1" si="227"/>
        <v>0</v>
      </c>
      <c r="GW142" s="124">
        <v>0</v>
      </c>
      <c r="GX142" s="32">
        <f t="shared" ca="1" si="228"/>
        <v>0</v>
      </c>
      <c r="GY142" s="100"/>
    </row>
    <row r="143" spans="3:207" s="408" customFormat="1" hidden="1">
      <c r="C143" s="402"/>
      <c r="D143" s="402"/>
      <c r="E143" s="403"/>
      <c r="F143" s="403" t="s">
        <v>720</v>
      </c>
      <c r="G143" s="403" t="s">
        <v>226</v>
      </c>
      <c r="H143" s="105" t="s">
        <v>576</v>
      </c>
      <c r="I143" s="403" t="s">
        <v>609</v>
      </c>
      <c r="J143" s="403" t="s">
        <v>212</v>
      </c>
      <c r="K143" s="403" t="s">
        <v>544</v>
      </c>
      <c r="L143" s="403"/>
      <c r="M143" s="403"/>
      <c r="N143" s="404"/>
      <c r="O143" s="108">
        <v>40148</v>
      </c>
      <c r="P143" s="108">
        <v>40148</v>
      </c>
      <c r="Q143" s="323">
        <f t="shared" si="207"/>
        <v>0</v>
      </c>
      <c r="R143" s="109">
        <f>IF((P143-VLOOKUP(Q143,month!$A$1:$C$13,3,0))&lt;0,Q143,Q143+1)</f>
        <v>0</v>
      </c>
      <c r="S143" s="108"/>
      <c r="T143" s="110" t="str">
        <f t="shared" si="243"/>
        <v/>
      </c>
      <c r="U143" s="404"/>
      <c r="V143" s="404"/>
      <c r="W143" s="405"/>
      <c r="X143" s="405"/>
      <c r="Y143" s="492"/>
      <c r="Z143" s="406" t="s">
        <v>545</v>
      </c>
      <c r="AA143" s="394">
        <v>1000</v>
      </c>
      <c r="AB143" s="394">
        <v>1000</v>
      </c>
      <c r="AC143" s="394">
        <v>1000</v>
      </c>
      <c r="AD143" s="394">
        <v>1000</v>
      </c>
      <c r="AE143" s="394">
        <v>1000</v>
      </c>
      <c r="AF143" s="394">
        <v>1000</v>
      </c>
      <c r="AG143" s="394">
        <v>1000</v>
      </c>
      <c r="AH143" s="394">
        <v>1000</v>
      </c>
      <c r="AI143" s="394">
        <v>1000</v>
      </c>
      <c r="AJ143" s="394">
        <v>1000</v>
      </c>
      <c r="AK143" s="394">
        <v>1000</v>
      </c>
      <c r="AL143" s="394">
        <v>1000</v>
      </c>
      <c r="AM143" s="388">
        <f t="shared" si="185"/>
        <v>12000</v>
      </c>
      <c r="AN143" s="388">
        <f t="shared" si="208"/>
        <v>12000</v>
      </c>
      <c r="AO143" s="389">
        <f t="shared" si="206"/>
        <v>1000</v>
      </c>
      <c r="AP143" s="502" t="s">
        <v>750</v>
      </c>
      <c r="AQ143" s="159">
        <v>0.5</v>
      </c>
      <c r="AR143" s="103" t="s">
        <v>211</v>
      </c>
      <c r="AS143" s="119" t="s">
        <v>210</v>
      </c>
      <c r="AT143" s="111">
        <v>619023.70180270565</v>
      </c>
      <c r="AU143" s="111">
        <v>689370.67089741363</v>
      </c>
      <c r="AV143" s="111">
        <v>657617.80913764494</v>
      </c>
      <c r="AW143" s="111">
        <v>770191.79826823843</v>
      </c>
      <c r="AX143" s="113">
        <v>773116.82</v>
      </c>
      <c r="AY143" s="113">
        <v>760063.59</v>
      </c>
      <c r="AZ143" s="113">
        <v>705215.07</v>
      </c>
      <c r="BA143" s="113"/>
      <c r="BB143" s="113"/>
      <c r="BC143" s="113"/>
      <c r="BD143" s="113"/>
      <c r="BE143" s="113"/>
      <c r="BF143" s="114">
        <f t="shared" si="186"/>
        <v>773116.82</v>
      </c>
      <c r="BG143" s="114">
        <f t="shared" si="186"/>
        <v>760063.59</v>
      </c>
      <c r="BH143" s="114">
        <f t="shared" si="186"/>
        <v>705215.07</v>
      </c>
      <c r="BI143" s="114">
        <f t="shared" si="186"/>
        <v>0</v>
      </c>
      <c r="BJ143" s="114">
        <f t="shared" si="193"/>
        <v>2238395.48</v>
      </c>
      <c r="BK143" s="115">
        <f t="shared" si="229"/>
        <v>2736203.9801060027</v>
      </c>
      <c r="BL143" s="115">
        <f t="shared" si="230"/>
        <v>2736203.9801060027</v>
      </c>
      <c r="BM143" s="116">
        <f t="shared" si="231"/>
        <v>0.81810000000000005</v>
      </c>
      <c r="BN143" s="126">
        <f t="shared" ca="1" si="174"/>
        <v>0</v>
      </c>
      <c r="BO143" s="117">
        <f t="shared" ca="1" si="175"/>
        <v>0</v>
      </c>
      <c r="BP143" s="118" t="str">
        <f t="shared" si="176"/>
        <v>Uncapped</v>
      </c>
      <c r="BQ143" s="115">
        <f t="shared" ca="1" si="209"/>
        <v>0</v>
      </c>
      <c r="BR143" s="174" t="s">
        <v>762</v>
      </c>
      <c r="BS143" s="175">
        <v>0.3</v>
      </c>
      <c r="BT143" s="174" t="s">
        <v>211</v>
      </c>
      <c r="BU143" s="174" t="s">
        <v>210</v>
      </c>
      <c r="BV143" s="113">
        <v>2060801.742359617</v>
      </c>
      <c r="BW143" s="113">
        <v>2402466.5250502843</v>
      </c>
      <c r="BX143" s="113">
        <v>2442175.5793229761</v>
      </c>
      <c r="BY143" s="113">
        <v>2380941.3983696885</v>
      </c>
      <c r="BZ143" s="113">
        <v>2137162.0499999998</v>
      </c>
      <c r="CA143" s="113">
        <v>2025228.7860000017</v>
      </c>
      <c r="CB143" s="113">
        <v>2007691</v>
      </c>
      <c r="CC143" s="113"/>
      <c r="CD143" s="113"/>
      <c r="CE143" s="113"/>
      <c r="CF143" s="113"/>
      <c r="CG143" s="113"/>
      <c r="CH143" s="114">
        <f t="shared" si="187"/>
        <v>2137162.0499999998</v>
      </c>
      <c r="CI143" s="114">
        <f t="shared" si="187"/>
        <v>2025228.7860000017</v>
      </c>
      <c r="CJ143" s="120">
        <f t="shared" si="187"/>
        <v>2007691</v>
      </c>
      <c r="CK143" s="114">
        <f t="shared" si="187"/>
        <v>0</v>
      </c>
      <c r="CL143" s="114">
        <f t="shared" si="194"/>
        <v>6170081.8360000011</v>
      </c>
      <c r="CM143" s="114">
        <f t="shared" si="188"/>
        <v>9286385.2451025657</v>
      </c>
      <c r="CN143" s="114">
        <f t="shared" si="189"/>
        <v>9286385.2451025657</v>
      </c>
      <c r="CO143" s="116">
        <f t="shared" si="232"/>
        <v>0.66439999999999999</v>
      </c>
      <c r="CP143" s="126">
        <f t="shared" ca="1" si="233"/>
        <v>0</v>
      </c>
      <c r="CQ143" s="115">
        <f t="shared" ca="1" si="210"/>
        <v>0</v>
      </c>
      <c r="CR143" s="118" t="str">
        <f t="shared" si="234"/>
        <v>Uncapped</v>
      </c>
      <c r="CS143" s="115">
        <f t="shared" ca="1" si="211"/>
        <v>0</v>
      </c>
      <c r="CT143" s="113" t="s">
        <v>729</v>
      </c>
      <c r="CU143" s="119">
        <v>0.2</v>
      </c>
      <c r="CV143" s="113" t="s">
        <v>217</v>
      </c>
      <c r="CW143" s="113" t="s">
        <v>210</v>
      </c>
      <c r="CX143" s="113">
        <v>13631298.3753272</v>
      </c>
      <c r="CY143" s="113">
        <v>15463517.626933601</v>
      </c>
      <c r="CZ143" s="113">
        <v>15159650.061351301</v>
      </c>
      <c r="DA143" s="113">
        <v>16523055.704212198</v>
      </c>
      <c r="DB143" s="113">
        <v>13485327.436090879</v>
      </c>
      <c r="DC143" s="113">
        <v>13198691</v>
      </c>
      <c r="DD143" s="113">
        <v>13923765.347779993</v>
      </c>
      <c r="DE143" s="113"/>
      <c r="DF143" s="113"/>
      <c r="DG143" s="113"/>
      <c r="DH143" s="113"/>
      <c r="DI143" s="113"/>
      <c r="DJ143" s="114">
        <f t="shared" si="190"/>
        <v>13485327.436090879</v>
      </c>
      <c r="DK143" s="114">
        <f t="shared" si="190"/>
        <v>13198691</v>
      </c>
      <c r="DL143" s="114">
        <f t="shared" si="190"/>
        <v>13923765.347779993</v>
      </c>
      <c r="DM143" s="114">
        <f t="shared" si="190"/>
        <v>0</v>
      </c>
      <c r="DN143" s="114">
        <f t="shared" si="168"/>
        <v>40607783.783870876</v>
      </c>
      <c r="DO143" s="114">
        <f t="shared" si="195"/>
        <v>60777521.7678243</v>
      </c>
      <c r="DP143" s="114">
        <f t="shared" si="201"/>
        <v>60777521.7678243</v>
      </c>
      <c r="DQ143" s="116">
        <f t="shared" si="235"/>
        <v>0.66810000000000003</v>
      </c>
      <c r="DR143" s="126">
        <f t="shared" ca="1" si="212"/>
        <v>0</v>
      </c>
      <c r="DS143" s="115">
        <f t="shared" ca="1" si="213"/>
        <v>0</v>
      </c>
      <c r="DT143" s="118" t="str">
        <f t="shared" si="236"/>
        <v>Uncapped</v>
      </c>
      <c r="DU143" s="115">
        <f t="shared" ca="1" si="214"/>
        <v>0</v>
      </c>
      <c r="DV143" s="113"/>
      <c r="DW143" s="119">
        <v>0</v>
      </c>
      <c r="DX143" s="113"/>
      <c r="DY143" s="113"/>
      <c r="DZ143" s="113">
        <v>0</v>
      </c>
      <c r="EA143" s="113">
        <v>0</v>
      </c>
      <c r="EB143" s="113">
        <v>0</v>
      </c>
      <c r="EC143" s="113">
        <v>0</v>
      </c>
      <c r="ED143" s="113">
        <v>0</v>
      </c>
      <c r="EE143" s="113">
        <v>0</v>
      </c>
      <c r="EF143" s="113"/>
      <c r="EG143" s="113"/>
      <c r="EH143" s="113"/>
      <c r="EI143" s="113"/>
      <c r="EJ143" s="113"/>
      <c r="EK143" s="113"/>
      <c r="EL143" s="114">
        <f t="shared" si="191"/>
        <v>0</v>
      </c>
      <c r="EM143" s="114">
        <f t="shared" si="191"/>
        <v>0</v>
      </c>
      <c r="EN143" s="114">
        <f t="shared" si="191"/>
        <v>0</v>
      </c>
      <c r="EO143" s="114">
        <f t="shared" si="191"/>
        <v>0</v>
      </c>
      <c r="EP143" s="114">
        <f t="shared" si="215"/>
        <v>0</v>
      </c>
      <c r="EQ143" s="114">
        <f t="shared" si="196"/>
        <v>0</v>
      </c>
      <c r="ER143" s="114">
        <f t="shared" si="192"/>
        <v>0</v>
      </c>
      <c r="ES143" s="116">
        <f t="shared" si="237"/>
        <v>0</v>
      </c>
      <c r="ET143" s="126">
        <f t="shared" ca="1" si="238"/>
        <v>0</v>
      </c>
      <c r="EU143" s="115">
        <f t="shared" ca="1" si="216"/>
        <v>0</v>
      </c>
      <c r="EV143" s="118" t="str">
        <f t="shared" si="217"/>
        <v>Uncapped</v>
      </c>
      <c r="EW143" s="115">
        <f t="shared" ca="1" si="218"/>
        <v>0</v>
      </c>
      <c r="EX143" s="112">
        <f t="shared" ca="1" si="219"/>
        <v>0</v>
      </c>
      <c r="EY143" s="114">
        <f t="shared" ca="1" si="239"/>
        <v>0</v>
      </c>
      <c r="EZ143" s="115">
        <v>0</v>
      </c>
      <c r="FA143" s="115"/>
      <c r="FB143" s="115"/>
      <c r="FC143" s="115">
        <v>0</v>
      </c>
      <c r="FD143" s="115">
        <f t="shared" si="197"/>
        <v>0</v>
      </c>
      <c r="FE143" s="114">
        <f t="shared" si="177"/>
        <v>0</v>
      </c>
      <c r="FF143" s="115">
        <v>0</v>
      </c>
      <c r="FG143" s="115">
        <v>0</v>
      </c>
      <c r="FH143" s="115">
        <v>0</v>
      </c>
      <c r="FI143" s="115">
        <v>0</v>
      </c>
      <c r="FJ143" s="115">
        <f t="shared" si="198"/>
        <v>0</v>
      </c>
      <c r="FK143" s="114">
        <f t="shared" si="178"/>
        <v>0</v>
      </c>
      <c r="FL143" s="113"/>
      <c r="FM143" s="111"/>
      <c r="FN143" s="111"/>
      <c r="FO143" s="111"/>
      <c r="FP143" s="115">
        <f t="shared" si="203"/>
        <v>0</v>
      </c>
      <c r="FQ143" s="115"/>
      <c r="FR143" s="115"/>
      <c r="FS143" s="115"/>
      <c r="FT143" s="114">
        <f t="shared" si="240"/>
        <v>0</v>
      </c>
      <c r="FU143" s="366">
        <f t="shared" ca="1" si="244"/>
        <v>0</v>
      </c>
      <c r="FV143" s="121">
        <f t="shared" ca="1" si="241"/>
        <v>0</v>
      </c>
      <c r="FW143" s="114">
        <f t="shared" si="204"/>
        <v>0</v>
      </c>
      <c r="FX143" s="114">
        <f t="shared" si="204"/>
        <v>0</v>
      </c>
      <c r="FY143" s="114">
        <f t="shared" si="204"/>
        <v>0</v>
      </c>
      <c r="FZ143" s="114">
        <f t="shared" si="204"/>
        <v>0</v>
      </c>
      <c r="GA143" s="114">
        <f t="shared" si="183"/>
        <v>0</v>
      </c>
      <c r="GB143" s="114">
        <f t="shared" si="205"/>
        <v>0</v>
      </c>
      <c r="GC143" s="114">
        <f t="shared" si="205"/>
        <v>0</v>
      </c>
      <c r="GD143" s="114">
        <f t="shared" si="205"/>
        <v>0</v>
      </c>
      <c r="GE143" s="114">
        <f t="shared" si="205"/>
        <v>0</v>
      </c>
      <c r="GF143" s="114">
        <f t="shared" si="242"/>
        <v>0</v>
      </c>
      <c r="GG143" s="114">
        <f t="shared" si="242"/>
        <v>0</v>
      </c>
      <c r="GH143" s="114">
        <f t="shared" si="242"/>
        <v>0</v>
      </c>
      <c r="GI143" s="114">
        <f t="shared" si="242"/>
        <v>0</v>
      </c>
      <c r="GJ143" s="115">
        <f t="shared" si="199"/>
        <v>0</v>
      </c>
      <c r="GK143" s="114">
        <f t="shared" si="220"/>
        <v>0</v>
      </c>
      <c r="GL143" s="114">
        <f t="shared" si="221"/>
        <v>0</v>
      </c>
      <c r="GM143" s="114">
        <f t="shared" si="222"/>
        <v>0</v>
      </c>
      <c r="GN143" s="114">
        <f t="shared" si="223"/>
        <v>0</v>
      </c>
      <c r="GO143" s="114">
        <f t="shared" si="224"/>
        <v>0</v>
      </c>
      <c r="GP143" s="114">
        <f t="shared" si="200"/>
        <v>0</v>
      </c>
      <c r="GQ143" s="114">
        <f t="shared" si="225"/>
        <v>0</v>
      </c>
      <c r="GR143" s="193"/>
      <c r="GS143" s="122">
        <f t="shared" si="202"/>
        <v>49016261.099870875</v>
      </c>
      <c r="GT143" s="122">
        <f t="shared" si="202"/>
        <v>72800110.993032873</v>
      </c>
      <c r="GU143" s="123">
        <f t="shared" si="226"/>
        <v>0.6732992633014232</v>
      </c>
      <c r="GV143" s="124">
        <f t="shared" ca="1" si="227"/>
        <v>0</v>
      </c>
      <c r="GW143" s="124">
        <v>0</v>
      </c>
      <c r="GX143" s="32">
        <f t="shared" ca="1" si="228"/>
        <v>0</v>
      </c>
      <c r="GY143" s="100"/>
    </row>
    <row r="144" spans="3:207" s="408" customFormat="1" hidden="1">
      <c r="C144" s="402"/>
      <c r="D144" s="402"/>
      <c r="E144" s="403"/>
      <c r="F144" s="403" t="s">
        <v>720</v>
      </c>
      <c r="G144" s="403" t="s">
        <v>226</v>
      </c>
      <c r="H144" s="105" t="s">
        <v>577</v>
      </c>
      <c r="I144" s="403" t="s">
        <v>610</v>
      </c>
      <c r="J144" s="403" t="s">
        <v>615</v>
      </c>
      <c r="K144" s="403" t="s">
        <v>544</v>
      </c>
      <c r="L144" s="403"/>
      <c r="M144" s="403"/>
      <c r="N144" s="404"/>
      <c r="O144" s="108">
        <v>40532</v>
      </c>
      <c r="P144" s="108">
        <v>40532</v>
      </c>
      <c r="Q144" s="323">
        <f t="shared" si="207"/>
        <v>0</v>
      </c>
      <c r="R144" s="109">
        <f>IF((P144-VLOOKUP(Q144,month!$A$1:$C$13,3,0))&lt;0,Q144,Q144+1)</f>
        <v>0</v>
      </c>
      <c r="S144" s="108"/>
      <c r="T144" s="110" t="str">
        <f t="shared" si="243"/>
        <v/>
      </c>
      <c r="U144" s="404"/>
      <c r="V144" s="404"/>
      <c r="W144" s="405"/>
      <c r="X144" s="405"/>
      <c r="Y144" s="492"/>
      <c r="Z144" s="406" t="s">
        <v>545</v>
      </c>
      <c r="AA144" s="394">
        <v>1000</v>
      </c>
      <c r="AB144" s="394">
        <v>1000</v>
      </c>
      <c r="AC144" s="394">
        <v>1000</v>
      </c>
      <c r="AD144" s="394">
        <v>1000</v>
      </c>
      <c r="AE144" s="394">
        <v>1000</v>
      </c>
      <c r="AF144" s="394">
        <v>1000</v>
      </c>
      <c r="AG144" s="394">
        <v>1000</v>
      </c>
      <c r="AH144" s="394">
        <v>1000</v>
      </c>
      <c r="AI144" s="394">
        <v>1000</v>
      </c>
      <c r="AJ144" s="394">
        <v>1000</v>
      </c>
      <c r="AK144" s="394">
        <v>1000</v>
      </c>
      <c r="AL144" s="394">
        <v>1000</v>
      </c>
      <c r="AM144" s="388">
        <f t="shared" si="185"/>
        <v>12000</v>
      </c>
      <c r="AN144" s="388">
        <f t="shared" si="208"/>
        <v>12000</v>
      </c>
      <c r="AO144" s="389">
        <f t="shared" si="206"/>
        <v>1000</v>
      </c>
      <c r="AP144" s="502" t="s">
        <v>750</v>
      </c>
      <c r="AQ144" s="159">
        <v>0.5</v>
      </c>
      <c r="AR144" s="103" t="s">
        <v>211</v>
      </c>
      <c r="AS144" s="119" t="s">
        <v>210</v>
      </c>
      <c r="AT144" s="111">
        <v>619023.70180270565</v>
      </c>
      <c r="AU144" s="111">
        <v>689370.67089741363</v>
      </c>
      <c r="AV144" s="111">
        <v>657617.80913764494</v>
      </c>
      <c r="AW144" s="111">
        <v>770191.79826823843</v>
      </c>
      <c r="AX144" s="113">
        <v>773116.82</v>
      </c>
      <c r="AY144" s="113">
        <v>760063.59</v>
      </c>
      <c r="AZ144" s="113">
        <v>705215.07</v>
      </c>
      <c r="BA144" s="113"/>
      <c r="BB144" s="113"/>
      <c r="BC144" s="113"/>
      <c r="BD144" s="113"/>
      <c r="BE144" s="113"/>
      <c r="BF144" s="114">
        <f t="shared" si="186"/>
        <v>773116.82</v>
      </c>
      <c r="BG144" s="114">
        <f t="shared" si="186"/>
        <v>760063.59</v>
      </c>
      <c r="BH144" s="114">
        <f t="shared" si="186"/>
        <v>705215.07</v>
      </c>
      <c r="BI144" s="114">
        <f t="shared" si="186"/>
        <v>0</v>
      </c>
      <c r="BJ144" s="114">
        <f t="shared" si="193"/>
        <v>2238395.48</v>
      </c>
      <c r="BK144" s="115">
        <f t="shared" si="229"/>
        <v>2736203.9801060027</v>
      </c>
      <c r="BL144" s="115">
        <f t="shared" si="230"/>
        <v>2736203.9801060027</v>
      </c>
      <c r="BM144" s="116">
        <f t="shared" si="231"/>
        <v>0.81810000000000005</v>
      </c>
      <c r="BN144" s="126">
        <f t="shared" ca="1" si="174"/>
        <v>0</v>
      </c>
      <c r="BO144" s="117">
        <f t="shared" ca="1" si="175"/>
        <v>0</v>
      </c>
      <c r="BP144" s="118" t="str">
        <f t="shared" si="176"/>
        <v>Uncapped</v>
      </c>
      <c r="BQ144" s="115">
        <f t="shared" ca="1" si="209"/>
        <v>0</v>
      </c>
      <c r="BR144" s="174" t="s">
        <v>762</v>
      </c>
      <c r="BS144" s="175">
        <v>0.3</v>
      </c>
      <c r="BT144" s="174" t="s">
        <v>211</v>
      </c>
      <c r="BU144" s="174" t="s">
        <v>210</v>
      </c>
      <c r="BV144" s="113">
        <v>2060801.742359617</v>
      </c>
      <c r="BW144" s="113">
        <v>2402466.5250502843</v>
      </c>
      <c r="BX144" s="113">
        <v>2442175.5793229761</v>
      </c>
      <c r="BY144" s="113">
        <v>2380941.3983696885</v>
      </c>
      <c r="BZ144" s="113">
        <v>2137162.0499999998</v>
      </c>
      <c r="CA144" s="113">
        <v>2025228.7860000017</v>
      </c>
      <c r="CB144" s="113">
        <v>2007691</v>
      </c>
      <c r="CC144" s="113"/>
      <c r="CD144" s="113"/>
      <c r="CE144" s="113"/>
      <c r="CF144" s="113"/>
      <c r="CG144" s="113"/>
      <c r="CH144" s="114">
        <f t="shared" si="187"/>
        <v>2137162.0499999998</v>
      </c>
      <c r="CI144" s="114">
        <f t="shared" si="187"/>
        <v>2025228.7860000017</v>
      </c>
      <c r="CJ144" s="120">
        <f t="shared" si="187"/>
        <v>2007691</v>
      </c>
      <c r="CK144" s="114">
        <f t="shared" si="187"/>
        <v>0</v>
      </c>
      <c r="CL144" s="114">
        <f t="shared" si="194"/>
        <v>6170081.8360000011</v>
      </c>
      <c r="CM144" s="114">
        <f t="shared" si="188"/>
        <v>9286385.2451025657</v>
      </c>
      <c r="CN144" s="114">
        <f t="shared" si="189"/>
        <v>9286385.2451025657</v>
      </c>
      <c r="CO144" s="116">
        <f t="shared" si="232"/>
        <v>0.66439999999999999</v>
      </c>
      <c r="CP144" s="126">
        <f t="shared" ca="1" si="233"/>
        <v>0</v>
      </c>
      <c r="CQ144" s="115">
        <f t="shared" ca="1" si="210"/>
        <v>0</v>
      </c>
      <c r="CR144" s="118" t="str">
        <f t="shared" si="234"/>
        <v>Uncapped</v>
      </c>
      <c r="CS144" s="115">
        <f t="shared" ca="1" si="211"/>
        <v>0</v>
      </c>
      <c r="CT144" s="113" t="s">
        <v>729</v>
      </c>
      <c r="CU144" s="119">
        <v>0.2</v>
      </c>
      <c r="CV144" s="113" t="s">
        <v>217</v>
      </c>
      <c r="CW144" s="113" t="s">
        <v>210</v>
      </c>
      <c r="CX144" s="113">
        <v>13631298.3753272</v>
      </c>
      <c r="CY144" s="113">
        <v>15463517.626933601</v>
      </c>
      <c r="CZ144" s="113">
        <v>15159650.061351301</v>
      </c>
      <c r="DA144" s="113">
        <v>16523055.704212198</v>
      </c>
      <c r="DB144" s="113">
        <v>13485327.436090879</v>
      </c>
      <c r="DC144" s="113">
        <v>13198691</v>
      </c>
      <c r="DD144" s="113">
        <v>13923765.347779993</v>
      </c>
      <c r="DE144" s="113"/>
      <c r="DF144" s="113"/>
      <c r="DG144" s="113"/>
      <c r="DH144" s="113"/>
      <c r="DI144" s="113"/>
      <c r="DJ144" s="114">
        <f t="shared" si="190"/>
        <v>13485327.436090879</v>
      </c>
      <c r="DK144" s="114">
        <f t="shared" si="190"/>
        <v>13198691</v>
      </c>
      <c r="DL144" s="114">
        <f t="shared" si="190"/>
        <v>13923765.347779993</v>
      </c>
      <c r="DM144" s="114">
        <f t="shared" si="190"/>
        <v>0</v>
      </c>
      <c r="DN144" s="114">
        <f t="shared" si="168"/>
        <v>40607783.783870876</v>
      </c>
      <c r="DO144" s="114">
        <f t="shared" si="195"/>
        <v>60777521.7678243</v>
      </c>
      <c r="DP144" s="114">
        <f t="shared" si="201"/>
        <v>60777521.7678243</v>
      </c>
      <c r="DQ144" s="116">
        <f t="shared" si="235"/>
        <v>0.66810000000000003</v>
      </c>
      <c r="DR144" s="126">
        <f t="shared" ca="1" si="212"/>
        <v>0</v>
      </c>
      <c r="DS144" s="115">
        <f t="shared" ca="1" si="213"/>
        <v>0</v>
      </c>
      <c r="DT144" s="118" t="str">
        <f t="shared" si="236"/>
        <v>Uncapped</v>
      </c>
      <c r="DU144" s="115">
        <f t="shared" ca="1" si="214"/>
        <v>0</v>
      </c>
      <c r="DV144" s="113"/>
      <c r="DW144" s="119">
        <v>0</v>
      </c>
      <c r="DX144" s="113"/>
      <c r="DY144" s="113"/>
      <c r="DZ144" s="113">
        <v>0</v>
      </c>
      <c r="EA144" s="113">
        <v>0</v>
      </c>
      <c r="EB144" s="113">
        <v>0</v>
      </c>
      <c r="EC144" s="113">
        <v>0</v>
      </c>
      <c r="ED144" s="113">
        <v>0</v>
      </c>
      <c r="EE144" s="113">
        <v>0</v>
      </c>
      <c r="EF144" s="113"/>
      <c r="EG144" s="113"/>
      <c r="EH144" s="113"/>
      <c r="EI144" s="113"/>
      <c r="EJ144" s="113"/>
      <c r="EK144" s="113"/>
      <c r="EL144" s="114">
        <f t="shared" si="191"/>
        <v>0</v>
      </c>
      <c r="EM144" s="114">
        <f t="shared" si="191"/>
        <v>0</v>
      </c>
      <c r="EN144" s="114">
        <f t="shared" si="191"/>
        <v>0</v>
      </c>
      <c r="EO144" s="114">
        <f t="shared" si="191"/>
        <v>0</v>
      </c>
      <c r="EP144" s="114">
        <f t="shared" si="215"/>
        <v>0</v>
      </c>
      <c r="EQ144" s="114">
        <f t="shared" si="196"/>
        <v>0</v>
      </c>
      <c r="ER144" s="114">
        <f t="shared" si="192"/>
        <v>0</v>
      </c>
      <c r="ES144" s="116">
        <f t="shared" si="237"/>
        <v>0</v>
      </c>
      <c r="ET144" s="126">
        <f t="shared" ca="1" si="238"/>
        <v>0</v>
      </c>
      <c r="EU144" s="115">
        <f t="shared" ca="1" si="216"/>
        <v>0</v>
      </c>
      <c r="EV144" s="118" t="str">
        <f t="shared" si="217"/>
        <v>Uncapped</v>
      </c>
      <c r="EW144" s="115">
        <f t="shared" ca="1" si="218"/>
        <v>0</v>
      </c>
      <c r="EX144" s="112">
        <f t="shared" ca="1" si="219"/>
        <v>0</v>
      </c>
      <c r="EY144" s="114">
        <f t="shared" ca="1" si="239"/>
        <v>0</v>
      </c>
      <c r="EZ144" s="115">
        <v>0</v>
      </c>
      <c r="FA144" s="115"/>
      <c r="FB144" s="115"/>
      <c r="FC144" s="115">
        <v>0</v>
      </c>
      <c r="FD144" s="115">
        <f t="shared" si="197"/>
        <v>0</v>
      </c>
      <c r="FE144" s="114">
        <f t="shared" si="177"/>
        <v>0</v>
      </c>
      <c r="FF144" s="115">
        <v>0</v>
      </c>
      <c r="FG144" s="115">
        <v>0</v>
      </c>
      <c r="FH144" s="115">
        <v>0</v>
      </c>
      <c r="FI144" s="115">
        <v>0</v>
      </c>
      <c r="FJ144" s="115">
        <f t="shared" si="198"/>
        <v>0</v>
      </c>
      <c r="FK144" s="114">
        <f t="shared" si="178"/>
        <v>0</v>
      </c>
      <c r="FL144" s="113"/>
      <c r="FM144" s="111"/>
      <c r="FN144" s="111"/>
      <c r="FO144" s="111"/>
      <c r="FP144" s="115">
        <f t="shared" si="203"/>
        <v>0</v>
      </c>
      <c r="FQ144" s="115"/>
      <c r="FR144" s="115"/>
      <c r="FS144" s="115"/>
      <c r="FT144" s="114">
        <f t="shared" si="240"/>
        <v>0</v>
      </c>
      <c r="FU144" s="366">
        <f t="shared" ca="1" si="244"/>
        <v>0</v>
      </c>
      <c r="FV144" s="121">
        <f t="shared" ca="1" si="241"/>
        <v>0</v>
      </c>
      <c r="FW144" s="114">
        <f t="shared" si="204"/>
        <v>0</v>
      </c>
      <c r="FX144" s="114">
        <f t="shared" si="204"/>
        <v>0</v>
      </c>
      <c r="FY144" s="114">
        <f t="shared" si="204"/>
        <v>0</v>
      </c>
      <c r="FZ144" s="114">
        <f t="shared" si="204"/>
        <v>0</v>
      </c>
      <c r="GA144" s="114">
        <f t="shared" si="183"/>
        <v>0</v>
      </c>
      <c r="GB144" s="114">
        <f t="shared" si="205"/>
        <v>0</v>
      </c>
      <c r="GC144" s="114">
        <f t="shared" si="205"/>
        <v>0</v>
      </c>
      <c r="GD144" s="114">
        <f t="shared" si="205"/>
        <v>0</v>
      </c>
      <c r="GE144" s="114">
        <f t="shared" si="205"/>
        <v>0</v>
      </c>
      <c r="GF144" s="114">
        <f t="shared" si="242"/>
        <v>0</v>
      </c>
      <c r="GG144" s="114">
        <f t="shared" si="242"/>
        <v>0</v>
      </c>
      <c r="GH144" s="114">
        <f t="shared" si="242"/>
        <v>0</v>
      </c>
      <c r="GI144" s="114">
        <f t="shared" si="242"/>
        <v>0</v>
      </c>
      <c r="GJ144" s="115">
        <f t="shared" si="199"/>
        <v>0</v>
      </c>
      <c r="GK144" s="114">
        <f t="shared" si="220"/>
        <v>0</v>
      </c>
      <c r="GL144" s="114">
        <f t="shared" si="221"/>
        <v>0</v>
      </c>
      <c r="GM144" s="114">
        <f t="shared" si="222"/>
        <v>0</v>
      </c>
      <c r="GN144" s="114">
        <f t="shared" si="223"/>
        <v>0</v>
      </c>
      <c r="GO144" s="114">
        <f t="shared" si="224"/>
        <v>0</v>
      </c>
      <c r="GP144" s="114">
        <f t="shared" si="200"/>
        <v>0</v>
      </c>
      <c r="GQ144" s="114">
        <f t="shared" si="225"/>
        <v>0</v>
      </c>
      <c r="GR144" s="193"/>
      <c r="GS144" s="122">
        <f t="shared" si="202"/>
        <v>49016261.099870875</v>
      </c>
      <c r="GT144" s="122">
        <f t="shared" si="202"/>
        <v>72800110.993032873</v>
      </c>
      <c r="GU144" s="123">
        <f t="shared" si="226"/>
        <v>0.6732992633014232</v>
      </c>
      <c r="GV144" s="124">
        <f t="shared" ca="1" si="227"/>
        <v>0</v>
      </c>
      <c r="GW144" s="124">
        <v>0</v>
      </c>
      <c r="GX144" s="32">
        <f t="shared" ca="1" si="228"/>
        <v>0</v>
      </c>
      <c r="GY144" s="100"/>
    </row>
    <row r="145" spans="3:207" s="408" customFormat="1" hidden="1">
      <c r="C145" s="402"/>
      <c r="D145" s="402"/>
      <c r="E145" s="403"/>
      <c r="F145" s="403" t="s">
        <v>720</v>
      </c>
      <c r="G145" s="403" t="s">
        <v>226</v>
      </c>
      <c r="H145" s="105" t="s">
        <v>578</v>
      </c>
      <c r="I145" s="403" t="s">
        <v>611</v>
      </c>
      <c r="J145" s="403" t="s">
        <v>615</v>
      </c>
      <c r="K145" s="403" t="s">
        <v>544</v>
      </c>
      <c r="L145" s="403"/>
      <c r="M145" s="403"/>
      <c r="N145" s="404"/>
      <c r="O145" s="108">
        <v>40721</v>
      </c>
      <c r="P145" s="108">
        <v>40721</v>
      </c>
      <c r="Q145" s="323">
        <f t="shared" si="207"/>
        <v>0</v>
      </c>
      <c r="R145" s="109">
        <f>IF((P145-VLOOKUP(Q145,month!$A$1:$C$13,3,0))&lt;0,Q145,Q145+1)</f>
        <v>0</v>
      </c>
      <c r="S145" s="108"/>
      <c r="T145" s="110" t="str">
        <f t="shared" si="243"/>
        <v/>
      </c>
      <c r="U145" s="404"/>
      <c r="V145" s="404"/>
      <c r="W145" s="405"/>
      <c r="X145" s="405"/>
      <c r="Y145" s="492"/>
      <c r="Z145" s="406" t="s">
        <v>545</v>
      </c>
      <c r="AA145" s="394">
        <v>1000</v>
      </c>
      <c r="AB145" s="394">
        <v>1000</v>
      </c>
      <c r="AC145" s="394">
        <v>1000</v>
      </c>
      <c r="AD145" s="394">
        <v>1000</v>
      </c>
      <c r="AE145" s="394">
        <v>1000</v>
      </c>
      <c r="AF145" s="394">
        <v>1000</v>
      </c>
      <c r="AG145" s="394">
        <v>1000</v>
      </c>
      <c r="AH145" s="394">
        <v>1000</v>
      </c>
      <c r="AI145" s="394">
        <v>1000</v>
      </c>
      <c r="AJ145" s="394">
        <v>1000</v>
      </c>
      <c r="AK145" s="394">
        <v>1000</v>
      </c>
      <c r="AL145" s="394">
        <v>1000</v>
      </c>
      <c r="AM145" s="388">
        <f t="shared" si="185"/>
        <v>12000</v>
      </c>
      <c r="AN145" s="388">
        <f t="shared" si="208"/>
        <v>12000</v>
      </c>
      <c r="AO145" s="389">
        <f t="shared" si="206"/>
        <v>1000</v>
      </c>
      <c r="AP145" s="502" t="s">
        <v>739</v>
      </c>
      <c r="AQ145" s="159">
        <v>0.5</v>
      </c>
      <c r="AR145" s="103" t="s">
        <v>211</v>
      </c>
      <c r="AS145" s="119" t="s">
        <v>210</v>
      </c>
      <c r="AT145" s="111">
        <v>1052583.3912734503</v>
      </c>
      <c r="AU145" s="111">
        <v>1153018.3228203235</v>
      </c>
      <c r="AV145" s="111">
        <v>1130473.4868267623</v>
      </c>
      <c r="AW145" s="111">
        <v>1353924.7990794657</v>
      </c>
      <c r="AX145" s="113">
        <f>739668.69+113070.6</f>
        <v>852739.28999999992</v>
      </c>
      <c r="AY145" s="113">
        <v>1363310.415</v>
      </c>
      <c r="AZ145" s="113">
        <v>595284.12</v>
      </c>
      <c r="BA145" s="113"/>
      <c r="BB145" s="113"/>
      <c r="BC145" s="113"/>
      <c r="BD145" s="113"/>
      <c r="BE145" s="113"/>
      <c r="BF145" s="114">
        <f t="shared" si="186"/>
        <v>852739.28999999992</v>
      </c>
      <c r="BG145" s="114">
        <f t="shared" si="186"/>
        <v>1363310.415</v>
      </c>
      <c r="BH145" s="114">
        <f t="shared" si="186"/>
        <v>595284.12</v>
      </c>
      <c r="BI145" s="114">
        <f t="shared" si="186"/>
        <v>0</v>
      </c>
      <c r="BJ145" s="114">
        <f t="shared" si="193"/>
        <v>2811333.8250000002</v>
      </c>
      <c r="BK145" s="115">
        <f t="shared" si="229"/>
        <v>4690000.0000000019</v>
      </c>
      <c r="BL145" s="115">
        <f t="shared" si="230"/>
        <v>4690000.0000000019</v>
      </c>
      <c r="BM145" s="116">
        <f t="shared" si="231"/>
        <v>0.59940000000000004</v>
      </c>
      <c r="BN145" s="126">
        <f t="shared" ca="1" si="174"/>
        <v>0</v>
      </c>
      <c r="BO145" s="117">
        <f t="shared" ca="1" si="175"/>
        <v>0</v>
      </c>
      <c r="BP145" s="118" t="str">
        <f t="shared" si="176"/>
        <v>Uncapped</v>
      </c>
      <c r="BQ145" s="115">
        <f t="shared" ca="1" si="209"/>
        <v>0</v>
      </c>
      <c r="BR145" s="174" t="s">
        <v>761</v>
      </c>
      <c r="BS145" s="175">
        <v>0.3</v>
      </c>
      <c r="BT145" s="174" t="s">
        <v>211</v>
      </c>
      <c r="BU145" s="174" t="s">
        <v>210</v>
      </c>
      <c r="BV145" s="113">
        <v>202268.3059424891</v>
      </c>
      <c r="BW145" s="113">
        <v>234741.88681745128</v>
      </c>
      <c r="BX145" s="113">
        <v>223642.71409438783</v>
      </c>
      <c r="BY145" s="113">
        <v>239347.09314567197</v>
      </c>
      <c r="BZ145" s="113">
        <f>61541.64+33680</f>
        <v>95221.64</v>
      </c>
      <c r="CA145" s="113">
        <f>669807+18642</f>
        <v>688449</v>
      </c>
      <c r="CB145" s="113">
        <f>496089.19+40839</f>
        <v>536928.18999999994</v>
      </c>
      <c r="CC145" s="113"/>
      <c r="CD145" s="113"/>
      <c r="CE145" s="113"/>
      <c r="CF145" s="113"/>
      <c r="CG145" s="113"/>
      <c r="CH145" s="114">
        <f t="shared" si="187"/>
        <v>95221.64</v>
      </c>
      <c r="CI145" s="114">
        <f t="shared" si="187"/>
        <v>688449</v>
      </c>
      <c r="CJ145" s="120">
        <f t="shared" si="187"/>
        <v>536928.18999999994</v>
      </c>
      <c r="CK145" s="114">
        <f t="shared" si="187"/>
        <v>0</v>
      </c>
      <c r="CL145" s="114">
        <f t="shared" si="194"/>
        <v>1320598.83</v>
      </c>
      <c r="CM145" s="114">
        <f t="shared" si="188"/>
        <v>900000.00000000023</v>
      </c>
      <c r="CN145" s="114">
        <f t="shared" si="189"/>
        <v>900000.00000000023</v>
      </c>
      <c r="CO145" s="116">
        <f t="shared" si="232"/>
        <v>1.4673</v>
      </c>
      <c r="CP145" s="126">
        <f t="shared" ca="1" si="233"/>
        <v>0</v>
      </c>
      <c r="CQ145" s="115">
        <f t="shared" ca="1" si="210"/>
        <v>0</v>
      </c>
      <c r="CR145" s="118" t="str">
        <f t="shared" si="234"/>
        <v>Uncapped</v>
      </c>
      <c r="CS145" s="115">
        <f t="shared" ca="1" si="211"/>
        <v>0</v>
      </c>
      <c r="CT145" s="113" t="s">
        <v>729</v>
      </c>
      <c r="CU145" s="119">
        <v>0.2</v>
      </c>
      <c r="CV145" s="113" t="s">
        <v>217</v>
      </c>
      <c r="CW145" s="113" t="s">
        <v>210</v>
      </c>
      <c r="CX145" s="113">
        <v>13631298.3753272</v>
      </c>
      <c r="CY145" s="113">
        <v>15463517.626933601</v>
      </c>
      <c r="CZ145" s="113">
        <v>15159650.061351301</v>
      </c>
      <c r="DA145" s="113">
        <v>16523055.704212198</v>
      </c>
      <c r="DB145" s="113">
        <v>13485327.436090879</v>
      </c>
      <c r="DC145" s="113">
        <v>13198691</v>
      </c>
      <c r="DD145" s="113">
        <v>13923765.347779993</v>
      </c>
      <c r="DE145" s="113"/>
      <c r="DF145" s="113"/>
      <c r="DG145" s="113"/>
      <c r="DH145" s="113"/>
      <c r="DI145" s="113"/>
      <c r="DJ145" s="114">
        <f t="shared" si="190"/>
        <v>13485327.436090879</v>
      </c>
      <c r="DK145" s="114">
        <f t="shared" si="190"/>
        <v>13198691</v>
      </c>
      <c r="DL145" s="114">
        <f t="shared" si="190"/>
        <v>13923765.347779993</v>
      </c>
      <c r="DM145" s="114">
        <f t="shared" si="190"/>
        <v>0</v>
      </c>
      <c r="DN145" s="114">
        <f t="shared" si="168"/>
        <v>40607783.783870876</v>
      </c>
      <c r="DO145" s="114">
        <f t="shared" si="195"/>
        <v>60777521.7678243</v>
      </c>
      <c r="DP145" s="114">
        <f t="shared" si="201"/>
        <v>60777521.7678243</v>
      </c>
      <c r="DQ145" s="116">
        <f t="shared" si="235"/>
        <v>0.66810000000000003</v>
      </c>
      <c r="DR145" s="126">
        <f t="shared" ca="1" si="212"/>
        <v>0</v>
      </c>
      <c r="DS145" s="115">
        <f t="shared" ca="1" si="213"/>
        <v>0</v>
      </c>
      <c r="DT145" s="118" t="str">
        <f t="shared" si="236"/>
        <v>Uncapped</v>
      </c>
      <c r="DU145" s="115">
        <f t="shared" ca="1" si="214"/>
        <v>0</v>
      </c>
      <c r="DV145" s="113"/>
      <c r="DW145" s="119">
        <v>0</v>
      </c>
      <c r="DX145" s="113"/>
      <c r="DY145" s="113"/>
      <c r="DZ145" s="113">
        <v>0</v>
      </c>
      <c r="EA145" s="113">
        <v>0</v>
      </c>
      <c r="EB145" s="113">
        <v>0</v>
      </c>
      <c r="EC145" s="113">
        <v>0</v>
      </c>
      <c r="ED145" s="113">
        <v>0</v>
      </c>
      <c r="EE145" s="113">
        <v>0</v>
      </c>
      <c r="EF145" s="113"/>
      <c r="EG145" s="113"/>
      <c r="EH145" s="113"/>
      <c r="EI145" s="113"/>
      <c r="EJ145" s="113"/>
      <c r="EK145" s="113"/>
      <c r="EL145" s="114">
        <f t="shared" si="191"/>
        <v>0</v>
      </c>
      <c r="EM145" s="114">
        <f t="shared" si="191"/>
        <v>0</v>
      </c>
      <c r="EN145" s="114">
        <f t="shared" si="191"/>
        <v>0</v>
      </c>
      <c r="EO145" s="114">
        <f t="shared" si="191"/>
        <v>0</v>
      </c>
      <c r="EP145" s="114">
        <f t="shared" si="215"/>
        <v>0</v>
      </c>
      <c r="EQ145" s="114">
        <f t="shared" si="196"/>
        <v>0</v>
      </c>
      <c r="ER145" s="114">
        <f t="shared" si="192"/>
        <v>0</v>
      </c>
      <c r="ES145" s="116">
        <f t="shared" si="237"/>
        <v>0</v>
      </c>
      <c r="ET145" s="126">
        <f t="shared" ca="1" si="238"/>
        <v>0</v>
      </c>
      <c r="EU145" s="115">
        <f t="shared" ca="1" si="216"/>
        <v>0</v>
      </c>
      <c r="EV145" s="118" t="str">
        <f t="shared" si="217"/>
        <v>Uncapped</v>
      </c>
      <c r="EW145" s="115">
        <f t="shared" ca="1" si="218"/>
        <v>0</v>
      </c>
      <c r="EX145" s="112">
        <f t="shared" ca="1" si="219"/>
        <v>0</v>
      </c>
      <c r="EY145" s="114">
        <f t="shared" ca="1" si="239"/>
        <v>0</v>
      </c>
      <c r="EZ145" s="115">
        <v>0</v>
      </c>
      <c r="FA145" s="115"/>
      <c r="FB145" s="115"/>
      <c r="FC145" s="115">
        <v>0</v>
      </c>
      <c r="FD145" s="115">
        <f t="shared" si="197"/>
        <v>0</v>
      </c>
      <c r="FE145" s="114">
        <f t="shared" si="177"/>
        <v>0</v>
      </c>
      <c r="FF145" s="115">
        <v>0</v>
      </c>
      <c r="FG145" s="115">
        <v>0</v>
      </c>
      <c r="FH145" s="115">
        <v>0</v>
      </c>
      <c r="FI145" s="115">
        <v>0</v>
      </c>
      <c r="FJ145" s="115">
        <f t="shared" si="198"/>
        <v>0</v>
      </c>
      <c r="FK145" s="114">
        <f t="shared" si="178"/>
        <v>0</v>
      </c>
      <c r="FL145" s="113"/>
      <c r="FM145" s="111"/>
      <c r="FN145" s="111"/>
      <c r="FO145" s="111"/>
      <c r="FP145" s="115">
        <f t="shared" si="203"/>
        <v>0</v>
      </c>
      <c r="FQ145" s="115"/>
      <c r="FR145" s="115"/>
      <c r="FS145" s="115"/>
      <c r="FT145" s="114">
        <f t="shared" si="240"/>
        <v>0</v>
      </c>
      <c r="FU145" s="366">
        <f t="shared" ca="1" si="244"/>
        <v>0</v>
      </c>
      <c r="FV145" s="121">
        <f t="shared" ca="1" si="241"/>
        <v>0</v>
      </c>
      <c r="FW145" s="114">
        <f t="shared" si="204"/>
        <v>0</v>
      </c>
      <c r="FX145" s="114">
        <f t="shared" si="204"/>
        <v>0</v>
      </c>
      <c r="FY145" s="114">
        <f t="shared" si="204"/>
        <v>0</v>
      </c>
      <c r="FZ145" s="114">
        <f t="shared" si="204"/>
        <v>0</v>
      </c>
      <c r="GA145" s="114">
        <f t="shared" si="183"/>
        <v>0</v>
      </c>
      <c r="GB145" s="114">
        <f t="shared" si="205"/>
        <v>0</v>
      </c>
      <c r="GC145" s="114">
        <f t="shared" si="205"/>
        <v>0</v>
      </c>
      <c r="GD145" s="114">
        <f t="shared" si="205"/>
        <v>0</v>
      </c>
      <c r="GE145" s="114">
        <f t="shared" si="205"/>
        <v>0</v>
      </c>
      <c r="GF145" s="114">
        <f t="shared" si="242"/>
        <v>0</v>
      </c>
      <c r="GG145" s="114">
        <f t="shared" si="242"/>
        <v>0</v>
      </c>
      <c r="GH145" s="114">
        <f t="shared" si="242"/>
        <v>0</v>
      </c>
      <c r="GI145" s="114">
        <f t="shared" si="242"/>
        <v>0</v>
      </c>
      <c r="GJ145" s="115">
        <f t="shared" si="199"/>
        <v>0</v>
      </c>
      <c r="GK145" s="114">
        <f t="shared" si="220"/>
        <v>0</v>
      </c>
      <c r="GL145" s="114">
        <f t="shared" si="221"/>
        <v>0</v>
      </c>
      <c r="GM145" s="114">
        <f t="shared" si="222"/>
        <v>0</v>
      </c>
      <c r="GN145" s="114">
        <f t="shared" si="223"/>
        <v>0</v>
      </c>
      <c r="GO145" s="114">
        <f t="shared" si="224"/>
        <v>0</v>
      </c>
      <c r="GP145" s="114">
        <f t="shared" si="200"/>
        <v>0</v>
      </c>
      <c r="GQ145" s="114">
        <f t="shared" si="225"/>
        <v>0</v>
      </c>
      <c r="GR145" s="193"/>
      <c r="GS145" s="122">
        <f t="shared" si="202"/>
        <v>44739716.438870877</v>
      </c>
      <c r="GT145" s="122">
        <f t="shared" si="202"/>
        <v>66367521.7678243</v>
      </c>
      <c r="GU145" s="123">
        <f t="shared" si="226"/>
        <v>0.67412064285578277</v>
      </c>
      <c r="GV145" s="124">
        <f t="shared" ca="1" si="227"/>
        <v>0</v>
      </c>
      <c r="GW145" s="124">
        <v>0</v>
      </c>
      <c r="GX145" s="32">
        <f t="shared" ca="1" si="228"/>
        <v>0</v>
      </c>
      <c r="GY145" s="100"/>
    </row>
    <row r="146" spans="3:207" s="408" customFormat="1" hidden="1">
      <c r="C146" s="402"/>
      <c r="D146" s="402"/>
      <c r="E146" s="403"/>
      <c r="F146" s="403" t="s">
        <v>720</v>
      </c>
      <c r="G146" s="403" t="s">
        <v>226</v>
      </c>
      <c r="H146" s="105" t="s">
        <v>579</v>
      </c>
      <c r="I146" s="403" t="s">
        <v>612</v>
      </c>
      <c r="J146" s="403" t="s">
        <v>212</v>
      </c>
      <c r="K146" s="403" t="s">
        <v>544</v>
      </c>
      <c r="L146" s="403"/>
      <c r="M146" s="403"/>
      <c r="N146" s="404"/>
      <c r="O146" s="108">
        <v>40725</v>
      </c>
      <c r="P146" s="108">
        <v>40725</v>
      </c>
      <c r="Q146" s="323">
        <f t="shared" si="207"/>
        <v>0</v>
      </c>
      <c r="R146" s="109">
        <f>IF((P146-VLOOKUP(Q146,month!$A$1:$C$13,3,0))&lt;0,Q146,Q146+1)</f>
        <v>0</v>
      </c>
      <c r="S146" s="108"/>
      <c r="T146" s="110" t="str">
        <f t="shared" si="243"/>
        <v/>
      </c>
      <c r="U146" s="404"/>
      <c r="V146" s="404"/>
      <c r="W146" s="405"/>
      <c r="X146" s="405"/>
      <c r="Y146" s="492"/>
      <c r="Z146" s="406" t="s">
        <v>545</v>
      </c>
      <c r="AA146" s="394">
        <v>1000</v>
      </c>
      <c r="AB146" s="394">
        <v>1000</v>
      </c>
      <c r="AC146" s="394">
        <v>1000</v>
      </c>
      <c r="AD146" s="394">
        <v>1000</v>
      </c>
      <c r="AE146" s="394">
        <v>1000</v>
      </c>
      <c r="AF146" s="394">
        <v>1000</v>
      </c>
      <c r="AG146" s="394">
        <v>1000</v>
      </c>
      <c r="AH146" s="394">
        <v>1000</v>
      </c>
      <c r="AI146" s="394">
        <v>1000</v>
      </c>
      <c r="AJ146" s="394">
        <v>1000</v>
      </c>
      <c r="AK146" s="394">
        <v>1000</v>
      </c>
      <c r="AL146" s="394">
        <v>1000</v>
      </c>
      <c r="AM146" s="388">
        <f t="shared" si="185"/>
        <v>12000</v>
      </c>
      <c r="AN146" s="388">
        <f t="shared" si="208"/>
        <v>12000</v>
      </c>
      <c r="AO146" s="389">
        <f t="shared" si="206"/>
        <v>1000</v>
      </c>
      <c r="AP146" s="502" t="s">
        <v>756</v>
      </c>
      <c r="AQ146" s="159">
        <v>0.5</v>
      </c>
      <c r="AR146" s="103" t="s">
        <v>211</v>
      </c>
      <c r="AS146" s="119" t="s">
        <v>210</v>
      </c>
      <c r="AT146" s="111">
        <v>504161.38989628456</v>
      </c>
      <c r="AU146" s="111">
        <v>544456.44005483075</v>
      </c>
      <c r="AV146" s="111">
        <v>537670.17740668193</v>
      </c>
      <c r="AW146" s="111">
        <v>660845.67363906</v>
      </c>
      <c r="AX146" s="113">
        <v>765647.4</v>
      </c>
      <c r="AY146" s="113">
        <v>664854.36929999897</v>
      </c>
      <c r="AZ146" s="113">
        <v>526957.68999999994</v>
      </c>
      <c r="BA146" s="113"/>
      <c r="BB146" s="113"/>
      <c r="BC146" s="113"/>
      <c r="BD146" s="113"/>
      <c r="BE146" s="113"/>
      <c r="BF146" s="114">
        <f t="shared" si="186"/>
        <v>765647.4</v>
      </c>
      <c r="BG146" s="114">
        <f t="shared" si="186"/>
        <v>664854.36929999897</v>
      </c>
      <c r="BH146" s="114">
        <f t="shared" si="186"/>
        <v>526957.68999999994</v>
      </c>
      <c r="BI146" s="114">
        <f t="shared" si="186"/>
        <v>0</v>
      </c>
      <c r="BJ146" s="114">
        <f t="shared" si="193"/>
        <v>1957459.4592999988</v>
      </c>
      <c r="BK146" s="115">
        <f t="shared" si="229"/>
        <v>2247133.6809968576</v>
      </c>
      <c r="BL146" s="115">
        <f t="shared" si="230"/>
        <v>2247133.6809968576</v>
      </c>
      <c r="BM146" s="116">
        <f t="shared" si="231"/>
        <v>0.87109999999999999</v>
      </c>
      <c r="BN146" s="126">
        <f t="shared" ca="1" si="174"/>
        <v>0</v>
      </c>
      <c r="BO146" s="117">
        <f t="shared" ca="1" si="175"/>
        <v>0</v>
      </c>
      <c r="BP146" s="118" t="str">
        <f t="shared" si="176"/>
        <v>Uncapped</v>
      </c>
      <c r="BQ146" s="115">
        <f t="shared" ca="1" si="209"/>
        <v>0</v>
      </c>
      <c r="BR146" s="174" t="s">
        <v>754</v>
      </c>
      <c r="BS146" s="175">
        <v>0.3</v>
      </c>
      <c r="BT146" s="174" t="s">
        <v>211</v>
      </c>
      <c r="BU146" s="174" t="s">
        <v>210</v>
      </c>
      <c r="BV146" s="113">
        <v>2958804.8870903947</v>
      </c>
      <c r="BW146" s="113">
        <v>3378333.3416459896</v>
      </c>
      <c r="BX146" s="113">
        <v>3377554.3984387857</v>
      </c>
      <c r="BY146" s="113">
        <v>3421297.040402459</v>
      </c>
      <c r="BZ146" s="113">
        <v>3757688.29</v>
      </c>
      <c r="CA146" s="113">
        <v>3406260</v>
      </c>
      <c r="CB146" s="113">
        <v>2601907.5471000001</v>
      </c>
      <c r="CC146" s="113"/>
      <c r="CD146" s="113"/>
      <c r="CE146" s="113"/>
      <c r="CF146" s="113"/>
      <c r="CG146" s="113"/>
      <c r="CH146" s="114">
        <f t="shared" si="187"/>
        <v>3757688.29</v>
      </c>
      <c r="CI146" s="114">
        <f t="shared" si="187"/>
        <v>3406260</v>
      </c>
      <c r="CJ146" s="120">
        <f t="shared" si="187"/>
        <v>2601907.5471000001</v>
      </c>
      <c r="CK146" s="114">
        <f t="shared" si="187"/>
        <v>0</v>
      </c>
      <c r="CL146" s="114">
        <f t="shared" si="194"/>
        <v>9765855.8370999992</v>
      </c>
      <c r="CM146" s="114">
        <f t="shared" si="188"/>
        <v>13135989.667577628</v>
      </c>
      <c r="CN146" s="114">
        <f t="shared" si="189"/>
        <v>13135989.667577628</v>
      </c>
      <c r="CO146" s="116">
        <f t="shared" si="232"/>
        <v>0.74339999999999995</v>
      </c>
      <c r="CP146" s="126">
        <f t="shared" ca="1" si="233"/>
        <v>0</v>
      </c>
      <c r="CQ146" s="115">
        <f t="shared" ca="1" si="210"/>
        <v>0</v>
      </c>
      <c r="CR146" s="118" t="str">
        <f t="shared" si="234"/>
        <v>Uncapped</v>
      </c>
      <c r="CS146" s="115">
        <f t="shared" ca="1" si="211"/>
        <v>0</v>
      </c>
      <c r="CT146" s="113" t="s">
        <v>729</v>
      </c>
      <c r="CU146" s="119">
        <v>0.2</v>
      </c>
      <c r="CV146" s="113" t="s">
        <v>217</v>
      </c>
      <c r="CW146" s="113" t="s">
        <v>210</v>
      </c>
      <c r="CX146" s="113">
        <v>13631298.3753272</v>
      </c>
      <c r="CY146" s="113">
        <v>15463517.626933601</v>
      </c>
      <c r="CZ146" s="113">
        <v>15159650.061351301</v>
      </c>
      <c r="DA146" s="113">
        <v>16523055.704212198</v>
      </c>
      <c r="DB146" s="113">
        <v>13485327.436090879</v>
      </c>
      <c r="DC146" s="113">
        <v>13198691</v>
      </c>
      <c r="DD146" s="113">
        <v>13923765.347779993</v>
      </c>
      <c r="DE146" s="113"/>
      <c r="DF146" s="113"/>
      <c r="DG146" s="113"/>
      <c r="DH146" s="113"/>
      <c r="DI146" s="113"/>
      <c r="DJ146" s="114">
        <f t="shared" si="190"/>
        <v>13485327.436090879</v>
      </c>
      <c r="DK146" s="114">
        <f t="shared" si="190"/>
        <v>13198691</v>
      </c>
      <c r="DL146" s="114">
        <f t="shared" si="190"/>
        <v>13923765.347779993</v>
      </c>
      <c r="DM146" s="114">
        <f t="shared" si="190"/>
        <v>0</v>
      </c>
      <c r="DN146" s="114">
        <f t="shared" si="168"/>
        <v>40607783.783870876</v>
      </c>
      <c r="DO146" s="114">
        <f t="shared" si="195"/>
        <v>60777521.7678243</v>
      </c>
      <c r="DP146" s="114">
        <f t="shared" si="201"/>
        <v>60777521.7678243</v>
      </c>
      <c r="DQ146" s="116">
        <f t="shared" si="235"/>
        <v>0.66810000000000003</v>
      </c>
      <c r="DR146" s="126">
        <f t="shared" ca="1" si="212"/>
        <v>0</v>
      </c>
      <c r="DS146" s="115">
        <f t="shared" ca="1" si="213"/>
        <v>0</v>
      </c>
      <c r="DT146" s="118" t="str">
        <f t="shared" si="236"/>
        <v>Uncapped</v>
      </c>
      <c r="DU146" s="115">
        <f t="shared" ca="1" si="214"/>
        <v>0</v>
      </c>
      <c r="DV146" s="113"/>
      <c r="DW146" s="119">
        <v>0</v>
      </c>
      <c r="DX146" s="113"/>
      <c r="DY146" s="113"/>
      <c r="DZ146" s="113">
        <v>0</v>
      </c>
      <c r="EA146" s="113">
        <v>0</v>
      </c>
      <c r="EB146" s="113">
        <v>0</v>
      </c>
      <c r="EC146" s="113">
        <v>0</v>
      </c>
      <c r="ED146" s="113">
        <v>0</v>
      </c>
      <c r="EE146" s="113">
        <v>0</v>
      </c>
      <c r="EF146" s="113"/>
      <c r="EG146" s="113"/>
      <c r="EH146" s="113"/>
      <c r="EI146" s="113"/>
      <c r="EJ146" s="113"/>
      <c r="EK146" s="113"/>
      <c r="EL146" s="114">
        <f t="shared" si="191"/>
        <v>0</v>
      </c>
      <c r="EM146" s="114">
        <f t="shared" si="191"/>
        <v>0</v>
      </c>
      <c r="EN146" s="114">
        <f t="shared" si="191"/>
        <v>0</v>
      </c>
      <c r="EO146" s="114">
        <f t="shared" si="191"/>
        <v>0</v>
      </c>
      <c r="EP146" s="114">
        <f t="shared" si="215"/>
        <v>0</v>
      </c>
      <c r="EQ146" s="114">
        <f t="shared" si="196"/>
        <v>0</v>
      </c>
      <c r="ER146" s="114">
        <f t="shared" si="192"/>
        <v>0</v>
      </c>
      <c r="ES146" s="116">
        <f t="shared" si="237"/>
        <v>0</v>
      </c>
      <c r="ET146" s="126">
        <f t="shared" ca="1" si="238"/>
        <v>0</v>
      </c>
      <c r="EU146" s="115">
        <f t="shared" ca="1" si="216"/>
        <v>0</v>
      </c>
      <c r="EV146" s="118" t="str">
        <f t="shared" si="217"/>
        <v>Uncapped</v>
      </c>
      <c r="EW146" s="115">
        <f t="shared" ca="1" si="218"/>
        <v>0</v>
      </c>
      <c r="EX146" s="112">
        <f t="shared" ca="1" si="219"/>
        <v>0</v>
      </c>
      <c r="EY146" s="114">
        <f t="shared" ca="1" si="239"/>
        <v>0</v>
      </c>
      <c r="EZ146" s="115">
        <v>62480</v>
      </c>
      <c r="FA146" s="115"/>
      <c r="FB146" s="115"/>
      <c r="FC146" s="115">
        <v>0</v>
      </c>
      <c r="FD146" s="115">
        <f t="shared" si="197"/>
        <v>62480</v>
      </c>
      <c r="FE146" s="114">
        <f t="shared" si="177"/>
        <v>0</v>
      </c>
      <c r="FF146" s="115">
        <v>0</v>
      </c>
      <c r="FG146" s="115">
        <v>0</v>
      </c>
      <c r="FH146" s="115">
        <v>0</v>
      </c>
      <c r="FI146" s="115">
        <v>0</v>
      </c>
      <c r="FJ146" s="115">
        <f t="shared" si="198"/>
        <v>0</v>
      </c>
      <c r="FK146" s="114">
        <f t="shared" si="178"/>
        <v>0</v>
      </c>
      <c r="FL146" s="113"/>
      <c r="FM146" s="111"/>
      <c r="FN146" s="111"/>
      <c r="FO146" s="111"/>
      <c r="FP146" s="115">
        <f t="shared" si="203"/>
        <v>0</v>
      </c>
      <c r="FQ146" s="115"/>
      <c r="FR146" s="115"/>
      <c r="FS146" s="115"/>
      <c r="FT146" s="114">
        <f t="shared" si="240"/>
        <v>0</v>
      </c>
      <c r="FU146" s="366">
        <f t="shared" ca="1" si="244"/>
        <v>62480</v>
      </c>
      <c r="FV146" s="121">
        <f t="shared" ca="1" si="241"/>
        <v>62480</v>
      </c>
      <c r="FW146" s="114">
        <f t="shared" si="204"/>
        <v>0</v>
      </c>
      <c r="FX146" s="114">
        <f t="shared" si="204"/>
        <v>0</v>
      </c>
      <c r="FY146" s="114">
        <f t="shared" si="204"/>
        <v>0</v>
      </c>
      <c r="FZ146" s="114">
        <f t="shared" si="204"/>
        <v>0</v>
      </c>
      <c r="GA146" s="114">
        <f t="shared" si="183"/>
        <v>0</v>
      </c>
      <c r="GB146" s="114">
        <f t="shared" si="205"/>
        <v>62480</v>
      </c>
      <c r="GC146" s="114">
        <f t="shared" si="205"/>
        <v>0</v>
      </c>
      <c r="GD146" s="114">
        <f t="shared" si="205"/>
        <v>0</v>
      </c>
      <c r="GE146" s="114">
        <f t="shared" si="205"/>
        <v>0</v>
      </c>
      <c r="GF146" s="114">
        <f t="shared" si="242"/>
        <v>62480</v>
      </c>
      <c r="GG146" s="114">
        <f t="shared" si="242"/>
        <v>0</v>
      </c>
      <c r="GH146" s="114">
        <f t="shared" si="242"/>
        <v>0</v>
      </c>
      <c r="GI146" s="114">
        <f t="shared" si="242"/>
        <v>0</v>
      </c>
      <c r="GJ146" s="115">
        <f t="shared" si="199"/>
        <v>62480</v>
      </c>
      <c r="GK146" s="114">
        <f t="shared" si="220"/>
        <v>62480</v>
      </c>
      <c r="GL146" s="114">
        <f t="shared" si="221"/>
        <v>0</v>
      </c>
      <c r="GM146" s="114">
        <f t="shared" si="222"/>
        <v>0</v>
      </c>
      <c r="GN146" s="114">
        <f t="shared" si="223"/>
        <v>0</v>
      </c>
      <c r="GO146" s="114">
        <f t="shared" si="224"/>
        <v>0</v>
      </c>
      <c r="GP146" s="114">
        <f t="shared" si="200"/>
        <v>0</v>
      </c>
      <c r="GQ146" s="114">
        <f t="shared" si="225"/>
        <v>0</v>
      </c>
      <c r="GR146" s="193"/>
      <c r="GS146" s="122">
        <f t="shared" si="202"/>
        <v>52331099.080270872</v>
      </c>
      <c r="GT146" s="122">
        <f t="shared" si="202"/>
        <v>76160645.116398782</v>
      </c>
      <c r="GU146" s="123">
        <f t="shared" si="226"/>
        <v>0.68711470340477754</v>
      </c>
      <c r="GV146" s="124">
        <f t="shared" ca="1" si="227"/>
        <v>0</v>
      </c>
      <c r="GW146" s="124">
        <v>0</v>
      </c>
      <c r="GX146" s="32">
        <f t="shared" ca="1" si="228"/>
        <v>0</v>
      </c>
      <c r="GY146" s="100"/>
    </row>
    <row r="147" spans="3:207" s="408" customFormat="1" hidden="1">
      <c r="C147" s="402"/>
      <c r="D147" s="402"/>
      <c r="E147" s="403"/>
      <c r="F147" s="403" t="s">
        <v>720</v>
      </c>
      <c r="G147" s="403" t="s">
        <v>226</v>
      </c>
      <c r="H147" s="105" t="s">
        <v>580</v>
      </c>
      <c r="I147" s="403" t="s">
        <v>613</v>
      </c>
      <c r="J147" s="403" t="s">
        <v>615</v>
      </c>
      <c r="K147" s="403" t="s">
        <v>544</v>
      </c>
      <c r="L147" s="403"/>
      <c r="M147" s="403"/>
      <c r="N147" s="404"/>
      <c r="O147" s="108">
        <v>40970</v>
      </c>
      <c r="P147" s="108">
        <v>40970</v>
      </c>
      <c r="Q147" s="323">
        <f t="shared" si="207"/>
        <v>0</v>
      </c>
      <c r="R147" s="109">
        <f>IF((P147-VLOOKUP(Q147,month!$A$1:$C$13,3,0))&lt;0,Q147,Q147+1)</f>
        <v>0</v>
      </c>
      <c r="S147" s="108"/>
      <c r="T147" s="110" t="str">
        <f t="shared" si="243"/>
        <v/>
      </c>
      <c r="U147" s="404"/>
      <c r="V147" s="404"/>
      <c r="W147" s="405"/>
      <c r="X147" s="405"/>
      <c r="Y147" s="492"/>
      <c r="Z147" s="406" t="s">
        <v>545</v>
      </c>
      <c r="AA147" s="394">
        <v>1000</v>
      </c>
      <c r="AB147" s="394">
        <v>1000</v>
      </c>
      <c r="AC147" s="394">
        <v>1000</v>
      </c>
      <c r="AD147" s="394">
        <v>1000</v>
      </c>
      <c r="AE147" s="394">
        <v>1000</v>
      </c>
      <c r="AF147" s="394">
        <v>1000</v>
      </c>
      <c r="AG147" s="394">
        <v>1000</v>
      </c>
      <c r="AH147" s="394">
        <v>1000</v>
      </c>
      <c r="AI147" s="394">
        <v>1000</v>
      </c>
      <c r="AJ147" s="394">
        <v>1000</v>
      </c>
      <c r="AK147" s="394">
        <v>1000</v>
      </c>
      <c r="AL147" s="394">
        <v>1000</v>
      </c>
      <c r="AM147" s="388">
        <f t="shared" si="185"/>
        <v>12000</v>
      </c>
      <c r="AN147" s="388">
        <f t="shared" si="208"/>
        <v>12000</v>
      </c>
      <c r="AO147" s="389">
        <f t="shared" si="206"/>
        <v>1000</v>
      </c>
      <c r="AP147" s="502" t="s">
        <v>739</v>
      </c>
      <c r="AQ147" s="159">
        <v>0.5</v>
      </c>
      <c r="AR147" s="103" t="s">
        <v>211</v>
      </c>
      <c r="AS147" s="119" t="s">
        <v>210</v>
      </c>
      <c r="AT147" s="111">
        <v>1817911.2699174744</v>
      </c>
      <c r="AU147" s="111">
        <v>1963207.6517371542</v>
      </c>
      <c r="AV147" s="111">
        <v>1938737.6633645268</v>
      </c>
      <c r="AW147" s="111">
        <v>2382885.3654021272</v>
      </c>
      <c r="AX147" s="113">
        <v>583092.06000000006</v>
      </c>
      <c r="AY147" s="113">
        <v>530043.22000000009</v>
      </c>
      <c r="AZ147" s="113">
        <v>1308417.72</v>
      </c>
      <c r="BA147" s="113"/>
      <c r="BB147" s="113"/>
      <c r="BC147" s="113"/>
      <c r="BD147" s="113"/>
      <c r="BE147" s="113"/>
      <c r="BF147" s="114">
        <f t="shared" si="186"/>
        <v>583092.06000000006</v>
      </c>
      <c r="BG147" s="114">
        <f t="shared" si="186"/>
        <v>530043.22000000009</v>
      </c>
      <c r="BH147" s="114">
        <f t="shared" si="186"/>
        <v>1308417.72</v>
      </c>
      <c r="BI147" s="114">
        <f t="shared" si="186"/>
        <v>0</v>
      </c>
      <c r="BJ147" s="114">
        <f t="shared" si="193"/>
        <v>2421553</v>
      </c>
      <c r="BK147" s="115">
        <f t="shared" si="229"/>
        <v>8102741.950421283</v>
      </c>
      <c r="BL147" s="115">
        <f t="shared" si="230"/>
        <v>8102741.950421283</v>
      </c>
      <c r="BM147" s="116">
        <f t="shared" si="231"/>
        <v>0.2989</v>
      </c>
      <c r="BN147" s="126">
        <f t="shared" ca="1" si="174"/>
        <v>0</v>
      </c>
      <c r="BO147" s="117">
        <f t="shared" ca="1" si="175"/>
        <v>0</v>
      </c>
      <c r="BP147" s="118" t="str">
        <f t="shared" si="176"/>
        <v>Uncapped</v>
      </c>
      <c r="BQ147" s="115">
        <f t="shared" ca="1" si="209"/>
        <v>0</v>
      </c>
      <c r="BR147" s="174" t="s">
        <v>761</v>
      </c>
      <c r="BS147" s="175">
        <v>0.3</v>
      </c>
      <c r="BT147" s="174" t="s">
        <v>211</v>
      </c>
      <c r="BU147" s="174" t="s">
        <v>210</v>
      </c>
      <c r="BV147" s="113">
        <v>23000</v>
      </c>
      <c r="BW147" s="113">
        <v>144250</v>
      </c>
      <c r="BX147" s="113">
        <v>201949.99999999997</v>
      </c>
      <c r="BY147" s="113">
        <v>230800</v>
      </c>
      <c r="BZ147" s="113">
        <v>22269.17</v>
      </c>
      <c r="CA147" s="113">
        <v>154523.45499999996</v>
      </c>
      <c r="CB147" s="113">
        <v>158652.35999999999</v>
      </c>
      <c r="CC147" s="113"/>
      <c r="CD147" s="113"/>
      <c r="CE147" s="113"/>
      <c r="CF147" s="113"/>
      <c r="CG147" s="113"/>
      <c r="CH147" s="114">
        <f t="shared" si="187"/>
        <v>22269.17</v>
      </c>
      <c r="CI147" s="114">
        <f t="shared" si="187"/>
        <v>154523.45499999996</v>
      </c>
      <c r="CJ147" s="120">
        <f t="shared" si="187"/>
        <v>158652.35999999999</v>
      </c>
      <c r="CK147" s="114">
        <f t="shared" si="187"/>
        <v>0</v>
      </c>
      <c r="CL147" s="114">
        <f t="shared" si="194"/>
        <v>335444.98499999993</v>
      </c>
      <c r="CM147" s="114">
        <f t="shared" si="188"/>
        <v>600000</v>
      </c>
      <c r="CN147" s="114">
        <f t="shared" si="189"/>
        <v>600000</v>
      </c>
      <c r="CO147" s="116">
        <f t="shared" si="232"/>
        <v>0.55910000000000004</v>
      </c>
      <c r="CP147" s="126">
        <f t="shared" ca="1" si="233"/>
        <v>0</v>
      </c>
      <c r="CQ147" s="115">
        <f t="shared" ca="1" si="210"/>
        <v>0</v>
      </c>
      <c r="CR147" s="118" t="str">
        <f t="shared" si="234"/>
        <v>Uncapped</v>
      </c>
      <c r="CS147" s="115">
        <f t="shared" ca="1" si="211"/>
        <v>0</v>
      </c>
      <c r="CT147" s="113" t="s">
        <v>729</v>
      </c>
      <c r="CU147" s="119">
        <v>0.2</v>
      </c>
      <c r="CV147" s="113" t="s">
        <v>217</v>
      </c>
      <c r="CW147" s="113" t="s">
        <v>210</v>
      </c>
      <c r="CX147" s="113">
        <v>13631298.3753272</v>
      </c>
      <c r="CY147" s="113">
        <v>15463517.626933601</v>
      </c>
      <c r="CZ147" s="113">
        <v>15159650.061351301</v>
      </c>
      <c r="DA147" s="113">
        <v>16523055.704212198</v>
      </c>
      <c r="DB147" s="113">
        <v>13485327.436090879</v>
      </c>
      <c r="DC147" s="113">
        <v>13198691</v>
      </c>
      <c r="DD147" s="113">
        <v>13923765.347779993</v>
      </c>
      <c r="DE147" s="113"/>
      <c r="DF147" s="113"/>
      <c r="DG147" s="113"/>
      <c r="DH147" s="113"/>
      <c r="DI147" s="113"/>
      <c r="DJ147" s="114">
        <f t="shared" si="190"/>
        <v>13485327.436090879</v>
      </c>
      <c r="DK147" s="114">
        <f t="shared" si="190"/>
        <v>13198691</v>
      </c>
      <c r="DL147" s="114">
        <f t="shared" si="190"/>
        <v>13923765.347779993</v>
      </c>
      <c r="DM147" s="114">
        <f t="shared" si="190"/>
        <v>0</v>
      </c>
      <c r="DN147" s="114">
        <f t="shared" si="168"/>
        <v>40607783.783870876</v>
      </c>
      <c r="DO147" s="114">
        <f t="shared" si="195"/>
        <v>60777521.7678243</v>
      </c>
      <c r="DP147" s="114">
        <f t="shared" si="201"/>
        <v>60777521.7678243</v>
      </c>
      <c r="DQ147" s="116">
        <f t="shared" si="235"/>
        <v>0.66810000000000003</v>
      </c>
      <c r="DR147" s="126">
        <f t="shared" ca="1" si="212"/>
        <v>0</v>
      </c>
      <c r="DS147" s="115">
        <f t="shared" ca="1" si="213"/>
        <v>0</v>
      </c>
      <c r="DT147" s="118" t="str">
        <f t="shared" si="236"/>
        <v>Uncapped</v>
      </c>
      <c r="DU147" s="115">
        <f t="shared" ca="1" si="214"/>
        <v>0</v>
      </c>
      <c r="DV147" s="113"/>
      <c r="DW147" s="119">
        <v>0</v>
      </c>
      <c r="DX147" s="113"/>
      <c r="DY147" s="113"/>
      <c r="DZ147" s="113">
        <v>0</v>
      </c>
      <c r="EA147" s="113">
        <v>0</v>
      </c>
      <c r="EB147" s="113">
        <v>0</v>
      </c>
      <c r="EC147" s="113">
        <v>0</v>
      </c>
      <c r="ED147" s="113">
        <v>0</v>
      </c>
      <c r="EE147" s="113">
        <v>0</v>
      </c>
      <c r="EF147" s="113"/>
      <c r="EG147" s="113"/>
      <c r="EH147" s="113"/>
      <c r="EI147" s="113"/>
      <c r="EJ147" s="113"/>
      <c r="EK147" s="113"/>
      <c r="EL147" s="114">
        <f t="shared" si="191"/>
        <v>0</v>
      </c>
      <c r="EM147" s="114">
        <f t="shared" si="191"/>
        <v>0</v>
      </c>
      <c r="EN147" s="114">
        <f t="shared" si="191"/>
        <v>0</v>
      </c>
      <c r="EO147" s="114">
        <f t="shared" si="191"/>
        <v>0</v>
      </c>
      <c r="EP147" s="114">
        <f t="shared" si="215"/>
        <v>0</v>
      </c>
      <c r="EQ147" s="114">
        <f t="shared" si="196"/>
        <v>0</v>
      </c>
      <c r="ER147" s="114">
        <f t="shared" si="192"/>
        <v>0</v>
      </c>
      <c r="ES147" s="116">
        <f t="shared" si="237"/>
        <v>0</v>
      </c>
      <c r="ET147" s="126">
        <f t="shared" ca="1" si="238"/>
        <v>0</v>
      </c>
      <c r="EU147" s="115">
        <f t="shared" ca="1" si="216"/>
        <v>0</v>
      </c>
      <c r="EV147" s="118" t="str">
        <f t="shared" si="217"/>
        <v>Uncapped</v>
      </c>
      <c r="EW147" s="115">
        <f t="shared" ca="1" si="218"/>
        <v>0</v>
      </c>
      <c r="EX147" s="112">
        <f t="shared" ca="1" si="219"/>
        <v>0</v>
      </c>
      <c r="EY147" s="114">
        <f t="shared" ca="1" si="239"/>
        <v>0</v>
      </c>
      <c r="EZ147" s="115">
        <v>0</v>
      </c>
      <c r="FA147" s="115">
        <v>225000</v>
      </c>
      <c r="FB147" s="115">
        <v>7599307</v>
      </c>
      <c r="FC147" s="115">
        <v>0</v>
      </c>
      <c r="FD147" s="115">
        <f t="shared" si="197"/>
        <v>7824307</v>
      </c>
      <c r="FE147" s="114">
        <f t="shared" si="177"/>
        <v>0</v>
      </c>
      <c r="FF147" s="115">
        <v>0</v>
      </c>
      <c r="FG147" s="115">
        <v>0</v>
      </c>
      <c r="FH147" s="115">
        <v>0</v>
      </c>
      <c r="FI147" s="115">
        <v>0</v>
      </c>
      <c r="FJ147" s="115">
        <f t="shared" si="198"/>
        <v>0</v>
      </c>
      <c r="FK147" s="114">
        <f t="shared" si="178"/>
        <v>0</v>
      </c>
      <c r="FL147" s="113"/>
      <c r="FM147" s="111"/>
      <c r="FN147" s="111"/>
      <c r="FO147" s="111"/>
      <c r="FP147" s="115">
        <f t="shared" si="203"/>
        <v>0</v>
      </c>
      <c r="FQ147" s="115"/>
      <c r="FR147" s="488"/>
      <c r="FS147" s="115"/>
      <c r="FT147" s="114">
        <f t="shared" si="240"/>
        <v>0</v>
      </c>
      <c r="FU147" s="366">
        <f t="shared" ca="1" si="244"/>
        <v>7824307</v>
      </c>
      <c r="FV147" s="121">
        <f t="shared" ca="1" si="241"/>
        <v>7824307</v>
      </c>
      <c r="FW147" s="114">
        <f t="shared" si="204"/>
        <v>0</v>
      </c>
      <c r="FX147" s="114">
        <f t="shared" si="204"/>
        <v>0</v>
      </c>
      <c r="FY147" s="114">
        <f t="shared" si="204"/>
        <v>0</v>
      </c>
      <c r="FZ147" s="114">
        <f t="shared" si="204"/>
        <v>0</v>
      </c>
      <c r="GA147" s="114">
        <f t="shared" si="183"/>
        <v>0</v>
      </c>
      <c r="GB147" s="114">
        <f t="shared" si="205"/>
        <v>0</v>
      </c>
      <c r="GC147" s="114">
        <f t="shared" si="205"/>
        <v>225000</v>
      </c>
      <c r="GD147" s="114">
        <f t="shared" si="205"/>
        <v>7599307</v>
      </c>
      <c r="GE147" s="114">
        <f t="shared" si="205"/>
        <v>0</v>
      </c>
      <c r="GF147" s="114">
        <f t="shared" si="242"/>
        <v>0</v>
      </c>
      <c r="GG147" s="114">
        <f t="shared" si="242"/>
        <v>225000</v>
      </c>
      <c r="GH147" s="114">
        <f t="shared" si="242"/>
        <v>7599307</v>
      </c>
      <c r="GI147" s="114">
        <f t="shared" si="242"/>
        <v>0</v>
      </c>
      <c r="GJ147" s="115">
        <f t="shared" si="199"/>
        <v>7824307</v>
      </c>
      <c r="GK147" s="114">
        <f t="shared" si="220"/>
        <v>7824307</v>
      </c>
      <c r="GL147" s="114">
        <f t="shared" si="221"/>
        <v>0</v>
      </c>
      <c r="GM147" s="114">
        <f t="shared" si="222"/>
        <v>0</v>
      </c>
      <c r="GN147" s="114">
        <f t="shared" si="223"/>
        <v>0</v>
      </c>
      <c r="GO147" s="114">
        <f t="shared" si="224"/>
        <v>0</v>
      </c>
      <c r="GP147" s="114">
        <f t="shared" si="200"/>
        <v>0</v>
      </c>
      <c r="GQ147" s="114">
        <f t="shared" si="225"/>
        <v>0</v>
      </c>
      <c r="GR147" s="193"/>
      <c r="GS147" s="122">
        <f t="shared" si="202"/>
        <v>43364781.768870875</v>
      </c>
      <c r="GT147" s="122">
        <f t="shared" si="202"/>
        <v>69480263.718245581</v>
      </c>
      <c r="GU147" s="123">
        <f t="shared" si="226"/>
        <v>0.62413093227052974</v>
      </c>
      <c r="GV147" s="124">
        <f t="shared" ca="1" si="227"/>
        <v>0</v>
      </c>
      <c r="GW147" s="124">
        <v>0</v>
      </c>
      <c r="GX147" s="32">
        <f t="shared" ca="1" si="228"/>
        <v>0</v>
      </c>
      <c r="GY147" s="100"/>
    </row>
    <row r="148" spans="3:207" s="408" customFormat="1" hidden="1">
      <c r="C148" s="402"/>
      <c r="D148" s="402"/>
      <c r="E148" s="403"/>
      <c r="F148" s="403" t="s">
        <v>720</v>
      </c>
      <c r="G148" s="403" t="s">
        <v>226</v>
      </c>
      <c r="H148" s="105" t="s">
        <v>581</v>
      </c>
      <c r="I148" s="404" t="s">
        <v>614</v>
      </c>
      <c r="J148" s="403" t="s">
        <v>212</v>
      </c>
      <c r="K148" s="403" t="s">
        <v>544</v>
      </c>
      <c r="L148" s="403"/>
      <c r="M148" s="403"/>
      <c r="N148" s="404"/>
      <c r="O148" s="108">
        <v>41141</v>
      </c>
      <c r="P148" s="108">
        <v>41141</v>
      </c>
      <c r="Q148" s="323">
        <f t="shared" si="207"/>
        <v>0</v>
      </c>
      <c r="R148" s="109">
        <f>IF((P148-VLOOKUP(Q148,month!$A$1:$C$13,3,0))&lt;0,Q148,Q148+1)</f>
        <v>0</v>
      </c>
      <c r="S148" s="108"/>
      <c r="T148" s="110" t="str">
        <f t="shared" si="243"/>
        <v/>
      </c>
      <c r="U148" s="404"/>
      <c r="V148" s="404"/>
      <c r="W148" s="405"/>
      <c r="X148" s="405"/>
      <c r="Y148" s="492"/>
      <c r="Z148" s="406" t="s">
        <v>545</v>
      </c>
      <c r="AA148" s="394">
        <v>1000</v>
      </c>
      <c r="AB148" s="394">
        <v>1000</v>
      </c>
      <c r="AC148" s="394">
        <v>1000</v>
      </c>
      <c r="AD148" s="394">
        <v>1000</v>
      </c>
      <c r="AE148" s="394">
        <v>1000</v>
      </c>
      <c r="AF148" s="394">
        <v>1000</v>
      </c>
      <c r="AG148" s="394">
        <v>1000</v>
      </c>
      <c r="AH148" s="394">
        <v>1000</v>
      </c>
      <c r="AI148" s="394">
        <v>1000</v>
      </c>
      <c r="AJ148" s="394">
        <v>1000</v>
      </c>
      <c r="AK148" s="394">
        <v>1000</v>
      </c>
      <c r="AL148" s="394">
        <v>1000</v>
      </c>
      <c r="AM148" s="388">
        <f t="shared" si="185"/>
        <v>12000</v>
      </c>
      <c r="AN148" s="388">
        <f t="shared" si="208"/>
        <v>12000</v>
      </c>
      <c r="AO148" s="389">
        <f t="shared" si="206"/>
        <v>1000</v>
      </c>
      <c r="AP148" s="502" t="s">
        <v>750</v>
      </c>
      <c r="AQ148" s="159">
        <v>0.5</v>
      </c>
      <c r="AR148" s="103" t="s">
        <v>211</v>
      </c>
      <c r="AS148" s="119" t="s">
        <v>210</v>
      </c>
      <c r="AT148" s="111">
        <v>720887.91968241916</v>
      </c>
      <c r="AU148" s="111">
        <v>784595.67437440774</v>
      </c>
      <c r="AV148" s="111">
        <v>746491.73576980887</v>
      </c>
      <c r="AW148" s="111">
        <v>808196.19358136377</v>
      </c>
      <c r="AX148" s="113">
        <v>1424487.42</v>
      </c>
      <c r="AY148" s="113">
        <v>1196357.4045000002</v>
      </c>
      <c r="AZ148" s="113">
        <v>721705.2470999998</v>
      </c>
      <c r="BA148" s="113"/>
      <c r="BB148" s="113"/>
      <c r="BC148" s="113"/>
      <c r="BD148" s="113"/>
      <c r="BE148" s="113"/>
      <c r="BF148" s="114">
        <f t="shared" si="186"/>
        <v>1424487.42</v>
      </c>
      <c r="BG148" s="114">
        <f t="shared" si="186"/>
        <v>1196357.4045000002</v>
      </c>
      <c r="BH148" s="114">
        <f t="shared" si="186"/>
        <v>721705.2470999998</v>
      </c>
      <c r="BI148" s="114">
        <f t="shared" si="186"/>
        <v>0</v>
      </c>
      <c r="BJ148" s="114">
        <f t="shared" si="193"/>
        <v>3342550.0715999999</v>
      </c>
      <c r="BK148" s="115">
        <f t="shared" si="229"/>
        <v>3060171.5234079994</v>
      </c>
      <c r="BL148" s="115">
        <f t="shared" si="230"/>
        <v>3060171.5234079994</v>
      </c>
      <c r="BM148" s="116">
        <f t="shared" si="231"/>
        <v>1.0923</v>
      </c>
      <c r="BN148" s="126">
        <f t="shared" ca="1" si="174"/>
        <v>0</v>
      </c>
      <c r="BO148" s="117">
        <f t="shared" ca="1" si="175"/>
        <v>0</v>
      </c>
      <c r="BP148" s="118" t="str">
        <f t="shared" si="176"/>
        <v>Uncapped</v>
      </c>
      <c r="BQ148" s="115">
        <f t="shared" ca="1" si="209"/>
        <v>0</v>
      </c>
      <c r="BR148" s="174" t="s">
        <v>762</v>
      </c>
      <c r="BS148" s="175">
        <v>0.3</v>
      </c>
      <c r="BT148" s="174" t="s">
        <v>211</v>
      </c>
      <c r="BU148" s="174" t="s">
        <v>210</v>
      </c>
      <c r="BV148" s="113">
        <v>2237916.9674079753</v>
      </c>
      <c r="BW148" s="113">
        <v>2593737.6672715819</v>
      </c>
      <c r="BX148" s="113">
        <v>2631062.6626689765</v>
      </c>
      <c r="BY148" s="113">
        <v>2613100.8468210953</v>
      </c>
      <c r="BZ148" s="113">
        <v>2333200.87</v>
      </c>
      <c r="CA148" s="113">
        <v>2209902.1916999999</v>
      </c>
      <c r="CB148" s="113">
        <v>1880202.3</v>
      </c>
      <c r="CC148" s="113"/>
      <c r="CD148" s="113"/>
      <c r="CE148" s="113"/>
      <c r="CF148" s="113"/>
      <c r="CG148" s="113"/>
      <c r="CH148" s="114">
        <f t="shared" si="187"/>
        <v>2333200.87</v>
      </c>
      <c r="CI148" s="114">
        <f t="shared" si="187"/>
        <v>2209902.1916999999</v>
      </c>
      <c r="CJ148" s="120">
        <f t="shared" si="187"/>
        <v>1880202.3</v>
      </c>
      <c r="CK148" s="114">
        <f t="shared" si="187"/>
        <v>0</v>
      </c>
      <c r="CL148" s="114">
        <f t="shared" si="194"/>
        <v>6423305.3616999993</v>
      </c>
      <c r="CM148" s="114">
        <f t="shared" si="188"/>
        <v>10075818.14416963</v>
      </c>
      <c r="CN148" s="114">
        <f t="shared" si="189"/>
        <v>10075818.14416963</v>
      </c>
      <c r="CO148" s="116">
        <f t="shared" si="232"/>
        <v>0.63749999999999996</v>
      </c>
      <c r="CP148" s="126">
        <f t="shared" ca="1" si="233"/>
        <v>0</v>
      </c>
      <c r="CQ148" s="115">
        <f t="shared" ca="1" si="210"/>
        <v>0</v>
      </c>
      <c r="CR148" s="118" t="str">
        <f t="shared" si="234"/>
        <v>Uncapped</v>
      </c>
      <c r="CS148" s="115">
        <f t="shared" ca="1" si="211"/>
        <v>0</v>
      </c>
      <c r="CT148" s="113" t="s">
        <v>729</v>
      </c>
      <c r="CU148" s="119">
        <v>0.2</v>
      </c>
      <c r="CV148" s="113" t="s">
        <v>217</v>
      </c>
      <c r="CW148" s="113" t="s">
        <v>210</v>
      </c>
      <c r="CX148" s="113">
        <v>13631298.3753272</v>
      </c>
      <c r="CY148" s="113">
        <v>15463517.626933601</v>
      </c>
      <c r="CZ148" s="113">
        <v>15159650.061351301</v>
      </c>
      <c r="DA148" s="113">
        <v>16523055.704212198</v>
      </c>
      <c r="DB148" s="113">
        <v>13485327.436090879</v>
      </c>
      <c r="DC148" s="113">
        <v>13198691</v>
      </c>
      <c r="DD148" s="113">
        <v>13923765.347779993</v>
      </c>
      <c r="DE148" s="113"/>
      <c r="DF148" s="113"/>
      <c r="DG148" s="113"/>
      <c r="DH148" s="113"/>
      <c r="DI148" s="113"/>
      <c r="DJ148" s="114">
        <f t="shared" si="190"/>
        <v>13485327.436090879</v>
      </c>
      <c r="DK148" s="114">
        <f t="shared" si="190"/>
        <v>13198691</v>
      </c>
      <c r="DL148" s="114">
        <f t="shared" si="190"/>
        <v>13923765.347779993</v>
      </c>
      <c r="DM148" s="114">
        <f t="shared" si="190"/>
        <v>0</v>
      </c>
      <c r="DN148" s="114">
        <f t="shared" si="168"/>
        <v>40607783.783870876</v>
      </c>
      <c r="DO148" s="114">
        <f t="shared" si="195"/>
        <v>60777521.7678243</v>
      </c>
      <c r="DP148" s="114">
        <f t="shared" si="201"/>
        <v>60777521.7678243</v>
      </c>
      <c r="DQ148" s="116">
        <f t="shared" si="235"/>
        <v>0.66810000000000003</v>
      </c>
      <c r="DR148" s="126">
        <f t="shared" ca="1" si="212"/>
        <v>0</v>
      </c>
      <c r="DS148" s="115">
        <f t="shared" ca="1" si="213"/>
        <v>0</v>
      </c>
      <c r="DT148" s="118" t="str">
        <f t="shared" si="236"/>
        <v>Uncapped</v>
      </c>
      <c r="DU148" s="115">
        <f t="shared" ca="1" si="214"/>
        <v>0</v>
      </c>
      <c r="DV148" s="113"/>
      <c r="DW148" s="119">
        <v>0</v>
      </c>
      <c r="DX148" s="113"/>
      <c r="DY148" s="113"/>
      <c r="DZ148" s="113">
        <v>0</v>
      </c>
      <c r="EA148" s="113">
        <v>0</v>
      </c>
      <c r="EB148" s="113">
        <v>0</v>
      </c>
      <c r="EC148" s="113">
        <v>0</v>
      </c>
      <c r="ED148" s="113">
        <v>0</v>
      </c>
      <c r="EE148" s="113">
        <v>0</v>
      </c>
      <c r="EF148" s="113"/>
      <c r="EG148" s="113"/>
      <c r="EH148" s="113"/>
      <c r="EI148" s="113"/>
      <c r="EJ148" s="113"/>
      <c r="EK148" s="113"/>
      <c r="EL148" s="114">
        <f t="shared" si="191"/>
        <v>0</v>
      </c>
      <c r="EM148" s="114">
        <f t="shared" si="191"/>
        <v>0</v>
      </c>
      <c r="EN148" s="114">
        <f t="shared" si="191"/>
        <v>0</v>
      </c>
      <c r="EO148" s="114">
        <f t="shared" si="191"/>
        <v>0</v>
      </c>
      <c r="EP148" s="114">
        <f t="shared" si="215"/>
        <v>0</v>
      </c>
      <c r="EQ148" s="114">
        <f t="shared" si="196"/>
        <v>0</v>
      </c>
      <c r="ER148" s="114">
        <f t="shared" si="192"/>
        <v>0</v>
      </c>
      <c r="ES148" s="116">
        <f t="shared" si="237"/>
        <v>0</v>
      </c>
      <c r="ET148" s="126">
        <f t="shared" ca="1" si="238"/>
        <v>0</v>
      </c>
      <c r="EU148" s="115">
        <f t="shared" ca="1" si="216"/>
        <v>0</v>
      </c>
      <c r="EV148" s="118" t="str">
        <f t="shared" si="217"/>
        <v>Uncapped</v>
      </c>
      <c r="EW148" s="115">
        <f t="shared" ca="1" si="218"/>
        <v>0</v>
      </c>
      <c r="EX148" s="112">
        <f t="shared" ca="1" si="219"/>
        <v>0</v>
      </c>
      <c r="EY148" s="114">
        <f t="shared" ca="1" si="239"/>
        <v>0</v>
      </c>
      <c r="EZ148" s="115">
        <v>284890</v>
      </c>
      <c r="FA148" s="115">
        <v>100000</v>
      </c>
      <c r="FB148" s="115">
        <v>34830</v>
      </c>
      <c r="FC148" s="115">
        <v>0</v>
      </c>
      <c r="FD148" s="115">
        <f t="shared" si="197"/>
        <v>419720</v>
      </c>
      <c r="FE148" s="114">
        <f t="shared" si="177"/>
        <v>0</v>
      </c>
      <c r="FF148" s="115">
        <v>0</v>
      </c>
      <c r="FG148" s="115">
        <v>0</v>
      </c>
      <c r="FH148" s="115">
        <v>0</v>
      </c>
      <c r="FI148" s="115">
        <v>0</v>
      </c>
      <c r="FJ148" s="115">
        <f t="shared" si="198"/>
        <v>0</v>
      </c>
      <c r="FK148" s="114">
        <f t="shared" si="178"/>
        <v>0</v>
      </c>
      <c r="FL148" s="113"/>
      <c r="FM148" s="111"/>
      <c r="FN148" s="111"/>
      <c r="FO148" s="111"/>
      <c r="FP148" s="115">
        <f t="shared" si="203"/>
        <v>0</v>
      </c>
      <c r="FQ148" s="115"/>
      <c r="FR148" s="115"/>
      <c r="FS148" s="115"/>
      <c r="FT148" s="114">
        <f t="shared" si="240"/>
        <v>0</v>
      </c>
      <c r="FU148" s="366">
        <f t="shared" ca="1" si="244"/>
        <v>419720</v>
      </c>
      <c r="FV148" s="121">
        <f t="shared" ca="1" si="241"/>
        <v>419720</v>
      </c>
      <c r="FW148" s="114">
        <f t="shared" si="204"/>
        <v>0</v>
      </c>
      <c r="FX148" s="114">
        <f t="shared" si="204"/>
        <v>0</v>
      </c>
      <c r="FY148" s="114">
        <f t="shared" si="204"/>
        <v>0</v>
      </c>
      <c r="FZ148" s="114">
        <f t="shared" si="204"/>
        <v>0</v>
      </c>
      <c r="GA148" s="114">
        <f t="shared" si="183"/>
        <v>0</v>
      </c>
      <c r="GB148" s="114">
        <f t="shared" si="205"/>
        <v>284890</v>
      </c>
      <c r="GC148" s="114">
        <f t="shared" si="205"/>
        <v>100000</v>
      </c>
      <c r="GD148" s="114">
        <f t="shared" si="205"/>
        <v>34830</v>
      </c>
      <c r="GE148" s="114">
        <f t="shared" si="205"/>
        <v>0</v>
      </c>
      <c r="GF148" s="114">
        <f t="shared" si="242"/>
        <v>284890</v>
      </c>
      <c r="GG148" s="114">
        <f t="shared" si="242"/>
        <v>100000</v>
      </c>
      <c r="GH148" s="114">
        <f t="shared" si="242"/>
        <v>34830</v>
      </c>
      <c r="GI148" s="114">
        <f t="shared" si="242"/>
        <v>0</v>
      </c>
      <c r="GJ148" s="115">
        <f t="shared" si="199"/>
        <v>419720</v>
      </c>
      <c r="GK148" s="114">
        <f t="shared" si="220"/>
        <v>419720</v>
      </c>
      <c r="GL148" s="114">
        <f t="shared" si="221"/>
        <v>0</v>
      </c>
      <c r="GM148" s="114">
        <f t="shared" si="222"/>
        <v>0</v>
      </c>
      <c r="GN148" s="114">
        <f t="shared" si="223"/>
        <v>0</v>
      </c>
      <c r="GO148" s="114">
        <f t="shared" si="224"/>
        <v>0</v>
      </c>
      <c r="GP148" s="114">
        <f t="shared" si="200"/>
        <v>0</v>
      </c>
      <c r="GQ148" s="114">
        <f t="shared" si="225"/>
        <v>0</v>
      </c>
      <c r="GR148" s="193"/>
      <c r="GS148" s="122">
        <f t="shared" si="202"/>
        <v>50373639.217170879</v>
      </c>
      <c r="GT148" s="122">
        <f t="shared" si="202"/>
        <v>73913511.435401931</v>
      </c>
      <c r="GU148" s="123">
        <f t="shared" si="226"/>
        <v>0.68152139221792818</v>
      </c>
      <c r="GV148" s="124">
        <f t="shared" ca="1" si="227"/>
        <v>0</v>
      </c>
      <c r="GW148" s="124">
        <v>0</v>
      </c>
      <c r="GX148" s="32">
        <f t="shared" ca="1" si="228"/>
        <v>0</v>
      </c>
      <c r="GY148" s="100"/>
    </row>
    <row r="149" spans="3:207" s="408" customFormat="1" hidden="1">
      <c r="C149" s="402"/>
      <c r="D149" s="402"/>
      <c r="E149" s="403"/>
      <c r="F149" s="403" t="s">
        <v>622</v>
      </c>
      <c r="G149" s="403" t="s">
        <v>226</v>
      </c>
      <c r="H149" s="105" t="s">
        <v>721</v>
      </c>
      <c r="I149" s="548" t="s">
        <v>723</v>
      </c>
      <c r="J149" s="403" t="s">
        <v>643</v>
      </c>
      <c r="K149" s="544" t="s">
        <v>622</v>
      </c>
      <c r="L149" s="403" t="s">
        <v>722</v>
      </c>
      <c r="M149" s="403"/>
      <c r="N149" s="404"/>
      <c r="O149" s="537">
        <v>43586</v>
      </c>
      <c r="P149" s="359">
        <v>43586</v>
      </c>
      <c r="Q149" s="323">
        <f t="shared" si="207"/>
        <v>5</v>
      </c>
      <c r="R149" s="109">
        <f>IF((P149-VLOOKUP(Q149,month!$A$1:$C$13,3,0))&lt;0,Q149,Q149+1)</f>
        <v>5</v>
      </c>
      <c r="S149" s="108"/>
      <c r="T149" s="110" t="str">
        <f t="shared" si="243"/>
        <v/>
      </c>
      <c r="U149" s="483" t="s">
        <v>652</v>
      </c>
      <c r="V149" s="483"/>
      <c r="W149" s="484">
        <v>2</v>
      </c>
      <c r="X149" s="484">
        <v>1</v>
      </c>
      <c r="Y149" s="492"/>
      <c r="Z149" s="406" t="s">
        <v>545</v>
      </c>
      <c r="AA149" s="394">
        <v>1000</v>
      </c>
      <c r="AB149" s="394">
        <v>1000</v>
      </c>
      <c r="AC149" s="394">
        <v>1000</v>
      </c>
      <c r="AD149" s="394">
        <v>1000</v>
      </c>
      <c r="AE149" s="394">
        <v>1000</v>
      </c>
      <c r="AF149" s="394">
        <v>1000</v>
      </c>
      <c r="AG149" s="394">
        <v>1000</v>
      </c>
      <c r="AH149" s="394">
        <v>1000</v>
      </c>
      <c r="AI149" s="394">
        <v>1000</v>
      </c>
      <c r="AJ149" s="394">
        <v>1000</v>
      </c>
      <c r="AK149" s="394">
        <v>1000</v>
      </c>
      <c r="AL149" s="394">
        <v>1000</v>
      </c>
      <c r="AM149" s="388">
        <f>IF($H$2=1,SUM(AA149:AC149),IF($H$2=2,SUM(AA149:AF149),IF($H$2=3,SUM(AA149:AI149),SUM(AA149:AL149))))</f>
        <v>12000</v>
      </c>
      <c r="AN149" s="388">
        <f t="shared" si="208"/>
        <v>12000</v>
      </c>
      <c r="AO149" s="389">
        <f>AE149</f>
        <v>1000</v>
      </c>
      <c r="AP149" s="502" t="s">
        <v>709</v>
      </c>
      <c r="AQ149" s="159">
        <v>0.6</v>
      </c>
      <c r="AR149" s="103" t="s">
        <v>211</v>
      </c>
      <c r="AS149" s="119" t="s">
        <v>210</v>
      </c>
      <c r="AT149" s="111"/>
      <c r="AU149" s="111">
        <v>3556836.37</v>
      </c>
      <c r="AV149" s="111">
        <v>5114284.1421738518</v>
      </c>
      <c r="AW149" s="111">
        <v>5623300.9818061059</v>
      </c>
      <c r="AX149" s="113"/>
      <c r="AY149" s="113">
        <v>2888663.878</v>
      </c>
      <c r="AZ149" s="113">
        <v>5091828.1585499998</v>
      </c>
      <c r="BA149" s="581"/>
      <c r="BB149" s="113"/>
      <c r="BC149" s="113"/>
      <c r="BD149" s="113"/>
      <c r="BE149" s="113"/>
      <c r="BF149" s="114">
        <f>AX149+BB149</f>
        <v>0</v>
      </c>
      <c r="BG149" s="114">
        <f>AY149+BC149</f>
        <v>2888663.878</v>
      </c>
      <c r="BH149" s="114">
        <f>AZ149+BD149</f>
        <v>5091828.1585499998</v>
      </c>
      <c r="BI149" s="114">
        <f>BA149+BE149</f>
        <v>0</v>
      </c>
      <c r="BJ149" s="114">
        <f t="shared" si="193"/>
        <v>7980492.0365500003</v>
      </c>
      <c r="BK149" s="115">
        <f>IF($H$2=1,AT149,IF($H$2=2,SUM(AT149:AU149),IF($H$2=3,SUM(AT149:AV149),SUM(AT149:AW149))))</f>
        <v>14294421.493979957</v>
      </c>
      <c r="BL149" s="115">
        <f>SUM(AT149:AW149)</f>
        <v>14294421.493979957</v>
      </c>
      <c r="BM149" s="116">
        <f>IFERROR(ROUND(BJ149/BK149,4),0)</f>
        <v>0.55830000000000002</v>
      </c>
      <c r="BN149" s="126">
        <f t="shared" ca="1" si="174"/>
        <v>0</v>
      </c>
      <c r="BO149" s="117">
        <f t="shared" ca="1" si="175"/>
        <v>0</v>
      </c>
      <c r="BP149" s="118" t="str">
        <f t="shared" si="176"/>
        <v>Uncapped</v>
      </c>
      <c r="BQ149" s="115">
        <f t="shared" ca="1" si="209"/>
        <v>0</v>
      </c>
      <c r="BR149" s="174" t="s">
        <v>765</v>
      </c>
      <c r="BS149" s="175">
        <v>0.3</v>
      </c>
      <c r="BT149" s="174" t="s">
        <v>217</v>
      </c>
      <c r="BU149" s="174" t="s">
        <v>210</v>
      </c>
      <c r="BV149" s="113"/>
      <c r="BW149" s="113">
        <v>49060422.370000005</v>
      </c>
      <c r="BX149" s="113">
        <v>70210929.79442063</v>
      </c>
      <c r="BY149" s="113">
        <v>77582831.825025976</v>
      </c>
      <c r="BZ149" s="113"/>
      <c r="CA149" s="113">
        <v>48410802</v>
      </c>
      <c r="CB149" s="113">
        <v>66410604.684560001</v>
      </c>
      <c r="CC149" s="581"/>
      <c r="CD149" s="113"/>
      <c r="CE149" s="113"/>
      <c r="CF149" s="113"/>
      <c r="CG149" s="113"/>
      <c r="CH149" s="114">
        <f>BZ149+CD149</f>
        <v>0</v>
      </c>
      <c r="CI149" s="114">
        <f>CA149+CE149</f>
        <v>48410802</v>
      </c>
      <c r="CJ149" s="120">
        <f>CB149+CF149</f>
        <v>66410604.684560001</v>
      </c>
      <c r="CK149" s="114">
        <f>CC149+CG149</f>
        <v>0</v>
      </c>
      <c r="CL149" s="114">
        <f t="shared" si="194"/>
        <v>114821406.68456</v>
      </c>
      <c r="CM149" s="114">
        <f>IF($H$2=1,BV149,IF($H$2=2,SUM(BV149:BW149),IF($H$2=3,SUM(BV149:BX149),SUM(BV149:BY149))))</f>
        <v>196854183.98944661</v>
      </c>
      <c r="CN149" s="114">
        <f>SUM(BV149:BY149)</f>
        <v>196854183.98944661</v>
      </c>
      <c r="CO149" s="116">
        <f>IFERROR(ROUND(CL149/CM149,4),0)</f>
        <v>0.58330000000000004</v>
      </c>
      <c r="CP149" s="126">
        <f ca="1">IF(OR(BR149="MBO",BR149="10% Realized Price"),CO149,SUMPRODUCT(Lower_Payout*(Curve=BT149)*(Lower_Attain&lt;=CO149)*(Upper_Attain&gt;CO149))+(CO149-SUMPRODUCT(Lower_Attain*(Curve=BT149)*(Lower_Attain&lt;=CO149)*(Upper_Attain&gt;CO149)))*SUMPRODUCT(Slope*(Curve=BT149)*(Lower_Attain&lt;=CO149)*(Upper_Attain&gt;CO149)))</f>
        <v>0</v>
      </c>
      <c r="CQ149" s="115">
        <f t="shared" ca="1" si="210"/>
        <v>0</v>
      </c>
      <c r="CR149" s="118" t="str">
        <f t="shared" si="234"/>
        <v>Uncapped</v>
      </c>
      <c r="CS149" s="115">
        <f t="shared" ca="1" si="211"/>
        <v>0</v>
      </c>
      <c r="CT149" s="113" t="s">
        <v>363</v>
      </c>
      <c r="CU149" s="119">
        <v>0.1</v>
      </c>
      <c r="CV149" s="113"/>
      <c r="CW149" s="113" t="s">
        <v>219</v>
      </c>
      <c r="CX149" s="113">
        <v>0</v>
      </c>
      <c r="CY149" s="113">
        <v>0</v>
      </c>
      <c r="CZ149" s="113">
        <v>0</v>
      </c>
      <c r="DA149" s="113">
        <v>0</v>
      </c>
      <c r="DB149" s="113">
        <v>0</v>
      </c>
      <c r="DC149" s="113">
        <v>0</v>
      </c>
      <c r="DD149" s="113">
        <v>0</v>
      </c>
      <c r="DE149" s="113"/>
      <c r="DF149" s="113"/>
      <c r="DG149" s="113"/>
      <c r="DH149" s="113"/>
      <c r="DI149" s="113"/>
      <c r="DJ149" s="114">
        <f>DB149+DF149</f>
        <v>0</v>
      </c>
      <c r="DK149" s="114">
        <f>DC149+DG149</f>
        <v>0</v>
      </c>
      <c r="DL149" s="114">
        <f>DD149+DH149</f>
        <v>0</v>
      </c>
      <c r="DM149" s="114">
        <f>DE149+DI149</f>
        <v>0</v>
      </c>
      <c r="DN149" s="114">
        <f t="shared" si="168"/>
        <v>0</v>
      </c>
      <c r="DO149" s="114">
        <f>IF($H$2=1,CX149,IF($H$2=2,SUM(CX149:CY149),IF($H$2=3,SUM(CX149:CZ149),SUM(CX149:DA149))))</f>
        <v>0</v>
      </c>
      <c r="DP149" s="114">
        <f>SUM(CX149:DA149)</f>
        <v>0</v>
      </c>
      <c r="DQ149" s="116">
        <f>IFERROR(ROUND(DN149/DO149,4),0)</f>
        <v>0</v>
      </c>
      <c r="DR149" s="126">
        <f t="shared" si="212"/>
        <v>0</v>
      </c>
      <c r="DS149" s="115">
        <f t="shared" si="213"/>
        <v>0</v>
      </c>
      <c r="DT149" s="118" t="str">
        <f t="shared" si="236"/>
        <v>Uncapped</v>
      </c>
      <c r="DU149" s="115">
        <f t="shared" si="214"/>
        <v>0</v>
      </c>
      <c r="DV149" s="113"/>
      <c r="DW149" s="119">
        <v>0</v>
      </c>
      <c r="DX149" s="113"/>
      <c r="DY149" s="113"/>
      <c r="DZ149" s="113">
        <v>0</v>
      </c>
      <c r="EA149" s="113">
        <v>0</v>
      </c>
      <c r="EB149" s="113">
        <v>0</v>
      </c>
      <c r="EC149" s="113">
        <v>0</v>
      </c>
      <c r="ED149" s="113">
        <v>0</v>
      </c>
      <c r="EE149" s="113">
        <v>0</v>
      </c>
      <c r="EF149" s="113"/>
      <c r="EG149" s="113"/>
      <c r="EH149" s="113"/>
      <c r="EI149" s="113"/>
      <c r="EJ149" s="113"/>
      <c r="EK149" s="113"/>
      <c r="EL149" s="114">
        <f>ED149+EH149</f>
        <v>0</v>
      </c>
      <c r="EM149" s="114">
        <f>EE149+EI149</f>
        <v>0</v>
      </c>
      <c r="EN149" s="114">
        <f>EF149+EJ149</f>
        <v>0</v>
      </c>
      <c r="EO149" s="114">
        <f>EG149+EK149</f>
        <v>0</v>
      </c>
      <c r="EP149" s="114">
        <f t="shared" si="215"/>
        <v>0</v>
      </c>
      <c r="EQ149" s="114">
        <f>IF($H$2=1,DZ149,IF($H$2=2,SUM(DZ149:EA149),IF($H$2=3,SUM(DZ149:EB149),SUM(DZ149:EC149))))</f>
        <v>0</v>
      </c>
      <c r="ER149" s="114">
        <f>SUM(DZ149:EC149)</f>
        <v>0</v>
      </c>
      <c r="ES149" s="116">
        <f>IFERROR(ROUND(EP149/EQ149,4),0)</f>
        <v>0</v>
      </c>
      <c r="ET149" s="126">
        <f ca="1">IF(OR(DV149="MBO",DV149="10% Realized Price"),ES149,SUMPRODUCT(Lower_Payout*(Curve=DX149)*(Lower_Attain&lt;=ES149)*(Upper_Attain&gt;ES149))+(ES149-SUMPRODUCT(Lower_Attain*(Curve=DX149)*(Lower_Attain&lt;=ES149)*(Upper_Attain&gt;ES149)))*SUMPRODUCT(Slope*(Curve=DX149)*(Lower_Attain&lt;=ES149)*(Upper_Attain&gt;ES149)))</f>
        <v>0</v>
      </c>
      <c r="EU149" s="115">
        <f t="shared" ca="1" si="216"/>
        <v>0</v>
      </c>
      <c r="EV149" s="118" t="str">
        <f t="shared" si="217"/>
        <v>Uncapped</v>
      </c>
      <c r="EW149" s="115">
        <f t="shared" ca="1" si="218"/>
        <v>0</v>
      </c>
      <c r="EX149" s="112">
        <f t="shared" ca="1" si="219"/>
        <v>0</v>
      </c>
      <c r="EY149" s="114">
        <f ca="1">MAX(EX149,GP149)</f>
        <v>3000</v>
      </c>
      <c r="EZ149" s="115"/>
      <c r="FA149" s="115"/>
      <c r="FB149" s="115"/>
      <c r="FC149" s="115">
        <v>0</v>
      </c>
      <c r="FD149" s="115">
        <f>IF($H$2=1,EZ149,IF($H$2=2,SUM(EZ149:FA149),IF($H$2=3,SUM(EZ149:FB149),SUM(EZ149:FC149))))</f>
        <v>0</v>
      </c>
      <c r="FE149" s="114">
        <f t="shared" si="177"/>
        <v>0</v>
      </c>
      <c r="FF149" s="115">
        <v>0</v>
      </c>
      <c r="FG149" s="115">
        <v>0</v>
      </c>
      <c r="FH149" s="115">
        <v>0</v>
      </c>
      <c r="FI149" s="115">
        <v>0</v>
      </c>
      <c r="FJ149" s="115">
        <f>IF($H$2=1,FF149,IF($H$2=2,SUM(FF149:FG149),IF($H$2=3,SUM(FF149:FH149),SUM(FF149:FI149))))</f>
        <v>0</v>
      </c>
      <c r="FK149" s="114">
        <f t="shared" si="178"/>
        <v>0</v>
      </c>
      <c r="FL149" s="113"/>
      <c r="FM149" s="111"/>
      <c r="FN149" s="111"/>
      <c r="FO149" s="111"/>
      <c r="FP149" s="115">
        <f>SUM(FL149:FO149)</f>
        <v>0</v>
      </c>
      <c r="FQ149" s="115"/>
      <c r="FR149" s="115"/>
      <c r="FS149" s="115"/>
      <c r="FT149" s="114">
        <f t="shared" si="240"/>
        <v>0</v>
      </c>
      <c r="FU149" s="366">
        <f t="shared" ca="1" si="244"/>
        <v>3000</v>
      </c>
      <c r="FV149" s="121">
        <f t="shared" ca="1" si="241"/>
        <v>3000</v>
      </c>
      <c r="FW149" s="114">
        <f>FF149</f>
        <v>0</v>
      </c>
      <c r="FX149" s="114">
        <f>FG149</f>
        <v>0</v>
      </c>
      <c r="FY149" s="114">
        <f>FH149</f>
        <v>0</v>
      </c>
      <c r="FZ149" s="114">
        <f>FI149</f>
        <v>0</v>
      </c>
      <c r="GA149" s="114">
        <f>SUM(FW149:FZ149)</f>
        <v>0</v>
      </c>
      <c r="GB149" s="114">
        <f>EZ149</f>
        <v>0</v>
      </c>
      <c r="GC149" s="114">
        <f>FA149</f>
        <v>0</v>
      </c>
      <c r="GD149" s="114">
        <f>FB149</f>
        <v>0</v>
      </c>
      <c r="GE149" s="114">
        <f>FC149</f>
        <v>0</v>
      </c>
      <c r="GF149" s="114">
        <f>GB149+FW149</f>
        <v>0</v>
      </c>
      <c r="GG149" s="114">
        <f>GC149+FX149</f>
        <v>0</v>
      </c>
      <c r="GH149" s="114">
        <f>GD149+FY149</f>
        <v>0</v>
      </c>
      <c r="GI149" s="114">
        <f>GE149+FZ149</f>
        <v>0</v>
      </c>
      <c r="GJ149" s="115">
        <f>IF($H$2=1,GF149,IF($H$2=2,SUM(GF149:GG149),IF($H$2=3,SUM(GF149:GH149),SUM(GF149:GI149))))</f>
        <v>0</v>
      </c>
      <c r="GK149" s="114">
        <f>SUM(GF149:GI149)</f>
        <v>0</v>
      </c>
      <c r="GL149" s="114">
        <f t="shared" si="221"/>
        <v>0</v>
      </c>
      <c r="GM149" s="114">
        <f t="shared" si="222"/>
        <v>2000</v>
      </c>
      <c r="GN149" s="114">
        <f t="shared" si="223"/>
        <v>1000</v>
      </c>
      <c r="GO149" s="114">
        <f t="shared" si="224"/>
        <v>0</v>
      </c>
      <c r="GP149" s="114">
        <f>IF($H$2=1,GL149,IF($H$2=2,SUM(GL149:GM149),IF($H$2=3,SUM(GL149:GN149),IF($H$2=4,SUM(GL149:GO149)))))</f>
        <v>3000</v>
      </c>
      <c r="GQ149" s="114">
        <f>SUM(GL149:GO149)</f>
        <v>3000</v>
      </c>
      <c r="GR149" s="193"/>
      <c r="GS149" s="122">
        <f t="shared" si="202"/>
        <v>122801898.72111</v>
      </c>
      <c r="GT149" s="122">
        <f t="shared" si="202"/>
        <v>211148605.48342657</v>
      </c>
      <c r="GU149" s="123">
        <f>IFERROR(GS149/GT149,"")</f>
        <v>0.5815899112378885</v>
      </c>
      <c r="GV149" s="124">
        <f t="shared" ca="1" si="227"/>
        <v>0</v>
      </c>
      <c r="GW149" s="124">
        <v>0</v>
      </c>
      <c r="GX149" s="32">
        <f t="shared" ca="1" si="228"/>
        <v>0</v>
      </c>
      <c r="GY149" s="100"/>
    </row>
    <row r="150" spans="3:207" s="408" customFormat="1" hidden="1">
      <c r="C150" s="402"/>
      <c r="D150" s="402"/>
      <c r="E150" s="403"/>
      <c r="F150" s="403" t="s">
        <v>622</v>
      </c>
      <c r="G150" s="403" t="s">
        <v>226</v>
      </c>
      <c r="H150" s="105" t="s">
        <v>623</v>
      </c>
      <c r="I150" s="404" t="s">
        <v>632</v>
      </c>
      <c r="J150" s="403" t="s">
        <v>643</v>
      </c>
      <c r="K150" s="403" t="s">
        <v>622</v>
      </c>
      <c r="L150" s="403"/>
      <c r="M150" s="403"/>
      <c r="N150" s="404"/>
      <c r="O150" s="108">
        <v>39814</v>
      </c>
      <c r="P150" s="108">
        <v>39814</v>
      </c>
      <c r="Q150" s="323">
        <f t="shared" si="207"/>
        <v>0</v>
      </c>
      <c r="R150" s="109">
        <f>IF((P150-VLOOKUP(Q150,month!$A$1:$C$13,3,0))&lt;0,Q150,Q150+1)</f>
        <v>0</v>
      </c>
      <c r="S150" s="108"/>
      <c r="T150" s="110" t="str">
        <f t="shared" si="243"/>
        <v/>
      </c>
      <c r="U150" s="404"/>
      <c r="V150" s="404"/>
      <c r="W150" s="405"/>
      <c r="X150" s="405"/>
      <c r="Y150" s="492"/>
      <c r="Z150" s="406" t="s">
        <v>545</v>
      </c>
      <c r="AA150" s="394">
        <v>1000</v>
      </c>
      <c r="AB150" s="394">
        <v>1000</v>
      </c>
      <c r="AC150" s="394">
        <v>1000</v>
      </c>
      <c r="AD150" s="394">
        <v>1000</v>
      </c>
      <c r="AE150" s="394">
        <v>1000</v>
      </c>
      <c r="AF150" s="394">
        <v>1000</v>
      </c>
      <c r="AG150" s="394">
        <v>1000</v>
      </c>
      <c r="AH150" s="394">
        <v>1000</v>
      </c>
      <c r="AI150" s="394">
        <v>1000</v>
      </c>
      <c r="AJ150" s="394">
        <v>1000</v>
      </c>
      <c r="AK150" s="394">
        <v>1000</v>
      </c>
      <c r="AL150" s="394">
        <v>1000</v>
      </c>
      <c r="AM150" s="388">
        <f t="shared" si="185"/>
        <v>12000</v>
      </c>
      <c r="AN150" s="388">
        <f t="shared" si="208"/>
        <v>12000</v>
      </c>
      <c r="AO150" s="389">
        <f t="shared" ref="AO150:AO152" si="245">AI150</f>
        <v>1000</v>
      </c>
      <c r="AP150" s="502" t="s">
        <v>709</v>
      </c>
      <c r="AQ150" s="159">
        <v>0.6</v>
      </c>
      <c r="AR150" s="103" t="s">
        <v>211</v>
      </c>
      <c r="AS150" s="119" t="s">
        <v>210</v>
      </c>
      <c r="AT150" s="111">
        <v>3480165.9575206251</v>
      </c>
      <c r="AU150" s="111">
        <v>3625172.8724173177</v>
      </c>
      <c r="AV150" s="111">
        <v>3480165.9575206251</v>
      </c>
      <c r="AW150" s="111">
        <v>3915186.7022107034</v>
      </c>
      <c r="AX150" s="113">
        <v>3550995.5598000018</v>
      </c>
      <c r="AY150" s="113">
        <v>3620878.0209000017</v>
      </c>
      <c r="AZ150" s="113">
        <v>3659935.5917999982</v>
      </c>
      <c r="BA150" s="113"/>
      <c r="BB150" s="113"/>
      <c r="BC150" s="113"/>
      <c r="BD150" s="113"/>
      <c r="BE150" s="113"/>
      <c r="BF150" s="114">
        <f t="shared" si="186"/>
        <v>3550995.5598000018</v>
      </c>
      <c r="BG150" s="114">
        <f t="shared" si="186"/>
        <v>3620878.0209000017</v>
      </c>
      <c r="BH150" s="114">
        <f t="shared" si="186"/>
        <v>3659935.5917999982</v>
      </c>
      <c r="BI150" s="114">
        <f t="shared" si="186"/>
        <v>0</v>
      </c>
      <c r="BJ150" s="114">
        <f t="shared" si="193"/>
        <v>10831809.172500001</v>
      </c>
      <c r="BK150" s="115">
        <f t="shared" si="229"/>
        <v>14500691.489669271</v>
      </c>
      <c r="BL150" s="115">
        <f t="shared" si="230"/>
        <v>14500691.489669271</v>
      </c>
      <c r="BM150" s="116">
        <f t="shared" si="231"/>
        <v>0.747</v>
      </c>
      <c r="BN150" s="126">
        <f t="shared" ca="1" si="174"/>
        <v>0</v>
      </c>
      <c r="BO150" s="117">
        <f t="shared" ca="1" si="175"/>
        <v>0</v>
      </c>
      <c r="BP150" s="118" t="str">
        <f t="shared" si="176"/>
        <v>Uncapped</v>
      </c>
      <c r="BQ150" s="115">
        <f t="shared" ca="1" si="209"/>
        <v>0</v>
      </c>
      <c r="BR150" s="174" t="s">
        <v>759</v>
      </c>
      <c r="BS150" s="175">
        <v>0.3</v>
      </c>
      <c r="BT150" s="174" t="s">
        <v>217</v>
      </c>
      <c r="BU150" s="174" t="s">
        <v>210</v>
      </c>
      <c r="BV150" s="113">
        <v>5046797.7308448758</v>
      </c>
      <c r="BW150" s="113">
        <v>5308711.4169250429</v>
      </c>
      <c r="BX150" s="113">
        <v>5114284.1421738518</v>
      </c>
      <c r="BY150" s="113">
        <v>5623300.9818061059</v>
      </c>
      <c r="BZ150" s="113">
        <v>4988539.1888999986</v>
      </c>
      <c r="CA150" s="113">
        <v>5062317.3278799905</v>
      </c>
      <c r="CB150" s="113">
        <v>5091828.1585499998</v>
      </c>
      <c r="CC150" s="113"/>
      <c r="CD150" s="113"/>
      <c r="CE150" s="113"/>
      <c r="CF150" s="113"/>
      <c r="CG150" s="113"/>
      <c r="CH150" s="114">
        <f t="shared" si="187"/>
        <v>4988539.1888999986</v>
      </c>
      <c r="CI150" s="114">
        <f t="shared" si="187"/>
        <v>5062317.3278799905</v>
      </c>
      <c r="CJ150" s="120">
        <f t="shared" si="187"/>
        <v>5091828.1585499998</v>
      </c>
      <c r="CK150" s="114">
        <f t="shared" si="187"/>
        <v>0</v>
      </c>
      <c r="CL150" s="114">
        <f t="shared" si="194"/>
        <v>15142684.675329989</v>
      </c>
      <c r="CM150" s="114">
        <f t="shared" si="188"/>
        <v>21093094.271749876</v>
      </c>
      <c r="CN150" s="114">
        <f t="shared" si="189"/>
        <v>21093094.271749876</v>
      </c>
      <c r="CO150" s="116">
        <f t="shared" si="232"/>
        <v>0.71789999999999998</v>
      </c>
      <c r="CP150" s="126">
        <f t="shared" ca="1" si="233"/>
        <v>0</v>
      </c>
      <c r="CQ150" s="115">
        <f t="shared" ca="1" si="210"/>
        <v>0</v>
      </c>
      <c r="CR150" s="118" t="str">
        <f t="shared" si="234"/>
        <v>Uncapped</v>
      </c>
      <c r="CS150" s="115">
        <f t="shared" ca="1" si="211"/>
        <v>0</v>
      </c>
      <c r="CT150" s="113" t="s">
        <v>363</v>
      </c>
      <c r="CU150" s="119">
        <v>0.1</v>
      </c>
      <c r="CV150" s="113"/>
      <c r="CW150" s="113" t="s">
        <v>219</v>
      </c>
      <c r="CX150" s="113">
        <v>0</v>
      </c>
      <c r="CY150" s="113">
        <v>0</v>
      </c>
      <c r="CZ150" s="113">
        <v>0</v>
      </c>
      <c r="DA150" s="113">
        <v>0</v>
      </c>
      <c r="DB150" s="113">
        <v>0</v>
      </c>
      <c r="DC150" s="113">
        <v>0</v>
      </c>
      <c r="DD150" s="113">
        <v>0</v>
      </c>
      <c r="DE150" s="113"/>
      <c r="DF150" s="113"/>
      <c r="DG150" s="113"/>
      <c r="DH150" s="113"/>
      <c r="DI150" s="113"/>
      <c r="DJ150" s="114">
        <f t="shared" si="190"/>
        <v>0</v>
      </c>
      <c r="DK150" s="114">
        <f t="shared" si="190"/>
        <v>0</v>
      </c>
      <c r="DL150" s="114">
        <f t="shared" si="190"/>
        <v>0</v>
      </c>
      <c r="DM150" s="114">
        <f t="shared" si="190"/>
        <v>0</v>
      </c>
      <c r="DN150" s="114">
        <f t="shared" si="168"/>
        <v>0</v>
      </c>
      <c r="DO150" s="114">
        <f t="shared" si="195"/>
        <v>0</v>
      </c>
      <c r="DP150" s="114">
        <f t="shared" si="201"/>
        <v>0</v>
      </c>
      <c r="DQ150" s="116">
        <f t="shared" si="235"/>
        <v>0</v>
      </c>
      <c r="DR150" s="126">
        <f t="shared" si="212"/>
        <v>0</v>
      </c>
      <c r="DS150" s="115">
        <f t="shared" si="213"/>
        <v>0</v>
      </c>
      <c r="DT150" s="118" t="str">
        <f t="shared" si="236"/>
        <v>Uncapped</v>
      </c>
      <c r="DU150" s="115">
        <f t="shared" si="214"/>
        <v>0</v>
      </c>
      <c r="DV150" s="113"/>
      <c r="DW150" s="119">
        <v>0</v>
      </c>
      <c r="DX150" s="113"/>
      <c r="DY150" s="113"/>
      <c r="DZ150" s="113">
        <v>0</v>
      </c>
      <c r="EA150" s="113">
        <v>0</v>
      </c>
      <c r="EB150" s="113">
        <v>0</v>
      </c>
      <c r="EC150" s="113">
        <v>0</v>
      </c>
      <c r="ED150" s="113">
        <v>0</v>
      </c>
      <c r="EE150" s="113">
        <v>0</v>
      </c>
      <c r="EF150" s="113"/>
      <c r="EG150" s="113"/>
      <c r="EH150" s="113"/>
      <c r="EI150" s="113"/>
      <c r="EJ150" s="113"/>
      <c r="EK150" s="113"/>
      <c r="EL150" s="114">
        <f t="shared" si="191"/>
        <v>0</v>
      </c>
      <c r="EM150" s="114">
        <f t="shared" si="191"/>
        <v>0</v>
      </c>
      <c r="EN150" s="114">
        <f t="shared" si="191"/>
        <v>0</v>
      </c>
      <c r="EO150" s="114">
        <f t="shared" si="191"/>
        <v>0</v>
      </c>
      <c r="EP150" s="114">
        <f t="shared" si="215"/>
        <v>0</v>
      </c>
      <c r="EQ150" s="114">
        <f t="shared" si="196"/>
        <v>0</v>
      </c>
      <c r="ER150" s="114">
        <f t="shared" si="192"/>
        <v>0</v>
      </c>
      <c r="ES150" s="116">
        <f t="shared" si="237"/>
        <v>0</v>
      </c>
      <c r="ET150" s="126">
        <f t="shared" ca="1" si="238"/>
        <v>0</v>
      </c>
      <c r="EU150" s="115">
        <f t="shared" ca="1" si="216"/>
        <v>0</v>
      </c>
      <c r="EV150" s="118" t="str">
        <f t="shared" si="217"/>
        <v>Uncapped</v>
      </c>
      <c r="EW150" s="115">
        <f t="shared" ca="1" si="218"/>
        <v>0</v>
      </c>
      <c r="EX150" s="112">
        <f t="shared" ca="1" si="219"/>
        <v>0</v>
      </c>
      <c r="EY150" s="114">
        <f t="shared" ca="1" si="239"/>
        <v>0</v>
      </c>
      <c r="EZ150" s="115">
        <v>0</v>
      </c>
      <c r="FA150" s="115"/>
      <c r="FB150" s="115"/>
      <c r="FC150" s="115">
        <v>0</v>
      </c>
      <c r="FD150" s="115">
        <f t="shared" si="197"/>
        <v>0</v>
      </c>
      <c r="FE150" s="114">
        <f t="shared" si="177"/>
        <v>0</v>
      </c>
      <c r="FF150" s="115">
        <v>0</v>
      </c>
      <c r="FG150" s="115">
        <v>0</v>
      </c>
      <c r="FH150" s="115">
        <v>0</v>
      </c>
      <c r="FI150" s="115">
        <v>0</v>
      </c>
      <c r="FJ150" s="115">
        <f t="shared" si="198"/>
        <v>0</v>
      </c>
      <c r="FK150" s="114">
        <f t="shared" si="178"/>
        <v>0</v>
      </c>
      <c r="FL150" s="113"/>
      <c r="FM150" s="111"/>
      <c r="FN150" s="111"/>
      <c r="FO150" s="111"/>
      <c r="FP150" s="115">
        <f t="shared" si="203"/>
        <v>0</v>
      </c>
      <c r="FQ150" s="115"/>
      <c r="FR150" s="115"/>
      <c r="FS150" s="115"/>
      <c r="FT150" s="114">
        <f t="shared" si="240"/>
        <v>0</v>
      </c>
      <c r="FU150" s="366">
        <f t="shared" ca="1" si="244"/>
        <v>0</v>
      </c>
      <c r="FV150" s="121">
        <f t="shared" ca="1" si="241"/>
        <v>0</v>
      </c>
      <c r="FW150" s="114">
        <f t="shared" si="204"/>
        <v>0</v>
      </c>
      <c r="FX150" s="114">
        <f t="shared" si="204"/>
        <v>0</v>
      </c>
      <c r="FY150" s="114">
        <f t="shared" si="204"/>
        <v>0</v>
      </c>
      <c r="FZ150" s="114">
        <f t="shared" si="204"/>
        <v>0</v>
      </c>
      <c r="GA150" s="114">
        <f t="shared" si="183"/>
        <v>0</v>
      </c>
      <c r="GB150" s="114">
        <f t="shared" si="205"/>
        <v>0</v>
      </c>
      <c r="GC150" s="114">
        <f t="shared" si="205"/>
        <v>0</v>
      </c>
      <c r="GD150" s="114">
        <f t="shared" si="205"/>
        <v>0</v>
      </c>
      <c r="GE150" s="114">
        <f t="shared" si="205"/>
        <v>0</v>
      </c>
      <c r="GF150" s="114">
        <f t="shared" si="242"/>
        <v>0</v>
      </c>
      <c r="GG150" s="114">
        <f t="shared" si="242"/>
        <v>0</v>
      </c>
      <c r="GH150" s="114">
        <f t="shared" si="242"/>
        <v>0</v>
      </c>
      <c r="GI150" s="114">
        <f t="shared" si="242"/>
        <v>0</v>
      </c>
      <c r="GJ150" s="115">
        <f t="shared" si="199"/>
        <v>0</v>
      </c>
      <c r="GK150" s="114">
        <f t="shared" si="220"/>
        <v>0</v>
      </c>
      <c r="GL150" s="114">
        <f t="shared" si="221"/>
        <v>0</v>
      </c>
      <c r="GM150" s="114">
        <f t="shared" si="222"/>
        <v>0</v>
      </c>
      <c r="GN150" s="114">
        <f t="shared" si="223"/>
        <v>0</v>
      </c>
      <c r="GO150" s="114">
        <f t="shared" si="224"/>
        <v>0</v>
      </c>
      <c r="GP150" s="114">
        <f t="shared" si="200"/>
        <v>0</v>
      </c>
      <c r="GQ150" s="114">
        <f t="shared" si="225"/>
        <v>0</v>
      </c>
      <c r="GR150" s="193"/>
      <c r="GS150" s="122">
        <f t="shared" si="202"/>
        <v>25974493.84782999</v>
      </c>
      <c r="GT150" s="122">
        <f t="shared" si="202"/>
        <v>35593785.761419147</v>
      </c>
      <c r="GU150" s="123">
        <f t="shared" si="226"/>
        <v>0.72974799651641131</v>
      </c>
      <c r="GV150" s="124">
        <f t="shared" ca="1" si="227"/>
        <v>0</v>
      </c>
      <c r="GW150" s="124">
        <v>0</v>
      </c>
      <c r="GX150" s="32">
        <f t="shared" ca="1" si="228"/>
        <v>0</v>
      </c>
      <c r="GY150" s="100"/>
    </row>
    <row r="151" spans="3:207" s="408" customFormat="1" hidden="1">
      <c r="C151" s="402"/>
      <c r="D151" s="402"/>
      <c r="E151" s="403"/>
      <c r="F151" s="403" t="s">
        <v>622</v>
      </c>
      <c r="G151" s="403" t="s">
        <v>226</v>
      </c>
      <c r="H151" s="105" t="s">
        <v>624</v>
      </c>
      <c r="I151" s="404" t="s">
        <v>633</v>
      </c>
      <c r="J151" s="403" t="s">
        <v>616</v>
      </c>
      <c r="K151" s="403" t="s">
        <v>621</v>
      </c>
      <c r="L151" s="403" t="s">
        <v>642</v>
      </c>
      <c r="M151" s="403"/>
      <c r="N151" s="404"/>
      <c r="O151" s="108">
        <v>41701</v>
      </c>
      <c r="P151" s="108">
        <v>41701</v>
      </c>
      <c r="Q151" s="323">
        <f t="shared" si="207"/>
        <v>0</v>
      </c>
      <c r="R151" s="109">
        <f>IF((P151-VLOOKUP(Q151,month!$A$1:$C$13,3,0))&lt;0,Q151,Q151+1)</f>
        <v>0</v>
      </c>
      <c r="S151" s="108"/>
      <c r="T151" s="110" t="str">
        <f t="shared" si="243"/>
        <v/>
      </c>
      <c r="U151" s="404"/>
      <c r="V151" s="404"/>
      <c r="W151" s="405"/>
      <c r="X151" s="405"/>
      <c r="Y151" s="492"/>
      <c r="Z151" s="406" t="s">
        <v>545</v>
      </c>
      <c r="AA151" s="394">
        <v>1000</v>
      </c>
      <c r="AB151" s="394">
        <v>1000</v>
      </c>
      <c r="AC151" s="394">
        <v>1000</v>
      </c>
      <c r="AD151" s="394">
        <v>1000</v>
      </c>
      <c r="AE151" s="394">
        <v>1000</v>
      </c>
      <c r="AF151" s="394">
        <v>1000</v>
      </c>
      <c r="AG151" s="394">
        <v>1000</v>
      </c>
      <c r="AH151" s="394">
        <v>1000</v>
      </c>
      <c r="AI151" s="394">
        <v>1000</v>
      </c>
      <c r="AJ151" s="394">
        <v>1000</v>
      </c>
      <c r="AK151" s="394">
        <v>1000</v>
      </c>
      <c r="AL151" s="394">
        <v>1000</v>
      </c>
      <c r="AM151" s="388">
        <f t="shared" si="185"/>
        <v>12000</v>
      </c>
      <c r="AN151" s="388">
        <f t="shared" si="208"/>
        <v>12000</v>
      </c>
      <c r="AO151" s="389">
        <f t="shared" si="245"/>
        <v>1000</v>
      </c>
      <c r="AP151" s="502" t="s">
        <v>759</v>
      </c>
      <c r="AQ151" s="159">
        <v>0.6</v>
      </c>
      <c r="AR151" s="103" t="s">
        <v>211</v>
      </c>
      <c r="AS151" s="119" t="s">
        <v>210</v>
      </c>
      <c r="AT151" s="111">
        <v>5046797.7308448758</v>
      </c>
      <c r="AU151" s="111">
        <v>5308711.4169250429</v>
      </c>
      <c r="AV151" s="111">
        <v>5114284.1421738518</v>
      </c>
      <c r="AW151" s="111">
        <v>5623300.9818061059</v>
      </c>
      <c r="AX151" s="113">
        <v>4988539.1888999986</v>
      </c>
      <c r="AY151" s="113">
        <v>5062317.3278799905</v>
      </c>
      <c r="AZ151" s="113">
        <v>5091828.1585499998</v>
      </c>
      <c r="BA151" s="113"/>
      <c r="BB151" s="113"/>
      <c r="BC151" s="113"/>
      <c r="BD151" s="113"/>
      <c r="BE151" s="113"/>
      <c r="BF151" s="114">
        <f t="shared" si="186"/>
        <v>4988539.1888999986</v>
      </c>
      <c r="BG151" s="114">
        <f t="shared" si="186"/>
        <v>5062317.3278799905</v>
      </c>
      <c r="BH151" s="114">
        <f t="shared" si="186"/>
        <v>5091828.1585499998</v>
      </c>
      <c r="BI151" s="114">
        <f t="shared" si="186"/>
        <v>0</v>
      </c>
      <c r="BJ151" s="114">
        <f t="shared" si="193"/>
        <v>15142684.675329989</v>
      </c>
      <c r="BK151" s="115">
        <f t="shared" si="229"/>
        <v>21093094.271749876</v>
      </c>
      <c r="BL151" s="115">
        <f t="shared" si="230"/>
        <v>21093094.271749876</v>
      </c>
      <c r="BM151" s="116">
        <f t="shared" si="231"/>
        <v>0.71789999999999998</v>
      </c>
      <c r="BN151" s="126">
        <f t="shared" ca="1" si="174"/>
        <v>0</v>
      </c>
      <c r="BO151" s="117">
        <f t="shared" ca="1" si="175"/>
        <v>0</v>
      </c>
      <c r="BP151" s="118" t="str">
        <f t="shared" si="176"/>
        <v>Uncapped</v>
      </c>
      <c r="BQ151" s="115">
        <f t="shared" ca="1" si="209"/>
        <v>0</v>
      </c>
      <c r="BR151" s="174" t="s">
        <v>764</v>
      </c>
      <c r="BS151" s="175">
        <v>0.2</v>
      </c>
      <c r="BT151" s="174" t="s">
        <v>217</v>
      </c>
      <c r="BU151" s="174" t="s">
        <v>210</v>
      </c>
      <c r="BV151" s="113">
        <v>61881722.047854595</v>
      </c>
      <c r="BW151" s="113">
        <v>72180793.063260496</v>
      </c>
      <c r="BX151" s="113">
        <v>70210929.79442063</v>
      </c>
      <c r="BY151" s="113">
        <v>77582831.825025976</v>
      </c>
      <c r="BZ151" s="113">
        <v>63657388.730680585</v>
      </c>
      <c r="CA151" s="113">
        <v>65995192.891159974</v>
      </c>
      <c r="CB151" s="113">
        <v>66410604.684560001</v>
      </c>
      <c r="CC151" s="113"/>
      <c r="CD151" s="113"/>
      <c r="CE151" s="113"/>
      <c r="CF151" s="113"/>
      <c r="CG151" s="113"/>
      <c r="CH151" s="114">
        <f t="shared" si="187"/>
        <v>63657388.730680585</v>
      </c>
      <c r="CI151" s="114">
        <f t="shared" si="187"/>
        <v>65995192.891159974</v>
      </c>
      <c r="CJ151" s="120">
        <f t="shared" si="187"/>
        <v>66410604.684560001</v>
      </c>
      <c r="CK151" s="114">
        <f t="shared" si="187"/>
        <v>0</v>
      </c>
      <c r="CL151" s="114">
        <f t="shared" si="194"/>
        <v>196063186.30640057</v>
      </c>
      <c r="CM151" s="114">
        <f t="shared" si="188"/>
        <v>281856276.73056173</v>
      </c>
      <c r="CN151" s="114">
        <f t="shared" si="189"/>
        <v>281856276.73056173</v>
      </c>
      <c r="CO151" s="116">
        <f t="shared" si="232"/>
        <v>0.6956</v>
      </c>
      <c r="CP151" s="126">
        <f t="shared" ca="1" si="233"/>
        <v>0</v>
      </c>
      <c r="CQ151" s="115">
        <f t="shared" ca="1" si="210"/>
        <v>0</v>
      </c>
      <c r="CR151" s="118" t="str">
        <f t="shared" si="234"/>
        <v>Uncapped</v>
      </c>
      <c r="CS151" s="115">
        <f t="shared" ca="1" si="211"/>
        <v>0</v>
      </c>
      <c r="CT151" s="113" t="s">
        <v>363</v>
      </c>
      <c r="CU151" s="119">
        <v>0.2</v>
      </c>
      <c r="CV151" s="113"/>
      <c r="CW151" s="113" t="s">
        <v>219</v>
      </c>
      <c r="CX151" s="113">
        <v>0</v>
      </c>
      <c r="CY151" s="113">
        <v>0</v>
      </c>
      <c r="CZ151" s="113">
        <v>0</v>
      </c>
      <c r="DA151" s="113">
        <v>0</v>
      </c>
      <c r="DB151" s="113">
        <v>0</v>
      </c>
      <c r="DC151" s="113">
        <v>0</v>
      </c>
      <c r="DD151" s="113">
        <v>0</v>
      </c>
      <c r="DE151" s="113"/>
      <c r="DF151" s="113"/>
      <c r="DG151" s="113"/>
      <c r="DH151" s="113"/>
      <c r="DI151" s="113"/>
      <c r="DJ151" s="114">
        <f t="shared" si="190"/>
        <v>0</v>
      </c>
      <c r="DK151" s="114">
        <f t="shared" si="190"/>
        <v>0</v>
      </c>
      <c r="DL151" s="114">
        <f t="shared" si="190"/>
        <v>0</v>
      </c>
      <c r="DM151" s="114">
        <f t="shared" si="190"/>
        <v>0</v>
      </c>
      <c r="DN151" s="114">
        <f t="shared" si="168"/>
        <v>0</v>
      </c>
      <c r="DO151" s="114">
        <f t="shared" si="195"/>
        <v>0</v>
      </c>
      <c r="DP151" s="114">
        <f t="shared" si="201"/>
        <v>0</v>
      </c>
      <c r="DQ151" s="116">
        <f t="shared" si="235"/>
        <v>0</v>
      </c>
      <c r="DR151" s="126">
        <f t="shared" si="212"/>
        <v>0</v>
      </c>
      <c r="DS151" s="115">
        <f t="shared" si="213"/>
        <v>0</v>
      </c>
      <c r="DT151" s="118" t="str">
        <f t="shared" si="236"/>
        <v>Uncapped</v>
      </c>
      <c r="DU151" s="115">
        <f t="shared" si="214"/>
        <v>0</v>
      </c>
      <c r="DV151" s="113"/>
      <c r="DW151" s="119">
        <v>0</v>
      </c>
      <c r="DX151" s="113"/>
      <c r="DY151" s="113"/>
      <c r="DZ151" s="113">
        <v>0</v>
      </c>
      <c r="EA151" s="113">
        <v>0</v>
      </c>
      <c r="EB151" s="113">
        <v>0</v>
      </c>
      <c r="EC151" s="113">
        <v>0</v>
      </c>
      <c r="ED151" s="113">
        <v>0</v>
      </c>
      <c r="EE151" s="113">
        <v>0</v>
      </c>
      <c r="EF151" s="113"/>
      <c r="EG151" s="113"/>
      <c r="EH151" s="113"/>
      <c r="EI151" s="113"/>
      <c r="EJ151" s="113"/>
      <c r="EK151" s="113"/>
      <c r="EL151" s="114">
        <f t="shared" si="191"/>
        <v>0</v>
      </c>
      <c r="EM151" s="114">
        <f t="shared" si="191"/>
        <v>0</v>
      </c>
      <c r="EN151" s="114">
        <f t="shared" si="191"/>
        <v>0</v>
      </c>
      <c r="EO151" s="114">
        <f t="shared" si="191"/>
        <v>0</v>
      </c>
      <c r="EP151" s="114">
        <f t="shared" si="215"/>
        <v>0</v>
      </c>
      <c r="EQ151" s="114">
        <f t="shared" si="196"/>
        <v>0</v>
      </c>
      <c r="ER151" s="114">
        <f t="shared" si="192"/>
        <v>0</v>
      </c>
      <c r="ES151" s="116">
        <f t="shared" si="237"/>
        <v>0</v>
      </c>
      <c r="ET151" s="126">
        <f t="shared" ca="1" si="238"/>
        <v>0</v>
      </c>
      <c r="EU151" s="115">
        <f t="shared" ca="1" si="216"/>
        <v>0</v>
      </c>
      <c r="EV151" s="118" t="str">
        <f t="shared" si="217"/>
        <v>Uncapped</v>
      </c>
      <c r="EW151" s="115">
        <f t="shared" ca="1" si="218"/>
        <v>0</v>
      </c>
      <c r="EX151" s="112">
        <f t="shared" ca="1" si="219"/>
        <v>0</v>
      </c>
      <c r="EY151" s="114">
        <f t="shared" ca="1" si="239"/>
        <v>0</v>
      </c>
      <c r="EZ151" s="115">
        <v>0</v>
      </c>
      <c r="FA151" s="115"/>
      <c r="FB151" s="115"/>
      <c r="FC151" s="115">
        <v>0</v>
      </c>
      <c r="FD151" s="115">
        <f t="shared" si="197"/>
        <v>0</v>
      </c>
      <c r="FE151" s="114">
        <f t="shared" si="177"/>
        <v>0</v>
      </c>
      <c r="FF151" s="115">
        <v>0</v>
      </c>
      <c r="FG151" s="115">
        <v>0</v>
      </c>
      <c r="FH151" s="115">
        <v>0</v>
      </c>
      <c r="FI151" s="115">
        <v>0</v>
      </c>
      <c r="FJ151" s="115">
        <f t="shared" si="198"/>
        <v>0</v>
      </c>
      <c r="FK151" s="114">
        <f t="shared" si="178"/>
        <v>0</v>
      </c>
      <c r="FL151" s="113"/>
      <c r="FM151" s="111"/>
      <c r="FN151" s="111"/>
      <c r="FO151" s="111"/>
      <c r="FP151" s="115">
        <f t="shared" si="203"/>
        <v>0</v>
      </c>
      <c r="FQ151" s="115"/>
      <c r="FR151" s="115"/>
      <c r="FS151" s="115"/>
      <c r="FT151" s="114">
        <f t="shared" si="240"/>
        <v>0</v>
      </c>
      <c r="FU151" s="366">
        <f t="shared" ca="1" si="244"/>
        <v>0</v>
      </c>
      <c r="FV151" s="121">
        <f t="shared" ca="1" si="241"/>
        <v>0</v>
      </c>
      <c r="FW151" s="114">
        <f t="shared" si="204"/>
        <v>0</v>
      </c>
      <c r="FX151" s="114">
        <f t="shared" si="204"/>
        <v>0</v>
      </c>
      <c r="FY151" s="114">
        <f t="shared" si="204"/>
        <v>0</v>
      </c>
      <c r="FZ151" s="114">
        <f t="shared" si="204"/>
        <v>0</v>
      </c>
      <c r="GA151" s="114">
        <f t="shared" si="183"/>
        <v>0</v>
      </c>
      <c r="GB151" s="114">
        <f t="shared" si="205"/>
        <v>0</v>
      </c>
      <c r="GC151" s="114">
        <f t="shared" si="205"/>
        <v>0</v>
      </c>
      <c r="GD151" s="114">
        <f t="shared" si="205"/>
        <v>0</v>
      </c>
      <c r="GE151" s="114">
        <f t="shared" si="205"/>
        <v>0</v>
      </c>
      <c r="GF151" s="114">
        <f t="shared" si="242"/>
        <v>0</v>
      </c>
      <c r="GG151" s="114">
        <f t="shared" si="242"/>
        <v>0</v>
      </c>
      <c r="GH151" s="114">
        <f t="shared" si="242"/>
        <v>0</v>
      </c>
      <c r="GI151" s="114">
        <f t="shared" si="242"/>
        <v>0</v>
      </c>
      <c r="GJ151" s="115">
        <f t="shared" si="199"/>
        <v>0</v>
      </c>
      <c r="GK151" s="114">
        <f t="shared" si="220"/>
        <v>0</v>
      </c>
      <c r="GL151" s="114">
        <f t="shared" si="221"/>
        <v>0</v>
      </c>
      <c r="GM151" s="114">
        <f t="shared" si="222"/>
        <v>0</v>
      </c>
      <c r="GN151" s="114">
        <f t="shared" si="223"/>
        <v>0</v>
      </c>
      <c r="GO151" s="114">
        <f t="shared" si="224"/>
        <v>0</v>
      </c>
      <c r="GP151" s="114">
        <f t="shared" si="200"/>
        <v>0</v>
      </c>
      <c r="GQ151" s="114">
        <f t="shared" si="225"/>
        <v>0</v>
      </c>
      <c r="GR151" s="193"/>
      <c r="GS151" s="122">
        <f t="shared" si="202"/>
        <v>211205870.98173055</v>
      </c>
      <c r="GT151" s="122">
        <f t="shared" si="202"/>
        <v>302949371.00231159</v>
      </c>
      <c r="GU151" s="123">
        <f t="shared" si="226"/>
        <v>0.69716557021707426</v>
      </c>
      <c r="GV151" s="124">
        <f t="shared" ca="1" si="227"/>
        <v>0</v>
      </c>
      <c r="GW151" s="124">
        <v>0</v>
      </c>
      <c r="GX151" s="32">
        <f t="shared" ca="1" si="228"/>
        <v>0</v>
      </c>
      <c r="GY151" s="100"/>
    </row>
    <row r="152" spans="3:207" s="408" customFormat="1" hidden="1">
      <c r="C152" s="402"/>
      <c r="D152" s="402"/>
      <c r="E152" s="403"/>
      <c r="F152" s="403" t="s">
        <v>622</v>
      </c>
      <c r="G152" s="403" t="s">
        <v>226</v>
      </c>
      <c r="H152" s="105" t="s">
        <v>625</v>
      </c>
      <c r="I152" s="404" t="s">
        <v>634</v>
      </c>
      <c r="J152" s="403" t="s">
        <v>212</v>
      </c>
      <c r="K152" s="403" t="s">
        <v>621</v>
      </c>
      <c r="L152" s="403"/>
      <c r="M152" s="403"/>
      <c r="N152" s="404"/>
      <c r="O152" s="108">
        <v>41141</v>
      </c>
      <c r="P152" s="108">
        <v>41141</v>
      </c>
      <c r="Q152" s="323">
        <f t="shared" si="207"/>
        <v>0</v>
      </c>
      <c r="R152" s="109">
        <f>IF((P152-VLOOKUP(Q152,month!$A$1:$C$13,3,0))&lt;0,Q152,Q152+1)</f>
        <v>0</v>
      </c>
      <c r="S152" s="108"/>
      <c r="T152" s="110" t="str">
        <f t="shared" si="243"/>
        <v/>
      </c>
      <c r="U152" s="404"/>
      <c r="V152" s="404"/>
      <c r="W152" s="405"/>
      <c r="X152" s="405"/>
      <c r="Y152" s="492"/>
      <c r="Z152" s="406" t="s">
        <v>545</v>
      </c>
      <c r="AA152" s="394">
        <v>1000</v>
      </c>
      <c r="AB152" s="394">
        <v>1000</v>
      </c>
      <c r="AC152" s="394">
        <v>1000</v>
      </c>
      <c r="AD152" s="394">
        <v>1000</v>
      </c>
      <c r="AE152" s="394">
        <v>1000</v>
      </c>
      <c r="AF152" s="394">
        <v>1000</v>
      </c>
      <c r="AG152" s="394">
        <v>1000</v>
      </c>
      <c r="AH152" s="394">
        <v>1000</v>
      </c>
      <c r="AI152" s="394">
        <v>1000</v>
      </c>
      <c r="AJ152" s="394">
        <v>1000</v>
      </c>
      <c r="AK152" s="394">
        <v>1000</v>
      </c>
      <c r="AL152" s="394">
        <v>1000</v>
      </c>
      <c r="AM152" s="388">
        <f t="shared" si="185"/>
        <v>12000</v>
      </c>
      <c r="AN152" s="388">
        <f t="shared" si="208"/>
        <v>12000</v>
      </c>
      <c r="AO152" s="389">
        <f t="shared" si="245"/>
        <v>1000</v>
      </c>
      <c r="AP152" s="502" t="s">
        <v>708</v>
      </c>
      <c r="AQ152" s="159">
        <v>0.6</v>
      </c>
      <c r="AR152" s="103" t="s">
        <v>211</v>
      </c>
      <c r="AS152" s="119" t="s">
        <v>210</v>
      </c>
      <c r="AT152" s="111">
        <v>579075.97512571386</v>
      </c>
      <c r="AU152" s="111">
        <v>603204.14075595187</v>
      </c>
      <c r="AV152" s="111">
        <v>579075.97512571386</v>
      </c>
      <c r="AW152" s="111">
        <v>651460.47201642813</v>
      </c>
      <c r="AX152" s="113">
        <v>600086.78999999922</v>
      </c>
      <c r="AY152" s="113">
        <v>605206.20599999989</v>
      </c>
      <c r="AZ152" s="113">
        <v>579095.10000000009</v>
      </c>
      <c r="BA152" s="113"/>
      <c r="BB152" s="113"/>
      <c r="BC152" s="113"/>
      <c r="BD152" s="113"/>
      <c r="BE152" s="113"/>
      <c r="BF152" s="114">
        <f t="shared" si="186"/>
        <v>600086.78999999922</v>
      </c>
      <c r="BG152" s="114">
        <f t="shared" si="186"/>
        <v>605206.20599999989</v>
      </c>
      <c r="BH152" s="114">
        <f t="shared" si="186"/>
        <v>579095.10000000009</v>
      </c>
      <c r="BI152" s="114">
        <f t="shared" si="186"/>
        <v>0</v>
      </c>
      <c r="BJ152" s="114">
        <f t="shared" si="193"/>
        <v>1784388.0959999992</v>
      </c>
      <c r="BK152" s="115">
        <f t="shared" si="229"/>
        <v>2412816.5630238075</v>
      </c>
      <c r="BL152" s="115">
        <f t="shared" si="230"/>
        <v>2412816.5630238075</v>
      </c>
      <c r="BM152" s="116">
        <f t="shared" si="231"/>
        <v>0.73950000000000005</v>
      </c>
      <c r="BN152" s="126">
        <f t="shared" ca="1" si="174"/>
        <v>0</v>
      </c>
      <c r="BO152" s="117">
        <f t="shared" ca="1" si="175"/>
        <v>0</v>
      </c>
      <c r="BP152" s="118" t="str">
        <f t="shared" si="176"/>
        <v>Uncapped</v>
      </c>
      <c r="BQ152" s="115">
        <f t="shared" ca="1" si="209"/>
        <v>0</v>
      </c>
      <c r="BR152" s="174" t="s">
        <v>709</v>
      </c>
      <c r="BS152" s="175">
        <v>0.2</v>
      </c>
      <c r="BT152" s="174" t="s">
        <v>217</v>
      </c>
      <c r="BU152" s="174" t="s">
        <v>210</v>
      </c>
      <c r="BV152" s="113">
        <v>2614183.8922245866</v>
      </c>
      <c r="BW152" s="113">
        <v>2723108.2210672777</v>
      </c>
      <c r="BX152" s="113">
        <v>2614183.8922245866</v>
      </c>
      <c r="BY152" s="113">
        <v>2940956.87875266</v>
      </c>
      <c r="BZ152" s="113">
        <v>2689117.4880000018</v>
      </c>
      <c r="CA152" s="113">
        <v>2709593.2359000021</v>
      </c>
      <c r="CB152" s="113">
        <v>2721919.4478000002</v>
      </c>
      <c r="CC152" s="113"/>
      <c r="CD152" s="113"/>
      <c r="CE152" s="113"/>
      <c r="CF152" s="113"/>
      <c r="CG152" s="113"/>
      <c r="CH152" s="114">
        <f t="shared" si="187"/>
        <v>2689117.4880000018</v>
      </c>
      <c r="CI152" s="114">
        <f t="shared" si="187"/>
        <v>2709593.2359000021</v>
      </c>
      <c r="CJ152" s="120">
        <f t="shared" si="187"/>
        <v>2721919.4478000002</v>
      </c>
      <c r="CK152" s="114">
        <f t="shared" si="187"/>
        <v>0</v>
      </c>
      <c r="CL152" s="114">
        <f t="shared" si="194"/>
        <v>8120630.1717000036</v>
      </c>
      <c r="CM152" s="114">
        <f t="shared" si="188"/>
        <v>10892432.884269111</v>
      </c>
      <c r="CN152" s="114">
        <f t="shared" si="189"/>
        <v>10892432.884269111</v>
      </c>
      <c r="CO152" s="116">
        <f t="shared" si="232"/>
        <v>0.74550000000000005</v>
      </c>
      <c r="CP152" s="126">
        <f t="shared" ca="1" si="233"/>
        <v>0</v>
      </c>
      <c r="CQ152" s="115">
        <f t="shared" ca="1" si="210"/>
        <v>0</v>
      </c>
      <c r="CR152" s="118" t="str">
        <f t="shared" si="234"/>
        <v>Uncapped</v>
      </c>
      <c r="CS152" s="115">
        <f t="shared" ca="1" si="211"/>
        <v>0</v>
      </c>
      <c r="CT152" s="113" t="s">
        <v>732</v>
      </c>
      <c r="CU152" s="119">
        <v>0.1</v>
      </c>
      <c r="CV152" s="113" t="s">
        <v>217</v>
      </c>
      <c r="CW152" s="113" t="s">
        <v>210</v>
      </c>
      <c r="CX152" s="113">
        <v>5046797.7308448758</v>
      </c>
      <c r="CY152" s="113">
        <v>5308711.4169250429</v>
      </c>
      <c r="CZ152" s="113">
        <v>5114284.1421738518</v>
      </c>
      <c r="DA152" s="113">
        <v>5623300.9818061059</v>
      </c>
      <c r="DB152" s="113">
        <v>4988539.1888999986</v>
      </c>
      <c r="DC152" s="113">
        <v>5062317.3278799905</v>
      </c>
      <c r="DD152" s="113">
        <v>5091828.1585499998</v>
      </c>
      <c r="DE152" s="113"/>
      <c r="DF152" s="113"/>
      <c r="DG152" s="113"/>
      <c r="DH152" s="113"/>
      <c r="DI152" s="113"/>
      <c r="DJ152" s="114">
        <f t="shared" si="190"/>
        <v>4988539.1888999986</v>
      </c>
      <c r="DK152" s="114">
        <f t="shared" si="190"/>
        <v>5062317.3278799905</v>
      </c>
      <c r="DL152" s="114">
        <f t="shared" si="190"/>
        <v>5091828.1585499998</v>
      </c>
      <c r="DM152" s="114">
        <f t="shared" si="190"/>
        <v>0</v>
      </c>
      <c r="DN152" s="114">
        <f t="shared" si="168"/>
        <v>15142684.675329989</v>
      </c>
      <c r="DO152" s="114">
        <f t="shared" si="195"/>
        <v>21093094.271749876</v>
      </c>
      <c r="DP152" s="114">
        <f t="shared" si="201"/>
        <v>21093094.271749876</v>
      </c>
      <c r="DQ152" s="116">
        <f t="shared" si="235"/>
        <v>0.71789999999999998</v>
      </c>
      <c r="DR152" s="126">
        <f t="shared" ca="1" si="212"/>
        <v>0</v>
      </c>
      <c r="DS152" s="115">
        <f t="shared" ca="1" si="213"/>
        <v>0</v>
      </c>
      <c r="DT152" s="118" t="str">
        <f t="shared" si="236"/>
        <v>Uncapped</v>
      </c>
      <c r="DU152" s="115">
        <f t="shared" ca="1" si="214"/>
        <v>0</v>
      </c>
      <c r="DV152" s="113" t="s">
        <v>363</v>
      </c>
      <c r="DW152" s="119">
        <v>0.1</v>
      </c>
      <c r="DX152" s="113"/>
      <c r="DY152" s="113" t="s">
        <v>219</v>
      </c>
      <c r="DZ152" s="113">
        <v>0</v>
      </c>
      <c r="EA152" s="113">
        <v>0</v>
      </c>
      <c r="EB152" s="113">
        <v>0</v>
      </c>
      <c r="EC152" s="113">
        <v>0</v>
      </c>
      <c r="ED152" s="113">
        <v>0</v>
      </c>
      <c r="EE152" s="113">
        <v>0</v>
      </c>
      <c r="EF152" s="113"/>
      <c r="EG152" s="113"/>
      <c r="EH152" s="113"/>
      <c r="EI152" s="113"/>
      <c r="EJ152" s="113"/>
      <c r="EK152" s="113"/>
      <c r="EL152" s="114">
        <f t="shared" si="191"/>
        <v>0</v>
      </c>
      <c r="EM152" s="114">
        <f t="shared" si="191"/>
        <v>0</v>
      </c>
      <c r="EN152" s="114">
        <f t="shared" si="191"/>
        <v>0</v>
      </c>
      <c r="EO152" s="114">
        <f t="shared" si="191"/>
        <v>0</v>
      </c>
      <c r="EP152" s="114">
        <f t="shared" si="215"/>
        <v>0</v>
      </c>
      <c r="EQ152" s="114">
        <f t="shared" si="196"/>
        <v>0</v>
      </c>
      <c r="ER152" s="114">
        <f t="shared" si="192"/>
        <v>0</v>
      </c>
      <c r="ES152" s="116">
        <f t="shared" si="237"/>
        <v>0</v>
      </c>
      <c r="ET152" s="126">
        <f t="shared" si="238"/>
        <v>0</v>
      </c>
      <c r="EU152" s="115">
        <f t="shared" si="216"/>
        <v>0</v>
      </c>
      <c r="EV152" s="118" t="str">
        <f t="shared" si="217"/>
        <v>Uncapped</v>
      </c>
      <c r="EW152" s="115">
        <f t="shared" si="218"/>
        <v>0</v>
      </c>
      <c r="EX152" s="112">
        <f t="shared" ca="1" si="219"/>
        <v>0</v>
      </c>
      <c r="EY152" s="114">
        <f t="shared" ca="1" si="239"/>
        <v>0</v>
      </c>
      <c r="EZ152" s="115">
        <v>0</v>
      </c>
      <c r="FA152" s="115"/>
      <c r="FB152" s="115"/>
      <c r="FC152" s="115">
        <v>0</v>
      </c>
      <c r="FD152" s="115">
        <f t="shared" si="197"/>
        <v>0</v>
      </c>
      <c r="FE152" s="114">
        <f t="shared" si="177"/>
        <v>0</v>
      </c>
      <c r="FF152" s="115">
        <v>0</v>
      </c>
      <c r="FG152" s="115">
        <v>0</v>
      </c>
      <c r="FH152" s="115">
        <v>0</v>
      </c>
      <c r="FI152" s="115">
        <v>0</v>
      </c>
      <c r="FJ152" s="115">
        <f t="shared" si="198"/>
        <v>0</v>
      </c>
      <c r="FK152" s="114">
        <f t="shared" si="178"/>
        <v>0</v>
      </c>
      <c r="FL152" s="113"/>
      <c r="FM152" s="111"/>
      <c r="FN152" s="111"/>
      <c r="FO152" s="111"/>
      <c r="FP152" s="115">
        <f t="shared" si="203"/>
        <v>0</v>
      </c>
      <c r="FQ152" s="115"/>
      <c r="FR152" s="115"/>
      <c r="FS152" s="115"/>
      <c r="FT152" s="114">
        <f t="shared" si="240"/>
        <v>0</v>
      </c>
      <c r="FU152" s="366">
        <f t="shared" ca="1" si="244"/>
        <v>0</v>
      </c>
      <c r="FV152" s="121">
        <f t="shared" ca="1" si="241"/>
        <v>0</v>
      </c>
      <c r="FW152" s="114">
        <f t="shared" si="204"/>
        <v>0</v>
      </c>
      <c r="FX152" s="114">
        <f t="shared" si="204"/>
        <v>0</v>
      </c>
      <c r="FY152" s="114">
        <f t="shared" si="204"/>
        <v>0</v>
      </c>
      <c r="FZ152" s="114">
        <f t="shared" si="204"/>
        <v>0</v>
      </c>
      <c r="GA152" s="114">
        <f t="shared" si="183"/>
        <v>0</v>
      </c>
      <c r="GB152" s="114">
        <f t="shared" si="205"/>
        <v>0</v>
      </c>
      <c r="GC152" s="114">
        <f t="shared" si="205"/>
        <v>0</v>
      </c>
      <c r="GD152" s="114">
        <f t="shared" si="205"/>
        <v>0</v>
      </c>
      <c r="GE152" s="114">
        <f t="shared" si="205"/>
        <v>0</v>
      </c>
      <c r="GF152" s="114">
        <f t="shared" si="242"/>
        <v>0</v>
      </c>
      <c r="GG152" s="114">
        <f t="shared" si="242"/>
        <v>0</v>
      </c>
      <c r="GH152" s="114">
        <f t="shared" si="242"/>
        <v>0</v>
      </c>
      <c r="GI152" s="114">
        <f t="shared" si="242"/>
        <v>0</v>
      </c>
      <c r="GJ152" s="115">
        <f t="shared" si="199"/>
        <v>0</v>
      </c>
      <c r="GK152" s="114">
        <f t="shared" si="220"/>
        <v>0</v>
      </c>
      <c r="GL152" s="114">
        <f t="shared" si="221"/>
        <v>0</v>
      </c>
      <c r="GM152" s="114">
        <f t="shared" si="222"/>
        <v>0</v>
      </c>
      <c r="GN152" s="114">
        <f t="shared" si="223"/>
        <v>0</v>
      </c>
      <c r="GO152" s="114">
        <f t="shared" si="224"/>
        <v>0</v>
      </c>
      <c r="GP152" s="114">
        <f t="shared" si="200"/>
        <v>0</v>
      </c>
      <c r="GQ152" s="114">
        <f t="shared" si="225"/>
        <v>0</v>
      </c>
      <c r="GR152" s="193"/>
      <c r="GS152" s="122">
        <f t="shared" si="202"/>
        <v>25047702.943029992</v>
      </c>
      <c r="GT152" s="122">
        <f t="shared" si="202"/>
        <v>34398343.719042793</v>
      </c>
      <c r="GU152" s="123">
        <f t="shared" si="226"/>
        <v>0.72816595902446546</v>
      </c>
      <c r="GV152" s="124">
        <f t="shared" ca="1" si="227"/>
        <v>0</v>
      </c>
      <c r="GW152" s="124">
        <v>0</v>
      </c>
      <c r="GX152" s="32">
        <f t="shared" ca="1" si="228"/>
        <v>0</v>
      </c>
      <c r="GY152" s="100"/>
    </row>
    <row r="153" spans="3:207" s="408" customFormat="1" hidden="1">
      <c r="C153" s="402"/>
      <c r="D153" s="402"/>
      <c r="E153" s="403"/>
      <c r="F153" s="403" t="s">
        <v>622</v>
      </c>
      <c r="G153" s="403" t="s">
        <v>226</v>
      </c>
      <c r="H153" s="105" t="s">
        <v>660</v>
      </c>
      <c r="I153" s="404" t="s">
        <v>659</v>
      </c>
      <c r="J153" s="403" t="s">
        <v>212</v>
      </c>
      <c r="K153" s="403" t="s">
        <v>621</v>
      </c>
      <c r="L153" s="403"/>
      <c r="M153" s="403"/>
      <c r="N153" s="404"/>
      <c r="O153" s="108">
        <v>43160</v>
      </c>
      <c r="P153" s="108">
        <v>43617</v>
      </c>
      <c r="Q153" s="323">
        <f t="shared" si="207"/>
        <v>6</v>
      </c>
      <c r="R153" s="109">
        <f>IF((P153-VLOOKUP(Q153,month!$A$1:$C$13,3,0))&lt;0,Q153,Q153+1)</f>
        <v>6</v>
      </c>
      <c r="S153" s="108"/>
      <c r="T153" s="110" t="str">
        <f t="shared" si="243"/>
        <v/>
      </c>
      <c r="U153" s="483" t="s">
        <v>652</v>
      </c>
      <c r="V153" s="483"/>
      <c r="W153" s="484">
        <v>1</v>
      </c>
      <c r="X153" s="484">
        <v>2</v>
      </c>
      <c r="Y153" s="492"/>
      <c r="Z153" s="406" t="s">
        <v>545</v>
      </c>
      <c r="AA153" s="394">
        <v>1000</v>
      </c>
      <c r="AB153" s="394">
        <v>1000</v>
      </c>
      <c r="AC153" s="394">
        <v>1000</v>
      </c>
      <c r="AD153" s="394">
        <v>1000</v>
      </c>
      <c r="AE153" s="394">
        <v>1000</v>
      </c>
      <c r="AF153" s="394">
        <v>1000</v>
      </c>
      <c r="AG153" s="394">
        <v>1000</v>
      </c>
      <c r="AH153" s="394">
        <v>1000</v>
      </c>
      <c r="AI153" s="394">
        <v>1000</v>
      </c>
      <c r="AJ153" s="394">
        <v>1000</v>
      </c>
      <c r="AK153" s="394">
        <v>1000</v>
      </c>
      <c r="AL153" s="394">
        <v>1000</v>
      </c>
      <c r="AM153" s="388">
        <f t="shared" si="185"/>
        <v>12000</v>
      </c>
      <c r="AN153" s="388">
        <f t="shared" si="208"/>
        <v>12000</v>
      </c>
      <c r="AO153" s="389">
        <f>AF153</f>
        <v>1000</v>
      </c>
      <c r="AP153" s="502" t="s">
        <v>716</v>
      </c>
      <c r="AQ153" s="159">
        <v>0.5</v>
      </c>
      <c r="AR153" s="103" t="s">
        <v>211</v>
      </c>
      <c r="AS153" s="119" t="s">
        <v>210</v>
      </c>
      <c r="AT153" s="111"/>
      <c r="AU153" s="111">
        <v>451032.32567501999</v>
      </c>
      <c r="AV153" s="111">
        <v>902064.65135003999</v>
      </c>
      <c r="AW153" s="111">
        <v>974229.82345804339</v>
      </c>
      <c r="AX153" s="113"/>
      <c r="AY153" s="113">
        <v>292601.6802</v>
      </c>
      <c r="AZ153" s="113">
        <v>938016.14399999799</v>
      </c>
      <c r="BA153" s="113"/>
      <c r="BB153" s="113"/>
      <c r="BC153" s="113"/>
      <c r="BD153" s="113"/>
      <c r="BE153" s="113"/>
      <c r="BF153" s="114">
        <f>AX153+BB153</f>
        <v>0</v>
      </c>
      <c r="BG153" s="114">
        <f>AY153+BC153</f>
        <v>292601.6802</v>
      </c>
      <c r="BH153" s="114">
        <f>AZ153+BD153</f>
        <v>938016.14399999799</v>
      </c>
      <c r="BI153" s="114">
        <f>BA153+BE153</f>
        <v>0</v>
      </c>
      <c r="BJ153" s="114">
        <f t="shared" si="193"/>
        <v>1230617.8241999981</v>
      </c>
      <c r="BK153" s="115">
        <f>IF($H$2=1,AT153,IF($H$2=2,SUM(AT153:AU153),IF($H$2=3,SUM(AT153:AV153),SUM(AT153:AW153))))</f>
        <v>2327326.8004831034</v>
      </c>
      <c r="BL153" s="115">
        <f>SUM(AT153:AW153)</f>
        <v>2327326.8004831034</v>
      </c>
      <c r="BM153" s="116">
        <f>IFERROR(ROUND(BJ153/BK153,4),0)</f>
        <v>0.52880000000000005</v>
      </c>
      <c r="BN153" s="126">
        <f t="shared" ca="1" si="174"/>
        <v>0</v>
      </c>
      <c r="BO153" s="117">
        <f t="shared" ca="1" si="175"/>
        <v>0</v>
      </c>
      <c r="BP153" s="118" t="str">
        <f t="shared" si="176"/>
        <v>Uncapped</v>
      </c>
      <c r="BQ153" s="115">
        <f t="shared" ca="1" si="209"/>
        <v>0</v>
      </c>
      <c r="BR153" s="174" t="s">
        <v>758</v>
      </c>
      <c r="BS153" s="175">
        <v>0.4</v>
      </c>
      <c r="BT153" s="174" t="s">
        <v>217</v>
      </c>
      <c r="BU153" s="174" t="s">
        <v>210</v>
      </c>
      <c r="BV153" s="113"/>
      <c r="BW153" s="113">
        <v>2654355.70846252</v>
      </c>
      <c r="BX153" s="113">
        <v>5114284.1421738518</v>
      </c>
      <c r="BY153" s="113">
        <v>5623300.9818061059</v>
      </c>
      <c r="BZ153" s="113">
        <v>0</v>
      </c>
      <c r="CA153" s="113">
        <v>2531158.6639399952</v>
      </c>
      <c r="CB153" s="113">
        <v>5091828.1585499998</v>
      </c>
      <c r="CC153" s="113"/>
      <c r="CD153" s="113"/>
      <c r="CE153" s="113"/>
      <c r="CF153" s="113"/>
      <c r="CG153" s="113"/>
      <c r="CH153" s="114">
        <f>BZ153+CD153</f>
        <v>0</v>
      </c>
      <c r="CI153" s="114">
        <f>CA153+CE153</f>
        <v>2531158.6639399952</v>
      </c>
      <c r="CJ153" s="120">
        <f>CB153+CF153</f>
        <v>5091828.1585499998</v>
      </c>
      <c r="CK153" s="114">
        <f>CC153+CG153</f>
        <v>0</v>
      </c>
      <c r="CL153" s="114">
        <f t="shared" si="194"/>
        <v>7622986.8224899955</v>
      </c>
      <c r="CM153" s="114">
        <f>IF($H$2=1,BV153,IF($H$2=2,SUM(BV153:BW153),IF($H$2=3,SUM(BV153:BX153),SUM(BV153:BY153))))</f>
        <v>13391940.832442477</v>
      </c>
      <c r="CN153" s="114">
        <f>SUM(BV153:BY153)</f>
        <v>13391940.832442477</v>
      </c>
      <c r="CO153" s="116">
        <f>IFERROR(ROUND(CL153/CM153,4),0)</f>
        <v>0.56920000000000004</v>
      </c>
      <c r="CP153" s="126">
        <f ca="1">IF(OR(BR153="MBO",BR153="10% Realized Price"),CO153,SUMPRODUCT(Lower_Payout*(Curve=BT153)*(Lower_Attain&lt;=CO153)*(Upper_Attain&gt;CO153))+(CO153-SUMPRODUCT(Lower_Attain*(Curve=BT153)*(Lower_Attain&lt;=CO153)*(Upper_Attain&gt;CO153)))*SUMPRODUCT(Slope*(Curve=BT153)*(Lower_Attain&lt;=CO153)*(Upper_Attain&gt;CO153)))</f>
        <v>0</v>
      </c>
      <c r="CQ153" s="115">
        <f t="shared" ca="1" si="210"/>
        <v>0</v>
      </c>
      <c r="CR153" s="118" t="str">
        <f t="shared" si="234"/>
        <v>Uncapped</v>
      </c>
      <c r="CS153" s="115">
        <f t="shared" ca="1" si="211"/>
        <v>0</v>
      </c>
      <c r="CT153" s="113" t="s">
        <v>363</v>
      </c>
      <c r="CU153" s="119">
        <v>0.1</v>
      </c>
      <c r="CV153" s="113"/>
      <c r="CW153" s="113" t="s">
        <v>219</v>
      </c>
      <c r="CX153" s="113"/>
      <c r="CY153" s="113"/>
      <c r="CZ153" s="113">
        <v>0</v>
      </c>
      <c r="DA153" s="113">
        <v>0</v>
      </c>
      <c r="DB153" s="113">
        <v>0</v>
      </c>
      <c r="DC153" s="113"/>
      <c r="DD153" s="113">
        <v>0</v>
      </c>
      <c r="DE153" s="113"/>
      <c r="DF153" s="113"/>
      <c r="DG153" s="113"/>
      <c r="DH153" s="113"/>
      <c r="DI153" s="113"/>
      <c r="DJ153" s="114">
        <f>DB153+DF153</f>
        <v>0</v>
      </c>
      <c r="DK153" s="114">
        <f>DC153+DG153</f>
        <v>0</v>
      </c>
      <c r="DL153" s="114">
        <f>DD153+DH153</f>
        <v>0</v>
      </c>
      <c r="DM153" s="114">
        <f>DE153+DI153</f>
        <v>0</v>
      </c>
      <c r="DN153" s="114">
        <f t="shared" si="168"/>
        <v>0</v>
      </c>
      <c r="DO153" s="114">
        <f>IF($H$2=1,CX153,IF($H$2=2,SUM(CX153:CY153),IF($H$2=3,SUM(CX153:CZ153),SUM(CX153:DA153))))</f>
        <v>0</v>
      </c>
      <c r="DP153" s="114">
        <f>SUM(CX153:DA153)</f>
        <v>0</v>
      </c>
      <c r="DQ153" s="116">
        <f>IFERROR(ROUND(DN153/DO153,4),0)</f>
        <v>0</v>
      </c>
      <c r="DR153" s="126">
        <f t="shared" si="212"/>
        <v>0</v>
      </c>
      <c r="DS153" s="115">
        <f t="shared" si="213"/>
        <v>0</v>
      </c>
      <c r="DT153" s="118" t="str">
        <f t="shared" si="236"/>
        <v>Uncapped</v>
      </c>
      <c r="DU153" s="115">
        <f t="shared" si="214"/>
        <v>0</v>
      </c>
      <c r="DV153" s="113"/>
      <c r="DW153" s="119">
        <v>0</v>
      </c>
      <c r="DX153" s="113"/>
      <c r="DY153" s="113"/>
      <c r="DZ153" s="113"/>
      <c r="EA153" s="113"/>
      <c r="EB153" s="113"/>
      <c r="EC153" s="113"/>
      <c r="ED153" s="113"/>
      <c r="EE153" s="113"/>
      <c r="EF153" s="113"/>
      <c r="EG153" s="113"/>
      <c r="EH153" s="113"/>
      <c r="EI153" s="113"/>
      <c r="EJ153" s="113"/>
      <c r="EK153" s="113"/>
      <c r="EL153" s="114">
        <f>ED153+EH153</f>
        <v>0</v>
      </c>
      <c r="EM153" s="114">
        <f>EE153+EI153</f>
        <v>0</v>
      </c>
      <c r="EN153" s="114">
        <f>EF153+EJ153</f>
        <v>0</v>
      </c>
      <c r="EO153" s="114">
        <f>EG153+EK153</f>
        <v>0</v>
      </c>
      <c r="EP153" s="114">
        <f t="shared" si="215"/>
        <v>0</v>
      </c>
      <c r="EQ153" s="114">
        <f>IF($H$2=1,DZ153,IF($H$2=2,SUM(DZ153:EA153),IF($H$2=3,SUM(DZ153:EB153),SUM(DZ153:EC153))))</f>
        <v>0</v>
      </c>
      <c r="ER153" s="114">
        <f>SUM(DZ153:EC153)</f>
        <v>0</v>
      </c>
      <c r="ES153" s="116">
        <f>IFERROR(ROUND(EP153/EQ153,4),0)</f>
        <v>0</v>
      </c>
      <c r="ET153" s="126">
        <f ca="1">IF(OR(DV153="MBO",DV153="10% Realized Price"),ES153,SUMPRODUCT(Lower_Payout*(Curve=DX153)*(Lower_Attain&lt;=ES153)*(Upper_Attain&gt;ES153))+(ES153-SUMPRODUCT(Lower_Attain*(Curve=DX153)*(Lower_Attain&lt;=ES153)*(Upper_Attain&gt;ES153)))*SUMPRODUCT(Slope*(Curve=DX153)*(Lower_Attain&lt;=ES153)*(Upper_Attain&gt;ES153)))</f>
        <v>0</v>
      </c>
      <c r="EU153" s="115">
        <f t="shared" ca="1" si="216"/>
        <v>0</v>
      </c>
      <c r="EV153" s="118" t="str">
        <f t="shared" si="217"/>
        <v>Uncapped</v>
      </c>
      <c r="EW153" s="115">
        <f t="shared" ca="1" si="218"/>
        <v>0</v>
      </c>
      <c r="EX153" s="112">
        <f t="shared" ca="1" si="219"/>
        <v>0</v>
      </c>
      <c r="EY153" s="114">
        <f ca="1">MAX(EX153,GP153)</f>
        <v>3000</v>
      </c>
      <c r="EZ153" s="115"/>
      <c r="FA153" s="115"/>
      <c r="FB153" s="115">
        <v>4488</v>
      </c>
      <c r="FC153" s="115">
        <v>0</v>
      </c>
      <c r="FD153" s="115">
        <f>IF($H$2=1,EZ153,IF($H$2=2,SUM(EZ153:FA153),IF($H$2=3,SUM(EZ153:FB153),SUM(EZ153:FC153))))</f>
        <v>4488</v>
      </c>
      <c r="FE153" s="114">
        <f t="shared" si="177"/>
        <v>0</v>
      </c>
      <c r="FF153" s="115">
        <v>0</v>
      </c>
      <c r="FG153" s="115">
        <v>0</v>
      </c>
      <c r="FH153" s="115">
        <v>0</v>
      </c>
      <c r="FI153" s="115">
        <v>0</v>
      </c>
      <c r="FJ153" s="115">
        <f t="shared" si="198"/>
        <v>0</v>
      </c>
      <c r="FK153" s="114">
        <f t="shared" si="178"/>
        <v>0</v>
      </c>
      <c r="FL153" s="113"/>
      <c r="FM153" s="111"/>
      <c r="FN153" s="111"/>
      <c r="FO153" s="111"/>
      <c r="FP153" s="115">
        <f>SUM(FL153:FO153)</f>
        <v>0</v>
      </c>
      <c r="FQ153" s="115"/>
      <c r="FR153" s="115"/>
      <c r="FS153" s="115"/>
      <c r="FT153" s="114">
        <f t="shared" si="240"/>
        <v>0</v>
      </c>
      <c r="FU153" s="366">
        <f t="shared" ca="1" si="244"/>
        <v>7488</v>
      </c>
      <c r="FV153" s="121">
        <f t="shared" ca="1" si="241"/>
        <v>7488</v>
      </c>
      <c r="FW153" s="114">
        <f>FF153</f>
        <v>0</v>
      </c>
      <c r="FX153" s="114">
        <f>FG153</f>
        <v>0</v>
      </c>
      <c r="FY153" s="114">
        <f>FH153</f>
        <v>0</v>
      </c>
      <c r="FZ153" s="114">
        <f>FI153</f>
        <v>0</v>
      </c>
      <c r="GA153" s="114">
        <f>SUM(FW153:FZ153)</f>
        <v>0</v>
      </c>
      <c r="GB153" s="114">
        <f>EZ153</f>
        <v>0</v>
      </c>
      <c r="GC153" s="114">
        <f>FA153</f>
        <v>0</v>
      </c>
      <c r="GD153" s="114">
        <f>FB153</f>
        <v>4488</v>
      </c>
      <c r="GE153" s="114">
        <f>FC153</f>
        <v>0</v>
      </c>
      <c r="GF153" s="114">
        <f>GB153+FW153</f>
        <v>0</v>
      </c>
      <c r="GG153" s="114">
        <f>GC153+FX153</f>
        <v>0</v>
      </c>
      <c r="GH153" s="114">
        <f>GD153+FY153</f>
        <v>4488</v>
      </c>
      <c r="GI153" s="114">
        <f>GE153+FZ153</f>
        <v>0</v>
      </c>
      <c r="GJ153" s="115">
        <f t="shared" si="199"/>
        <v>4488</v>
      </c>
      <c r="GK153" s="114">
        <f>SUM(GF153:GI153)</f>
        <v>4488</v>
      </c>
      <c r="GL153" s="114">
        <f t="shared" si="221"/>
        <v>0</v>
      </c>
      <c r="GM153" s="114">
        <f t="shared" si="222"/>
        <v>1000</v>
      </c>
      <c r="GN153" s="114">
        <f t="shared" si="223"/>
        <v>2000</v>
      </c>
      <c r="GO153" s="114">
        <f t="shared" si="224"/>
        <v>0</v>
      </c>
      <c r="GP153" s="114">
        <f t="shared" si="200"/>
        <v>3000</v>
      </c>
      <c r="GQ153" s="114">
        <f>SUM(GL153:GO153)</f>
        <v>3000</v>
      </c>
      <c r="GR153" s="193"/>
      <c r="GS153" s="122">
        <f t="shared" si="202"/>
        <v>8853604.6466899943</v>
      </c>
      <c r="GT153" s="122">
        <f t="shared" si="202"/>
        <v>15719267.632925581</v>
      </c>
      <c r="GU153" s="123">
        <f>IFERROR(GS153/GT153,"")</f>
        <v>0.56323264247662741</v>
      </c>
      <c r="GV153" s="124">
        <f t="shared" ca="1" si="227"/>
        <v>0</v>
      </c>
      <c r="GW153" s="124">
        <v>0</v>
      </c>
      <c r="GX153" s="32">
        <f t="shared" ca="1" si="228"/>
        <v>0</v>
      </c>
      <c r="GY153" s="100"/>
    </row>
    <row r="154" spans="3:207" s="408" customFormat="1" hidden="1">
      <c r="C154" s="402"/>
      <c r="D154" s="402"/>
      <c r="E154" s="403"/>
      <c r="F154" s="403" t="s">
        <v>622</v>
      </c>
      <c r="G154" s="403" t="s">
        <v>226</v>
      </c>
      <c r="H154" s="105" t="s">
        <v>626</v>
      </c>
      <c r="I154" s="404" t="s">
        <v>635</v>
      </c>
      <c r="J154" s="403" t="s">
        <v>615</v>
      </c>
      <c r="K154" s="403" t="s">
        <v>621</v>
      </c>
      <c r="L154" s="403"/>
      <c r="M154" s="403"/>
      <c r="N154" s="404"/>
      <c r="O154" s="108">
        <v>43282</v>
      </c>
      <c r="P154" s="108">
        <v>43282</v>
      </c>
      <c r="Q154" s="323">
        <f t="shared" si="207"/>
        <v>0</v>
      </c>
      <c r="R154" s="109">
        <f>IF((P154-VLOOKUP(Q154,month!$A$1:$C$13,3,0))&lt;0,Q154,Q154+1)</f>
        <v>0</v>
      </c>
      <c r="S154" s="108"/>
      <c r="T154" s="110" t="str">
        <f t="shared" si="243"/>
        <v/>
      </c>
      <c r="U154" s="404"/>
      <c r="V154" s="404"/>
      <c r="W154" s="405"/>
      <c r="X154" s="405"/>
      <c r="Y154" s="492"/>
      <c r="Z154" s="406" t="s">
        <v>545</v>
      </c>
      <c r="AA154" s="394">
        <v>1000</v>
      </c>
      <c r="AB154" s="394">
        <v>1000</v>
      </c>
      <c r="AC154" s="394">
        <v>1000</v>
      </c>
      <c r="AD154" s="394">
        <v>1000</v>
      </c>
      <c r="AE154" s="394">
        <v>1000</v>
      </c>
      <c r="AF154" s="394">
        <v>1000</v>
      </c>
      <c r="AG154" s="394">
        <v>1000</v>
      </c>
      <c r="AH154" s="394">
        <v>1000</v>
      </c>
      <c r="AI154" s="394">
        <v>1000</v>
      </c>
      <c r="AJ154" s="394">
        <v>1000</v>
      </c>
      <c r="AK154" s="394">
        <v>1000</v>
      </c>
      <c r="AL154" s="394">
        <v>1000</v>
      </c>
      <c r="AM154" s="388">
        <f t="shared" ref="AM154:AM165" si="246">IF($H$2=1,SUM(AA154:AC154),IF($H$2=2,SUM(AA154:AF154),IF($H$2=3,SUM(AA154:AI154),SUM(AA154:AL154))))</f>
        <v>12000</v>
      </c>
      <c r="AN154" s="388">
        <f t="shared" si="208"/>
        <v>12000</v>
      </c>
      <c r="AO154" s="389">
        <f t="shared" ref="AO154:AO156" si="247">AI154</f>
        <v>1000</v>
      </c>
      <c r="AP154" s="502" t="s">
        <v>708</v>
      </c>
      <c r="AQ154" s="159">
        <v>0.5</v>
      </c>
      <c r="AR154" s="103" t="s">
        <v>211</v>
      </c>
      <c r="AS154" s="119" t="s">
        <v>210</v>
      </c>
      <c r="AT154" s="111">
        <v>1470529.8505747488</v>
      </c>
      <c r="AU154" s="111">
        <v>1531801.92768203</v>
      </c>
      <c r="AV154" s="111">
        <v>1470529.8505747488</v>
      </c>
      <c r="AW154" s="111">
        <v>1654346.0818965926</v>
      </c>
      <c r="AX154" s="113">
        <v>1508883.7860000008</v>
      </c>
      <c r="AY154" s="113">
        <v>1552251.2229000023</v>
      </c>
      <c r="AZ154" s="113">
        <v>1526509.1609999998</v>
      </c>
      <c r="BA154" s="113"/>
      <c r="BB154" s="113"/>
      <c r="BC154" s="113"/>
      <c r="BD154" s="113"/>
      <c r="BE154" s="113"/>
      <c r="BF154" s="114">
        <f t="shared" si="186"/>
        <v>1508883.7860000008</v>
      </c>
      <c r="BG154" s="114">
        <f t="shared" si="186"/>
        <v>1552251.2229000023</v>
      </c>
      <c r="BH154" s="114">
        <f t="shared" si="186"/>
        <v>1526509.1609999998</v>
      </c>
      <c r="BI154" s="114">
        <f t="shared" si="186"/>
        <v>0</v>
      </c>
      <c r="BJ154" s="114">
        <f t="shared" ref="BJ154:BJ159" si="248">IF($BB$3="After AR Adjustment",IF($H$2=1,BF154,IF($H$2=2,SUM(BF154:BG154),IF($H$2=3,SUM(BF154:BH154),SUM(BF154:BI154)))),IF($H$2=1,AX154,IF($H$2=2,SUM(AX154:AY154),IF($H$2=3,SUM(AX154:AZ154),SUM(AX154:BA154)))))</f>
        <v>4587644.1699000029</v>
      </c>
      <c r="BK154" s="115">
        <f t="shared" si="229"/>
        <v>6127207.7107281201</v>
      </c>
      <c r="BL154" s="115">
        <f t="shared" si="230"/>
        <v>6127207.7107281201</v>
      </c>
      <c r="BM154" s="116">
        <f t="shared" si="231"/>
        <v>0.74870000000000003</v>
      </c>
      <c r="BN154" s="126">
        <f t="shared" ca="1" si="174"/>
        <v>0</v>
      </c>
      <c r="BO154" s="117">
        <f t="shared" ca="1" si="175"/>
        <v>0</v>
      </c>
      <c r="BP154" s="118" t="str">
        <f t="shared" si="176"/>
        <v>Uncapped</v>
      </c>
      <c r="BQ154" s="115">
        <f t="shared" ca="1" si="209"/>
        <v>0</v>
      </c>
      <c r="BR154" s="174" t="s">
        <v>709</v>
      </c>
      <c r="BS154" s="175">
        <v>0.2</v>
      </c>
      <c r="BT154" s="174" t="s">
        <v>217</v>
      </c>
      <c r="BU154" s="174" t="s">
        <v>210</v>
      </c>
      <c r="BV154" s="113">
        <v>2614183.8922245866</v>
      </c>
      <c r="BW154" s="113">
        <v>2723108.2210672777</v>
      </c>
      <c r="BX154" s="113">
        <v>2614183.8922245866</v>
      </c>
      <c r="BY154" s="113">
        <v>2940956.87875266</v>
      </c>
      <c r="BZ154" s="113">
        <v>2689117.4880000018</v>
      </c>
      <c r="CA154" s="113">
        <v>2709593.2359000021</v>
      </c>
      <c r="CB154" s="113">
        <v>2721919.4478000002</v>
      </c>
      <c r="CC154" s="113"/>
      <c r="CD154" s="113"/>
      <c r="CE154" s="113"/>
      <c r="CF154" s="113"/>
      <c r="CG154" s="113"/>
      <c r="CH154" s="114">
        <f t="shared" si="187"/>
        <v>2689117.4880000018</v>
      </c>
      <c r="CI154" s="114">
        <f t="shared" si="187"/>
        <v>2709593.2359000021</v>
      </c>
      <c r="CJ154" s="120">
        <f t="shared" si="187"/>
        <v>2721919.4478000002</v>
      </c>
      <c r="CK154" s="114">
        <f t="shared" si="187"/>
        <v>0</v>
      </c>
      <c r="CL154" s="114">
        <f t="shared" si="194"/>
        <v>8120630.1717000036</v>
      </c>
      <c r="CM154" s="114">
        <f t="shared" ref="CM154:CM165" si="249">IF($H$2=1,BV154,IF($H$2=2,SUM(BV154:BW154),IF($H$2=3,SUM(BV154:BX154),SUM(BV154:BY154))))</f>
        <v>10892432.884269111</v>
      </c>
      <c r="CN154" s="114">
        <f t="shared" si="189"/>
        <v>10892432.884269111</v>
      </c>
      <c r="CO154" s="116">
        <f t="shared" si="232"/>
        <v>0.74550000000000005</v>
      </c>
      <c r="CP154" s="126">
        <f t="shared" ca="1" si="233"/>
        <v>0</v>
      </c>
      <c r="CQ154" s="115">
        <f t="shared" ca="1" si="210"/>
        <v>0</v>
      </c>
      <c r="CR154" s="118" t="str">
        <f t="shared" si="234"/>
        <v>Uncapped</v>
      </c>
      <c r="CS154" s="115">
        <f t="shared" ca="1" si="211"/>
        <v>0</v>
      </c>
      <c r="CT154" s="113" t="s">
        <v>732</v>
      </c>
      <c r="CU154" s="119">
        <v>0.2</v>
      </c>
      <c r="CV154" s="113" t="s">
        <v>217</v>
      </c>
      <c r="CW154" s="113" t="s">
        <v>210</v>
      </c>
      <c r="CX154" s="113">
        <v>5046797.7308448758</v>
      </c>
      <c r="CY154" s="113">
        <v>5308711.4169250429</v>
      </c>
      <c r="CZ154" s="113">
        <v>5114284.1421738518</v>
      </c>
      <c r="DA154" s="113">
        <v>5623300.9818061059</v>
      </c>
      <c r="DB154" s="113">
        <v>4988539.1888999986</v>
      </c>
      <c r="DC154" s="113">
        <v>5062317.3278799905</v>
      </c>
      <c r="DD154" s="113">
        <v>5091828.1585499998</v>
      </c>
      <c r="DE154" s="113"/>
      <c r="DF154" s="113"/>
      <c r="DG154" s="113"/>
      <c r="DH154" s="113"/>
      <c r="DI154" s="113"/>
      <c r="DJ154" s="114">
        <f t="shared" si="190"/>
        <v>4988539.1888999986</v>
      </c>
      <c r="DK154" s="114">
        <f t="shared" si="190"/>
        <v>5062317.3278799905</v>
      </c>
      <c r="DL154" s="114">
        <f t="shared" si="190"/>
        <v>5091828.1585499998</v>
      </c>
      <c r="DM154" s="114">
        <f t="shared" si="190"/>
        <v>0</v>
      </c>
      <c r="DN154" s="114">
        <f t="shared" si="168"/>
        <v>15142684.675329989</v>
      </c>
      <c r="DO154" s="114">
        <f t="shared" ref="DO154:DO165" si="250">IF($H$2=1,CX154,IF($H$2=2,SUM(CX154:CY154),IF($H$2=3,SUM(CX154:CZ154),SUM(CX154:DA154))))</f>
        <v>21093094.271749876</v>
      </c>
      <c r="DP154" s="114">
        <f t="shared" si="201"/>
        <v>21093094.271749876</v>
      </c>
      <c r="DQ154" s="116">
        <f t="shared" si="235"/>
        <v>0.71789999999999998</v>
      </c>
      <c r="DR154" s="126">
        <f t="shared" ca="1" si="212"/>
        <v>0</v>
      </c>
      <c r="DS154" s="115">
        <f t="shared" ca="1" si="213"/>
        <v>0</v>
      </c>
      <c r="DT154" s="118" t="str">
        <f t="shared" si="236"/>
        <v>Uncapped</v>
      </c>
      <c r="DU154" s="115">
        <f t="shared" ca="1" si="214"/>
        <v>0</v>
      </c>
      <c r="DV154" s="113" t="s">
        <v>363</v>
      </c>
      <c r="DW154" s="119">
        <v>0.1</v>
      </c>
      <c r="DX154" s="113"/>
      <c r="DY154" s="113" t="s">
        <v>219</v>
      </c>
      <c r="DZ154" s="113">
        <v>0</v>
      </c>
      <c r="EA154" s="113">
        <v>0</v>
      </c>
      <c r="EB154" s="113">
        <v>0</v>
      </c>
      <c r="EC154" s="113">
        <v>0</v>
      </c>
      <c r="ED154" s="113">
        <v>0</v>
      </c>
      <c r="EE154" s="113">
        <v>0</v>
      </c>
      <c r="EF154" s="113"/>
      <c r="EG154" s="113"/>
      <c r="EH154" s="113"/>
      <c r="EI154" s="113"/>
      <c r="EJ154" s="113"/>
      <c r="EK154" s="113"/>
      <c r="EL154" s="114">
        <f t="shared" si="191"/>
        <v>0</v>
      </c>
      <c r="EM154" s="114">
        <f t="shared" si="191"/>
        <v>0</v>
      </c>
      <c r="EN154" s="114">
        <f t="shared" si="191"/>
        <v>0</v>
      </c>
      <c r="EO154" s="114">
        <f t="shared" si="191"/>
        <v>0</v>
      </c>
      <c r="EP154" s="114">
        <f t="shared" si="215"/>
        <v>0</v>
      </c>
      <c r="EQ154" s="114">
        <f t="shared" ref="EQ154:EQ167" si="251">IF($H$2=1,DZ154,IF($H$2=2,SUM(DZ154:EA154),IF($H$2=3,SUM(DZ154:EB154),SUM(DZ154:EC154))))</f>
        <v>0</v>
      </c>
      <c r="ER154" s="114">
        <f t="shared" si="192"/>
        <v>0</v>
      </c>
      <c r="ES154" s="116">
        <f t="shared" si="237"/>
        <v>0</v>
      </c>
      <c r="ET154" s="126">
        <f t="shared" si="238"/>
        <v>0</v>
      </c>
      <c r="EU154" s="115">
        <f t="shared" si="216"/>
        <v>0</v>
      </c>
      <c r="EV154" s="118" t="str">
        <f t="shared" si="217"/>
        <v>Uncapped</v>
      </c>
      <c r="EW154" s="115">
        <f t="shared" si="218"/>
        <v>0</v>
      </c>
      <c r="EX154" s="112">
        <f t="shared" ca="1" si="219"/>
        <v>0</v>
      </c>
      <c r="EY154" s="114">
        <f t="shared" ca="1" si="239"/>
        <v>0</v>
      </c>
      <c r="EZ154" s="115">
        <v>0</v>
      </c>
      <c r="FA154" s="115"/>
      <c r="FB154" s="115"/>
      <c r="FC154" s="115">
        <v>0</v>
      </c>
      <c r="FD154" s="115">
        <f t="shared" ref="FD154:FD193" si="252">IF($H$2=1,EZ154,IF($H$2=2,SUM(EZ154:FA154),IF($H$2=3,SUM(EZ154:FB154),SUM(EZ154:FC154))))</f>
        <v>0</v>
      </c>
      <c r="FE154" s="114">
        <f t="shared" si="177"/>
        <v>0</v>
      </c>
      <c r="FF154" s="115">
        <v>0</v>
      </c>
      <c r="FG154" s="115">
        <v>0</v>
      </c>
      <c r="FH154" s="115">
        <v>0</v>
      </c>
      <c r="FI154" s="115">
        <v>0</v>
      </c>
      <c r="FJ154" s="115">
        <f t="shared" si="198"/>
        <v>0</v>
      </c>
      <c r="FK154" s="114">
        <f t="shared" si="178"/>
        <v>0</v>
      </c>
      <c r="FL154" s="113"/>
      <c r="FM154" s="111"/>
      <c r="FN154" s="111"/>
      <c r="FO154" s="111"/>
      <c r="FP154" s="115">
        <f t="shared" si="203"/>
        <v>0</v>
      </c>
      <c r="FQ154" s="115"/>
      <c r="FR154" s="115"/>
      <c r="FS154" s="115"/>
      <c r="FT154" s="114">
        <f t="shared" si="240"/>
        <v>0</v>
      </c>
      <c r="FU154" s="366">
        <f t="shared" ca="1" si="244"/>
        <v>0</v>
      </c>
      <c r="FV154" s="121">
        <f t="shared" ca="1" si="241"/>
        <v>0</v>
      </c>
      <c r="FW154" s="114">
        <f t="shared" si="204"/>
        <v>0</v>
      </c>
      <c r="FX154" s="114">
        <f t="shared" si="204"/>
        <v>0</v>
      </c>
      <c r="FY154" s="114">
        <f t="shared" si="204"/>
        <v>0</v>
      </c>
      <c r="FZ154" s="114">
        <f t="shared" si="204"/>
        <v>0</v>
      </c>
      <c r="GA154" s="114">
        <f t="shared" si="183"/>
        <v>0</v>
      </c>
      <c r="GB154" s="114">
        <f t="shared" si="205"/>
        <v>0</v>
      </c>
      <c r="GC154" s="114">
        <f t="shared" si="205"/>
        <v>0</v>
      </c>
      <c r="GD154" s="114">
        <f t="shared" si="205"/>
        <v>0</v>
      </c>
      <c r="GE154" s="114">
        <f t="shared" si="205"/>
        <v>0</v>
      </c>
      <c r="GF154" s="114">
        <f t="shared" si="242"/>
        <v>0</v>
      </c>
      <c r="GG154" s="114">
        <f t="shared" si="242"/>
        <v>0</v>
      </c>
      <c r="GH154" s="114">
        <f t="shared" si="242"/>
        <v>0</v>
      </c>
      <c r="GI154" s="114">
        <f t="shared" si="242"/>
        <v>0</v>
      </c>
      <c r="GJ154" s="115">
        <f t="shared" si="199"/>
        <v>0</v>
      </c>
      <c r="GK154" s="114">
        <f t="shared" si="220"/>
        <v>0</v>
      </c>
      <c r="GL154" s="114">
        <f t="shared" si="221"/>
        <v>0</v>
      </c>
      <c r="GM154" s="114">
        <f t="shared" si="222"/>
        <v>0</v>
      </c>
      <c r="GN154" s="114">
        <f t="shared" si="223"/>
        <v>0</v>
      </c>
      <c r="GO154" s="114">
        <f t="shared" si="224"/>
        <v>0</v>
      </c>
      <c r="GP154" s="114">
        <f t="shared" si="200"/>
        <v>0</v>
      </c>
      <c r="GQ154" s="114">
        <f t="shared" si="225"/>
        <v>0</v>
      </c>
      <c r="GR154" s="193"/>
      <c r="GS154" s="122">
        <f t="shared" ref="GS154:GT169" si="253">IFERROR(BJ154+CL154+DN154+EP154,0)</f>
        <v>27850959.016929995</v>
      </c>
      <c r="GT154" s="122">
        <f t="shared" si="253"/>
        <v>38112734.866747111</v>
      </c>
      <c r="GU154" s="123">
        <f t="shared" si="226"/>
        <v>0.73075204690255935</v>
      </c>
      <c r="GV154" s="124">
        <f t="shared" ca="1" si="227"/>
        <v>0</v>
      </c>
      <c r="GW154" s="124">
        <v>0</v>
      </c>
      <c r="GX154" s="32">
        <f t="shared" ca="1" si="228"/>
        <v>0</v>
      </c>
      <c r="GY154" s="100"/>
    </row>
    <row r="155" spans="3:207" s="408" customFormat="1" hidden="1">
      <c r="C155" s="402"/>
      <c r="D155" s="402"/>
      <c r="E155" s="403"/>
      <c r="F155" s="403" t="s">
        <v>622</v>
      </c>
      <c r="G155" s="403" t="s">
        <v>226</v>
      </c>
      <c r="H155" s="105" t="s">
        <v>627</v>
      </c>
      <c r="I155" s="404" t="s">
        <v>636</v>
      </c>
      <c r="J155" s="403" t="s">
        <v>212</v>
      </c>
      <c r="K155" s="403" t="s">
        <v>621</v>
      </c>
      <c r="L155" s="403"/>
      <c r="M155" s="403"/>
      <c r="N155" s="404"/>
      <c r="O155" s="108">
        <v>43313</v>
      </c>
      <c r="P155" s="108">
        <v>43313</v>
      </c>
      <c r="Q155" s="323">
        <f t="shared" si="207"/>
        <v>0</v>
      </c>
      <c r="R155" s="109">
        <f>IF((P155-VLOOKUP(Q155,month!$A$1:$C$13,3,0))&lt;0,Q155,Q155+1)</f>
        <v>0</v>
      </c>
      <c r="S155" s="108"/>
      <c r="T155" s="110" t="str">
        <f t="shared" si="243"/>
        <v/>
      </c>
      <c r="U155" s="404"/>
      <c r="V155" s="404"/>
      <c r="W155" s="405"/>
      <c r="X155" s="405"/>
      <c r="Y155" s="492"/>
      <c r="Z155" s="406" t="s">
        <v>545</v>
      </c>
      <c r="AA155" s="394">
        <v>1000</v>
      </c>
      <c r="AB155" s="394">
        <v>1000</v>
      </c>
      <c r="AC155" s="394">
        <v>1000</v>
      </c>
      <c r="AD155" s="394">
        <v>1000</v>
      </c>
      <c r="AE155" s="394">
        <v>1000</v>
      </c>
      <c r="AF155" s="394">
        <v>1000</v>
      </c>
      <c r="AG155" s="394">
        <v>1000</v>
      </c>
      <c r="AH155" s="394">
        <v>1000</v>
      </c>
      <c r="AI155" s="394">
        <v>1000</v>
      </c>
      <c r="AJ155" s="394">
        <v>1000</v>
      </c>
      <c r="AK155" s="394">
        <v>1000</v>
      </c>
      <c r="AL155" s="394">
        <v>1000</v>
      </c>
      <c r="AM155" s="388">
        <f t="shared" si="246"/>
        <v>12000</v>
      </c>
      <c r="AN155" s="388">
        <f t="shared" si="208"/>
        <v>12000</v>
      </c>
      <c r="AO155" s="389">
        <f t="shared" si="247"/>
        <v>1000</v>
      </c>
      <c r="AP155" s="502" t="s">
        <v>708</v>
      </c>
      <c r="AQ155" s="159">
        <v>0.6</v>
      </c>
      <c r="AR155" s="103" t="s">
        <v>211</v>
      </c>
      <c r="AS155" s="119" t="s">
        <v>210</v>
      </c>
      <c r="AT155" s="111">
        <v>432767.19573539321</v>
      </c>
      <c r="AU155" s="111">
        <v>450799.16222436796</v>
      </c>
      <c r="AV155" s="111">
        <v>432767.19573539321</v>
      </c>
      <c r="AW155" s="111">
        <v>486863.09520231746</v>
      </c>
      <c r="AX155" s="113">
        <v>409367.28599999956</v>
      </c>
      <c r="AY155" s="113">
        <v>308495.42100000026</v>
      </c>
      <c r="AZ155" s="113">
        <v>363442.13100000017</v>
      </c>
      <c r="BA155" s="113"/>
      <c r="BB155" s="113"/>
      <c r="BC155" s="113"/>
      <c r="BD155" s="113"/>
      <c r="BE155" s="113"/>
      <c r="BF155" s="114">
        <f t="shared" si="186"/>
        <v>409367.28599999956</v>
      </c>
      <c r="BG155" s="114">
        <f t="shared" si="186"/>
        <v>308495.42100000026</v>
      </c>
      <c r="BH155" s="114">
        <f t="shared" si="186"/>
        <v>363442.13100000017</v>
      </c>
      <c r="BI155" s="114">
        <f t="shared" si="186"/>
        <v>0</v>
      </c>
      <c r="BJ155" s="114">
        <f t="shared" si="248"/>
        <v>1081304.838</v>
      </c>
      <c r="BK155" s="115">
        <f t="shared" si="229"/>
        <v>1803196.6488974718</v>
      </c>
      <c r="BL155" s="115">
        <f t="shared" si="230"/>
        <v>1803196.6488974718</v>
      </c>
      <c r="BM155" s="116">
        <f t="shared" si="231"/>
        <v>0.59970000000000001</v>
      </c>
      <c r="BN155" s="126">
        <f t="shared" ca="1" si="174"/>
        <v>0</v>
      </c>
      <c r="BO155" s="117">
        <f t="shared" ca="1" si="175"/>
        <v>0</v>
      </c>
      <c r="BP155" s="118" t="str">
        <f t="shared" si="176"/>
        <v>Uncapped</v>
      </c>
      <c r="BQ155" s="115">
        <f t="shared" ca="1" si="209"/>
        <v>0</v>
      </c>
      <c r="BR155" s="174" t="s">
        <v>709</v>
      </c>
      <c r="BS155" s="175">
        <v>0.2</v>
      </c>
      <c r="BT155" s="174" t="s">
        <v>217</v>
      </c>
      <c r="BU155" s="174" t="s">
        <v>210</v>
      </c>
      <c r="BV155" s="113">
        <v>1581777.9554044395</v>
      </c>
      <c r="BW155" s="113">
        <v>1647685.370212958</v>
      </c>
      <c r="BX155" s="113">
        <v>1581777.9554044395</v>
      </c>
      <c r="BY155" s="113">
        <v>1779500.1998299947</v>
      </c>
      <c r="BZ155" s="113">
        <v>1522860.7446000022</v>
      </c>
      <c r="CA155" s="113">
        <v>1425223.8162</v>
      </c>
      <c r="CB155" s="113">
        <v>1427879.0610000012</v>
      </c>
      <c r="CC155" s="113"/>
      <c r="CD155" s="113"/>
      <c r="CE155" s="113"/>
      <c r="CF155" s="113"/>
      <c r="CG155" s="113"/>
      <c r="CH155" s="114">
        <f t="shared" si="187"/>
        <v>1522860.7446000022</v>
      </c>
      <c r="CI155" s="114">
        <f t="shared" si="187"/>
        <v>1425223.8162</v>
      </c>
      <c r="CJ155" s="120">
        <f t="shared" si="187"/>
        <v>1427879.0610000012</v>
      </c>
      <c r="CK155" s="114">
        <f t="shared" si="187"/>
        <v>0</v>
      </c>
      <c r="CL155" s="114">
        <f t="shared" si="194"/>
        <v>4375963.6218000036</v>
      </c>
      <c r="CM155" s="114">
        <f t="shared" si="249"/>
        <v>6590741.4808518318</v>
      </c>
      <c r="CN155" s="114">
        <f t="shared" si="189"/>
        <v>6590741.4808518318</v>
      </c>
      <c r="CO155" s="116">
        <f t="shared" si="232"/>
        <v>0.66400000000000003</v>
      </c>
      <c r="CP155" s="126">
        <f t="shared" ca="1" si="233"/>
        <v>0</v>
      </c>
      <c r="CQ155" s="115">
        <f t="shared" ca="1" si="210"/>
        <v>0</v>
      </c>
      <c r="CR155" s="118" t="str">
        <f t="shared" si="234"/>
        <v>Uncapped</v>
      </c>
      <c r="CS155" s="115">
        <f t="shared" ca="1" si="211"/>
        <v>0</v>
      </c>
      <c r="CT155" s="113" t="s">
        <v>732</v>
      </c>
      <c r="CU155" s="119">
        <v>0.1</v>
      </c>
      <c r="CV155" s="113" t="s">
        <v>217</v>
      </c>
      <c r="CW155" s="113" t="s">
        <v>210</v>
      </c>
      <c r="CX155" s="113">
        <v>5046797.7308448758</v>
      </c>
      <c r="CY155" s="113">
        <v>5308711.4169250429</v>
      </c>
      <c r="CZ155" s="113">
        <v>5114284.1421738518</v>
      </c>
      <c r="DA155" s="113">
        <v>5623300.9818061059</v>
      </c>
      <c r="DB155" s="113">
        <v>4988539.1888999986</v>
      </c>
      <c r="DC155" s="113">
        <v>5062317.3278799905</v>
      </c>
      <c r="DD155" s="113">
        <v>5091828.1585499998</v>
      </c>
      <c r="DE155" s="113"/>
      <c r="DF155" s="113"/>
      <c r="DG155" s="113"/>
      <c r="DH155" s="113"/>
      <c r="DI155" s="113"/>
      <c r="DJ155" s="114">
        <f t="shared" si="190"/>
        <v>4988539.1888999986</v>
      </c>
      <c r="DK155" s="114">
        <f t="shared" si="190"/>
        <v>5062317.3278799905</v>
      </c>
      <c r="DL155" s="114">
        <f t="shared" si="190"/>
        <v>5091828.1585499998</v>
      </c>
      <c r="DM155" s="114">
        <f t="shared" si="190"/>
        <v>0</v>
      </c>
      <c r="DN155" s="114">
        <f t="shared" si="168"/>
        <v>15142684.675329989</v>
      </c>
      <c r="DO155" s="114">
        <f t="shared" si="250"/>
        <v>21093094.271749876</v>
      </c>
      <c r="DP155" s="114">
        <f t="shared" si="201"/>
        <v>21093094.271749876</v>
      </c>
      <c r="DQ155" s="116">
        <f t="shared" si="235"/>
        <v>0.71789999999999998</v>
      </c>
      <c r="DR155" s="126">
        <f t="shared" ca="1" si="212"/>
        <v>0</v>
      </c>
      <c r="DS155" s="115">
        <f t="shared" ca="1" si="213"/>
        <v>0</v>
      </c>
      <c r="DT155" s="118" t="str">
        <f t="shared" si="236"/>
        <v>Uncapped</v>
      </c>
      <c r="DU155" s="115">
        <f t="shared" ca="1" si="214"/>
        <v>0</v>
      </c>
      <c r="DV155" s="113" t="s">
        <v>363</v>
      </c>
      <c r="DW155" s="119">
        <v>0.1</v>
      </c>
      <c r="DX155" s="113"/>
      <c r="DY155" s="113" t="s">
        <v>219</v>
      </c>
      <c r="DZ155" s="113">
        <v>0</v>
      </c>
      <c r="EA155" s="113">
        <v>0</v>
      </c>
      <c r="EB155" s="113">
        <v>0</v>
      </c>
      <c r="EC155" s="113">
        <v>0</v>
      </c>
      <c r="ED155" s="113">
        <v>0</v>
      </c>
      <c r="EE155" s="113">
        <v>0</v>
      </c>
      <c r="EF155" s="113"/>
      <c r="EG155" s="113"/>
      <c r="EH155" s="113"/>
      <c r="EI155" s="113"/>
      <c r="EJ155" s="113"/>
      <c r="EK155" s="113"/>
      <c r="EL155" s="114">
        <f t="shared" si="191"/>
        <v>0</v>
      </c>
      <c r="EM155" s="114">
        <f t="shared" si="191"/>
        <v>0</v>
      </c>
      <c r="EN155" s="114">
        <f t="shared" si="191"/>
        <v>0</v>
      </c>
      <c r="EO155" s="114">
        <f t="shared" si="191"/>
        <v>0</v>
      </c>
      <c r="EP155" s="114">
        <f t="shared" si="215"/>
        <v>0</v>
      </c>
      <c r="EQ155" s="114">
        <f t="shared" si="251"/>
        <v>0</v>
      </c>
      <c r="ER155" s="114">
        <f t="shared" si="192"/>
        <v>0</v>
      </c>
      <c r="ES155" s="116">
        <f t="shared" si="237"/>
        <v>0</v>
      </c>
      <c r="ET155" s="126">
        <f t="shared" si="238"/>
        <v>0</v>
      </c>
      <c r="EU155" s="115">
        <f t="shared" si="216"/>
        <v>0</v>
      </c>
      <c r="EV155" s="118" t="str">
        <f t="shared" si="217"/>
        <v>Uncapped</v>
      </c>
      <c r="EW155" s="115">
        <f t="shared" si="218"/>
        <v>0</v>
      </c>
      <c r="EX155" s="112">
        <f t="shared" ca="1" si="219"/>
        <v>0</v>
      </c>
      <c r="EY155" s="114">
        <f t="shared" ca="1" si="239"/>
        <v>0</v>
      </c>
      <c r="EZ155" s="115">
        <v>0</v>
      </c>
      <c r="FA155" s="115"/>
      <c r="FB155" s="115"/>
      <c r="FC155" s="115">
        <v>0</v>
      </c>
      <c r="FD155" s="115">
        <f t="shared" si="252"/>
        <v>0</v>
      </c>
      <c r="FE155" s="114">
        <f t="shared" si="177"/>
        <v>0</v>
      </c>
      <c r="FF155" s="115">
        <v>0</v>
      </c>
      <c r="FG155" s="115">
        <v>0</v>
      </c>
      <c r="FH155" s="115">
        <v>0</v>
      </c>
      <c r="FI155" s="115">
        <v>0</v>
      </c>
      <c r="FJ155" s="115">
        <f t="shared" si="198"/>
        <v>0</v>
      </c>
      <c r="FK155" s="114">
        <f t="shared" si="178"/>
        <v>0</v>
      </c>
      <c r="FL155" s="113"/>
      <c r="FM155" s="111"/>
      <c r="FN155" s="111"/>
      <c r="FO155" s="111"/>
      <c r="FP155" s="115">
        <f t="shared" si="203"/>
        <v>0</v>
      </c>
      <c r="FQ155" s="115"/>
      <c r="FR155" s="115"/>
      <c r="FS155" s="115"/>
      <c r="FT155" s="114">
        <f t="shared" si="240"/>
        <v>0</v>
      </c>
      <c r="FU155" s="366">
        <f t="shared" ca="1" si="244"/>
        <v>0</v>
      </c>
      <c r="FV155" s="121">
        <f t="shared" ca="1" si="241"/>
        <v>0</v>
      </c>
      <c r="FW155" s="114">
        <f t="shared" si="204"/>
        <v>0</v>
      </c>
      <c r="FX155" s="114">
        <f t="shared" si="204"/>
        <v>0</v>
      </c>
      <c r="FY155" s="114">
        <f t="shared" si="204"/>
        <v>0</v>
      </c>
      <c r="FZ155" s="114">
        <f t="shared" si="204"/>
        <v>0</v>
      </c>
      <c r="GA155" s="114">
        <f t="shared" si="183"/>
        <v>0</v>
      </c>
      <c r="GB155" s="114">
        <f t="shared" si="205"/>
        <v>0</v>
      </c>
      <c r="GC155" s="114">
        <f t="shared" si="205"/>
        <v>0</v>
      </c>
      <c r="GD155" s="114">
        <f t="shared" si="205"/>
        <v>0</v>
      </c>
      <c r="GE155" s="114">
        <f t="shared" si="205"/>
        <v>0</v>
      </c>
      <c r="GF155" s="114">
        <f t="shared" si="242"/>
        <v>0</v>
      </c>
      <c r="GG155" s="114">
        <f t="shared" si="242"/>
        <v>0</v>
      </c>
      <c r="GH155" s="114">
        <f t="shared" si="242"/>
        <v>0</v>
      </c>
      <c r="GI155" s="114">
        <f t="shared" si="242"/>
        <v>0</v>
      </c>
      <c r="GJ155" s="115">
        <f t="shared" si="199"/>
        <v>0</v>
      </c>
      <c r="GK155" s="114">
        <f t="shared" si="220"/>
        <v>0</v>
      </c>
      <c r="GL155" s="114">
        <f t="shared" si="221"/>
        <v>0</v>
      </c>
      <c r="GM155" s="114">
        <f t="shared" si="222"/>
        <v>0</v>
      </c>
      <c r="GN155" s="114">
        <f t="shared" si="223"/>
        <v>0</v>
      </c>
      <c r="GO155" s="114">
        <f t="shared" si="224"/>
        <v>0</v>
      </c>
      <c r="GP155" s="114">
        <f t="shared" si="200"/>
        <v>0</v>
      </c>
      <c r="GQ155" s="114">
        <f t="shared" si="225"/>
        <v>0</v>
      </c>
      <c r="GR155" s="193"/>
      <c r="GS155" s="122">
        <f t="shared" si="253"/>
        <v>20599953.135129992</v>
      </c>
      <c r="GT155" s="122">
        <f t="shared" si="253"/>
        <v>29487032.401499182</v>
      </c>
      <c r="GU155" s="123">
        <f t="shared" si="226"/>
        <v>0.69861059107740686</v>
      </c>
      <c r="GV155" s="124">
        <f t="shared" ca="1" si="227"/>
        <v>0</v>
      </c>
      <c r="GW155" s="124">
        <v>0</v>
      </c>
      <c r="GX155" s="32">
        <f t="shared" ca="1" si="228"/>
        <v>0</v>
      </c>
      <c r="GY155" s="100"/>
    </row>
    <row r="156" spans="3:207" s="408" customFormat="1" hidden="1">
      <c r="C156" s="402"/>
      <c r="D156" s="402"/>
      <c r="E156" s="403"/>
      <c r="F156" s="403" t="s">
        <v>622</v>
      </c>
      <c r="G156" s="403" t="s">
        <v>226</v>
      </c>
      <c r="H156" s="105" t="s">
        <v>628</v>
      </c>
      <c r="I156" s="404" t="s">
        <v>637</v>
      </c>
      <c r="J156" s="403" t="s">
        <v>207</v>
      </c>
      <c r="K156" s="403" t="s">
        <v>621</v>
      </c>
      <c r="L156" s="403" t="s">
        <v>641</v>
      </c>
      <c r="M156" s="403"/>
      <c r="N156" s="404"/>
      <c r="O156" s="108">
        <v>43344</v>
      </c>
      <c r="P156" s="108">
        <v>43344</v>
      </c>
      <c r="Q156" s="323">
        <f t="shared" si="207"/>
        <v>0</v>
      </c>
      <c r="R156" s="109">
        <f>IF((P156-VLOOKUP(Q156,month!$A$1:$C$13,3,0))&lt;0,Q156,Q156+1)</f>
        <v>0</v>
      </c>
      <c r="S156" s="108"/>
      <c r="T156" s="110" t="str">
        <f t="shared" si="243"/>
        <v/>
      </c>
      <c r="U156" s="404"/>
      <c r="V156" s="404"/>
      <c r="W156" s="405"/>
      <c r="X156" s="405"/>
      <c r="Y156" s="492"/>
      <c r="Z156" s="406" t="s">
        <v>545</v>
      </c>
      <c r="AA156" s="394">
        <v>1000</v>
      </c>
      <c r="AB156" s="394">
        <v>1000</v>
      </c>
      <c r="AC156" s="394">
        <v>1000</v>
      </c>
      <c r="AD156" s="394">
        <v>1000</v>
      </c>
      <c r="AE156" s="394">
        <v>1000</v>
      </c>
      <c r="AF156" s="394">
        <v>1000</v>
      </c>
      <c r="AG156" s="394">
        <v>1000</v>
      </c>
      <c r="AH156" s="394">
        <v>1000</v>
      </c>
      <c r="AI156" s="394">
        <v>1000</v>
      </c>
      <c r="AJ156" s="394">
        <v>1000</v>
      </c>
      <c r="AK156" s="394">
        <v>1000</v>
      </c>
      <c r="AL156" s="394">
        <v>1000</v>
      </c>
      <c r="AM156" s="388">
        <f t="shared" si="246"/>
        <v>12000</v>
      </c>
      <c r="AN156" s="388">
        <f t="shared" si="208"/>
        <v>12000</v>
      </c>
      <c r="AO156" s="389">
        <f t="shared" si="247"/>
        <v>1000</v>
      </c>
      <c r="AP156" s="502" t="s">
        <v>707</v>
      </c>
      <c r="AQ156" s="159">
        <v>0.3</v>
      </c>
      <c r="AR156" s="103" t="s">
        <v>211</v>
      </c>
      <c r="AS156" s="119" t="s">
        <v>210</v>
      </c>
      <c r="AT156" s="111">
        <v>1298804</v>
      </c>
      <c r="AU156" s="111">
        <v>1365673</v>
      </c>
      <c r="AV156" s="111">
        <v>1314235</v>
      </c>
      <c r="AW156" s="111">
        <v>1445402</v>
      </c>
      <c r="AX156" s="113">
        <v>1697083.1902699992</v>
      </c>
      <c r="AY156" s="113">
        <v>1318726.9044999997</v>
      </c>
      <c r="AZ156" s="113">
        <v>652836.23176000011</v>
      </c>
      <c r="BA156" s="113"/>
      <c r="BB156" s="113"/>
      <c r="BC156" s="113"/>
      <c r="BD156" s="113"/>
      <c r="BE156" s="113"/>
      <c r="BF156" s="114">
        <f t="shared" si="186"/>
        <v>1697083.1902699992</v>
      </c>
      <c r="BG156" s="114">
        <f t="shared" si="186"/>
        <v>1318726.9044999997</v>
      </c>
      <c r="BH156" s="114">
        <f t="shared" si="186"/>
        <v>652836.23176000011</v>
      </c>
      <c r="BI156" s="114">
        <f t="shared" si="186"/>
        <v>0</v>
      </c>
      <c r="BJ156" s="114">
        <f t="shared" si="248"/>
        <v>3668646.3265299993</v>
      </c>
      <c r="BK156" s="115">
        <f t="shared" si="229"/>
        <v>5424114</v>
      </c>
      <c r="BL156" s="115">
        <f t="shared" si="230"/>
        <v>5424114</v>
      </c>
      <c r="BM156" s="116">
        <f t="shared" si="231"/>
        <v>0.6764</v>
      </c>
      <c r="BN156" s="126">
        <f t="shared" ca="1" si="174"/>
        <v>0</v>
      </c>
      <c r="BO156" s="117">
        <f t="shared" ca="1" si="175"/>
        <v>0</v>
      </c>
      <c r="BP156" s="118" t="str">
        <f t="shared" si="176"/>
        <v>Uncapped</v>
      </c>
      <c r="BQ156" s="115">
        <f t="shared" ca="1" si="209"/>
        <v>0</v>
      </c>
      <c r="BR156" s="174" t="s">
        <v>711</v>
      </c>
      <c r="BS156" s="175">
        <v>0.6</v>
      </c>
      <c r="BT156" s="174" t="s">
        <v>217</v>
      </c>
      <c r="BU156" s="174" t="s">
        <v>210</v>
      </c>
      <c r="BV156" s="113">
        <v>5046797.7308448758</v>
      </c>
      <c r="BW156" s="113">
        <v>5308711.4169250429</v>
      </c>
      <c r="BX156" s="113">
        <v>5114284.1421738518</v>
      </c>
      <c r="BY156" s="113">
        <v>5623300.9818061059</v>
      </c>
      <c r="BZ156" s="113">
        <v>4988539.1888999986</v>
      </c>
      <c r="CA156" s="113">
        <v>5062317.3278799905</v>
      </c>
      <c r="CB156" s="113">
        <v>5091828.1585499998</v>
      </c>
      <c r="CC156" s="113"/>
      <c r="CD156" s="113"/>
      <c r="CE156" s="113"/>
      <c r="CF156" s="113"/>
      <c r="CG156" s="113"/>
      <c r="CH156" s="114">
        <f t="shared" si="187"/>
        <v>4988539.1888999986</v>
      </c>
      <c r="CI156" s="114">
        <f t="shared" si="187"/>
        <v>5062317.3278799905</v>
      </c>
      <c r="CJ156" s="120">
        <f t="shared" si="187"/>
        <v>5091828.1585499998</v>
      </c>
      <c r="CK156" s="114">
        <f t="shared" si="187"/>
        <v>0</v>
      </c>
      <c r="CL156" s="114">
        <f t="shared" si="194"/>
        <v>15142684.675329989</v>
      </c>
      <c r="CM156" s="114">
        <f t="shared" si="249"/>
        <v>21093094.271749876</v>
      </c>
      <c r="CN156" s="114">
        <f t="shared" si="189"/>
        <v>21093094.271749876</v>
      </c>
      <c r="CO156" s="116">
        <f t="shared" si="232"/>
        <v>0.71789999999999998</v>
      </c>
      <c r="CP156" s="126">
        <f t="shared" ca="1" si="233"/>
        <v>0</v>
      </c>
      <c r="CQ156" s="115">
        <f t="shared" ca="1" si="210"/>
        <v>0</v>
      </c>
      <c r="CR156" s="118" t="str">
        <f t="shared" si="234"/>
        <v>Uncapped</v>
      </c>
      <c r="CS156" s="115">
        <f t="shared" ca="1" si="211"/>
        <v>0</v>
      </c>
      <c r="CT156" s="113" t="s">
        <v>363</v>
      </c>
      <c r="CU156" s="119">
        <v>0.1</v>
      </c>
      <c r="CV156" s="113"/>
      <c r="CW156" s="113" t="s">
        <v>219</v>
      </c>
      <c r="CX156" s="113">
        <v>0</v>
      </c>
      <c r="CY156" s="113">
        <v>0</v>
      </c>
      <c r="CZ156" s="113">
        <v>0</v>
      </c>
      <c r="DA156" s="113">
        <v>0</v>
      </c>
      <c r="DB156" s="113">
        <v>0</v>
      </c>
      <c r="DC156" s="113">
        <v>0</v>
      </c>
      <c r="DD156" s="113">
        <v>0</v>
      </c>
      <c r="DE156" s="113"/>
      <c r="DF156" s="113"/>
      <c r="DG156" s="113"/>
      <c r="DH156" s="113"/>
      <c r="DI156" s="113"/>
      <c r="DJ156" s="114">
        <f t="shared" si="190"/>
        <v>0</v>
      </c>
      <c r="DK156" s="114">
        <f t="shared" si="190"/>
        <v>0</v>
      </c>
      <c r="DL156" s="114">
        <f t="shared" si="190"/>
        <v>0</v>
      </c>
      <c r="DM156" s="114">
        <f t="shared" si="190"/>
        <v>0</v>
      </c>
      <c r="DN156" s="114">
        <f t="shared" si="168"/>
        <v>0</v>
      </c>
      <c r="DO156" s="114">
        <f t="shared" si="250"/>
        <v>0</v>
      </c>
      <c r="DP156" s="114">
        <f t="shared" si="201"/>
        <v>0</v>
      </c>
      <c r="DQ156" s="116">
        <f t="shared" si="235"/>
        <v>0</v>
      </c>
      <c r="DR156" s="126">
        <f t="shared" si="212"/>
        <v>0</v>
      </c>
      <c r="DS156" s="115">
        <f t="shared" si="213"/>
        <v>0</v>
      </c>
      <c r="DT156" s="118" t="str">
        <f t="shared" si="236"/>
        <v>Uncapped</v>
      </c>
      <c r="DU156" s="115">
        <f t="shared" si="214"/>
        <v>0</v>
      </c>
      <c r="DV156" s="113"/>
      <c r="DW156" s="119">
        <v>0</v>
      </c>
      <c r="DX156" s="113"/>
      <c r="DY156" s="113"/>
      <c r="DZ156" s="113">
        <v>0</v>
      </c>
      <c r="EA156" s="113">
        <v>0</v>
      </c>
      <c r="EB156" s="113">
        <v>0</v>
      </c>
      <c r="EC156" s="113">
        <v>0</v>
      </c>
      <c r="ED156" s="113">
        <v>0</v>
      </c>
      <c r="EE156" s="113">
        <v>0</v>
      </c>
      <c r="EF156" s="113"/>
      <c r="EG156" s="113"/>
      <c r="EH156" s="113"/>
      <c r="EI156" s="113"/>
      <c r="EJ156" s="113"/>
      <c r="EK156" s="113"/>
      <c r="EL156" s="114">
        <f t="shared" si="191"/>
        <v>0</v>
      </c>
      <c r="EM156" s="114">
        <f t="shared" si="191"/>
        <v>0</v>
      </c>
      <c r="EN156" s="114">
        <f t="shared" si="191"/>
        <v>0</v>
      </c>
      <c r="EO156" s="114">
        <f t="shared" si="191"/>
        <v>0</v>
      </c>
      <c r="EP156" s="114">
        <f t="shared" si="215"/>
        <v>0</v>
      </c>
      <c r="EQ156" s="114">
        <f t="shared" si="251"/>
        <v>0</v>
      </c>
      <c r="ER156" s="114">
        <f t="shared" si="192"/>
        <v>0</v>
      </c>
      <c r="ES156" s="116">
        <f t="shared" si="237"/>
        <v>0</v>
      </c>
      <c r="ET156" s="126">
        <f t="shared" ca="1" si="238"/>
        <v>0</v>
      </c>
      <c r="EU156" s="115">
        <f t="shared" ca="1" si="216"/>
        <v>0</v>
      </c>
      <c r="EV156" s="118" t="str">
        <f t="shared" si="217"/>
        <v>Uncapped</v>
      </c>
      <c r="EW156" s="115">
        <f t="shared" ca="1" si="218"/>
        <v>0</v>
      </c>
      <c r="EX156" s="112">
        <f t="shared" ca="1" si="219"/>
        <v>0</v>
      </c>
      <c r="EY156" s="114">
        <f t="shared" ca="1" si="239"/>
        <v>0</v>
      </c>
      <c r="EZ156" s="115">
        <v>0</v>
      </c>
      <c r="FA156" s="115"/>
      <c r="FB156" s="115"/>
      <c r="FC156" s="115">
        <v>0</v>
      </c>
      <c r="FD156" s="115">
        <f t="shared" si="252"/>
        <v>0</v>
      </c>
      <c r="FE156" s="114">
        <f t="shared" si="177"/>
        <v>0</v>
      </c>
      <c r="FF156" s="115">
        <v>0</v>
      </c>
      <c r="FG156" s="115">
        <v>0</v>
      </c>
      <c r="FH156" s="115">
        <v>0</v>
      </c>
      <c r="FI156" s="115">
        <v>0</v>
      </c>
      <c r="FJ156" s="115">
        <f t="shared" si="198"/>
        <v>0</v>
      </c>
      <c r="FK156" s="114">
        <f t="shared" si="178"/>
        <v>0</v>
      </c>
      <c r="FL156" s="113"/>
      <c r="FM156" s="111"/>
      <c r="FN156" s="111"/>
      <c r="FO156" s="111"/>
      <c r="FP156" s="115">
        <f t="shared" si="203"/>
        <v>0</v>
      </c>
      <c r="FQ156" s="115"/>
      <c r="FR156" s="115"/>
      <c r="FS156" s="115"/>
      <c r="FT156" s="114">
        <f t="shared" si="240"/>
        <v>0</v>
      </c>
      <c r="FU156" s="366">
        <f t="shared" ca="1" si="244"/>
        <v>0</v>
      </c>
      <c r="FV156" s="121">
        <f t="shared" ca="1" si="241"/>
        <v>0</v>
      </c>
      <c r="FW156" s="114">
        <f t="shared" si="204"/>
        <v>0</v>
      </c>
      <c r="FX156" s="114">
        <f t="shared" si="204"/>
        <v>0</v>
      </c>
      <c r="FY156" s="114">
        <f t="shared" si="204"/>
        <v>0</v>
      </c>
      <c r="FZ156" s="114">
        <f t="shared" si="204"/>
        <v>0</v>
      </c>
      <c r="GA156" s="114">
        <f t="shared" si="183"/>
        <v>0</v>
      </c>
      <c r="GB156" s="114">
        <f t="shared" si="205"/>
        <v>0</v>
      </c>
      <c r="GC156" s="114">
        <f t="shared" si="205"/>
        <v>0</v>
      </c>
      <c r="GD156" s="114">
        <f t="shared" si="205"/>
        <v>0</v>
      </c>
      <c r="GE156" s="114">
        <f t="shared" si="205"/>
        <v>0</v>
      </c>
      <c r="GF156" s="114">
        <f t="shared" si="242"/>
        <v>0</v>
      </c>
      <c r="GG156" s="114">
        <f t="shared" si="242"/>
        <v>0</v>
      </c>
      <c r="GH156" s="114">
        <f t="shared" si="242"/>
        <v>0</v>
      </c>
      <c r="GI156" s="114">
        <f t="shared" si="242"/>
        <v>0</v>
      </c>
      <c r="GJ156" s="115">
        <f t="shared" si="199"/>
        <v>0</v>
      </c>
      <c r="GK156" s="114">
        <f t="shared" si="220"/>
        <v>0</v>
      </c>
      <c r="GL156" s="114">
        <f t="shared" si="221"/>
        <v>0</v>
      </c>
      <c r="GM156" s="114">
        <f t="shared" si="222"/>
        <v>0</v>
      </c>
      <c r="GN156" s="114">
        <f t="shared" si="223"/>
        <v>0</v>
      </c>
      <c r="GO156" s="114">
        <f t="shared" si="224"/>
        <v>0</v>
      </c>
      <c r="GP156" s="114">
        <f t="shared" si="200"/>
        <v>0</v>
      </c>
      <c r="GQ156" s="114">
        <f t="shared" si="225"/>
        <v>0</v>
      </c>
      <c r="GR156" s="193"/>
      <c r="GS156" s="122">
        <f t="shared" si="253"/>
        <v>18811331.001859989</v>
      </c>
      <c r="GT156" s="122">
        <f t="shared" si="253"/>
        <v>26517208.271749876</v>
      </c>
      <c r="GU156" s="123">
        <f t="shared" si="226"/>
        <v>0.70940088447774696</v>
      </c>
      <c r="GV156" s="124">
        <f t="shared" ca="1" si="227"/>
        <v>0</v>
      </c>
      <c r="GW156" s="124">
        <v>0</v>
      </c>
      <c r="GX156" s="32">
        <f t="shared" ca="1" si="228"/>
        <v>0</v>
      </c>
      <c r="GY156" s="100"/>
    </row>
    <row r="157" spans="3:207" s="408" customFormat="1" hidden="1">
      <c r="C157" s="402"/>
      <c r="D157" s="402"/>
      <c r="E157" s="403"/>
      <c r="F157" s="403" t="s">
        <v>622</v>
      </c>
      <c r="G157" s="403" t="s">
        <v>226</v>
      </c>
      <c r="H157" s="105" t="s">
        <v>629</v>
      </c>
      <c r="I157" s="404" t="s">
        <v>638</v>
      </c>
      <c r="J157" s="403" t="s">
        <v>643</v>
      </c>
      <c r="K157" s="403" t="s">
        <v>621</v>
      </c>
      <c r="L157" s="403"/>
      <c r="M157" s="403"/>
      <c r="N157" s="404"/>
      <c r="O157" s="108">
        <v>43405</v>
      </c>
      <c r="P157" s="108">
        <v>43405</v>
      </c>
      <c r="Q157" s="323">
        <f t="shared" si="207"/>
        <v>0</v>
      </c>
      <c r="R157" s="109">
        <f>IF((P157-VLOOKUP(Q157,month!$A$1:$C$13,3,0))&lt;0,Q157,Q157+1)</f>
        <v>0</v>
      </c>
      <c r="S157" s="108"/>
      <c r="T157" s="110" t="str">
        <f t="shared" si="243"/>
        <v/>
      </c>
      <c r="U157" s="483" t="s">
        <v>214</v>
      </c>
      <c r="V157" s="483">
        <v>1</v>
      </c>
      <c r="W157" s="405"/>
      <c r="X157" s="405"/>
      <c r="Y157" s="492"/>
      <c r="Z157" s="406" t="s">
        <v>545</v>
      </c>
      <c r="AA157" s="394">
        <v>1000</v>
      </c>
      <c r="AB157" s="394">
        <v>1000</v>
      </c>
      <c r="AC157" s="394">
        <v>1000</v>
      </c>
      <c r="AD157" s="394">
        <v>1000</v>
      </c>
      <c r="AE157" s="394">
        <v>1000</v>
      </c>
      <c r="AF157" s="394">
        <v>1000</v>
      </c>
      <c r="AG157" s="394">
        <v>1000</v>
      </c>
      <c r="AH157" s="394">
        <v>1000</v>
      </c>
      <c r="AI157" s="394">
        <v>1000</v>
      </c>
      <c r="AJ157" s="394">
        <v>1000</v>
      </c>
      <c r="AK157" s="394">
        <v>1000</v>
      </c>
      <c r="AL157" s="394">
        <v>1000</v>
      </c>
      <c r="AM157" s="388">
        <f t="shared" si="246"/>
        <v>12000</v>
      </c>
      <c r="AN157" s="388">
        <f t="shared" si="208"/>
        <v>12000</v>
      </c>
      <c r="AO157" s="389">
        <f>AA157</f>
        <v>1000</v>
      </c>
      <c r="AP157" s="502" t="s">
        <v>708</v>
      </c>
      <c r="AQ157" s="159">
        <v>0.6</v>
      </c>
      <c r="AR157" s="103" t="s">
        <v>211</v>
      </c>
      <c r="AS157" s="119" t="s">
        <v>210</v>
      </c>
      <c r="AT157" s="111">
        <v>564578.06652412401</v>
      </c>
      <c r="AU157" s="111">
        <v>588102.15262929595</v>
      </c>
      <c r="AV157" s="111">
        <v>564578.06652412401</v>
      </c>
      <c r="AW157" s="111">
        <v>635150.32483963959</v>
      </c>
      <c r="AX157" s="113">
        <v>580146.91200000176</v>
      </c>
      <c r="AY157" s="113">
        <v>552135.80699999991</v>
      </c>
      <c r="AZ157" s="113">
        <v>616315.18680000037</v>
      </c>
      <c r="BA157" s="113"/>
      <c r="BB157" s="113"/>
      <c r="BC157" s="113"/>
      <c r="BD157" s="113"/>
      <c r="BE157" s="113"/>
      <c r="BF157" s="114">
        <f t="shared" si="186"/>
        <v>580146.91200000176</v>
      </c>
      <c r="BG157" s="114">
        <f t="shared" si="186"/>
        <v>552135.80699999991</v>
      </c>
      <c r="BH157" s="114">
        <f t="shared" si="186"/>
        <v>616315.18680000037</v>
      </c>
      <c r="BI157" s="114">
        <f t="shared" si="186"/>
        <v>0</v>
      </c>
      <c r="BJ157" s="114">
        <f t="shared" si="248"/>
        <v>1748597.9058000022</v>
      </c>
      <c r="BK157" s="115">
        <f t="shared" si="229"/>
        <v>2352408.6105171838</v>
      </c>
      <c r="BL157" s="115">
        <f t="shared" si="230"/>
        <v>2352408.6105171838</v>
      </c>
      <c r="BM157" s="116">
        <f t="shared" si="231"/>
        <v>0.74329999999999996</v>
      </c>
      <c r="BN157" s="126">
        <f t="shared" ca="1" si="174"/>
        <v>0</v>
      </c>
      <c r="BO157" s="117">
        <f t="shared" ca="1" si="175"/>
        <v>0</v>
      </c>
      <c r="BP157" s="118" t="str">
        <f t="shared" si="176"/>
        <v>Uncapped</v>
      </c>
      <c r="BQ157" s="115">
        <f t="shared" ca="1" si="209"/>
        <v>0</v>
      </c>
      <c r="BR157" s="174" t="s">
        <v>709</v>
      </c>
      <c r="BS157" s="175">
        <v>0.2</v>
      </c>
      <c r="BT157" s="174" t="s">
        <v>217</v>
      </c>
      <c r="BU157" s="174" t="s">
        <v>210</v>
      </c>
      <c r="BV157" s="113">
        <v>2614183.8922245866</v>
      </c>
      <c r="BW157" s="113">
        <v>2723108.2210672777</v>
      </c>
      <c r="BX157" s="113">
        <v>2614183.8922245866</v>
      </c>
      <c r="BY157" s="113">
        <v>2940956.87875266</v>
      </c>
      <c r="BZ157" s="113">
        <v>2689117.4880000018</v>
      </c>
      <c r="CA157" s="113">
        <v>2709593.2359000021</v>
      </c>
      <c r="CB157" s="113">
        <v>2721919.4478000002</v>
      </c>
      <c r="CC157" s="113"/>
      <c r="CD157" s="113"/>
      <c r="CE157" s="113"/>
      <c r="CF157" s="113"/>
      <c r="CG157" s="113"/>
      <c r="CH157" s="114">
        <f t="shared" si="187"/>
        <v>2689117.4880000018</v>
      </c>
      <c r="CI157" s="114">
        <f t="shared" si="187"/>
        <v>2709593.2359000021</v>
      </c>
      <c r="CJ157" s="120">
        <f t="shared" si="187"/>
        <v>2721919.4478000002</v>
      </c>
      <c r="CK157" s="114">
        <f t="shared" si="187"/>
        <v>0</v>
      </c>
      <c r="CL157" s="114">
        <f t="shared" si="194"/>
        <v>8120630.1717000036</v>
      </c>
      <c r="CM157" s="114">
        <f t="shared" si="249"/>
        <v>10892432.884269111</v>
      </c>
      <c r="CN157" s="114">
        <f t="shared" si="189"/>
        <v>10892432.884269111</v>
      </c>
      <c r="CO157" s="116">
        <f t="shared" si="232"/>
        <v>0.74550000000000005</v>
      </c>
      <c r="CP157" s="126">
        <f t="shared" ca="1" si="233"/>
        <v>0</v>
      </c>
      <c r="CQ157" s="115">
        <f t="shared" ca="1" si="210"/>
        <v>0</v>
      </c>
      <c r="CR157" s="118" t="str">
        <f t="shared" si="234"/>
        <v>Uncapped</v>
      </c>
      <c r="CS157" s="115">
        <f t="shared" ca="1" si="211"/>
        <v>0</v>
      </c>
      <c r="CT157" s="113" t="s">
        <v>732</v>
      </c>
      <c r="CU157" s="119">
        <v>0.1</v>
      </c>
      <c r="CV157" s="113" t="s">
        <v>217</v>
      </c>
      <c r="CW157" s="113" t="s">
        <v>210</v>
      </c>
      <c r="CX157" s="113">
        <v>5046797.7308448758</v>
      </c>
      <c r="CY157" s="113">
        <v>5308711.4169250429</v>
      </c>
      <c r="CZ157" s="113">
        <v>5114284.1421738518</v>
      </c>
      <c r="DA157" s="113">
        <v>5623300.9818061059</v>
      </c>
      <c r="DB157" s="113">
        <v>4988539.1888999986</v>
      </c>
      <c r="DC157" s="113">
        <v>5062317.3278799905</v>
      </c>
      <c r="DD157" s="113">
        <v>5091828.1585499998</v>
      </c>
      <c r="DE157" s="113"/>
      <c r="DF157" s="113"/>
      <c r="DG157" s="113"/>
      <c r="DH157" s="113"/>
      <c r="DI157" s="113"/>
      <c r="DJ157" s="114">
        <f t="shared" si="190"/>
        <v>4988539.1888999986</v>
      </c>
      <c r="DK157" s="114">
        <f t="shared" si="190"/>
        <v>5062317.3278799905</v>
      </c>
      <c r="DL157" s="114">
        <f t="shared" si="190"/>
        <v>5091828.1585499998</v>
      </c>
      <c r="DM157" s="114">
        <f t="shared" si="190"/>
        <v>0</v>
      </c>
      <c r="DN157" s="114">
        <f t="shared" si="168"/>
        <v>15142684.675329989</v>
      </c>
      <c r="DO157" s="114">
        <f t="shared" si="250"/>
        <v>21093094.271749876</v>
      </c>
      <c r="DP157" s="114">
        <f t="shared" si="201"/>
        <v>21093094.271749876</v>
      </c>
      <c r="DQ157" s="116">
        <f t="shared" si="235"/>
        <v>0.71789999999999998</v>
      </c>
      <c r="DR157" s="126">
        <f t="shared" ca="1" si="212"/>
        <v>0</v>
      </c>
      <c r="DS157" s="115">
        <f t="shared" ca="1" si="213"/>
        <v>0</v>
      </c>
      <c r="DT157" s="118" t="str">
        <f t="shared" si="236"/>
        <v>Uncapped</v>
      </c>
      <c r="DU157" s="115">
        <f t="shared" ca="1" si="214"/>
        <v>0</v>
      </c>
      <c r="DV157" s="113" t="s">
        <v>363</v>
      </c>
      <c r="DW157" s="119">
        <v>0.1</v>
      </c>
      <c r="DX157" s="113"/>
      <c r="DY157" s="113" t="s">
        <v>219</v>
      </c>
      <c r="DZ157" s="113">
        <v>0</v>
      </c>
      <c r="EA157" s="113">
        <v>0</v>
      </c>
      <c r="EB157" s="113">
        <v>0</v>
      </c>
      <c r="EC157" s="113">
        <v>0</v>
      </c>
      <c r="ED157" s="113">
        <v>0</v>
      </c>
      <c r="EE157" s="113">
        <v>0</v>
      </c>
      <c r="EF157" s="113"/>
      <c r="EG157" s="113"/>
      <c r="EH157" s="113"/>
      <c r="EI157" s="113"/>
      <c r="EJ157" s="113"/>
      <c r="EK157" s="113"/>
      <c r="EL157" s="114">
        <f t="shared" si="191"/>
        <v>0</v>
      </c>
      <c r="EM157" s="114">
        <f t="shared" si="191"/>
        <v>0</v>
      </c>
      <c r="EN157" s="114">
        <f t="shared" si="191"/>
        <v>0</v>
      </c>
      <c r="EO157" s="114">
        <f t="shared" si="191"/>
        <v>0</v>
      </c>
      <c r="EP157" s="114">
        <f t="shared" si="215"/>
        <v>0</v>
      </c>
      <c r="EQ157" s="114">
        <f t="shared" si="251"/>
        <v>0</v>
      </c>
      <c r="ER157" s="114">
        <f t="shared" si="192"/>
        <v>0</v>
      </c>
      <c r="ES157" s="116">
        <f t="shared" si="237"/>
        <v>0</v>
      </c>
      <c r="ET157" s="126">
        <f t="shared" si="238"/>
        <v>0</v>
      </c>
      <c r="EU157" s="115">
        <f t="shared" si="216"/>
        <v>0</v>
      </c>
      <c r="EV157" s="118" t="str">
        <f t="shared" si="217"/>
        <v>Uncapped</v>
      </c>
      <c r="EW157" s="115">
        <f t="shared" si="218"/>
        <v>0</v>
      </c>
      <c r="EX157" s="112">
        <f t="shared" ca="1" si="219"/>
        <v>0</v>
      </c>
      <c r="EY157" s="114">
        <f t="shared" ca="1" si="239"/>
        <v>1000</v>
      </c>
      <c r="EZ157" s="115">
        <v>0</v>
      </c>
      <c r="FA157" s="115"/>
      <c r="FB157" s="115"/>
      <c r="FC157" s="115">
        <v>0</v>
      </c>
      <c r="FD157" s="115">
        <f t="shared" si="252"/>
        <v>0</v>
      </c>
      <c r="FE157" s="114">
        <f t="shared" si="177"/>
        <v>0</v>
      </c>
      <c r="FF157" s="115">
        <v>0</v>
      </c>
      <c r="FG157" s="115">
        <v>0</v>
      </c>
      <c r="FH157" s="115">
        <v>0</v>
      </c>
      <c r="FI157" s="115">
        <v>0</v>
      </c>
      <c r="FJ157" s="115">
        <f t="shared" si="198"/>
        <v>0</v>
      </c>
      <c r="FK157" s="114">
        <f t="shared" si="178"/>
        <v>0</v>
      </c>
      <c r="FL157" s="113"/>
      <c r="FM157" s="111"/>
      <c r="FN157" s="111"/>
      <c r="FO157" s="111"/>
      <c r="FP157" s="115">
        <f t="shared" si="203"/>
        <v>0</v>
      </c>
      <c r="FQ157" s="115"/>
      <c r="FR157" s="115"/>
      <c r="FS157" s="115"/>
      <c r="FT157" s="114">
        <f t="shared" si="240"/>
        <v>0</v>
      </c>
      <c r="FU157" s="366">
        <f t="shared" ca="1" si="244"/>
        <v>1000</v>
      </c>
      <c r="FV157" s="121">
        <f t="shared" ca="1" si="241"/>
        <v>1000</v>
      </c>
      <c r="FW157" s="114">
        <f t="shared" si="204"/>
        <v>0</v>
      </c>
      <c r="FX157" s="114">
        <f t="shared" si="204"/>
        <v>0</v>
      </c>
      <c r="FY157" s="114">
        <f t="shared" si="204"/>
        <v>0</v>
      </c>
      <c r="FZ157" s="114">
        <f t="shared" si="204"/>
        <v>0</v>
      </c>
      <c r="GA157" s="114">
        <f t="shared" si="183"/>
        <v>0</v>
      </c>
      <c r="GB157" s="114">
        <f t="shared" si="205"/>
        <v>0</v>
      </c>
      <c r="GC157" s="114">
        <f t="shared" si="205"/>
        <v>0</v>
      </c>
      <c r="GD157" s="114">
        <f t="shared" si="205"/>
        <v>0</v>
      </c>
      <c r="GE157" s="114">
        <f t="shared" si="205"/>
        <v>0</v>
      </c>
      <c r="GF157" s="114">
        <f t="shared" si="242"/>
        <v>0</v>
      </c>
      <c r="GG157" s="114">
        <f t="shared" si="242"/>
        <v>0</v>
      </c>
      <c r="GH157" s="114">
        <f t="shared" si="242"/>
        <v>0</v>
      </c>
      <c r="GI157" s="114">
        <f t="shared" si="242"/>
        <v>0</v>
      </c>
      <c r="GJ157" s="115">
        <f t="shared" si="199"/>
        <v>0</v>
      </c>
      <c r="GK157" s="114">
        <f t="shared" si="220"/>
        <v>0</v>
      </c>
      <c r="GL157" s="114">
        <f t="shared" si="221"/>
        <v>1000</v>
      </c>
      <c r="GM157" s="114">
        <f t="shared" si="222"/>
        <v>0</v>
      </c>
      <c r="GN157" s="114">
        <f t="shared" si="223"/>
        <v>0</v>
      </c>
      <c r="GO157" s="114">
        <f t="shared" si="224"/>
        <v>0</v>
      </c>
      <c r="GP157" s="114">
        <f t="shared" si="200"/>
        <v>1000</v>
      </c>
      <c r="GQ157" s="114">
        <f t="shared" si="225"/>
        <v>1000</v>
      </c>
      <c r="GR157" s="193"/>
      <c r="GS157" s="122">
        <f t="shared" si="253"/>
        <v>25011912.752829995</v>
      </c>
      <c r="GT157" s="122">
        <f t="shared" si="253"/>
        <v>34337935.766536169</v>
      </c>
      <c r="GU157" s="123">
        <f t="shared" si="226"/>
        <v>0.72840466948526372</v>
      </c>
      <c r="GV157" s="124">
        <f t="shared" ca="1" si="227"/>
        <v>0</v>
      </c>
      <c r="GW157" s="124">
        <v>0</v>
      </c>
      <c r="GX157" s="32">
        <f t="shared" ca="1" si="228"/>
        <v>0</v>
      </c>
      <c r="GY157" s="100"/>
    </row>
    <row r="158" spans="3:207" s="408" customFormat="1" hidden="1">
      <c r="C158" s="402"/>
      <c r="D158" s="402"/>
      <c r="E158" s="403"/>
      <c r="F158" s="403" t="s">
        <v>622</v>
      </c>
      <c r="G158" s="403" t="s">
        <v>226</v>
      </c>
      <c r="H158" s="105" t="s">
        <v>630</v>
      </c>
      <c r="I158" s="548" t="s">
        <v>651</v>
      </c>
      <c r="J158" s="403" t="s">
        <v>615</v>
      </c>
      <c r="K158" s="544" t="s">
        <v>621</v>
      </c>
      <c r="L158" s="403"/>
      <c r="M158" s="403"/>
      <c r="N158" s="404"/>
      <c r="O158" s="537">
        <v>43556</v>
      </c>
      <c r="P158" s="359">
        <v>43556</v>
      </c>
      <c r="Q158" s="323">
        <f t="shared" si="207"/>
        <v>4</v>
      </c>
      <c r="R158" s="109">
        <f>IF((P158-VLOOKUP(Q158,month!$A$1:$C$13,3,0))&lt;0,Q158,Q158+1)</f>
        <v>4</v>
      </c>
      <c r="S158" s="108"/>
      <c r="T158" s="110" t="str">
        <f t="shared" si="243"/>
        <v/>
      </c>
      <c r="U158" s="483" t="s">
        <v>214</v>
      </c>
      <c r="V158" s="483"/>
      <c r="W158" s="320">
        <v>3</v>
      </c>
      <c r="X158" s="405"/>
      <c r="Y158" s="492"/>
      <c r="Z158" s="406" t="s">
        <v>545</v>
      </c>
      <c r="AA158" s="394">
        <v>1000</v>
      </c>
      <c r="AB158" s="394">
        <v>1000</v>
      </c>
      <c r="AC158" s="394">
        <v>1000</v>
      </c>
      <c r="AD158" s="394">
        <v>1000</v>
      </c>
      <c r="AE158" s="394">
        <v>1000</v>
      </c>
      <c r="AF158" s="394">
        <v>1000</v>
      </c>
      <c r="AG158" s="394">
        <v>1000</v>
      </c>
      <c r="AH158" s="394">
        <v>1000</v>
      </c>
      <c r="AI158" s="394">
        <v>1000</v>
      </c>
      <c r="AJ158" s="394">
        <v>1000</v>
      </c>
      <c r="AK158" s="394">
        <v>1000</v>
      </c>
      <c r="AL158" s="394">
        <v>1000</v>
      </c>
      <c r="AM158" s="388">
        <f t="shared" si="246"/>
        <v>12000</v>
      </c>
      <c r="AN158" s="388">
        <f t="shared" si="208"/>
        <v>12000</v>
      </c>
      <c r="AO158" s="389">
        <f>AD158</f>
        <v>1000</v>
      </c>
      <c r="AP158" s="502" t="s">
        <v>709</v>
      </c>
      <c r="AQ158" s="159">
        <v>0.6</v>
      </c>
      <c r="AR158" s="103" t="s">
        <v>211</v>
      </c>
      <c r="AS158" s="119" t="s">
        <v>210</v>
      </c>
      <c r="AT158" s="111"/>
      <c r="AU158" s="111">
        <v>1647685.370212958</v>
      </c>
      <c r="AV158" s="111">
        <v>1581777.9554044395</v>
      </c>
      <c r="AW158" s="111">
        <v>1779500.1998299947</v>
      </c>
      <c r="AX158" s="113"/>
      <c r="AY158" s="113">
        <v>1425223.8162</v>
      </c>
      <c r="AZ158" s="113">
        <v>1427879.0610000012</v>
      </c>
      <c r="BA158" s="581"/>
      <c r="BB158" s="113"/>
      <c r="BC158" s="113"/>
      <c r="BD158" s="113"/>
      <c r="BE158" s="113"/>
      <c r="BF158" s="114">
        <f t="shared" si="186"/>
        <v>0</v>
      </c>
      <c r="BG158" s="114">
        <f t="shared" si="186"/>
        <v>1425223.8162</v>
      </c>
      <c r="BH158" s="114">
        <f t="shared" si="186"/>
        <v>1427879.0610000012</v>
      </c>
      <c r="BI158" s="114">
        <f t="shared" si="186"/>
        <v>0</v>
      </c>
      <c r="BJ158" s="114">
        <f t="shared" si="248"/>
        <v>2853102.8772000009</v>
      </c>
      <c r="BK158" s="115">
        <f t="shared" si="229"/>
        <v>5008963.5254473919</v>
      </c>
      <c r="BL158" s="115">
        <f t="shared" si="230"/>
        <v>5008963.5254473919</v>
      </c>
      <c r="BM158" s="116">
        <f t="shared" si="231"/>
        <v>0.5696</v>
      </c>
      <c r="BN158" s="126">
        <f t="shared" ca="1" si="174"/>
        <v>0</v>
      </c>
      <c r="BO158" s="117">
        <f t="shared" ca="1" si="175"/>
        <v>0</v>
      </c>
      <c r="BP158" s="118" t="str">
        <f t="shared" si="176"/>
        <v>Uncapped</v>
      </c>
      <c r="BQ158" s="115">
        <f t="shared" ca="1" si="209"/>
        <v>0</v>
      </c>
      <c r="BR158" s="174" t="s">
        <v>758</v>
      </c>
      <c r="BS158" s="175">
        <v>0.3</v>
      </c>
      <c r="BT158" s="174" t="s">
        <v>217</v>
      </c>
      <c r="BU158" s="174" t="s">
        <v>210</v>
      </c>
      <c r="BV158" s="113"/>
      <c r="BW158" s="113">
        <v>5308711.4169250429</v>
      </c>
      <c r="BX158" s="113">
        <v>5114284.1421738518</v>
      </c>
      <c r="BY158" s="113">
        <v>5623300.9818061059</v>
      </c>
      <c r="BZ158" s="113"/>
      <c r="CA158" s="113">
        <v>5062317.3278799905</v>
      </c>
      <c r="CB158" s="113">
        <v>5091828.1585499998</v>
      </c>
      <c r="CC158" s="581"/>
      <c r="CD158" s="113"/>
      <c r="CE158" s="113"/>
      <c r="CF158" s="113"/>
      <c r="CG158" s="113"/>
      <c r="CH158" s="114">
        <f t="shared" si="187"/>
        <v>0</v>
      </c>
      <c r="CI158" s="114">
        <f t="shared" si="187"/>
        <v>5062317.3278799905</v>
      </c>
      <c r="CJ158" s="120">
        <f t="shared" si="187"/>
        <v>5091828.1585499998</v>
      </c>
      <c r="CK158" s="114">
        <f t="shared" si="187"/>
        <v>0</v>
      </c>
      <c r="CL158" s="114">
        <f t="shared" si="194"/>
        <v>10154145.486429989</v>
      </c>
      <c r="CM158" s="114">
        <f t="shared" si="249"/>
        <v>16046296.540905003</v>
      </c>
      <c r="CN158" s="114">
        <f t="shared" si="189"/>
        <v>16046296.540905003</v>
      </c>
      <c r="CO158" s="116">
        <f t="shared" si="232"/>
        <v>0.63280000000000003</v>
      </c>
      <c r="CP158" s="126">
        <f t="shared" ca="1" si="233"/>
        <v>0</v>
      </c>
      <c r="CQ158" s="115">
        <f t="shared" ca="1" si="210"/>
        <v>0</v>
      </c>
      <c r="CR158" s="118" t="str">
        <f t="shared" si="234"/>
        <v>Uncapped</v>
      </c>
      <c r="CS158" s="115">
        <f t="shared" ca="1" si="211"/>
        <v>0</v>
      </c>
      <c r="CT158" s="113" t="s">
        <v>363</v>
      </c>
      <c r="CU158" s="119">
        <v>0.1</v>
      </c>
      <c r="CV158" s="113"/>
      <c r="CW158" s="113" t="s">
        <v>219</v>
      </c>
      <c r="CX158" s="113">
        <v>0</v>
      </c>
      <c r="CY158" s="113">
        <v>0</v>
      </c>
      <c r="CZ158" s="113">
        <v>0</v>
      </c>
      <c r="DA158" s="113">
        <v>0</v>
      </c>
      <c r="DB158" s="113">
        <v>0</v>
      </c>
      <c r="DC158" s="113">
        <v>0</v>
      </c>
      <c r="DD158" s="113">
        <v>0</v>
      </c>
      <c r="DE158" s="113"/>
      <c r="DF158" s="113"/>
      <c r="DG158" s="113"/>
      <c r="DH158" s="113"/>
      <c r="DI158" s="113"/>
      <c r="DJ158" s="114">
        <f t="shared" si="190"/>
        <v>0</v>
      </c>
      <c r="DK158" s="114">
        <f t="shared" si="190"/>
        <v>0</v>
      </c>
      <c r="DL158" s="114">
        <f t="shared" si="190"/>
        <v>0</v>
      </c>
      <c r="DM158" s="114">
        <f t="shared" si="190"/>
        <v>0</v>
      </c>
      <c r="DN158" s="114">
        <f t="shared" si="168"/>
        <v>0</v>
      </c>
      <c r="DO158" s="114">
        <f t="shared" si="250"/>
        <v>0</v>
      </c>
      <c r="DP158" s="114">
        <f t="shared" si="201"/>
        <v>0</v>
      </c>
      <c r="DQ158" s="116">
        <f t="shared" si="235"/>
        <v>0</v>
      </c>
      <c r="DR158" s="126">
        <f t="shared" si="212"/>
        <v>0</v>
      </c>
      <c r="DS158" s="115">
        <f t="shared" si="213"/>
        <v>0</v>
      </c>
      <c r="DT158" s="118" t="str">
        <f t="shared" si="236"/>
        <v>Uncapped</v>
      </c>
      <c r="DU158" s="115">
        <f t="shared" si="214"/>
        <v>0</v>
      </c>
      <c r="DV158" s="113"/>
      <c r="DW158" s="119">
        <v>0</v>
      </c>
      <c r="DX158" s="113"/>
      <c r="DY158" s="113"/>
      <c r="DZ158" s="113">
        <v>0</v>
      </c>
      <c r="EA158" s="113">
        <v>0</v>
      </c>
      <c r="EB158" s="113">
        <v>0</v>
      </c>
      <c r="EC158" s="113">
        <v>0</v>
      </c>
      <c r="ED158" s="113">
        <v>0</v>
      </c>
      <c r="EE158" s="113">
        <v>0</v>
      </c>
      <c r="EF158" s="113"/>
      <c r="EG158" s="113"/>
      <c r="EH158" s="113"/>
      <c r="EI158" s="113"/>
      <c r="EJ158" s="113"/>
      <c r="EK158" s="113"/>
      <c r="EL158" s="114">
        <f t="shared" si="191"/>
        <v>0</v>
      </c>
      <c r="EM158" s="114">
        <f t="shared" si="191"/>
        <v>0</v>
      </c>
      <c r="EN158" s="114">
        <f t="shared" si="191"/>
        <v>0</v>
      </c>
      <c r="EO158" s="114">
        <f t="shared" si="191"/>
        <v>0</v>
      </c>
      <c r="EP158" s="114">
        <f t="shared" si="215"/>
        <v>0</v>
      </c>
      <c r="EQ158" s="114">
        <f t="shared" si="251"/>
        <v>0</v>
      </c>
      <c r="ER158" s="114">
        <f t="shared" si="192"/>
        <v>0</v>
      </c>
      <c r="ES158" s="116">
        <f t="shared" si="237"/>
        <v>0</v>
      </c>
      <c r="ET158" s="126">
        <f t="shared" ca="1" si="238"/>
        <v>0</v>
      </c>
      <c r="EU158" s="115">
        <f t="shared" ca="1" si="216"/>
        <v>0</v>
      </c>
      <c r="EV158" s="118" t="str">
        <f t="shared" si="217"/>
        <v>Uncapped</v>
      </c>
      <c r="EW158" s="115">
        <f t="shared" ca="1" si="218"/>
        <v>0</v>
      </c>
      <c r="EX158" s="112">
        <f t="shared" ca="1" si="219"/>
        <v>0</v>
      </c>
      <c r="EY158" s="114">
        <f t="shared" ca="1" si="239"/>
        <v>3000</v>
      </c>
      <c r="EZ158" s="115">
        <v>0</v>
      </c>
      <c r="FA158" s="115"/>
      <c r="FB158" s="115"/>
      <c r="FC158" s="115">
        <v>0</v>
      </c>
      <c r="FD158" s="115">
        <f t="shared" si="252"/>
        <v>0</v>
      </c>
      <c r="FE158" s="114">
        <f t="shared" si="177"/>
        <v>0</v>
      </c>
      <c r="FF158" s="115">
        <v>0</v>
      </c>
      <c r="FG158" s="115">
        <v>0</v>
      </c>
      <c r="FH158" s="115">
        <v>0</v>
      </c>
      <c r="FI158" s="115">
        <v>0</v>
      </c>
      <c r="FJ158" s="115">
        <f t="shared" si="198"/>
        <v>0</v>
      </c>
      <c r="FK158" s="114">
        <f t="shared" si="178"/>
        <v>0</v>
      </c>
      <c r="FL158" s="113"/>
      <c r="FM158" s="111"/>
      <c r="FN158" s="111"/>
      <c r="FO158" s="111"/>
      <c r="FP158" s="115">
        <f t="shared" si="203"/>
        <v>0</v>
      </c>
      <c r="FQ158" s="115"/>
      <c r="FR158" s="115"/>
      <c r="FS158" s="115"/>
      <c r="FT158" s="114">
        <f t="shared" si="240"/>
        <v>0</v>
      </c>
      <c r="FU158" s="366">
        <f t="shared" ca="1" si="244"/>
        <v>3000</v>
      </c>
      <c r="FV158" s="121">
        <f t="shared" ca="1" si="241"/>
        <v>3000</v>
      </c>
      <c r="FW158" s="114">
        <f t="shared" si="204"/>
        <v>0</v>
      </c>
      <c r="FX158" s="114">
        <f t="shared" si="204"/>
        <v>0</v>
      </c>
      <c r="FY158" s="114">
        <f t="shared" si="204"/>
        <v>0</v>
      </c>
      <c r="FZ158" s="114">
        <f t="shared" si="204"/>
        <v>0</v>
      </c>
      <c r="GA158" s="114">
        <f t="shared" si="183"/>
        <v>0</v>
      </c>
      <c r="GB158" s="114">
        <f t="shared" si="205"/>
        <v>0</v>
      </c>
      <c r="GC158" s="114">
        <f t="shared" si="205"/>
        <v>0</v>
      </c>
      <c r="GD158" s="114">
        <f t="shared" si="205"/>
        <v>0</v>
      </c>
      <c r="GE158" s="114">
        <f t="shared" si="205"/>
        <v>0</v>
      </c>
      <c r="GF158" s="114">
        <f t="shared" si="242"/>
        <v>0</v>
      </c>
      <c r="GG158" s="114">
        <f t="shared" si="242"/>
        <v>0</v>
      </c>
      <c r="GH158" s="114">
        <f t="shared" si="242"/>
        <v>0</v>
      </c>
      <c r="GI158" s="114">
        <f t="shared" si="242"/>
        <v>0</v>
      </c>
      <c r="GJ158" s="115">
        <f t="shared" si="199"/>
        <v>0</v>
      </c>
      <c r="GK158" s="114">
        <f t="shared" si="220"/>
        <v>0</v>
      </c>
      <c r="GL158" s="114">
        <f t="shared" si="221"/>
        <v>0</v>
      </c>
      <c r="GM158" s="114">
        <f t="shared" si="222"/>
        <v>3000</v>
      </c>
      <c r="GN158" s="114">
        <f t="shared" si="223"/>
        <v>0</v>
      </c>
      <c r="GO158" s="114">
        <f t="shared" si="224"/>
        <v>0</v>
      </c>
      <c r="GP158" s="114">
        <f t="shared" si="200"/>
        <v>3000</v>
      </c>
      <c r="GQ158" s="114">
        <f t="shared" si="225"/>
        <v>3000</v>
      </c>
      <c r="GR158" s="193"/>
      <c r="GS158" s="122">
        <f t="shared" si="253"/>
        <v>13007248.363629989</v>
      </c>
      <c r="GT158" s="122">
        <f t="shared" si="253"/>
        <v>21055260.066352393</v>
      </c>
      <c r="GU158" s="123">
        <f t="shared" si="226"/>
        <v>0.61776716709457202</v>
      </c>
      <c r="GV158" s="124">
        <f t="shared" ca="1" si="227"/>
        <v>0</v>
      </c>
      <c r="GW158" s="124">
        <v>0</v>
      </c>
      <c r="GX158" s="32">
        <f t="shared" ca="1" si="228"/>
        <v>0</v>
      </c>
      <c r="GY158" s="100"/>
    </row>
    <row r="159" spans="3:207" s="408" customFormat="1" hidden="1">
      <c r="C159" s="402"/>
      <c r="D159" s="402"/>
      <c r="E159" s="403"/>
      <c r="F159" s="403" t="s">
        <v>622</v>
      </c>
      <c r="G159" s="403" t="s">
        <v>226</v>
      </c>
      <c r="H159" s="105" t="s">
        <v>631</v>
      </c>
      <c r="I159" s="404" t="s">
        <v>639</v>
      </c>
      <c r="J159" s="403" t="s">
        <v>616</v>
      </c>
      <c r="K159" s="403" t="s">
        <v>621</v>
      </c>
      <c r="L159" s="403" t="s">
        <v>220</v>
      </c>
      <c r="M159" s="403"/>
      <c r="N159" s="404"/>
      <c r="O159" s="108">
        <v>40280</v>
      </c>
      <c r="P159" s="108">
        <v>40280</v>
      </c>
      <c r="Q159" s="323">
        <f t="shared" si="207"/>
        <v>0</v>
      </c>
      <c r="R159" s="109">
        <f>IF((P159-VLOOKUP(Q159,month!$A$1:$C$13,3,0))&lt;0,Q159,Q159+1)</f>
        <v>0</v>
      </c>
      <c r="S159" s="108"/>
      <c r="T159" s="110" t="str">
        <f t="shared" si="243"/>
        <v/>
      </c>
      <c r="U159" s="404"/>
      <c r="V159" s="404"/>
      <c r="W159" s="405"/>
      <c r="X159" s="405"/>
      <c r="Y159" s="492"/>
      <c r="Z159" s="406" t="s">
        <v>545</v>
      </c>
      <c r="AA159" s="394">
        <v>1000</v>
      </c>
      <c r="AB159" s="394">
        <v>1000</v>
      </c>
      <c r="AC159" s="394">
        <v>1000</v>
      </c>
      <c r="AD159" s="394">
        <v>1000</v>
      </c>
      <c r="AE159" s="394">
        <v>1000</v>
      </c>
      <c r="AF159" s="394">
        <v>1000</v>
      </c>
      <c r="AG159" s="394">
        <v>1000</v>
      </c>
      <c r="AH159" s="394">
        <v>1000</v>
      </c>
      <c r="AI159" s="394">
        <v>1000</v>
      </c>
      <c r="AJ159" s="394">
        <v>1000</v>
      </c>
      <c r="AK159" s="394">
        <v>1000</v>
      </c>
      <c r="AL159" s="394">
        <v>1000</v>
      </c>
      <c r="AM159" s="388">
        <f t="shared" si="246"/>
        <v>12000</v>
      </c>
      <c r="AN159" s="388">
        <f t="shared" si="208"/>
        <v>12000</v>
      </c>
      <c r="AO159" s="389">
        <f>AI159</f>
        <v>1000</v>
      </c>
      <c r="AP159" s="502" t="s">
        <v>706</v>
      </c>
      <c r="AQ159" s="159">
        <v>0.6</v>
      </c>
      <c r="AR159" s="103" t="s">
        <v>211</v>
      </c>
      <c r="AS159" s="119" t="s">
        <v>210</v>
      </c>
      <c r="AT159" s="111">
        <v>3919011</v>
      </c>
      <c r="AU159" s="111">
        <v>4120782</v>
      </c>
      <c r="AV159" s="111">
        <v>3965574</v>
      </c>
      <c r="AW159" s="111">
        <v>4361355</v>
      </c>
      <c r="AX159" s="113">
        <v>3217168.6993499994</v>
      </c>
      <c r="AY159" s="113">
        <v>3453404.5822399999</v>
      </c>
      <c r="AZ159" s="113">
        <v>4060022.8646199997</v>
      </c>
      <c r="BA159" s="113"/>
      <c r="BB159" s="113"/>
      <c r="BC159" s="113"/>
      <c r="BD159" s="113"/>
      <c r="BE159" s="113"/>
      <c r="BF159" s="114">
        <f t="shared" si="186"/>
        <v>3217168.6993499994</v>
      </c>
      <c r="BG159" s="114">
        <f t="shared" si="186"/>
        <v>3453404.5822399999</v>
      </c>
      <c r="BH159" s="114">
        <f t="shared" si="186"/>
        <v>4060022.8646199997</v>
      </c>
      <c r="BI159" s="114">
        <f t="shared" si="186"/>
        <v>0</v>
      </c>
      <c r="BJ159" s="114">
        <f t="shared" si="248"/>
        <v>10730596.14621</v>
      </c>
      <c r="BK159" s="115">
        <f t="shared" si="229"/>
        <v>16366722</v>
      </c>
      <c r="BL159" s="115">
        <f t="shared" si="230"/>
        <v>16366722</v>
      </c>
      <c r="BM159" s="116">
        <f t="shared" si="231"/>
        <v>0.65559999999999996</v>
      </c>
      <c r="BN159" s="126">
        <f t="shared" ca="1" si="174"/>
        <v>0</v>
      </c>
      <c r="BO159" s="117">
        <f t="shared" ca="1" si="175"/>
        <v>0</v>
      </c>
      <c r="BP159" s="118" t="str">
        <f t="shared" si="176"/>
        <v>Uncapped</v>
      </c>
      <c r="BQ159" s="115">
        <f t="shared" ca="1" si="209"/>
        <v>0</v>
      </c>
      <c r="BR159" s="174" t="s">
        <v>710</v>
      </c>
      <c r="BS159" s="175">
        <v>0.2</v>
      </c>
      <c r="BT159" s="174" t="s">
        <v>217</v>
      </c>
      <c r="BU159" s="174" t="s">
        <v>210</v>
      </c>
      <c r="BV159" s="113">
        <v>1581777.9554044395</v>
      </c>
      <c r="BW159" s="113">
        <v>1647685.370212958</v>
      </c>
      <c r="BX159" s="113">
        <v>1581777.9554044395</v>
      </c>
      <c r="BY159" s="113">
        <v>1779500.1998299947</v>
      </c>
      <c r="BZ159" s="113">
        <v>1522860.7446000022</v>
      </c>
      <c r="CA159" s="113">
        <v>1425223.8162</v>
      </c>
      <c r="CB159" s="113">
        <v>1427879.0610000012</v>
      </c>
      <c r="CC159" s="113"/>
      <c r="CD159" s="113"/>
      <c r="CE159" s="113"/>
      <c r="CF159" s="113"/>
      <c r="CG159" s="113"/>
      <c r="CH159" s="114">
        <f t="shared" si="187"/>
        <v>1522860.7446000022</v>
      </c>
      <c r="CI159" s="114">
        <f t="shared" si="187"/>
        <v>1425223.8162</v>
      </c>
      <c r="CJ159" s="120">
        <f t="shared" si="187"/>
        <v>1427879.0610000012</v>
      </c>
      <c r="CK159" s="114">
        <f t="shared" si="187"/>
        <v>0</v>
      </c>
      <c r="CL159" s="114">
        <f t="shared" si="194"/>
        <v>4375963.6218000036</v>
      </c>
      <c r="CM159" s="114">
        <f t="shared" si="249"/>
        <v>6590741.4808518318</v>
      </c>
      <c r="CN159" s="114">
        <f t="shared" si="189"/>
        <v>6590741.4808518318</v>
      </c>
      <c r="CO159" s="116">
        <f t="shared" si="232"/>
        <v>0.66400000000000003</v>
      </c>
      <c r="CP159" s="126">
        <f t="shared" ca="1" si="233"/>
        <v>0</v>
      </c>
      <c r="CQ159" s="115">
        <f t="shared" ca="1" si="210"/>
        <v>0</v>
      </c>
      <c r="CR159" s="118" t="str">
        <f t="shared" si="234"/>
        <v>Uncapped</v>
      </c>
      <c r="CS159" s="115">
        <f t="shared" ca="1" si="211"/>
        <v>0</v>
      </c>
      <c r="CT159" s="113" t="s">
        <v>732</v>
      </c>
      <c r="CU159" s="119">
        <v>0.1</v>
      </c>
      <c r="CV159" s="113" t="s">
        <v>217</v>
      </c>
      <c r="CW159" s="113" t="s">
        <v>210</v>
      </c>
      <c r="CX159" s="113">
        <v>5046797.7308448758</v>
      </c>
      <c r="CY159" s="113">
        <v>5308711.4169250429</v>
      </c>
      <c r="CZ159" s="113">
        <v>5114284.1421738518</v>
      </c>
      <c r="DA159" s="113">
        <v>5623300.9818061059</v>
      </c>
      <c r="DB159" s="113">
        <v>4988539.1888999986</v>
      </c>
      <c r="DC159" s="113">
        <v>5062317.3278799905</v>
      </c>
      <c r="DD159" s="113">
        <v>5091828.1585499998</v>
      </c>
      <c r="DE159" s="113"/>
      <c r="DF159" s="113"/>
      <c r="DG159" s="113"/>
      <c r="DH159" s="113"/>
      <c r="DI159" s="113"/>
      <c r="DJ159" s="114">
        <f t="shared" si="190"/>
        <v>4988539.1888999986</v>
      </c>
      <c r="DK159" s="114">
        <f t="shared" si="190"/>
        <v>5062317.3278799905</v>
      </c>
      <c r="DL159" s="114">
        <f t="shared" si="190"/>
        <v>5091828.1585499998</v>
      </c>
      <c r="DM159" s="114">
        <f t="shared" si="190"/>
        <v>0</v>
      </c>
      <c r="DN159" s="114">
        <f t="shared" si="168"/>
        <v>15142684.675329989</v>
      </c>
      <c r="DO159" s="114">
        <f t="shared" si="250"/>
        <v>21093094.271749876</v>
      </c>
      <c r="DP159" s="114">
        <f t="shared" si="201"/>
        <v>21093094.271749876</v>
      </c>
      <c r="DQ159" s="116">
        <f t="shared" si="235"/>
        <v>0.71789999999999998</v>
      </c>
      <c r="DR159" s="126">
        <f t="shared" ca="1" si="212"/>
        <v>0</v>
      </c>
      <c r="DS159" s="115">
        <f t="shared" ca="1" si="213"/>
        <v>0</v>
      </c>
      <c r="DT159" s="118" t="str">
        <f t="shared" si="236"/>
        <v>Uncapped</v>
      </c>
      <c r="DU159" s="115">
        <f t="shared" ca="1" si="214"/>
        <v>0</v>
      </c>
      <c r="DV159" s="113" t="s">
        <v>363</v>
      </c>
      <c r="DW159" s="119">
        <v>0.1</v>
      </c>
      <c r="DX159" s="113"/>
      <c r="DY159" s="113" t="s">
        <v>219</v>
      </c>
      <c r="DZ159" s="113">
        <v>0</v>
      </c>
      <c r="EA159" s="113">
        <v>0</v>
      </c>
      <c r="EB159" s="113">
        <v>0</v>
      </c>
      <c r="EC159" s="113">
        <v>0</v>
      </c>
      <c r="ED159" s="113">
        <v>0</v>
      </c>
      <c r="EE159" s="113">
        <v>0</v>
      </c>
      <c r="EF159" s="113"/>
      <c r="EG159" s="113"/>
      <c r="EH159" s="113"/>
      <c r="EI159" s="113"/>
      <c r="EJ159" s="113"/>
      <c r="EK159" s="113"/>
      <c r="EL159" s="114">
        <f t="shared" si="191"/>
        <v>0</v>
      </c>
      <c r="EM159" s="114">
        <f t="shared" si="191"/>
        <v>0</v>
      </c>
      <c r="EN159" s="114">
        <f t="shared" si="191"/>
        <v>0</v>
      </c>
      <c r="EO159" s="114">
        <f t="shared" si="191"/>
        <v>0</v>
      </c>
      <c r="EP159" s="114">
        <f t="shared" si="215"/>
        <v>0</v>
      </c>
      <c r="EQ159" s="114">
        <f t="shared" si="251"/>
        <v>0</v>
      </c>
      <c r="ER159" s="114">
        <f t="shared" si="192"/>
        <v>0</v>
      </c>
      <c r="ES159" s="116">
        <f t="shared" si="237"/>
        <v>0</v>
      </c>
      <c r="ET159" s="126">
        <f t="shared" si="238"/>
        <v>0</v>
      </c>
      <c r="EU159" s="115">
        <f t="shared" si="216"/>
        <v>0</v>
      </c>
      <c r="EV159" s="118" t="str">
        <f t="shared" si="217"/>
        <v>Uncapped</v>
      </c>
      <c r="EW159" s="115">
        <f t="shared" si="218"/>
        <v>0</v>
      </c>
      <c r="EX159" s="112">
        <f t="shared" ca="1" si="219"/>
        <v>0</v>
      </c>
      <c r="EY159" s="114">
        <f t="shared" ca="1" si="239"/>
        <v>0</v>
      </c>
      <c r="EZ159" s="115">
        <v>0</v>
      </c>
      <c r="FA159" s="115"/>
      <c r="FB159" s="115"/>
      <c r="FC159" s="115">
        <v>0</v>
      </c>
      <c r="FD159" s="115">
        <f t="shared" si="252"/>
        <v>0</v>
      </c>
      <c r="FE159" s="114">
        <f t="shared" si="177"/>
        <v>0</v>
      </c>
      <c r="FF159" s="115">
        <v>0</v>
      </c>
      <c r="FG159" s="115">
        <v>0</v>
      </c>
      <c r="FH159" s="115">
        <v>0</v>
      </c>
      <c r="FI159" s="115">
        <v>0</v>
      </c>
      <c r="FJ159" s="115">
        <f t="shared" si="198"/>
        <v>0</v>
      </c>
      <c r="FK159" s="114">
        <f t="shared" si="178"/>
        <v>0</v>
      </c>
      <c r="FL159" s="113"/>
      <c r="FM159" s="111"/>
      <c r="FN159" s="111"/>
      <c r="FO159" s="111"/>
      <c r="FP159" s="115">
        <f t="shared" si="203"/>
        <v>0</v>
      </c>
      <c r="FQ159" s="115"/>
      <c r="FR159" s="115"/>
      <c r="FS159" s="115"/>
      <c r="FT159" s="114">
        <f t="shared" si="240"/>
        <v>0</v>
      </c>
      <c r="FU159" s="366">
        <f t="shared" ca="1" si="244"/>
        <v>0</v>
      </c>
      <c r="FV159" s="121">
        <f t="shared" ca="1" si="241"/>
        <v>0</v>
      </c>
      <c r="FW159" s="114">
        <f t="shared" si="204"/>
        <v>0</v>
      </c>
      <c r="FX159" s="114">
        <f t="shared" si="204"/>
        <v>0</v>
      </c>
      <c r="FY159" s="114">
        <f t="shared" si="204"/>
        <v>0</v>
      </c>
      <c r="FZ159" s="114">
        <f t="shared" si="204"/>
        <v>0</v>
      </c>
      <c r="GA159" s="114">
        <f t="shared" si="183"/>
        <v>0</v>
      </c>
      <c r="GB159" s="114">
        <f t="shared" si="205"/>
        <v>0</v>
      </c>
      <c r="GC159" s="114">
        <f t="shared" si="205"/>
        <v>0</v>
      </c>
      <c r="GD159" s="114">
        <f t="shared" si="205"/>
        <v>0</v>
      </c>
      <c r="GE159" s="114">
        <f t="shared" si="205"/>
        <v>0</v>
      </c>
      <c r="GF159" s="114">
        <f t="shared" si="242"/>
        <v>0</v>
      </c>
      <c r="GG159" s="114">
        <f t="shared" si="242"/>
        <v>0</v>
      </c>
      <c r="GH159" s="114">
        <f t="shared" si="242"/>
        <v>0</v>
      </c>
      <c r="GI159" s="114">
        <f t="shared" si="242"/>
        <v>0</v>
      </c>
      <c r="GJ159" s="115">
        <f t="shared" si="199"/>
        <v>0</v>
      </c>
      <c r="GK159" s="114">
        <f t="shared" si="220"/>
        <v>0</v>
      </c>
      <c r="GL159" s="114">
        <f t="shared" si="221"/>
        <v>0</v>
      </c>
      <c r="GM159" s="114">
        <f t="shared" si="222"/>
        <v>0</v>
      </c>
      <c r="GN159" s="114">
        <f t="shared" si="223"/>
        <v>0</v>
      </c>
      <c r="GO159" s="114">
        <f t="shared" si="224"/>
        <v>0</v>
      </c>
      <c r="GP159" s="114">
        <f t="shared" si="200"/>
        <v>0</v>
      </c>
      <c r="GQ159" s="114">
        <f t="shared" si="225"/>
        <v>0</v>
      </c>
      <c r="GR159" s="193"/>
      <c r="GS159" s="122">
        <f t="shared" si="253"/>
        <v>30249244.443339992</v>
      </c>
      <c r="GT159" s="122">
        <f t="shared" si="253"/>
        <v>44050557.752601713</v>
      </c>
      <c r="GU159" s="123">
        <f t="shared" si="226"/>
        <v>0.6866937897410258</v>
      </c>
      <c r="GV159" s="124">
        <f t="shared" ca="1" si="227"/>
        <v>0</v>
      </c>
      <c r="GW159" s="124">
        <v>0</v>
      </c>
      <c r="GX159" s="32">
        <f t="shared" ca="1" si="228"/>
        <v>0</v>
      </c>
      <c r="GY159" s="100"/>
    </row>
    <row r="160" spans="3:207" s="408" customFormat="1" hidden="1">
      <c r="C160" s="402"/>
      <c r="D160" s="402"/>
      <c r="E160" s="403"/>
      <c r="F160" s="403" t="s">
        <v>208</v>
      </c>
      <c r="G160" s="403" t="s">
        <v>226</v>
      </c>
      <c r="H160" s="405" t="s">
        <v>770</v>
      </c>
      <c r="I160" s="548" t="s">
        <v>786</v>
      </c>
      <c r="J160" s="403"/>
      <c r="K160" s="544" t="s">
        <v>208</v>
      </c>
      <c r="L160" s="403"/>
      <c r="M160" s="403"/>
      <c r="N160" s="404"/>
      <c r="O160" s="538">
        <v>43661</v>
      </c>
      <c r="P160" s="108">
        <v>43661</v>
      </c>
      <c r="Q160" s="176">
        <f t="shared" si="207"/>
        <v>7</v>
      </c>
      <c r="R160" s="176">
        <f>IF((P160-VLOOKUP(Q160,month!$A$1:$C$13,3,0))&lt;0,Q160,Q160+1)</f>
        <v>7</v>
      </c>
      <c r="S160" s="176"/>
      <c r="T160" s="110" t="str">
        <f t="shared" si="243"/>
        <v/>
      </c>
      <c r="U160" s="483" t="s">
        <v>214</v>
      </c>
      <c r="V160" s="404"/>
      <c r="W160" s="405"/>
      <c r="X160" s="484">
        <v>2</v>
      </c>
      <c r="Y160" s="493">
        <v>1</v>
      </c>
      <c r="Z160" s="406" t="s">
        <v>545</v>
      </c>
      <c r="AA160" s="394">
        <v>1000</v>
      </c>
      <c r="AB160" s="394">
        <v>1000</v>
      </c>
      <c r="AC160" s="394">
        <v>1000</v>
      </c>
      <c r="AD160" s="394">
        <v>1000</v>
      </c>
      <c r="AE160" s="394">
        <v>1000</v>
      </c>
      <c r="AF160" s="394">
        <v>1000</v>
      </c>
      <c r="AG160" s="394">
        <v>1000</v>
      </c>
      <c r="AH160" s="394">
        <v>1000</v>
      </c>
      <c r="AI160" s="394">
        <v>1000</v>
      </c>
      <c r="AJ160" s="394">
        <v>1000</v>
      </c>
      <c r="AK160" s="394">
        <v>1000</v>
      </c>
      <c r="AL160" s="394">
        <v>1000</v>
      </c>
      <c r="AM160" s="388">
        <f>IF($H$2=1,SUM(AA160:AC160),IF($H$2=2,SUM(AA160:AF160),IF($H$2=3,SUM(AA160:AI160),SUM(AA160:AL160))))</f>
        <v>12000</v>
      </c>
      <c r="AN160" s="388">
        <f>SUM(AA160:AL160)+INDEX(AA160:AL160,,MATCH($H$3,$AA$5:$AL$5,0))*(12-COUNTA(AA160:AL160))</f>
        <v>12000</v>
      </c>
      <c r="AO160" s="389">
        <f>AH160</f>
        <v>1000</v>
      </c>
      <c r="AP160" s="502" t="s">
        <v>776</v>
      </c>
      <c r="AQ160" s="159">
        <v>0.6</v>
      </c>
      <c r="AR160" s="103" t="s">
        <v>211</v>
      </c>
      <c r="AS160" s="119" t="s">
        <v>210</v>
      </c>
      <c r="AT160" s="111"/>
      <c r="AU160" s="111"/>
      <c r="AV160" s="111">
        <v>1497020</v>
      </c>
      <c r="AW160" s="111">
        <v>2203400</v>
      </c>
      <c r="AX160" s="113">
        <v>0</v>
      </c>
      <c r="AY160" s="113">
        <v>0</v>
      </c>
      <c r="AZ160" s="113">
        <v>1214704.7703000009</v>
      </c>
      <c r="BA160" s="581"/>
      <c r="BB160" s="113"/>
      <c r="BC160" s="113"/>
      <c r="BD160" s="113"/>
      <c r="BE160" s="113"/>
      <c r="BF160" s="114">
        <f t="shared" si="186"/>
        <v>0</v>
      </c>
      <c r="BG160" s="114">
        <f t="shared" si="186"/>
        <v>0</v>
      </c>
      <c r="BH160" s="114">
        <f t="shared" si="186"/>
        <v>1214704.7703000009</v>
      </c>
      <c r="BI160" s="114">
        <f t="shared" si="186"/>
        <v>0</v>
      </c>
      <c r="BJ160" s="114">
        <f t="shared" ref="BJ160" si="254">IF($BB$3="After AR Adjustment",IF($H$2=1,BF160,IF($H$2=2,SUM(BF160:BG160),IF($H$2=3,SUM(BF160:BH160),SUM(BF160:BI160)))),IF($H$2=1,AX160,IF($H$2=2,SUM(AX160:AY160),IF($H$2=3,SUM(AX160:AZ160),SUM(AX160:BA160)))))</f>
        <v>1214704.7703000009</v>
      </c>
      <c r="BK160" s="115">
        <f t="shared" ref="BK160" si="255">IF($H$2=1,AT160,IF($H$2=2,SUM(AT160:AU160),IF($H$2=3,SUM(AT160:AV160),SUM(AT160:AW160))))</f>
        <v>3700420</v>
      </c>
      <c r="BL160" s="115">
        <f t="shared" si="230"/>
        <v>3700420</v>
      </c>
      <c r="BM160" s="116">
        <f t="shared" si="231"/>
        <v>0.32829999999999998</v>
      </c>
      <c r="BN160" s="126">
        <f t="shared" ca="1" si="174"/>
        <v>0</v>
      </c>
      <c r="BO160" s="117">
        <f t="shared" ca="1" si="175"/>
        <v>0</v>
      </c>
      <c r="BP160" s="118" t="str">
        <f t="shared" si="176"/>
        <v>Uncapped</v>
      </c>
      <c r="BQ160" s="115">
        <f t="shared" ca="1" si="209"/>
        <v>0</v>
      </c>
      <c r="BR160" s="174" t="s">
        <v>208</v>
      </c>
      <c r="BS160" s="175">
        <v>0.2</v>
      </c>
      <c r="BT160" s="174" t="s">
        <v>211</v>
      </c>
      <c r="BU160" s="174" t="s">
        <v>210</v>
      </c>
      <c r="BV160" s="113"/>
      <c r="BW160" s="113"/>
      <c r="BX160" s="113">
        <v>16737911.684834</v>
      </c>
      <c r="BY160" s="113">
        <v>27098464.121500004</v>
      </c>
      <c r="BZ160" s="113">
        <v>0</v>
      </c>
      <c r="CA160" s="113">
        <v>0</v>
      </c>
      <c r="CB160" s="113">
        <v>16532446</v>
      </c>
      <c r="CC160" s="581"/>
      <c r="CD160" s="113"/>
      <c r="CE160" s="113"/>
      <c r="CF160" s="113"/>
      <c r="CG160" s="113"/>
      <c r="CH160" s="114">
        <f t="shared" si="187"/>
        <v>0</v>
      </c>
      <c r="CI160" s="114">
        <f t="shared" si="187"/>
        <v>0</v>
      </c>
      <c r="CJ160" s="120">
        <f t="shared" si="187"/>
        <v>16532446</v>
      </c>
      <c r="CK160" s="114">
        <f t="shared" si="187"/>
        <v>0</v>
      </c>
      <c r="CL160" s="114">
        <f t="shared" ref="CL160:CL167" si="256">IF($BB$3="After AR Adjustment",IF($H$2=1,CH160,IF($H$2=2,SUM(CH160:CI160),IF($H$2=3,SUM(CH160:CJ160),SUM(CH160:CK160)))),IF($H$2=1,BZ160,IF($H$2=2,SUM(BZ160:CA160),IF($H$2=3,SUM(BZ160:CB160),SUM(BZ160:CC160)))))</f>
        <v>16532446</v>
      </c>
      <c r="CM160" s="114">
        <f t="shared" si="249"/>
        <v>43836375.806334004</v>
      </c>
      <c r="CN160" s="114">
        <f t="shared" si="189"/>
        <v>43836375.806334004</v>
      </c>
      <c r="CO160" s="116">
        <f t="shared" si="232"/>
        <v>0.37709999999999999</v>
      </c>
      <c r="CP160" s="126">
        <f t="shared" ca="1" si="233"/>
        <v>0</v>
      </c>
      <c r="CQ160" s="115">
        <f t="shared" ca="1" si="210"/>
        <v>0</v>
      </c>
      <c r="CR160" s="118" t="str">
        <f t="shared" si="234"/>
        <v>Uncapped</v>
      </c>
      <c r="CS160" s="115">
        <f t="shared" ca="1" si="211"/>
        <v>0</v>
      </c>
      <c r="CT160" s="113" t="s">
        <v>221</v>
      </c>
      <c r="CU160" s="119">
        <v>0.2</v>
      </c>
      <c r="CV160" s="113" t="s">
        <v>217</v>
      </c>
      <c r="CW160" s="113" t="s">
        <v>210</v>
      </c>
      <c r="CX160" s="113"/>
      <c r="CY160" s="113"/>
      <c r="CZ160" s="113">
        <v>51192484.06067124</v>
      </c>
      <c r="DA160" s="113">
        <v>76323964.015026003</v>
      </c>
      <c r="DB160" s="113">
        <v>0</v>
      </c>
      <c r="DC160" s="113">
        <v>0</v>
      </c>
      <c r="DD160" s="113">
        <v>51080102</v>
      </c>
      <c r="DE160" s="581"/>
      <c r="DF160" s="113"/>
      <c r="DG160" s="113"/>
      <c r="DH160" s="113"/>
      <c r="DI160" s="113"/>
      <c r="DJ160" s="114">
        <f t="shared" si="190"/>
        <v>0</v>
      </c>
      <c r="DK160" s="114">
        <f t="shared" si="190"/>
        <v>0</v>
      </c>
      <c r="DL160" s="114">
        <f t="shared" si="190"/>
        <v>51080102</v>
      </c>
      <c r="DM160" s="114">
        <f t="shared" si="190"/>
        <v>0</v>
      </c>
      <c r="DN160" s="114">
        <f t="shared" si="168"/>
        <v>51080102</v>
      </c>
      <c r="DO160" s="114">
        <f t="shared" si="250"/>
        <v>127516448.07569724</v>
      </c>
      <c r="DP160" s="114">
        <f t="shared" si="201"/>
        <v>127516448.07569724</v>
      </c>
      <c r="DQ160" s="116">
        <f t="shared" si="235"/>
        <v>0.40060000000000001</v>
      </c>
      <c r="DR160" s="126">
        <f t="shared" ca="1" si="212"/>
        <v>0</v>
      </c>
      <c r="DS160" s="115">
        <f t="shared" ca="1" si="213"/>
        <v>0</v>
      </c>
      <c r="DT160" s="118" t="str">
        <f t="shared" si="236"/>
        <v>Uncapped</v>
      </c>
      <c r="DU160" s="115">
        <f t="shared" ca="1" si="214"/>
        <v>0</v>
      </c>
      <c r="DV160" s="113"/>
      <c r="DW160" s="119"/>
      <c r="DX160" s="113"/>
      <c r="DY160" s="113"/>
      <c r="DZ160" s="113"/>
      <c r="EA160" s="113"/>
      <c r="EB160" s="113"/>
      <c r="EC160" s="113"/>
      <c r="ED160" s="113"/>
      <c r="EE160" s="113"/>
      <c r="EF160" s="113"/>
      <c r="EG160" s="113"/>
      <c r="EH160" s="113"/>
      <c r="EI160" s="113"/>
      <c r="EJ160" s="113"/>
      <c r="EK160" s="113"/>
      <c r="EL160" s="114">
        <f t="shared" si="191"/>
        <v>0</v>
      </c>
      <c r="EM160" s="114">
        <f t="shared" si="191"/>
        <v>0</v>
      </c>
      <c r="EN160" s="114">
        <f t="shared" si="191"/>
        <v>0</v>
      </c>
      <c r="EO160" s="114">
        <f t="shared" si="191"/>
        <v>0</v>
      </c>
      <c r="EP160" s="114">
        <f t="shared" si="215"/>
        <v>0</v>
      </c>
      <c r="EQ160" s="114">
        <f t="shared" si="251"/>
        <v>0</v>
      </c>
      <c r="ER160" s="114">
        <f t="shared" si="192"/>
        <v>0</v>
      </c>
      <c r="ES160" s="116">
        <f t="shared" si="237"/>
        <v>0</v>
      </c>
      <c r="ET160" s="126">
        <f t="shared" ca="1" si="238"/>
        <v>0</v>
      </c>
      <c r="EU160" s="115">
        <f t="shared" ca="1" si="216"/>
        <v>0</v>
      </c>
      <c r="EV160" s="118" t="str">
        <f t="shared" si="217"/>
        <v>Uncapped</v>
      </c>
      <c r="EW160" s="115">
        <f t="shared" ca="1" si="218"/>
        <v>0</v>
      </c>
      <c r="EX160" s="112">
        <f t="shared" ca="1" si="219"/>
        <v>0</v>
      </c>
      <c r="EY160" s="114">
        <f t="shared" ca="1" si="239"/>
        <v>3000</v>
      </c>
      <c r="EZ160" s="115">
        <v>0</v>
      </c>
      <c r="FA160" s="115"/>
      <c r="FB160" s="115"/>
      <c r="FC160" s="115">
        <v>0</v>
      </c>
      <c r="FD160" s="115">
        <f t="shared" si="252"/>
        <v>0</v>
      </c>
      <c r="FE160" s="114">
        <f t="shared" si="177"/>
        <v>0</v>
      </c>
      <c r="FF160" s="115"/>
      <c r="FG160" s="115"/>
      <c r="FH160" s="115"/>
      <c r="FI160" s="115"/>
      <c r="FJ160" s="115">
        <f t="shared" si="198"/>
        <v>0</v>
      </c>
      <c r="FK160" s="114">
        <f t="shared" si="178"/>
        <v>0</v>
      </c>
      <c r="FL160" s="113"/>
      <c r="FM160" s="111"/>
      <c r="FN160" s="111"/>
      <c r="FO160" s="111"/>
      <c r="FP160" s="115">
        <f t="shared" si="203"/>
        <v>0</v>
      </c>
      <c r="FQ160" s="115"/>
      <c r="FR160" s="115"/>
      <c r="FS160" s="115"/>
      <c r="FT160" s="114">
        <f t="shared" si="240"/>
        <v>0</v>
      </c>
      <c r="FU160" s="366">
        <f t="shared" ca="1" si="244"/>
        <v>3000</v>
      </c>
      <c r="FV160" s="121">
        <f t="shared" ca="1" si="241"/>
        <v>3000</v>
      </c>
      <c r="FW160" s="114">
        <f t="shared" si="204"/>
        <v>0</v>
      </c>
      <c r="FX160" s="114">
        <f t="shared" si="204"/>
        <v>0</v>
      </c>
      <c r="FY160" s="114">
        <f t="shared" si="204"/>
        <v>0</v>
      </c>
      <c r="FZ160" s="114">
        <f t="shared" si="204"/>
        <v>0</v>
      </c>
      <c r="GA160" s="114">
        <f t="shared" si="183"/>
        <v>0</v>
      </c>
      <c r="GB160" s="114">
        <f t="shared" si="205"/>
        <v>0</v>
      </c>
      <c r="GC160" s="114">
        <f t="shared" si="205"/>
        <v>0</v>
      </c>
      <c r="GD160" s="114">
        <f t="shared" si="205"/>
        <v>0</v>
      </c>
      <c r="GE160" s="114">
        <f t="shared" si="205"/>
        <v>0</v>
      </c>
      <c r="GF160" s="114">
        <f t="shared" si="242"/>
        <v>0</v>
      </c>
      <c r="GG160" s="114">
        <f t="shared" si="242"/>
        <v>0</v>
      </c>
      <c r="GH160" s="114">
        <f t="shared" si="242"/>
        <v>0</v>
      </c>
      <c r="GI160" s="114">
        <f t="shared" si="242"/>
        <v>0</v>
      </c>
      <c r="GJ160" s="115">
        <f t="shared" si="199"/>
        <v>0</v>
      </c>
      <c r="GK160" s="114">
        <f t="shared" si="220"/>
        <v>0</v>
      </c>
      <c r="GL160" s="114">
        <f t="shared" si="221"/>
        <v>0</v>
      </c>
      <c r="GM160" s="114">
        <f t="shared" si="222"/>
        <v>0</v>
      </c>
      <c r="GN160" s="114">
        <f t="shared" si="223"/>
        <v>2000</v>
      </c>
      <c r="GO160" s="114">
        <f t="shared" si="224"/>
        <v>1000</v>
      </c>
      <c r="GP160" s="114">
        <f t="shared" si="200"/>
        <v>3000</v>
      </c>
      <c r="GQ160" s="114">
        <f t="shared" si="225"/>
        <v>3000</v>
      </c>
      <c r="GR160" s="193"/>
      <c r="GS160" s="122">
        <f t="shared" si="253"/>
        <v>68827252.770300001</v>
      </c>
      <c r="GT160" s="122">
        <f t="shared" si="253"/>
        <v>175053243.88203126</v>
      </c>
      <c r="GU160" s="123">
        <f t="shared" si="226"/>
        <v>0.39317896226294913</v>
      </c>
      <c r="GV160" s="124">
        <f t="shared" ca="1" si="227"/>
        <v>0</v>
      </c>
      <c r="GW160" s="124">
        <v>0</v>
      </c>
      <c r="GX160" s="32">
        <f t="shared" ca="1" si="228"/>
        <v>0</v>
      </c>
      <c r="GY160" s="100"/>
    </row>
    <row r="161" spans="3:207" s="408" customFormat="1" hidden="1">
      <c r="C161" s="402"/>
      <c r="D161" s="402"/>
      <c r="E161" s="403"/>
      <c r="F161" s="403" t="s">
        <v>208</v>
      </c>
      <c r="G161" s="403" t="s">
        <v>226</v>
      </c>
      <c r="H161" s="405" t="s">
        <v>771</v>
      </c>
      <c r="I161" s="548" t="s">
        <v>787</v>
      </c>
      <c r="J161" s="403"/>
      <c r="K161" s="544" t="s">
        <v>208</v>
      </c>
      <c r="L161" s="403"/>
      <c r="M161" s="403"/>
      <c r="N161" s="404"/>
      <c r="O161" s="538">
        <v>43709</v>
      </c>
      <c r="P161" s="108">
        <v>43709</v>
      </c>
      <c r="Q161" s="176">
        <f t="shared" si="207"/>
        <v>9</v>
      </c>
      <c r="R161" s="176">
        <f>IF((P161-VLOOKUP(Q161,month!$A$1:$C$13,3,0))&lt;0,Q161,Q161+1)</f>
        <v>9</v>
      </c>
      <c r="S161" s="176"/>
      <c r="T161" s="110" t="str">
        <f t="shared" si="243"/>
        <v/>
      </c>
      <c r="U161" s="483" t="s">
        <v>214</v>
      </c>
      <c r="V161" s="404"/>
      <c r="W161" s="405"/>
      <c r="X161" s="484">
        <v>1</v>
      </c>
      <c r="Y161" s="493">
        <v>2</v>
      </c>
      <c r="Z161" s="406" t="s">
        <v>545</v>
      </c>
      <c r="AA161" s="394">
        <v>1000</v>
      </c>
      <c r="AB161" s="394">
        <v>1000</v>
      </c>
      <c r="AC161" s="394">
        <v>1000</v>
      </c>
      <c r="AD161" s="394">
        <v>1000</v>
      </c>
      <c r="AE161" s="394">
        <v>1000</v>
      </c>
      <c r="AF161" s="394">
        <v>1000</v>
      </c>
      <c r="AG161" s="394">
        <v>1000</v>
      </c>
      <c r="AH161" s="394">
        <v>1000</v>
      </c>
      <c r="AI161" s="394">
        <v>1000</v>
      </c>
      <c r="AJ161" s="394">
        <v>1000</v>
      </c>
      <c r="AK161" s="394">
        <v>1000</v>
      </c>
      <c r="AL161" s="394">
        <v>1000</v>
      </c>
      <c r="AM161" s="388">
        <f t="shared" si="246"/>
        <v>12000</v>
      </c>
      <c r="AN161" s="388">
        <f t="shared" ref="AN161:AN178" si="257">SUM(AA161:AL161)+INDEX(AA161:AL161,,MATCH($H$3,$AA$5:$AL$5,0))*(12-COUNTA(AA161:AL161))</f>
        <v>12000</v>
      </c>
      <c r="AO161" s="389">
        <f>AI161</f>
        <v>1000</v>
      </c>
      <c r="AP161" s="502" t="s">
        <v>776</v>
      </c>
      <c r="AQ161" s="159">
        <v>0.6</v>
      </c>
      <c r="AR161" s="103" t="s">
        <v>211</v>
      </c>
      <c r="AS161" s="119" t="s">
        <v>210</v>
      </c>
      <c r="AT161" s="111"/>
      <c r="AU161" s="111"/>
      <c r="AV161" s="111">
        <v>2043360</v>
      </c>
      <c r="AW161" s="111">
        <v>5285000</v>
      </c>
      <c r="AX161" s="113">
        <v>0</v>
      </c>
      <c r="AY161" s="113">
        <v>0</v>
      </c>
      <c r="AZ161" s="113">
        <v>1983350.0281499978</v>
      </c>
      <c r="BA161" s="581"/>
      <c r="BB161" s="113"/>
      <c r="BC161" s="113"/>
      <c r="BD161" s="113"/>
      <c r="BE161" s="113"/>
      <c r="BF161" s="114">
        <f t="shared" si="186"/>
        <v>0</v>
      </c>
      <c r="BG161" s="114">
        <f t="shared" si="186"/>
        <v>0</v>
      </c>
      <c r="BH161" s="114">
        <f t="shared" si="186"/>
        <v>1983350.0281499978</v>
      </c>
      <c r="BI161" s="114">
        <f t="shared" si="186"/>
        <v>0</v>
      </c>
      <c r="BJ161" s="114">
        <f t="shared" ref="BJ161:BJ165" si="258">IF($BB$3="After AR Adjustment",IF($H$2=1,BF161,IF($H$2=2,SUM(BF161:BG161),IF($H$2=3,SUM(BF161:BH161),SUM(BF161:BI161)))),IF($H$2=1,AX161,IF($H$2=2,SUM(AX161:AY161),IF($H$2=3,SUM(AX161:AZ161),SUM(AX161:BA161)))))</f>
        <v>1983350.0281499978</v>
      </c>
      <c r="BK161" s="115">
        <f t="shared" si="229"/>
        <v>7328360</v>
      </c>
      <c r="BL161" s="115">
        <f t="shared" si="230"/>
        <v>7328360</v>
      </c>
      <c r="BM161" s="116">
        <f t="shared" si="231"/>
        <v>0.27060000000000001</v>
      </c>
      <c r="BN161" s="126">
        <f t="shared" ca="1" si="174"/>
        <v>0</v>
      </c>
      <c r="BO161" s="117">
        <f t="shared" ca="1" si="175"/>
        <v>0</v>
      </c>
      <c r="BP161" s="118" t="str">
        <f t="shared" si="176"/>
        <v>Uncapped</v>
      </c>
      <c r="BQ161" s="115">
        <f t="shared" ca="1" si="209"/>
        <v>0</v>
      </c>
      <c r="BR161" s="174" t="s">
        <v>208</v>
      </c>
      <c r="BS161" s="175">
        <v>0.2</v>
      </c>
      <c r="BT161" s="174" t="s">
        <v>211</v>
      </c>
      <c r="BU161" s="174" t="s">
        <v>210</v>
      </c>
      <c r="BV161" s="113"/>
      <c r="BW161" s="113"/>
      <c r="BX161" s="113">
        <v>10857023.795567999</v>
      </c>
      <c r="BY161" s="113">
        <v>27098464.121500004</v>
      </c>
      <c r="BZ161" s="113">
        <v>0</v>
      </c>
      <c r="CA161" s="113">
        <v>0</v>
      </c>
      <c r="CB161" s="113">
        <v>11152527.171649998</v>
      </c>
      <c r="CC161" s="581"/>
      <c r="CD161" s="113"/>
      <c r="CE161" s="113"/>
      <c r="CF161" s="113"/>
      <c r="CG161" s="113"/>
      <c r="CH161" s="114">
        <f t="shared" si="187"/>
        <v>0</v>
      </c>
      <c r="CI161" s="114">
        <f t="shared" si="187"/>
        <v>0</v>
      </c>
      <c r="CJ161" s="120">
        <f t="shared" si="187"/>
        <v>11152527.171649998</v>
      </c>
      <c r="CK161" s="114">
        <f t="shared" si="187"/>
        <v>0</v>
      </c>
      <c r="CL161" s="114">
        <f t="shared" si="256"/>
        <v>11152527.171649998</v>
      </c>
      <c r="CM161" s="114">
        <f t="shared" si="249"/>
        <v>37955487.917068005</v>
      </c>
      <c r="CN161" s="114">
        <f t="shared" si="189"/>
        <v>37955487.917068005</v>
      </c>
      <c r="CO161" s="116">
        <f t="shared" si="232"/>
        <v>0.29380000000000001</v>
      </c>
      <c r="CP161" s="126">
        <f t="shared" ca="1" si="233"/>
        <v>0</v>
      </c>
      <c r="CQ161" s="115">
        <f t="shared" ca="1" si="210"/>
        <v>0</v>
      </c>
      <c r="CR161" s="118" t="str">
        <f t="shared" si="234"/>
        <v>Uncapped</v>
      </c>
      <c r="CS161" s="115">
        <f t="shared" ca="1" si="211"/>
        <v>0</v>
      </c>
      <c r="CT161" s="113" t="s">
        <v>221</v>
      </c>
      <c r="CU161" s="119">
        <v>0.2</v>
      </c>
      <c r="CV161" s="113" t="s">
        <v>217</v>
      </c>
      <c r="CW161" s="113" t="s">
        <v>210</v>
      </c>
      <c r="CX161" s="113"/>
      <c r="CY161" s="113"/>
      <c r="CZ161" s="113">
        <v>33205935.606921885</v>
      </c>
      <c r="DA161" s="113">
        <v>76323964.015026003</v>
      </c>
      <c r="DB161" s="113">
        <v>0</v>
      </c>
      <c r="DC161" s="113">
        <v>0</v>
      </c>
      <c r="DD161" s="113">
        <v>33656513.749750003</v>
      </c>
      <c r="DE161" s="581"/>
      <c r="DF161" s="113"/>
      <c r="DG161" s="113"/>
      <c r="DH161" s="113"/>
      <c r="DI161" s="113"/>
      <c r="DJ161" s="114">
        <f t="shared" si="190"/>
        <v>0</v>
      </c>
      <c r="DK161" s="114">
        <f t="shared" si="190"/>
        <v>0</v>
      </c>
      <c r="DL161" s="114">
        <f t="shared" si="190"/>
        <v>33656513.749750003</v>
      </c>
      <c r="DM161" s="114">
        <f t="shared" si="190"/>
        <v>0</v>
      </c>
      <c r="DN161" s="114">
        <f t="shared" si="168"/>
        <v>33656513.749750003</v>
      </c>
      <c r="DO161" s="114">
        <f t="shared" si="250"/>
        <v>109529899.62194788</v>
      </c>
      <c r="DP161" s="114">
        <f t="shared" si="201"/>
        <v>109529899.62194788</v>
      </c>
      <c r="DQ161" s="116">
        <f t="shared" si="235"/>
        <v>0.30730000000000002</v>
      </c>
      <c r="DR161" s="126">
        <f t="shared" ca="1" si="212"/>
        <v>0</v>
      </c>
      <c r="DS161" s="115">
        <f t="shared" ca="1" si="213"/>
        <v>0</v>
      </c>
      <c r="DT161" s="118" t="str">
        <f t="shared" si="236"/>
        <v>Uncapped</v>
      </c>
      <c r="DU161" s="115">
        <f t="shared" ca="1" si="214"/>
        <v>0</v>
      </c>
      <c r="DV161" s="113"/>
      <c r="DW161" s="119"/>
      <c r="DX161" s="113"/>
      <c r="DY161" s="113"/>
      <c r="DZ161" s="113"/>
      <c r="EA161" s="113"/>
      <c r="EB161" s="113"/>
      <c r="EC161" s="113"/>
      <c r="ED161" s="113"/>
      <c r="EE161" s="113"/>
      <c r="EF161" s="113"/>
      <c r="EG161" s="113"/>
      <c r="EH161" s="113"/>
      <c r="EI161" s="113"/>
      <c r="EJ161" s="113"/>
      <c r="EK161" s="113"/>
      <c r="EL161" s="114">
        <f t="shared" si="191"/>
        <v>0</v>
      </c>
      <c r="EM161" s="114">
        <f t="shared" si="191"/>
        <v>0</v>
      </c>
      <c r="EN161" s="114">
        <f t="shared" si="191"/>
        <v>0</v>
      </c>
      <c r="EO161" s="114">
        <f t="shared" si="191"/>
        <v>0</v>
      </c>
      <c r="EP161" s="114">
        <f t="shared" si="215"/>
        <v>0</v>
      </c>
      <c r="EQ161" s="114">
        <f t="shared" si="251"/>
        <v>0</v>
      </c>
      <c r="ER161" s="114">
        <f t="shared" si="192"/>
        <v>0</v>
      </c>
      <c r="ES161" s="116">
        <f t="shared" si="237"/>
        <v>0</v>
      </c>
      <c r="ET161" s="126">
        <f t="shared" ca="1" si="238"/>
        <v>0</v>
      </c>
      <c r="EU161" s="115">
        <f t="shared" ca="1" si="216"/>
        <v>0</v>
      </c>
      <c r="EV161" s="118" t="str">
        <f t="shared" si="217"/>
        <v>Uncapped</v>
      </c>
      <c r="EW161" s="115">
        <f t="shared" ca="1" si="218"/>
        <v>0</v>
      </c>
      <c r="EX161" s="112">
        <f t="shared" ca="1" si="219"/>
        <v>0</v>
      </c>
      <c r="EY161" s="114">
        <f t="shared" ca="1" si="239"/>
        <v>3000</v>
      </c>
      <c r="EZ161" s="115">
        <v>0</v>
      </c>
      <c r="FA161" s="115">
        <v>0</v>
      </c>
      <c r="FB161" s="115"/>
      <c r="FC161" s="115">
        <v>0</v>
      </c>
      <c r="FD161" s="115">
        <f t="shared" si="252"/>
        <v>0</v>
      </c>
      <c r="FE161" s="114">
        <f t="shared" si="177"/>
        <v>0</v>
      </c>
      <c r="FF161" s="115">
        <v>0</v>
      </c>
      <c r="FG161" s="115">
        <v>0</v>
      </c>
      <c r="FH161" s="115">
        <v>0</v>
      </c>
      <c r="FI161" s="115">
        <v>0</v>
      </c>
      <c r="FJ161" s="115">
        <f t="shared" si="198"/>
        <v>0</v>
      </c>
      <c r="FK161" s="114">
        <f t="shared" si="178"/>
        <v>0</v>
      </c>
      <c r="FL161" s="113"/>
      <c r="FM161" s="111"/>
      <c r="FN161" s="111"/>
      <c r="FO161" s="111"/>
      <c r="FP161" s="115">
        <f t="shared" si="203"/>
        <v>0</v>
      </c>
      <c r="FQ161" s="115"/>
      <c r="FR161" s="115"/>
      <c r="FS161" s="115">
        <v>0</v>
      </c>
      <c r="FT161" s="114">
        <f t="shared" si="240"/>
        <v>0</v>
      </c>
      <c r="FU161" s="366">
        <f t="shared" ca="1" si="244"/>
        <v>3000</v>
      </c>
      <c r="FV161" s="121">
        <f t="shared" ca="1" si="241"/>
        <v>3000</v>
      </c>
      <c r="FW161" s="114">
        <f t="shared" si="204"/>
        <v>0</v>
      </c>
      <c r="FX161" s="114">
        <f t="shared" si="204"/>
        <v>0</v>
      </c>
      <c r="FY161" s="114">
        <f t="shared" si="204"/>
        <v>0</v>
      </c>
      <c r="FZ161" s="114">
        <f t="shared" si="204"/>
        <v>0</v>
      </c>
      <c r="GA161" s="114">
        <f t="shared" si="183"/>
        <v>0</v>
      </c>
      <c r="GB161" s="114">
        <f t="shared" si="205"/>
        <v>0</v>
      </c>
      <c r="GC161" s="114">
        <f t="shared" si="205"/>
        <v>0</v>
      </c>
      <c r="GD161" s="114">
        <f t="shared" si="205"/>
        <v>0</v>
      </c>
      <c r="GE161" s="114">
        <f t="shared" si="205"/>
        <v>0</v>
      </c>
      <c r="GF161" s="114">
        <f t="shared" si="242"/>
        <v>0</v>
      </c>
      <c r="GG161" s="114">
        <f t="shared" si="242"/>
        <v>0</v>
      </c>
      <c r="GH161" s="114">
        <f t="shared" si="242"/>
        <v>0</v>
      </c>
      <c r="GI161" s="114">
        <f t="shared" si="242"/>
        <v>0</v>
      </c>
      <c r="GJ161" s="115">
        <f t="shared" si="199"/>
        <v>0</v>
      </c>
      <c r="GK161" s="114">
        <f t="shared" si="220"/>
        <v>0</v>
      </c>
      <c r="GL161" s="114">
        <f t="shared" si="221"/>
        <v>0</v>
      </c>
      <c r="GM161" s="114">
        <f t="shared" si="222"/>
        <v>0</v>
      </c>
      <c r="GN161" s="114">
        <f t="shared" si="223"/>
        <v>1000</v>
      </c>
      <c r="GO161" s="114">
        <f t="shared" si="224"/>
        <v>2000</v>
      </c>
      <c r="GP161" s="114">
        <f t="shared" si="200"/>
        <v>3000</v>
      </c>
      <c r="GQ161" s="114">
        <f t="shared" si="225"/>
        <v>3000</v>
      </c>
      <c r="GR161" s="193"/>
      <c r="GS161" s="122">
        <f t="shared" si="253"/>
        <v>46792390.949550003</v>
      </c>
      <c r="GT161" s="122">
        <f t="shared" si="253"/>
        <v>154813747.53901589</v>
      </c>
      <c r="GU161" s="123">
        <f t="shared" si="226"/>
        <v>0.30224958502317417</v>
      </c>
      <c r="GV161" s="124">
        <f t="shared" ca="1" si="227"/>
        <v>0</v>
      </c>
      <c r="GW161" s="124">
        <v>0</v>
      </c>
      <c r="GX161" s="32">
        <f t="shared" ca="1" si="228"/>
        <v>0</v>
      </c>
      <c r="GY161" s="100"/>
    </row>
    <row r="162" spans="3:207" s="408" customFormat="1" hidden="1">
      <c r="C162" s="402"/>
      <c r="D162" s="402"/>
      <c r="E162" s="403"/>
      <c r="F162" s="403" t="s">
        <v>544</v>
      </c>
      <c r="G162" s="403" t="s">
        <v>226</v>
      </c>
      <c r="H162" s="405" t="s">
        <v>772</v>
      </c>
      <c r="I162" s="548" t="s">
        <v>784</v>
      </c>
      <c r="J162" s="403"/>
      <c r="K162" s="544" t="s">
        <v>544</v>
      </c>
      <c r="L162" s="403"/>
      <c r="M162" s="403"/>
      <c r="N162" s="404"/>
      <c r="O162" s="538">
        <v>43717</v>
      </c>
      <c r="P162" s="108">
        <v>43717</v>
      </c>
      <c r="Q162" s="176">
        <f t="shared" si="207"/>
        <v>9</v>
      </c>
      <c r="R162" s="176">
        <f>IF((P162-VLOOKUP(Q162,month!$A$1:$C$13,3,0))&lt;0,Q162,Q162+1)</f>
        <v>9</v>
      </c>
      <c r="S162" s="176"/>
      <c r="T162" s="110" t="str">
        <f t="shared" si="243"/>
        <v/>
      </c>
      <c r="U162" s="483" t="s">
        <v>214</v>
      </c>
      <c r="V162" s="404"/>
      <c r="W162" s="405"/>
      <c r="X162" s="484">
        <v>1</v>
      </c>
      <c r="Y162" s="493">
        <v>2</v>
      </c>
      <c r="Z162" s="406" t="s">
        <v>545</v>
      </c>
      <c r="AA162" s="394">
        <v>1000</v>
      </c>
      <c r="AB162" s="394">
        <v>1000</v>
      </c>
      <c r="AC162" s="394">
        <v>1000</v>
      </c>
      <c r="AD162" s="394">
        <v>1000</v>
      </c>
      <c r="AE162" s="394">
        <v>1000</v>
      </c>
      <c r="AF162" s="394">
        <v>1000</v>
      </c>
      <c r="AG162" s="394">
        <v>1000</v>
      </c>
      <c r="AH162" s="394">
        <v>1000</v>
      </c>
      <c r="AI162" s="394">
        <v>1000</v>
      </c>
      <c r="AJ162" s="394">
        <v>1000</v>
      </c>
      <c r="AK162" s="394">
        <v>1000</v>
      </c>
      <c r="AL162" s="394">
        <v>1000</v>
      </c>
      <c r="AM162" s="388">
        <f t="shared" si="246"/>
        <v>12000</v>
      </c>
      <c r="AN162" s="388">
        <f t="shared" si="257"/>
        <v>12000</v>
      </c>
      <c r="AO162" s="389">
        <f>AI162</f>
        <v>1000</v>
      </c>
      <c r="AP162" s="502" t="s">
        <v>777</v>
      </c>
      <c r="AQ162" s="159">
        <v>0.5</v>
      </c>
      <c r="AR162" s="103" t="s">
        <v>211</v>
      </c>
      <c r="AS162" s="119" t="s">
        <v>210</v>
      </c>
      <c r="AT162" s="111"/>
      <c r="AU162" s="111"/>
      <c r="AV162" s="111">
        <v>249212.06728258249</v>
      </c>
      <c r="AW162" s="111">
        <v>696263.40433732502</v>
      </c>
      <c r="AX162" s="113"/>
      <c r="AY162" s="113"/>
      <c r="AZ162" s="113">
        <v>234088.21987999996</v>
      </c>
      <c r="BA162" s="581"/>
      <c r="BB162" s="113"/>
      <c r="BC162" s="113"/>
      <c r="BD162" s="113"/>
      <c r="BE162" s="113"/>
      <c r="BF162" s="114">
        <f t="shared" si="186"/>
        <v>0</v>
      </c>
      <c r="BG162" s="114">
        <f t="shared" si="186"/>
        <v>0</v>
      </c>
      <c r="BH162" s="114">
        <f t="shared" si="186"/>
        <v>234088.21987999996</v>
      </c>
      <c r="BI162" s="114">
        <f t="shared" si="186"/>
        <v>0</v>
      </c>
      <c r="BJ162" s="114">
        <f t="shared" si="258"/>
        <v>234088.21987999996</v>
      </c>
      <c r="BK162" s="115">
        <f t="shared" si="229"/>
        <v>945475.47161990753</v>
      </c>
      <c r="BL162" s="115">
        <f t="shared" si="230"/>
        <v>945475.47161990753</v>
      </c>
      <c r="BM162" s="116">
        <f t="shared" si="231"/>
        <v>0.24759999999999999</v>
      </c>
      <c r="BN162" s="126">
        <f t="shared" ca="1" si="174"/>
        <v>0</v>
      </c>
      <c r="BO162" s="117">
        <f t="shared" ca="1" si="175"/>
        <v>0</v>
      </c>
      <c r="BP162" s="118" t="str">
        <f t="shared" si="176"/>
        <v>Uncapped</v>
      </c>
      <c r="BQ162" s="115">
        <f t="shared" ca="1" si="209"/>
        <v>0</v>
      </c>
      <c r="BR162" s="174" t="s">
        <v>363</v>
      </c>
      <c r="BS162" s="175">
        <v>0.3</v>
      </c>
      <c r="BT162" s="174" t="s">
        <v>211</v>
      </c>
      <c r="BU162" s="174" t="s">
        <v>210</v>
      </c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4">
        <f t="shared" si="187"/>
        <v>0</v>
      </c>
      <c r="CI162" s="114">
        <f t="shared" si="187"/>
        <v>0</v>
      </c>
      <c r="CJ162" s="120">
        <f t="shared" si="187"/>
        <v>0</v>
      </c>
      <c r="CK162" s="114">
        <f t="shared" si="187"/>
        <v>0</v>
      </c>
      <c r="CL162" s="114">
        <f t="shared" si="256"/>
        <v>0</v>
      </c>
      <c r="CM162" s="114">
        <f t="shared" si="249"/>
        <v>0</v>
      </c>
      <c r="CN162" s="114">
        <f t="shared" si="189"/>
        <v>0</v>
      </c>
      <c r="CO162" s="116">
        <f t="shared" si="232"/>
        <v>0</v>
      </c>
      <c r="CP162" s="126">
        <f t="shared" si="233"/>
        <v>0</v>
      </c>
      <c r="CQ162" s="115">
        <f t="shared" si="210"/>
        <v>0</v>
      </c>
      <c r="CR162" s="118" t="str">
        <f t="shared" si="234"/>
        <v>Uncapped</v>
      </c>
      <c r="CS162" s="115">
        <f t="shared" si="211"/>
        <v>0</v>
      </c>
      <c r="CT162" s="113" t="s">
        <v>778</v>
      </c>
      <c r="CU162" s="119">
        <v>0.2</v>
      </c>
      <c r="CV162" s="113" t="s">
        <v>217</v>
      </c>
      <c r="CW162" s="113" t="s">
        <v>210</v>
      </c>
      <c r="CX162" s="113"/>
      <c r="CY162" s="113"/>
      <c r="CZ162" s="113">
        <v>7579825.0306756496</v>
      </c>
      <c r="DA162" s="113">
        <v>16523055.7042122</v>
      </c>
      <c r="DB162" s="113"/>
      <c r="DC162" s="113"/>
      <c r="DD162" s="113">
        <v>6611850.8356500035</v>
      </c>
      <c r="DE162" s="581"/>
      <c r="DF162" s="113"/>
      <c r="DG162" s="113"/>
      <c r="DH162" s="113"/>
      <c r="DI162" s="113"/>
      <c r="DJ162" s="114">
        <f t="shared" si="190"/>
        <v>0</v>
      </c>
      <c r="DK162" s="114">
        <f t="shared" si="190"/>
        <v>0</v>
      </c>
      <c r="DL162" s="114">
        <f t="shared" si="190"/>
        <v>6611850.8356500035</v>
      </c>
      <c r="DM162" s="114">
        <f t="shared" si="190"/>
        <v>0</v>
      </c>
      <c r="DN162" s="114">
        <f t="shared" si="168"/>
        <v>6611850.8356500035</v>
      </c>
      <c r="DO162" s="114">
        <f t="shared" si="250"/>
        <v>24102880.73488785</v>
      </c>
      <c r="DP162" s="114">
        <f t="shared" si="201"/>
        <v>24102880.73488785</v>
      </c>
      <c r="DQ162" s="116">
        <f t="shared" si="235"/>
        <v>0.27429999999999999</v>
      </c>
      <c r="DR162" s="126">
        <f t="shared" ca="1" si="212"/>
        <v>0</v>
      </c>
      <c r="DS162" s="115">
        <f t="shared" ca="1" si="213"/>
        <v>0</v>
      </c>
      <c r="DT162" s="118" t="str">
        <f t="shared" si="236"/>
        <v>Uncapped</v>
      </c>
      <c r="DU162" s="115">
        <f t="shared" ca="1" si="214"/>
        <v>0</v>
      </c>
      <c r="DV162" s="113"/>
      <c r="DW162" s="119"/>
      <c r="DX162" s="113"/>
      <c r="DY162" s="113"/>
      <c r="DZ162" s="113"/>
      <c r="EA162" s="113"/>
      <c r="EB162" s="113"/>
      <c r="EC162" s="113"/>
      <c r="ED162" s="113"/>
      <c r="EE162" s="113"/>
      <c r="EF162" s="113"/>
      <c r="EG162" s="113"/>
      <c r="EH162" s="113"/>
      <c r="EI162" s="113"/>
      <c r="EJ162" s="113"/>
      <c r="EK162" s="113"/>
      <c r="EL162" s="114">
        <f t="shared" si="191"/>
        <v>0</v>
      </c>
      <c r="EM162" s="114">
        <f t="shared" si="191"/>
        <v>0</v>
      </c>
      <c r="EN162" s="114">
        <f t="shared" si="191"/>
        <v>0</v>
      </c>
      <c r="EO162" s="114">
        <f t="shared" si="191"/>
        <v>0</v>
      </c>
      <c r="EP162" s="114">
        <f t="shared" si="215"/>
        <v>0</v>
      </c>
      <c r="EQ162" s="114">
        <f t="shared" si="251"/>
        <v>0</v>
      </c>
      <c r="ER162" s="114">
        <f t="shared" si="192"/>
        <v>0</v>
      </c>
      <c r="ES162" s="116">
        <f t="shared" si="237"/>
        <v>0</v>
      </c>
      <c r="ET162" s="126">
        <f t="shared" ca="1" si="238"/>
        <v>0</v>
      </c>
      <c r="EU162" s="115">
        <f t="shared" ca="1" si="216"/>
        <v>0</v>
      </c>
      <c r="EV162" s="118" t="str">
        <f t="shared" si="217"/>
        <v>Uncapped</v>
      </c>
      <c r="EW162" s="115">
        <f t="shared" ca="1" si="218"/>
        <v>0</v>
      </c>
      <c r="EX162" s="112">
        <f t="shared" ca="1" si="219"/>
        <v>0</v>
      </c>
      <c r="EY162" s="114">
        <f t="shared" ca="1" si="239"/>
        <v>3000</v>
      </c>
      <c r="EZ162" s="115">
        <v>0</v>
      </c>
      <c r="FA162" s="115">
        <v>0</v>
      </c>
      <c r="FB162" s="115"/>
      <c r="FC162" s="115">
        <v>0</v>
      </c>
      <c r="FD162" s="115">
        <f t="shared" si="252"/>
        <v>0</v>
      </c>
      <c r="FE162" s="114">
        <f t="shared" si="177"/>
        <v>0</v>
      </c>
      <c r="FF162" s="115">
        <v>0</v>
      </c>
      <c r="FG162" s="115">
        <v>0</v>
      </c>
      <c r="FH162" s="115">
        <v>0</v>
      </c>
      <c r="FI162" s="115">
        <v>0</v>
      </c>
      <c r="FJ162" s="115">
        <f t="shared" si="198"/>
        <v>0</v>
      </c>
      <c r="FK162" s="114">
        <f t="shared" si="178"/>
        <v>0</v>
      </c>
      <c r="FL162" s="113"/>
      <c r="FM162" s="111"/>
      <c r="FN162" s="111"/>
      <c r="FO162" s="111"/>
      <c r="FP162" s="115">
        <f t="shared" si="203"/>
        <v>0</v>
      </c>
      <c r="FQ162" s="115"/>
      <c r="FR162" s="115"/>
      <c r="FS162" s="115">
        <v>0</v>
      </c>
      <c r="FT162" s="114">
        <f t="shared" si="240"/>
        <v>0</v>
      </c>
      <c r="FU162" s="366">
        <f t="shared" ca="1" si="244"/>
        <v>3000</v>
      </c>
      <c r="FV162" s="121">
        <f t="shared" ca="1" si="241"/>
        <v>3000</v>
      </c>
      <c r="FW162" s="114">
        <f t="shared" si="204"/>
        <v>0</v>
      </c>
      <c r="FX162" s="114">
        <f t="shared" si="204"/>
        <v>0</v>
      </c>
      <c r="FY162" s="114">
        <f t="shared" si="204"/>
        <v>0</v>
      </c>
      <c r="FZ162" s="114">
        <f t="shared" si="204"/>
        <v>0</v>
      </c>
      <c r="GA162" s="114">
        <f t="shared" si="183"/>
        <v>0</v>
      </c>
      <c r="GB162" s="114">
        <f t="shared" si="205"/>
        <v>0</v>
      </c>
      <c r="GC162" s="114">
        <f t="shared" si="205"/>
        <v>0</v>
      </c>
      <c r="GD162" s="114">
        <f t="shared" si="205"/>
        <v>0</v>
      </c>
      <c r="GE162" s="114">
        <f t="shared" si="205"/>
        <v>0</v>
      </c>
      <c r="GF162" s="114">
        <f t="shared" si="242"/>
        <v>0</v>
      </c>
      <c r="GG162" s="114">
        <f t="shared" si="242"/>
        <v>0</v>
      </c>
      <c r="GH162" s="114">
        <f t="shared" si="242"/>
        <v>0</v>
      </c>
      <c r="GI162" s="114">
        <f t="shared" si="242"/>
        <v>0</v>
      </c>
      <c r="GJ162" s="115">
        <f t="shared" si="199"/>
        <v>0</v>
      </c>
      <c r="GK162" s="114">
        <f t="shared" si="220"/>
        <v>0</v>
      </c>
      <c r="GL162" s="114">
        <f t="shared" si="221"/>
        <v>0</v>
      </c>
      <c r="GM162" s="114">
        <f t="shared" si="222"/>
        <v>0</v>
      </c>
      <c r="GN162" s="114">
        <f t="shared" si="223"/>
        <v>1000</v>
      </c>
      <c r="GO162" s="114">
        <f t="shared" si="224"/>
        <v>2000</v>
      </c>
      <c r="GP162" s="114">
        <f t="shared" si="200"/>
        <v>3000</v>
      </c>
      <c r="GQ162" s="114">
        <f t="shared" si="225"/>
        <v>3000</v>
      </c>
      <c r="GR162" s="193"/>
      <c r="GS162" s="122">
        <f t="shared" si="253"/>
        <v>6845939.0555300033</v>
      </c>
      <c r="GT162" s="122">
        <f t="shared" si="253"/>
        <v>25048356.206507757</v>
      </c>
      <c r="GU162" s="123">
        <f t="shared" si="226"/>
        <v>0.27330891492797338</v>
      </c>
      <c r="GV162" s="124">
        <f t="shared" ca="1" si="227"/>
        <v>0</v>
      </c>
      <c r="GW162" s="124">
        <v>0</v>
      </c>
      <c r="GX162" s="32">
        <f t="shared" ca="1" si="228"/>
        <v>0</v>
      </c>
      <c r="GY162" s="100"/>
    </row>
    <row r="163" spans="3:207" s="408" customFormat="1" hidden="1">
      <c r="C163" s="402"/>
      <c r="D163" s="402"/>
      <c r="E163" s="403"/>
      <c r="F163" s="403" t="s">
        <v>544</v>
      </c>
      <c r="G163" s="403" t="s">
        <v>226</v>
      </c>
      <c r="H163" s="405" t="s">
        <v>773</v>
      </c>
      <c r="I163" s="548" t="s">
        <v>785</v>
      </c>
      <c r="J163" s="403"/>
      <c r="K163" s="544" t="s">
        <v>544</v>
      </c>
      <c r="L163" s="403"/>
      <c r="M163" s="403"/>
      <c r="N163" s="404"/>
      <c r="O163" s="538">
        <v>43703</v>
      </c>
      <c r="P163" s="108">
        <v>43703</v>
      </c>
      <c r="Q163" s="176">
        <f t="shared" si="207"/>
        <v>8</v>
      </c>
      <c r="R163" s="176">
        <f>IF((P163-VLOOKUP(Q163,month!$A$1:$C$13,3,0))&lt;0,Q163,Q163+1)</f>
        <v>8</v>
      </c>
      <c r="S163" s="176"/>
      <c r="T163" s="110" t="str">
        <f t="shared" si="243"/>
        <v/>
      </c>
      <c r="U163" s="483" t="s">
        <v>214</v>
      </c>
      <c r="V163" s="404"/>
      <c r="W163" s="405"/>
      <c r="X163" s="484">
        <v>1</v>
      </c>
      <c r="Y163" s="493">
        <v>2</v>
      </c>
      <c r="Z163" s="406" t="s">
        <v>545</v>
      </c>
      <c r="AA163" s="394">
        <v>1000</v>
      </c>
      <c r="AB163" s="394">
        <v>1000</v>
      </c>
      <c r="AC163" s="394">
        <v>1000</v>
      </c>
      <c r="AD163" s="394">
        <v>1000</v>
      </c>
      <c r="AE163" s="394">
        <v>1000</v>
      </c>
      <c r="AF163" s="394">
        <v>1000</v>
      </c>
      <c r="AG163" s="394">
        <v>1000</v>
      </c>
      <c r="AH163" s="394">
        <v>1000</v>
      </c>
      <c r="AI163" s="394">
        <v>1000</v>
      </c>
      <c r="AJ163" s="394">
        <v>1000</v>
      </c>
      <c r="AK163" s="394">
        <v>1000</v>
      </c>
      <c r="AL163" s="394">
        <v>1000</v>
      </c>
      <c r="AM163" s="388">
        <f t="shared" si="246"/>
        <v>12000</v>
      </c>
      <c r="AN163" s="388">
        <f t="shared" si="257"/>
        <v>12000</v>
      </c>
      <c r="AO163" s="389">
        <f>AI163</f>
        <v>1000</v>
      </c>
      <c r="AP163" s="502" t="s">
        <v>739</v>
      </c>
      <c r="AQ163" s="159">
        <v>0.4</v>
      </c>
      <c r="AR163" s="103" t="s">
        <v>211</v>
      </c>
      <c r="AS163" s="119" t="s">
        <v>210</v>
      </c>
      <c r="AT163" s="111"/>
      <c r="AU163" s="111"/>
      <c r="AV163" s="111">
        <v>1769811.3117275049</v>
      </c>
      <c r="AW163" s="111">
        <v>3541548.5655471394</v>
      </c>
      <c r="AX163" s="113"/>
      <c r="AY163" s="113"/>
      <c r="AZ163" s="113">
        <v>1650768.174000001</v>
      </c>
      <c r="BA163" s="581"/>
      <c r="BB163" s="113"/>
      <c r="BC163" s="113"/>
      <c r="BD163" s="113"/>
      <c r="BE163" s="113"/>
      <c r="BF163" s="114">
        <f t="shared" si="186"/>
        <v>0</v>
      </c>
      <c r="BG163" s="114">
        <f t="shared" si="186"/>
        <v>0</v>
      </c>
      <c r="BH163" s="114">
        <f t="shared" si="186"/>
        <v>1650768.174000001</v>
      </c>
      <c r="BI163" s="114">
        <f t="shared" si="186"/>
        <v>0</v>
      </c>
      <c r="BJ163" s="114">
        <f t="shared" si="258"/>
        <v>1650768.174000001</v>
      </c>
      <c r="BK163" s="115">
        <f t="shared" si="229"/>
        <v>5311359.8772746446</v>
      </c>
      <c r="BL163" s="115">
        <f t="shared" si="230"/>
        <v>5311359.8772746446</v>
      </c>
      <c r="BM163" s="116">
        <f t="shared" si="231"/>
        <v>0.31080000000000002</v>
      </c>
      <c r="BN163" s="126">
        <f t="shared" ca="1" si="174"/>
        <v>0</v>
      </c>
      <c r="BO163" s="117">
        <f t="shared" ca="1" si="175"/>
        <v>0</v>
      </c>
      <c r="BP163" s="118" t="str">
        <f t="shared" si="176"/>
        <v>Uncapped</v>
      </c>
      <c r="BQ163" s="115">
        <f t="shared" ca="1" si="209"/>
        <v>0</v>
      </c>
      <c r="BR163" s="174" t="s">
        <v>740</v>
      </c>
      <c r="BS163" s="175">
        <v>0.4</v>
      </c>
      <c r="BT163" s="174" t="s">
        <v>211</v>
      </c>
      <c r="BU163" s="174" t="s">
        <v>210</v>
      </c>
      <c r="BV163" s="113"/>
      <c r="BW163" s="113"/>
      <c r="BX163" s="113">
        <v>2878026.5954405498</v>
      </c>
      <c r="BY163" s="113">
        <v>6160067.2421446964</v>
      </c>
      <c r="BZ163" s="113"/>
      <c r="CA163" s="113"/>
      <c r="CB163" s="113">
        <f>2288587.27324+415629.60679</f>
        <v>2704216.8800300001</v>
      </c>
      <c r="CC163" s="581"/>
      <c r="CD163" s="113"/>
      <c r="CE163" s="113"/>
      <c r="CF163" s="113"/>
      <c r="CG163" s="113"/>
      <c r="CH163" s="114">
        <f t="shared" si="187"/>
        <v>0</v>
      </c>
      <c r="CI163" s="114">
        <f t="shared" si="187"/>
        <v>0</v>
      </c>
      <c r="CJ163" s="120">
        <f t="shared" si="187"/>
        <v>2704216.8800300001</v>
      </c>
      <c r="CK163" s="114">
        <f t="shared" si="187"/>
        <v>0</v>
      </c>
      <c r="CL163" s="114">
        <f t="shared" si="256"/>
        <v>2704216.8800300001</v>
      </c>
      <c r="CM163" s="114">
        <f t="shared" si="249"/>
        <v>9038093.8375852462</v>
      </c>
      <c r="CN163" s="114">
        <f t="shared" si="189"/>
        <v>9038093.8375852462</v>
      </c>
      <c r="CO163" s="116">
        <f t="shared" si="232"/>
        <v>0.29920000000000002</v>
      </c>
      <c r="CP163" s="126">
        <f t="shared" ca="1" si="233"/>
        <v>0</v>
      </c>
      <c r="CQ163" s="115">
        <f t="shared" ca="1" si="210"/>
        <v>0</v>
      </c>
      <c r="CR163" s="118" t="str">
        <f t="shared" si="234"/>
        <v>Uncapped</v>
      </c>
      <c r="CS163" s="115">
        <f t="shared" ca="1" si="211"/>
        <v>0</v>
      </c>
      <c r="CT163" s="113" t="s">
        <v>752</v>
      </c>
      <c r="CU163" s="119">
        <v>0.2</v>
      </c>
      <c r="CV163" s="113" t="s">
        <v>217</v>
      </c>
      <c r="CW163" s="113" t="s">
        <v>210</v>
      </c>
      <c r="CX163" s="113"/>
      <c r="CY163" s="113"/>
      <c r="CZ163" s="113">
        <v>2308444.055394805</v>
      </c>
      <c r="DA163" s="113">
        <v>4787499.8855306264</v>
      </c>
      <c r="DB163" s="113"/>
      <c r="DC163" s="113"/>
      <c r="DD163" s="113">
        <v>2108342.8620000016</v>
      </c>
      <c r="DE163" s="581"/>
      <c r="DF163" s="113"/>
      <c r="DG163" s="113"/>
      <c r="DH163" s="113"/>
      <c r="DI163" s="113"/>
      <c r="DJ163" s="114">
        <f t="shared" si="190"/>
        <v>0</v>
      </c>
      <c r="DK163" s="114">
        <f t="shared" si="190"/>
        <v>0</v>
      </c>
      <c r="DL163" s="114">
        <f t="shared" si="190"/>
        <v>2108342.8620000016</v>
      </c>
      <c r="DM163" s="114">
        <f t="shared" si="190"/>
        <v>0</v>
      </c>
      <c r="DN163" s="114">
        <f t="shared" si="168"/>
        <v>2108342.8620000016</v>
      </c>
      <c r="DO163" s="114">
        <f t="shared" si="250"/>
        <v>7095943.9409254314</v>
      </c>
      <c r="DP163" s="114">
        <f t="shared" si="201"/>
        <v>7095943.9409254314</v>
      </c>
      <c r="DQ163" s="116">
        <f t="shared" si="235"/>
        <v>0.29709999999999998</v>
      </c>
      <c r="DR163" s="126">
        <f t="shared" ca="1" si="212"/>
        <v>0</v>
      </c>
      <c r="DS163" s="115">
        <f t="shared" ca="1" si="213"/>
        <v>0</v>
      </c>
      <c r="DT163" s="118" t="str">
        <f t="shared" si="236"/>
        <v>Uncapped</v>
      </c>
      <c r="DU163" s="115">
        <f t="shared" ca="1" si="214"/>
        <v>0</v>
      </c>
      <c r="DV163" s="113"/>
      <c r="DW163" s="119"/>
      <c r="DX163" s="113"/>
      <c r="DY163" s="113"/>
      <c r="DZ163" s="113"/>
      <c r="EA163" s="113"/>
      <c r="EB163" s="113"/>
      <c r="EC163" s="113"/>
      <c r="ED163" s="113"/>
      <c r="EE163" s="113"/>
      <c r="EF163" s="113"/>
      <c r="EG163" s="113"/>
      <c r="EH163" s="113"/>
      <c r="EI163" s="113"/>
      <c r="EJ163" s="113"/>
      <c r="EK163" s="113"/>
      <c r="EL163" s="114">
        <f t="shared" si="191"/>
        <v>0</v>
      </c>
      <c r="EM163" s="114">
        <f t="shared" si="191"/>
        <v>0</v>
      </c>
      <c r="EN163" s="114">
        <f t="shared" si="191"/>
        <v>0</v>
      </c>
      <c r="EO163" s="114">
        <f t="shared" si="191"/>
        <v>0</v>
      </c>
      <c r="EP163" s="114">
        <f t="shared" si="215"/>
        <v>0</v>
      </c>
      <c r="EQ163" s="114">
        <f t="shared" si="251"/>
        <v>0</v>
      </c>
      <c r="ER163" s="114">
        <f t="shared" si="192"/>
        <v>0</v>
      </c>
      <c r="ES163" s="116">
        <f t="shared" si="237"/>
        <v>0</v>
      </c>
      <c r="ET163" s="126">
        <f t="shared" ca="1" si="238"/>
        <v>0</v>
      </c>
      <c r="EU163" s="115">
        <f t="shared" ca="1" si="216"/>
        <v>0</v>
      </c>
      <c r="EV163" s="118" t="str">
        <f t="shared" si="217"/>
        <v>Uncapped</v>
      </c>
      <c r="EW163" s="115">
        <f t="shared" ca="1" si="218"/>
        <v>0</v>
      </c>
      <c r="EX163" s="112">
        <f t="shared" ca="1" si="219"/>
        <v>0</v>
      </c>
      <c r="EY163" s="114">
        <f t="shared" ca="1" si="239"/>
        <v>3000</v>
      </c>
      <c r="EZ163" s="115">
        <v>0</v>
      </c>
      <c r="FA163" s="115">
        <v>0</v>
      </c>
      <c r="FB163" s="115"/>
      <c r="FC163" s="115">
        <v>0</v>
      </c>
      <c r="FD163" s="115">
        <f t="shared" si="252"/>
        <v>0</v>
      </c>
      <c r="FE163" s="114">
        <f t="shared" si="177"/>
        <v>0</v>
      </c>
      <c r="FF163" s="115">
        <v>0</v>
      </c>
      <c r="FG163" s="115">
        <v>0</v>
      </c>
      <c r="FH163" s="115">
        <v>0</v>
      </c>
      <c r="FI163" s="115">
        <v>0</v>
      </c>
      <c r="FJ163" s="115">
        <f t="shared" si="198"/>
        <v>0</v>
      </c>
      <c r="FK163" s="114">
        <f t="shared" si="178"/>
        <v>0</v>
      </c>
      <c r="FL163" s="113"/>
      <c r="FM163" s="111"/>
      <c r="FN163" s="111"/>
      <c r="FO163" s="111"/>
      <c r="FP163" s="115">
        <f t="shared" si="203"/>
        <v>0</v>
      </c>
      <c r="FQ163" s="115"/>
      <c r="FR163" s="115"/>
      <c r="FS163" s="115">
        <v>0</v>
      </c>
      <c r="FT163" s="114">
        <f t="shared" si="240"/>
        <v>0</v>
      </c>
      <c r="FU163" s="366">
        <f t="shared" ca="1" si="244"/>
        <v>3000</v>
      </c>
      <c r="FV163" s="121">
        <f t="shared" ca="1" si="241"/>
        <v>3000</v>
      </c>
      <c r="FW163" s="114">
        <f t="shared" si="204"/>
        <v>0</v>
      </c>
      <c r="FX163" s="114">
        <f t="shared" si="204"/>
        <v>0</v>
      </c>
      <c r="FY163" s="114">
        <f t="shared" si="204"/>
        <v>0</v>
      </c>
      <c r="FZ163" s="114">
        <f t="shared" si="204"/>
        <v>0</v>
      </c>
      <c r="GA163" s="114">
        <f t="shared" si="183"/>
        <v>0</v>
      </c>
      <c r="GB163" s="114">
        <f t="shared" si="205"/>
        <v>0</v>
      </c>
      <c r="GC163" s="114">
        <f t="shared" si="205"/>
        <v>0</v>
      </c>
      <c r="GD163" s="114">
        <f t="shared" si="205"/>
        <v>0</v>
      </c>
      <c r="GE163" s="114">
        <f t="shared" si="205"/>
        <v>0</v>
      </c>
      <c r="GF163" s="114">
        <f t="shared" si="242"/>
        <v>0</v>
      </c>
      <c r="GG163" s="114">
        <f t="shared" si="242"/>
        <v>0</v>
      </c>
      <c r="GH163" s="114">
        <f t="shared" si="242"/>
        <v>0</v>
      </c>
      <c r="GI163" s="114">
        <f t="shared" si="242"/>
        <v>0</v>
      </c>
      <c r="GJ163" s="115">
        <f t="shared" si="199"/>
        <v>0</v>
      </c>
      <c r="GK163" s="114">
        <f t="shared" si="220"/>
        <v>0</v>
      </c>
      <c r="GL163" s="114">
        <f t="shared" si="221"/>
        <v>0</v>
      </c>
      <c r="GM163" s="114">
        <f t="shared" si="222"/>
        <v>0</v>
      </c>
      <c r="GN163" s="114">
        <f t="shared" si="223"/>
        <v>1000</v>
      </c>
      <c r="GO163" s="114">
        <f t="shared" si="224"/>
        <v>2000</v>
      </c>
      <c r="GP163" s="114">
        <f t="shared" si="200"/>
        <v>3000</v>
      </c>
      <c r="GQ163" s="114">
        <f t="shared" ref="GQ163:GQ178" si="259">SUM(GL163:GO163)</f>
        <v>3000</v>
      </c>
      <c r="GR163" s="193"/>
      <c r="GS163" s="122">
        <f t="shared" si="253"/>
        <v>6463327.9160300028</v>
      </c>
      <c r="GT163" s="122">
        <f t="shared" si="253"/>
        <v>21445397.655785322</v>
      </c>
      <c r="GU163" s="123">
        <f t="shared" si="226"/>
        <v>0.30138531445167172</v>
      </c>
      <c r="GV163" s="124">
        <f t="shared" ca="1" si="227"/>
        <v>0</v>
      </c>
      <c r="GW163" s="124">
        <v>0</v>
      </c>
      <c r="GX163" s="32">
        <f t="shared" ca="1" si="228"/>
        <v>0</v>
      </c>
      <c r="GY163" s="100"/>
    </row>
    <row r="164" spans="3:207" s="408" customFormat="1">
      <c r="C164" s="402"/>
      <c r="D164" s="402"/>
      <c r="E164" s="403"/>
      <c r="F164" s="403" t="s">
        <v>769</v>
      </c>
      <c r="G164" s="403" t="s">
        <v>226</v>
      </c>
      <c r="H164" s="595" t="s">
        <v>774</v>
      </c>
      <c r="I164" s="548" t="s">
        <v>783</v>
      </c>
      <c r="J164" s="403"/>
      <c r="K164" s="586" t="s">
        <v>832</v>
      </c>
      <c r="L164" s="403"/>
      <c r="M164" s="403"/>
      <c r="N164" s="404"/>
      <c r="O164" s="538">
        <v>43724</v>
      </c>
      <c r="P164" s="359">
        <v>43724</v>
      </c>
      <c r="Q164" s="176">
        <f t="shared" si="207"/>
        <v>9</v>
      </c>
      <c r="R164" s="176">
        <f>IF((P164-VLOOKUP(Q164,month!$A$1:$C$13,3,0))&lt;0,Q164,Q164+1)</f>
        <v>9</v>
      </c>
      <c r="S164" s="176"/>
      <c r="T164" s="110" t="str">
        <f t="shared" si="243"/>
        <v/>
      </c>
      <c r="U164" s="483" t="s">
        <v>214</v>
      </c>
      <c r="V164" s="404"/>
      <c r="W164" s="405"/>
      <c r="X164" s="405"/>
      <c r="Y164" s="493">
        <v>3</v>
      </c>
      <c r="Z164" s="406" t="s">
        <v>545</v>
      </c>
      <c r="AA164" s="394">
        <v>1000</v>
      </c>
      <c r="AB164" s="394">
        <v>1000</v>
      </c>
      <c r="AC164" s="394">
        <v>1000</v>
      </c>
      <c r="AD164" s="394">
        <v>1000</v>
      </c>
      <c r="AE164" s="394">
        <v>1000</v>
      </c>
      <c r="AF164" s="394">
        <v>1000</v>
      </c>
      <c r="AG164" s="394">
        <v>1000</v>
      </c>
      <c r="AH164" s="394">
        <v>1000</v>
      </c>
      <c r="AI164" s="394">
        <v>1000</v>
      </c>
      <c r="AJ164" s="394">
        <v>1000</v>
      </c>
      <c r="AK164" s="394">
        <v>1000</v>
      </c>
      <c r="AL164" s="394">
        <v>1000</v>
      </c>
      <c r="AM164" s="388">
        <f t="shared" si="246"/>
        <v>12000</v>
      </c>
      <c r="AN164" s="388">
        <f t="shared" si="257"/>
        <v>12000</v>
      </c>
      <c r="AO164" s="389">
        <f>AJ164</f>
        <v>1000</v>
      </c>
      <c r="AP164" s="502" t="s">
        <v>797</v>
      </c>
      <c r="AQ164" s="159">
        <v>0.4</v>
      </c>
      <c r="AR164" s="103" t="s">
        <v>392</v>
      </c>
      <c r="AS164" s="119" t="s">
        <v>210</v>
      </c>
      <c r="AT164" s="111"/>
      <c r="AU164" s="111"/>
      <c r="AV164" s="111"/>
      <c r="AW164" s="111">
        <v>80378.860693082897</v>
      </c>
      <c r="AX164" s="113"/>
      <c r="AY164" s="113"/>
      <c r="AZ164" s="113"/>
      <c r="BA164" s="581">
        <v>67305.06</v>
      </c>
      <c r="BB164" s="113"/>
      <c r="BC164" s="113"/>
      <c r="BD164" s="113"/>
      <c r="BE164" s="113"/>
      <c r="BF164" s="114">
        <f t="shared" si="186"/>
        <v>0</v>
      </c>
      <c r="BG164" s="114">
        <f t="shared" si="186"/>
        <v>0</v>
      </c>
      <c r="BH164" s="114">
        <f t="shared" si="186"/>
        <v>0</v>
      </c>
      <c r="BI164" s="114">
        <f t="shared" si="186"/>
        <v>67305.06</v>
      </c>
      <c r="BJ164" s="114">
        <f t="shared" si="258"/>
        <v>67305.06</v>
      </c>
      <c r="BK164" s="115">
        <f t="shared" si="229"/>
        <v>80378.860693082897</v>
      </c>
      <c r="BL164" s="115">
        <f t="shared" si="230"/>
        <v>80378.860693082897</v>
      </c>
      <c r="BM164" s="116">
        <f t="shared" si="231"/>
        <v>0.83730000000000004</v>
      </c>
      <c r="BN164" s="126">
        <f t="shared" ca="1" si="174"/>
        <v>0</v>
      </c>
      <c r="BO164" s="117">
        <f t="shared" ca="1" si="175"/>
        <v>0</v>
      </c>
      <c r="BP164" s="118" t="str">
        <f t="shared" si="176"/>
        <v>Uncapped</v>
      </c>
      <c r="BQ164" s="115">
        <f t="shared" ca="1" si="209"/>
        <v>0</v>
      </c>
      <c r="BR164" s="174" t="s">
        <v>798</v>
      </c>
      <c r="BS164" s="175">
        <v>0.4</v>
      </c>
      <c r="BT164" s="174" t="s">
        <v>211</v>
      </c>
      <c r="BU164" s="174" t="s">
        <v>210</v>
      </c>
      <c r="BV164" s="113"/>
      <c r="BW164" s="113"/>
      <c r="BX164" s="113"/>
      <c r="BY164" s="113">
        <v>2973148.2247377201</v>
      </c>
      <c r="BZ164" s="113"/>
      <c r="CA164" s="113"/>
      <c r="CB164" s="113"/>
      <c r="CC164" s="581"/>
      <c r="CD164" s="113"/>
      <c r="CE164" s="113"/>
      <c r="CF164" s="113"/>
      <c r="CG164" s="113"/>
      <c r="CH164" s="114">
        <f t="shared" si="187"/>
        <v>0</v>
      </c>
      <c r="CI164" s="114">
        <f t="shared" si="187"/>
        <v>0</v>
      </c>
      <c r="CJ164" s="120">
        <f t="shared" si="187"/>
        <v>0</v>
      </c>
      <c r="CK164" s="114">
        <f t="shared" si="187"/>
        <v>0</v>
      </c>
      <c r="CL164" s="114">
        <f t="shared" si="256"/>
        <v>0</v>
      </c>
      <c r="CM164" s="114">
        <f t="shared" si="249"/>
        <v>2973148.2247377201</v>
      </c>
      <c r="CN164" s="114">
        <f t="shared" si="189"/>
        <v>2973148.2247377201</v>
      </c>
      <c r="CO164" s="116">
        <f t="shared" si="232"/>
        <v>0</v>
      </c>
      <c r="CP164" s="126">
        <f t="shared" ca="1" si="233"/>
        <v>0</v>
      </c>
      <c r="CQ164" s="115">
        <f t="shared" ca="1" si="210"/>
        <v>0</v>
      </c>
      <c r="CR164" s="118" t="str">
        <f t="shared" si="234"/>
        <v>Uncapped</v>
      </c>
      <c r="CS164" s="115">
        <f t="shared" ca="1" si="211"/>
        <v>0</v>
      </c>
      <c r="CT164" s="113" t="s">
        <v>781</v>
      </c>
      <c r="CU164" s="119">
        <v>0.2</v>
      </c>
      <c r="CV164" s="113" t="s">
        <v>217</v>
      </c>
      <c r="CW164" s="113" t="s">
        <v>210</v>
      </c>
      <c r="CX164" s="113"/>
      <c r="CY164" s="113"/>
      <c r="CZ164" s="113"/>
      <c r="DA164" s="113">
        <v>4778876.6076220032</v>
      </c>
      <c r="DB164" s="113"/>
      <c r="DC164" s="113"/>
      <c r="DD164" s="113"/>
      <c r="DE164" s="581"/>
      <c r="DF164" s="113"/>
      <c r="DG164" s="113"/>
      <c r="DH164" s="113"/>
      <c r="DI164" s="113"/>
      <c r="DJ164" s="114">
        <f t="shared" si="190"/>
        <v>0</v>
      </c>
      <c r="DK164" s="114">
        <f t="shared" si="190"/>
        <v>0</v>
      </c>
      <c r="DL164" s="114">
        <f t="shared" si="190"/>
        <v>0</v>
      </c>
      <c r="DM164" s="114">
        <f t="shared" si="190"/>
        <v>0</v>
      </c>
      <c r="DN164" s="114">
        <f t="shared" si="168"/>
        <v>0</v>
      </c>
      <c r="DO164" s="114">
        <f t="shared" si="250"/>
        <v>4778876.6076220032</v>
      </c>
      <c r="DP164" s="114">
        <f t="shared" si="201"/>
        <v>4778876.6076220032</v>
      </c>
      <c r="DQ164" s="116">
        <f t="shared" si="235"/>
        <v>0</v>
      </c>
      <c r="DR164" s="126">
        <f t="shared" ca="1" si="212"/>
        <v>0</v>
      </c>
      <c r="DS164" s="115">
        <f t="shared" ca="1" si="213"/>
        <v>0</v>
      </c>
      <c r="DT164" s="118" t="str">
        <f t="shared" si="236"/>
        <v>Uncapped</v>
      </c>
      <c r="DU164" s="115">
        <f t="shared" ca="1" si="214"/>
        <v>0</v>
      </c>
      <c r="DV164" s="113"/>
      <c r="DW164" s="119"/>
      <c r="DX164" s="113"/>
      <c r="DY164" s="113"/>
      <c r="DZ164" s="113"/>
      <c r="EA164" s="113"/>
      <c r="EB164" s="113"/>
      <c r="EC164" s="113"/>
      <c r="ED164" s="113"/>
      <c r="EE164" s="113"/>
      <c r="EF164" s="113"/>
      <c r="EG164" s="113"/>
      <c r="EH164" s="113"/>
      <c r="EI164" s="113"/>
      <c r="EJ164" s="113"/>
      <c r="EK164" s="113"/>
      <c r="EL164" s="114">
        <f t="shared" si="191"/>
        <v>0</v>
      </c>
      <c r="EM164" s="114">
        <f t="shared" si="191"/>
        <v>0</v>
      </c>
      <c r="EN164" s="114">
        <f t="shared" si="191"/>
        <v>0</v>
      </c>
      <c r="EO164" s="114">
        <f t="shared" si="191"/>
        <v>0</v>
      </c>
      <c r="EP164" s="114">
        <f t="shared" si="215"/>
        <v>0</v>
      </c>
      <c r="EQ164" s="114">
        <f t="shared" si="251"/>
        <v>0</v>
      </c>
      <c r="ER164" s="114">
        <f t="shared" si="192"/>
        <v>0</v>
      </c>
      <c r="ES164" s="116">
        <f t="shared" si="237"/>
        <v>0</v>
      </c>
      <c r="ET164" s="126">
        <f t="shared" ca="1" si="238"/>
        <v>0</v>
      </c>
      <c r="EU164" s="115">
        <f t="shared" ca="1" si="216"/>
        <v>0</v>
      </c>
      <c r="EV164" s="118" t="str">
        <f t="shared" si="217"/>
        <v>Uncapped</v>
      </c>
      <c r="EW164" s="115">
        <f t="shared" ca="1" si="218"/>
        <v>0</v>
      </c>
      <c r="EX164" s="112">
        <f t="shared" ca="1" si="219"/>
        <v>0</v>
      </c>
      <c r="EY164" s="114">
        <f t="shared" ca="1" si="239"/>
        <v>3000</v>
      </c>
      <c r="EZ164" s="115">
        <v>0</v>
      </c>
      <c r="FA164" s="115">
        <v>0</v>
      </c>
      <c r="FB164" s="115"/>
      <c r="FC164" s="115">
        <v>0</v>
      </c>
      <c r="FD164" s="115">
        <f t="shared" si="252"/>
        <v>0</v>
      </c>
      <c r="FE164" s="114">
        <f t="shared" si="177"/>
        <v>0</v>
      </c>
      <c r="FF164" s="115">
        <v>0</v>
      </c>
      <c r="FG164" s="115">
        <v>0</v>
      </c>
      <c r="FH164" s="115">
        <v>0</v>
      </c>
      <c r="FI164" s="115">
        <v>0</v>
      </c>
      <c r="FJ164" s="115">
        <f t="shared" si="198"/>
        <v>0</v>
      </c>
      <c r="FK164" s="114">
        <f t="shared" si="178"/>
        <v>0</v>
      </c>
      <c r="FL164" s="113"/>
      <c r="FM164" s="111"/>
      <c r="FN164" s="111"/>
      <c r="FO164" s="111"/>
      <c r="FP164" s="115">
        <f t="shared" si="203"/>
        <v>0</v>
      </c>
      <c r="FQ164" s="115"/>
      <c r="FR164" s="115"/>
      <c r="FS164" s="115">
        <v>0</v>
      </c>
      <c r="FT164" s="114">
        <f t="shared" si="240"/>
        <v>0</v>
      </c>
      <c r="FU164" s="366">
        <f t="shared" ca="1" si="244"/>
        <v>3000</v>
      </c>
      <c r="FV164" s="121">
        <f t="shared" ca="1" si="241"/>
        <v>3000</v>
      </c>
      <c r="FW164" s="114">
        <f t="shared" si="204"/>
        <v>0</v>
      </c>
      <c r="FX164" s="114">
        <f t="shared" si="204"/>
        <v>0</v>
      </c>
      <c r="FY164" s="114">
        <f t="shared" si="204"/>
        <v>0</v>
      </c>
      <c r="FZ164" s="114">
        <f t="shared" si="204"/>
        <v>0</v>
      </c>
      <c r="GA164" s="114">
        <f t="shared" si="183"/>
        <v>0</v>
      </c>
      <c r="GB164" s="114">
        <f t="shared" si="205"/>
        <v>0</v>
      </c>
      <c r="GC164" s="114">
        <f t="shared" si="205"/>
        <v>0</v>
      </c>
      <c r="GD164" s="114">
        <f t="shared" si="205"/>
        <v>0</v>
      </c>
      <c r="GE164" s="114">
        <f t="shared" si="205"/>
        <v>0</v>
      </c>
      <c r="GF164" s="114">
        <f t="shared" si="242"/>
        <v>0</v>
      </c>
      <c r="GG164" s="114">
        <f t="shared" si="242"/>
        <v>0</v>
      </c>
      <c r="GH164" s="114">
        <f t="shared" si="242"/>
        <v>0</v>
      </c>
      <c r="GI164" s="114">
        <f t="shared" si="242"/>
        <v>0</v>
      </c>
      <c r="GJ164" s="115">
        <f t="shared" si="199"/>
        <v>0</v>
      </c>
      <c r="GK164" s="114">
        <f t="shared" si="220"/>
        <v>0</v>
      </c>
      <c r="GL164" s="114">
        <f t="shared" si="221"/>
        <v>0</v>
      </c>
      <c r="GM164" s="114">
        <f t="shared" si="222"/>
        <v>0</v>
      </c>
      <c r="GN164" s="114">
        <f t="shared" si="223"/>
        <v>0</v>
      </c>
      <c r="GO164" s="114">
        <f t="shared" si="224"/>
        <v>3000</v>
      </c>
      <c r="GP164" s="114">
        <f t="shared" si="200"/>
        <v>3000</v>
      </c>
      <c r="GQ164" s="114">
        <f t="shared" si="259"/>
        <v>3000</v>
      </c>
      <c r="GR164" s="193"/>
      <c r="GS164" s="122">
        <f t="shared" si="253"/>
        <v>67305.06</v>
      </c>
      <c r="GT164" s="122">
        <f t="shared" si="253"/>
        <v>7832403.693052806</v>
      </c>
      <c r="GU164" s="123">
        <f t="shared" si="226"/>
        <v>8.5931551331679071E-3</v>
      </c>
      <c r="GV164" s="124">
        <f t="shared" ca="1" si="227"/>
        <v>0</v>
      </c>
      <c r="GW164" s="124">
        <v>0</v>
      </c>
      <c r="GX164" s="32">
        <f t="shared" ca="1" si="228"/>
        <v>0</v>
      </c>
      <c r="GY164" s="100"/>
    </row>
    <row r="165" spans="3:207" s="408" customFormat="1" hidden="1">
      <c r="C165" s="402"/>
      <c r="D165" s="402"/>
      <c r="E165" s="403"/>
      <c r="F165" s="403" t="s">
        <v>621</v>
      </c>
      <c r="G165" s="403" t="s">
        <v>226</v>
      </c>
      <c r="H165" s="405" t="s">
        <v>775</v>
      </c>
      <c r="I165" s="548" t="s">
        <v>788</v>
      </c>
      <c r="J165" s="403"/>
      <c r="K165" s="544" t="s">
        <v>621</v>
      </c>
      <c r="L165" s="403"/>
      <c r="M165" s="403"/>
      <c r="N165" s="404"/>
      <c r="O165" s="538">
        <v>43689</v>
      </c>
      <c r="P165" s="108">
        <v>43689</v>
      </c>
      <c r="Q165" s="176">
        <f t="shared" si="207"/>
        <v>8</v>
      </c>
      <c r="R165" s="176">
        <f>IF((P165-VLOOKUP(Q165,month!$A$1:$C$13,3,0))&lt;0,Q165,Q165+1)</f>
        <v>8</v>
      </c>
      <c r="S165" s="176"/>
      <c r="T165" s="110" t="str">
        <f t="shared" si="243"/>
        <v/>
      </c>
      <c r="U165" s="483" t="s">
        <v>214</v>
      </c>
      <c r="V165" s="404"/>
      <c r="W165" s="405"/>
      <c r="X165" s="484">
        <v>2</v>
      </c>
      <c r="Y165" s="493">
        <v>1</v>
      </c>
      <c r="Z165" s="406" t="s">
        <v>545</v>
      </c>
      <c r="AA165" s="394">
        <v>1000</v>
      </c>
      <c r="AB165" s="394">
        <v>1000</v>
      </c>
      <c r="AC165" s="394">
        <v>1000</v>
      </c>
      <c r="AD165" s="394">
        <v>1000</v>
      </c>
      <c r="AE165" s="394">
        <v>1000</v>
      </c>
      <c r="AF165" s="394">
        <v>1000</v>
      </c>
      <c r="AG165" s="394">
        <v>1000</v>
      </c>
      <c r="AH165" s="394">
        <v>1000</v>
      </c>
      <c r="AI165" s="394">
        <v>1000</v>
      </c>
      <c r="AJ165" s="394">
        <v>1000</v>
      </c>
      <c r="AK165" s="394">
        <v>1000</v>
      </c>
      <c r="AL165" s="394">
        <v>1000</v>
      </c>
      <c r="AM165" s="388">
        <f t="shared" si="246"/>
        <v>12000</v>
      </c>
      <c r="AN165" s="388">
        <f t="shared" si="257"/>
        <v>12000</v>
      </c>
      <c r="AO165" s="389">
        <f>AH165</f>
        <v>1000</v>
      </c>
      <c r="AP165" s="502"/>
      <c r="AQ165" s="159">
        <v>0.6</v>
      </c>
      <c r="AR165" s="103" t="s">
        <v>211</v>
      </c>
      <c r="AS165" s="119" t="s">
        <v>210</v>
      </c>
      <c r="AT165" s="111"/>
      <c r="AU165" s="111"/>
      <c r="AV165" s="111">
        <v>769837.20897826366</v>
      </c>
      <c r="AW165" s="111">
        <v>1292637.1046276772</v>
      </c>
      <c r="AX165" s="113"/>
      <c r="AY165" s="113"/>
      <c r="AZ165" s="113">
        <v>753526.41299999994</v>
      </c>
      <c r="BA165" s="581"/>
      <c r="BB165" s="113"/>
      <c r="BC165" s="113"/>
      <c r="BD165" s="113"/>
      <c r="BE165" s="113"/>
      <c r="BF165" s="114">
        <f t="shared" si="186"/>
        <v>0</v>
      </c>
      <c r="BG165" s="114">
        <f t="shared" si="186"/>
        <v>0</v>
      </c>
      <c r="BH165" s="114">
        <f t="shared" si="186"/>
        <v>753526.41299999994</v>
      </c>
      <c r="BI165" s="114">
        <f t="shared" si="186"/>
        <v>0</v>
      </c>
      <c r="BJ165" s="114">
        <f t="shared" si="258"/>
        <v>753526.41299999994</v>
      </c>
      <c r="BK165" s="115">
        <f t="shared" ref="BK165" si="260">IF($H$2=1,AT165,IF($H$2=2,SUM(AT165:AU165),IF($H$2=3,SUM(AT165:AV165),SUM(AT165:AW165))))</f>
        <v>2062474.3136059409</v>
      </c>
      <c r="BL165" s="115">
        <f t="shared" si="230"/>
        <v>2062474.3136059409</v>
      </c>
      <c r="BM165" s="116">
        <f t="shared" si="231"/>
        <v>0.3654</v>
      </c>
      <c r="BN165" s="126">
        <f t="shared" ca="1" si="174"/>
        <v>0</v>
      </c>
      <c r="BO165" s="117">
        <f t="shared" ca="1" si="175"/>
        <v>0</v>
      </c>
      <c r="BP165" s="118" t="str">
        <f t="shared" si="176"/>
        <v>Uncapped</v>
      </c>
      <c r="BQ165" s="115">
        <f t="shared" ca="1" si="209"/>
        <v>0</v>
      </c>
      <c r="BR165" s="174"/>
      <c r="BS165" s="175">
        <v>0.2</v>
      </c>
      <c r="BT165" s="174" t="s">
        <v>217</v>
      </c>
      <c r="BU165" s="174" t="s">
        <v>210</v>
      </c>
      <c r="BV165" s="113"/>
      <c r="BW165" s="113"/>
      <c r="BX165" s="113">
        <v>1059791.2301209748</v>
      </c>
      <c r="BY165" s="113">
        <v>1779500.1998299947</v>
      </c>
      <c r="BZ165" s="113"/>
      <c r="CA165" s="113"/>
      <c r="CB165" s="113">
        <v>547167.87359999947</v>
      </c>
      <c r="CC165" s="581"/>
      <c r="CD165" s="113"/>
      <c r="CE165" s="113"/>
      <c r="CF165" s="113"/>
      <c r="CG165" s="113"/>
      <c r="CH165" s="114">
        <f t="shared" si="187"/>
        <v>0</v>
      </c>
      <c r="CI165" s="114">
        <f t="shared" si="187"/>
        <v>0</v>
      </c>
      <c r="CJ165" s="120">
        <f t="shared" si="187"/>
        <v>547167.87359999947</v>
      </c>
      <c r="CK165" s="114">
        <f t="shared" si="187"/>
        <v>0</v>
      </c>
      <c r="CL165" s="114">
        <f t="shared" si="256"/>
        <v>547167.87359999947</v>
      </c>
      <c r="CM165" s="114">
        <f t="shared" si="249"/>
        <v>2839291.4299509693</v>
      </c>
      <c r="CN165" s="114">
        <f t="shared" si="189"/>
        <v>2839291.4299509693</v>
      </c>
      <c r="CO165" s="116">
        <f t="shared" si="232"/>
        <v>0.19270000000000001</v>
      </c>
      <c r="CP165" s="126">
        <f t="shared" ca="1" si="233"/>
        <v>0</v>
      </c>
      <c r="CQ165" s="115">
        <f t="shared" ca="1" si="210"/>
        <v>0</v>
      </c>
      <c r="CR165" s="118" t="str">
        <f t="shared" si="234"/>
        <v>Uncapped</v>
      </c>
      <c r="CS165" s="115">
        <f t="shared" ca="1" si="211"/>
        <v>0</v>
      </c>
      <c r="CT165" s="113"/>
      <c r="CU165" s="119">
        <v>0.1</v>
      </c>
      <c r="CV165" s="113" t="s">
        <v>217</v>
      </c>
      <c r="CW165" s="113" t="s">
        <v>210</v>
      </c>
      <c r="CX165" s="113"/>
      <c r="CY165" s="113"/>
      <c r="CZ165" s="113">
        <v>3426570.3752564797</v>
      </c>
      <c r="DA165" s="113">
        <v>5623300.9818061059</v>
      </c>
      <c r="DB165" s="113"/>
      <c r="DC165" s="113"/>
      <c r="DD165" s="113">
        <v>1807035.6114000047</v>
      </c>
      <c r="DE165" s="581"/>
      <c r="DF165" s="113"/>
      <c r="DG165" s="113"/>
      <c r="DH165" s="113"/>
      <c r="DI165" s="113"/>
      <c r="DJ165" s="114">
        <f t="shared" si="190"/>
        <v>0</v>
      </c>
      <c r="DK165" s="114">
        <f t="shared" si="190"/>
        <v>0</v>
      </c>
      <c r="DL165" s="114">
        <f t="shared" si="190"/>
        <v>1807035.6114000047</v>
      </c>
      <c r="DM165" s="114">
        <f t="shared" si="190"/>
        <v>0</v>
      </c>
      <c r="DN165" s="114">
        <f t="shared" si="168"/>
        <v>1807035.6114000047</v>
      </c>
      <c r="DO165" s="114">
        <f t="shared" si="250"/>
        <v>9049871.3570625857</v>
      </c>
      <c r="DP165" s="114">
        <f t="shared" si="201"/>
        <v>9049871.3570625857</v>
      </c>
      <c r="DQ165" s="116">
        <f t="shared" si="235"/>
        <v>0.19969999999999999</v>
      </c>
      <c r="DR165" s="126">
        <f t="shared" ca="1" si="212"/>
        <v>0</v>
      </c>
      <c r="DS165" s="115">
        <f t="shared" ca="1" si="213"/>
        <v>0</v>
      </c>
      <c r="DT165" s="118" t="str">
        <f t="shared" si="236"/>
        <v>Uncapped</v>
      </c>
      <c r="DU165" s="115">
        <f t="shared" ca="1" si="214"/>
        <v>0</v>
      </c>
      <c r="DV165" s="113" t="s">
        <v>724</v>
      </c>
      <c r="DW165" s="119">
        <v>0.1</v>
      </c>
      <c r="DX165" s="113"/>
      <c r="DY165" s="113" t="s">
        <v>219</v>
      </c>
      <c r="DZ165" s="113"/>
      <c r="EA165" s="113"/>
      <c r="EB165" s="113"/>
      <c r="EC165" s="113"/>
      <c r="ED165" s="113"/>
      <c r="EE165" s="113"/>
      <c r="EF165" s="113"/>
      <c r="EG165" s="113"/>
      <c r="EH165" s="113"/>
      <c r="EI165" s="113"/>
      <c r="EJ165" s="113"/>
      <c r="EK165" s="113"/>
      <c r="EL165" s="114">
        <f t="shared" si="191"/>
        <v>0</v>
      </c>
      <c r="EM165" s="114">
        <f t="shared" si="191"/>
        <v>0</v>
      </c>
      <c r="EN165" s="114">
        <f t="shared" si="191"/>
        <v>0</v>
      </c>
      <c r="EO165" s="114">
        <f t="shared" si="191"/>
        <v>0</v>
      </c>
      <c r="EP165" s="114">
        <f t="shared" si="215"/>
        <v>0</v>
      </c>
      <c r="EQ165" s="114">
        <f t="shared" si="251"/>
        <v>0</v>
      </c>
      <c r="ER165" s="114">
        <f t="shared" si="192"/>
        <v>0</v>
      </c>
      <c r="ES165" s="116">
        <f t="shared" si="237"/>
        <v>0</v>
      </c>
      <c r="ET165" s="126">
        <f t="shared" si="238"/>
        <v>0</v>
      </c>
      <c r="EU165" s="115">
        <f t="shared" si="216"/>
        <v>0</v>
      </c>
      <c r="EV165" s="118" t="str">
        <f t="shared" si="217"/>
        <v>Uncapped</v>
      </c>
      <c r="EW165" s="115">
        <f t="shared" si="218"/>
        <v>0</v>
      </c>
      <c r="EX165" s="112">
        <f t="shared" ca="1" si="219"/>
        <v>0</v>
      </c>
      <c r="EY165" s="114">
        <f t="shared" ca="1" si="239"/>
        <v>3000</v>
      </c>
      <c r="EZ165" s="115">
        <v>0</v>
      </c>
      <c r="FA165" s="115">
        <v>0</v>
      </c>
      <c r="FB165" s="115"/>
      <c r="FC165" s="115">
        <v>0</v>
      </c>
      <c r="FD165" s="115">
        <f t="shared" si="252"/>
        <v>0</v>
      </c>
      <c r="FE165" s="114">
        <f t="shared" si="177"/>
        <v>0</v>
      </c>
      <c r="FF165" s="115">
        <v>0</v>
      </c>
      <c r="FG165" s="115">
        <v>0</v>
      </c>
      <c r="FH165" s="115">
        <v>0</v>
      </c>
      <c r="FI165" s="115">
        <v>0</v>
      </c>
      <c r="FJ165" s="115">
        <f t="shared" si="198"/>
        <v>0</v>
      </c>
      <c r="FK165" s="114">
        <f t="shared" si="178"/>
        <v>0</v>
      </c>
      <c r="FL165" s="113"/>
      <c r="FM165" s="111"/>
      <c r="FN165" s="111"/>
      <c r="FO165" s="111"/>
      <c r="FP165" s="115">
        <f t="shared" si="203"/>
        <v>0</v>
      </c>
      <c r="FQ165" s="115"/>
      <c r="FR165" s="115"/>
      <c r="FS165" s="115">
        <v>0</v>
      </c>
      <c r="FT165" s="114">
        <f t="shared" si="240"/>
        <v>0</v>
      </c>
      <c r="FU165" s="366">
        <f t="shared" ca="1" si="244"/>
        <v>3000</v>
      </c>
      <c r="FV165" s="121">
        <f t="shared" ca="1" si="241"/>
        <v>3000</v>
      </c>
      <c r="FW165" s="114">
        <f t="shared" si="204"/>
        <v>0</v>
      </c>
      <c r="FX165" s="114">
        <f t="shared" si="204"/>
        <v>0</v>
      </c>
      <c r="FY165" s="114">
        <f t="shared" si="204"/>
        <v>0</v>
      </c>
      <c r="FZ165" s="114">
        <f t="shared" si="204"/>
        <v>0</v>
      </c>
      <c r="GA165" s="114">
        <f t="shared" si="183"/>
        <v>0</v>
      </c>
      <c r="GB165" s="114">
        <f t="shared" si="205"/>
        <v>0</v>
      </c>
      <c r="GC165" s="114">
        <f t="shared" si="205"/>
        <v>0</v>
      </c>
      <c r="GD165" s="114">
        <f t="shared" si="205"/>
        <v>0</v>
      </c>
      <c r="GE165" s="114">
        <f t="shared" si="205"/>
        <v>0</v>
      </c>
      <c r="GF165" s="114">
        <f t="shared" si="242"/>
        <v>0</v>
      </c>
      <c r="GG165" s="114">
        <f t="shared" si="242"/>
        <v>0</v>
      </c>
      <c r="GH165" s="114">
        <f t="shared" si="242"/>
        <v>0</v>
      </c>
      <c r="GI165" s="114">
        <f t="shared" si="242"/>
        <v>0</v>
      </c>
      <c r="GJ165" s="115">
        <f t="shared" si="199"/>
        <v>0</v>
      </c>
      <c r="GK165" s="114">
        <f t="shared" si="220"/>
        <v>0</v>
      </c>
      <c r="GL165" s="114">
        <f t="shared" si="221"/>
        <v>0</v>
      </c>
      <c r="GM165" s="114">
        <f t="shared" si="222"/>
        <v>0</v>
      </c>
      <c r="GN165" s="114">
        <f t="shared" si="223"/>
        <v>2000</v>
      </c>
      <c r="GO165" s="114">
        <f t="shared" si="224"/>
        <v>1000</v>
      </c>
      <c r="GP165" s="114">
        <f t="shared" si="200"/>
        <v>3000</v>
      </c>
      <c r="GQ165" s="114">
        <f t="shared" si="259"/>
        <v>3000</v>
      </c>
      <c r="GR165" s="193"/>
      <c r="GS165" s="122">
        <f t="shared" si="253"/>
        <v>3107729.8980000038</v>
      </c>
      <c r="GT165" s="122">
        <f t="shared" si="253"/>
        <v>13951637.100619495</v>
      </c>
      <c r="GU165" s="123">
        <f t="shared" si="226"/>
        <v>0.2227501959509835</v>
      </c>
      <c r="GV165" s="124">
        <f t="shared" ca="1" si="227"/>
        <v>0</v>
      </c>
      <c r="GW165" s="124">
        <v>0</v>
      </c>
      <c r="GX165" s="32">
        <f t="shared" ca="1" si="228"/>
        <v>0</v>
      </c>
      <c r="GY165" s="100"/>
    </row>
    <row r="166" spans="3:207" ht="16.95" hidden="1" customHeight="1">
      <c r="F166" s="403" t="s">
        <v>720</v>
      </c>
      <c r="G166" s="403" t="s">
        <v>226</v>
      </c>
      <c r="H166" s="405" t="s">
        <v>550</v>
      </c>
      <c r="I166" s="403" t="s">
        <v>584</v>
      </c>
      <c r="J166" s="403" t="s">
        <v>207</v>
      </c>
      <c r="K166" s="515" t="s">
        <v>544</v>
      </c>
      <c r="L166" s="108">
        <v>43353</v>
      </c>
      <c r="M166" s="108">
        <v>43353</v>
      </c>
      <c r="O166" s="537">
        <v>43353</v>
      </c>
      <c r="P166" s="108">
        <v>43647</v>
      </c>
      <c r="Q166" s="323"/>
      <c r="R166" s="109">
        <v>7</v>
      </c>
      <c r="S166" s="108"/>
      <c r="T166" s="110"/>
      <c r="U166" s="483"/>
      <c r="V166" s="483"/>
      <c r="W166" s="405"/>
      <c r="X166" s="405"/>
      <c r="Y166" s="492"/>
      <c r="Z166" s="406" t="s">
        <v>545</v>
      </c>
      <c r="AA166" s="394">
        <v>1000</v>
      </c>
      <c r="AB166" s="394">
        <v>1000</v>
      </c>
      <c r="AC166" s="394">
        <v>1000</v>
      </c>
      <c r="AD166" s="394">
        <v>1000</v>
      </c>
      <c r="AE166" s="394">
        <v>1000</v>
      </c>
      <c r="AF166" s="394">
        <v>1000</v>
      </c>
      <c r="AG166" s="394">
        <v>1000</v>
      </c>
      <c r="AH166" s="394">
        <v>1000</v>
      </c>
      <c r="AI166" s="394">
        <v>1000</v>
      </c>
      <c r="AJ166" s="394">
        <v>1000</v>
      </c>
      <c r="AK166" s="394">
        <v>1000</v>
      </c>
      <c r="AL166" s="394">
        <v>1000</v>
      </c>
      <c r="AM166" s="388">
        <f t="shared" ref="AM166:AM177" si="261">IF($H$2=1,SUM(AA166:AC166),IF($H$2=2,SUM(AA166:AF166),IF($H$2=3,SUM(AA166:AI166),SUM(AA166:AL166))))</f>
        <v>12000</v>
      </c>
      <c r="AN166" s="388">
        <f t="shared" si="257"/>
        <v>12000</v>
      </c>
      <c r="AO166" s="389">
        <f t="shared" ref="AO166:AO178" si="262">AH166</f>
        <v>1000</v>
      </c>
      <c r="AP166" s="502" t="s">
        <v>792</v>
      </c>
      <c r="AQ166" s="405">
        <v>0.5</v>
      </c>
      <c r="AR166" s="405" t="s">
        <v>211</v>
      </c>
      <c r="AS166" s="492" t="s">
        <v>210</v>
      </c>
      <c r="AT166" s="389"/>
      <c r="AU166" s="504"/>
      <c r="AV166" s="111">
        <v>1365253.1824718199</v>
      </c>
      <c r="AW166" s="111">
        <v>1628318.6704690999</v>
      </c>
      <c r="AX166" s="173"/>
      <c r="AY166" s="173"/>
      <c r="AZ166" s="113">
        <v>1422781.2447299999</v>
      </c>
      <c r="BA166" s="506"/>
      <c r="BF166" s="114">
        <f t="shared" ref="BF166:BI180" si="263">AX166+BB166</f>
        <v>0</v>
      </c>
      <c r="BG166" s="114">
        <f t="shared" si="263"/>
        <v>0</v>
      </c>
      <c r="BH166" s="114">
        <f t="shared" si="263"/>
        <v>1422781.2447299999</v>
      </c>
      <c r="BI166" s="114">
        <f t="shared" si="263"/>
        <v>0</v>
      </c>
      <c r="BJ166" s="114">
        <f t="shared" ref="BJ166:BJ167" si="264">IF($BB$3="After AR Adjustment",IF($H$2=1,BF166,IF($H$2=2,SUM(BF166:BG166),IF($H$2=3,SUM(BF166:BH166),SUM(BF166:BI166)))),IF($H$2=1,AX166,IF($H$2=2,SUM(AX166:AY166),IF($H$2=3,SUM(AX166:AZ166),SUM(AX166:BA166)))))</f>
        <v>1422781.2447299999</v>
      </c>
      <c r="BK166" s="115">
        <f t="shared" ref="BK166:BK181" si="265">IF($H$2=1,AT166,IF($H$2=2,SUM(AT166:AU166),IF($H$2=3,SUM(AT166:AV166),SUM(AT166:AW166))))</f>
        <v>2993571.8529409198</v>
      </c>
      <c r="BL166" s="115">
        <f t="shared" si="230"/>
        <v>2993571.8529409198</v>
      </c>
      <c r="BM166" s="116">
        <f t="shared" si="231"/>
        <v>0.4753</v>
      </c>
      <c r="BN166" s="126">
        <f t="shared" ca="1" si="174"/>
        <v>0</v>
      </c>
      <c r="BO166" s="117">
        <f t="shared" ca="1" si="175"/>
        <v>0</v>
      </c>
      <c r="BP166" s="118" t="str">
        <f t="shared" si="176"/>
        <v>Uncapped</v>
      </c>
      <c r="BQ166" s="115">
        <f t="shared" ca="1" si="209"/>
        <v>0</v>
      </c>
      <c r="BR166" s="173" t="s">
        <v>738</v>
      </c>
      <c r="BS166" s="505">
        <v>0.3</v>
      </c>
      <c r="BT166" s="173" t="s">
        <v>211</v>
      </c>
      <c r="BU166" s="173" t="s">
        <v>210</v>
      </c>
      <c r="BV166" s="173"/>
      <c r="BW166" s="173"/>
      <c r="BX166" s="173"/>
      <c r="BY166" s="173"/>
      <c r="BZ166" s="173"/>
      <c r="CA166" s="173"/>
      <c r="CB166" s="504"/>
      <c r="CC166" s="173"/>
      <c r="CH166" s="114">
        <f t="shared" ref="CH166:CK180" si="266">BZ166+CD166</f>
        <v>0</v>
      </c>
      <c r="CI166" s="114">
        <f t="shared" si="266"/>
        <v>0</v>
      </c>
      <c r="CJ166" s="120">
        <f t="shared" si="266"/>
        <v>0</v>
      </c>
      <c r="CK166" s="114">
        <f t="shared" si="266"/>
        <v>0</v>
      </c>
      <c r="CL166" s="114">
        <f t="shared" si="256"/>
        <v>0</v>
      </c>
      <c r="CM166" s="114">
        <f t="shared" ref="CM166:CM167" si="267">IF($H$2=1,BV166,IF($H$2=2,SUM(BV166:BW166),IF($H$2=3,SUM(BV166:BX166),SUM(BV166:BY166))))</f>
        <v>0</v>
      </c>
      <c r="CN166" s="114">
        <f t="shared" si="189"/>
        <v>0</v>
      </c>
      <c r="CO166" s="116">
        <f t="shared" si="232"/>
        <v>0</v>
      </c>
      <c r="CP166" s="126">
        <f t="shared" ca="1" si="233"/>
        <v>0</v>
      </c>
      <c r="CQ166" s="115">
        <f t="shared" ca="1" si="210"/>
        <v>0</v>
      </c>
      <c r="CR166" s="118" t="str">
        <f t="shared" si="234"/>
        <v>Uncapped</v>
      </c>
      <c r="CS166" s="115">
        <f t="shared" ca="1" si="211"/>
        <v>0</v>
      </c>
      <c r="CT166" s="113" t="s">
        <v>729</v>
      </c>
      <c r="CU166" s="119">
        <v>0.2</v>
      </c>
      <c r="CV166" s="113" t="s">
        <v>217</v>
      </c>
      <c r="CW166" s="113" t="s">
        <v>210</v>
      </c>
      <c r="CX166" s="173"/>
      <c r="CY166" s="173"/>
      <c r="CZ166" s="113">
        <v>15159650.061351301</v>
      </c>
      <c r="DA166" s="113">
        <v>16523055.704212198</v>
      </c>
      <c r="DB166" s="173"/>
      <c r="DC166" s="173"/>
      <c r="DD166" s="113">
        <v>13923765.347779993</v>
      </c>
      <c r="DE166" s="506"/>
      <c r="DF166" s="173"/>
      <c r="DG166" s="173"/>
      <c r="DH166" s="173"/>
      <c r="DI166" s="173"/>
      <c r="DJ166" s="114">
        <f t="shared" ref="DJ166:DM180" si="268">DB166+DF166</f>
        <v>0</v>
      </c>
      <c r="DK166" s="114">
        <f t="shared" si="268"/>
        <v>0</v>
      </c>
      <c r="DL166" s="114">
        <f t="shared" si="268"/>
        <v>13923765.347779993</v>
      </c>
      <c r="DM166" s="114">
        <f t="shared" si="268"/>
        <v>0</v>
      </c>
      <c r="DN166" s="114">
        <f t="shared" ref="DN166:DN180" si="269">IF($BB$3="After AR Adjustment",IF($H$2=1,DJ166,IF($H$2=2,SUM(DJ166:DK166),IF($H$2=3,SUM(DJ166:DL166),SUM(DJ166:DM166)))),IF($H$2=1,DB166,IF($H$2=2,SUM(DB166:DC166),IF($H$2=3,SUM(DB166:DD166),SUM(DB166:DE166)))))</f>
        <v>13923765.347779993</v>
      </c>
      <c r="DO166" s="114">
        <f t="shared" ref="DO166:DO167" si="270">IF($H$2=1,CX166,IF($H$2=2,SUM(CX166:CY166),IF($H$2=3,SUM(CX166:CZ166),SUM(CX166:DA166))))</f>
        <v>31682705.765563499</v>
      </c>
      <c r="DP166" s="114">
        <f t="shared" si="201"/>
        <v>31682705.765563499</v>
      </c>
      <c r="DQ166" s="116">
        <f t="shared" si="235"/>
        <v>0.4395</v>
      </c>
      <c r="DR166" s="126">
        <f t="shared" ca="1" si="212"/>
        <v>0</v>
      </c>
      <c r="DS166" s="115">
        <f t="shared" ca="1" si="213"/>
        <v>0</v>
      </c>
      <c r="DT166" s="118" t="str">
        <f t="shared" si="236"/>
        <v>Uncapped</v>
      </c>
      <c r="DU166" s="115"/>
      <c r="DV166" s="173"/>
      <c r="DW166" s="173"/>
      <c r="DX166" s="173"/>
      <c r="DY166" s="173"/>
      <c r="DZ166" s="173"/>
      <c r="EA166" s="173"/>
      <c r="EB166" s="173"/>
      <c r="EC166" s="173"/>
      <c r="ED166" s="173"/>
      <c r="EE166" s="173"/>
      <c r="EF166" s="173"/>
      <c r="EG166" s="173"/>
      <c r="EH166" s="173"/>
      <c r="EI166" s="173"/>
      <c r="EJ166" s="173"/>
      <c r="EK166" s="173"/>
      <c r="EL166" s="114">
        <f t="shared" ref="EL166:EO180" si="271">ED166+EH166</f>
        <v>0</v>
      </c>
      <c r="EM166" s="114">
        <f t="shared" si="271"/>
        <v>0</v>
      </c>
      <c r="EN166" s="114">
        <f t="shared" si="271"/>
        <v>0</v>
      </c>
      <c r="EO166" s="114">
        <f t="shared" si="271"/>
        <v>0</v>
      </c>
      <c r="EP166" s="114">
        <f t="shared" si="215"/>
        <v>0</v>
      </c>
      <c r="EQ166" s="114">
        <f t="shared" si="251"/>
        <v>0</v>
      </c>
      <c r="ER166" s="114">
        <f t="shared" si="192"/>
        <v>0</v>
      </c>
      <c r="ES166" s="116">
        <f t="shared" si="237"/>
        <v>0</v>
      </c>
      <c r="ET166" s="126">
        <f t="shared" ca="1" si="238"/>
        <v>0</v>
      </c>
      <c r="EU166" s="115">
        <f t="shared" ca="1" si="216"/>
        <v>0</v>
      </c>
      <c r="EV166" s="118" t="str">
        <f t="shared" si="217"/>
        <v>Uncapped</v>
      </c>
      <c r="EW166" s="115">
        <f t="shared" ca="1" si="218"/>
        <v>0</v>
      </c>
      <c r="EX166" s="112">
        <f t="shared" ca="1" si="219"/>
        <v>0</v>
      </c>
      <c r="EY166" s="114">
        <f t="shared" ca="1" si="239"/>
        <v>0</v>
      </c>
      <c r="FD166" s="115">
        <f t="shared" si="252"/>
        <v>0</v>
      </c>
      <c r="FE166" s="114">
        <f t="shared" si="177"/>
        <v>0</v>
      </c>
      <c r="FJ166" s="115">
        <f t="shared" si="198"/>
        <v>0</v>
      </c>
      <c r="FK166" s="114">
        <f t="shared" si="178"/>
        <v>0</v>
      </c>
      <c r="FL166" s="514"/>
      <c r="FM166" s="514"/>
      <c r="FN166" s="514"/>
      <c r="FO166" s="514"/>
      <c r="FP166" s="115">
        <f t="shared" si="203"/>
        <v>0</v>
      </c>
      <c r="FT166" s="33">
        <f t="shared" si="240"/>
        <v>0</v>
      </c>
      <c r="FU166" s="361">
        <f t="shared" ca="1" si="244"/>
        <v>0</v>
      </c>
      <c r="FV166" s="33">
        <f t="shared" ca="1" si="241"/>
        <v>0</v>
      </c>
      <c r="FW166" s="33">
        <f t="shared" ref="FW166:FZ181" si="272">FF166</f>
        <v>0</v>
      </c>
      <c r="FX166" s="33">
        <f t="shared" si="272"/>
        <v>0</v>
      </c>
      <c r="FY166" s="33">
        <f t="shared" si="272"/>
        <v>0</v>
      </c>
      <c r="FZ166" s="33">
        <f t="shared" si="272"/>
        <v>0</v>
      </c>
      <c r="GA166" s="33">
        <f>SUM(FW166:FZ166)</f>
        <v>0</v>
      </c>
      <c r="GB166" s="33">
        <f t="shared" ref="GB166:GE181" si="273">EZ166</f>
        <v>0</v>
      </c>
      <c r="GC166" s="33">
        <f t="shared" si="273"/>
        <v>0</v>
      </c>
      <c r="GD166" s="33">
        <f t="shared" si="273"/>
        <v>0</v>
      </c>
      <c r="GE166" s="33">
        <f t="shared" si="273"/>
        <v>0</v>
      </c>
      <c r="GF166" s="33">
        <f t="shared" si="242"/>
        <v>0</v>
      </c>
      <c r="GG166" s="33">
        <f t="shared" si="242"/>
        <v>0</v>
      </c>
      <c r="GH166" s="33">
        <f t="shared" si="242"/>
        <v>0</v>
      </c>
      <c r="GI166" s="33">
        <f t="shared" si="242"/>
        <v>0</v>
      </c>
      <c r="GJ166" s="33">
        <f t="shared" si="199"/>
        <v>0</v>
      </c>
      <c r="GK166" s="33">
        <f t="shared" si="220"/>
        <v>0</v>
      </c>
      <c r="GL166" s="33">
        <f t="shared" si="221"/>
        <v>0</v>
      </c>
      <c r="GM166" s="33">
        <f t="shared" si="222"/>
        <v>0</v>
      </c>
      <c r="GN166" s="33">
        <f t="shared" si="223"/>
        <v>0</v>
      </c>
      <c r="GO166" s="33">
        <f t="shared" si="224"/>
        <v>0</v>
      </c>
      <c r="GP166" s="33">
        <f t="shared" si="200"/>
        <v>0</v>
      </c>
      <c r="GQ166" s="114">
        <f t="shared" si="259"/>
        <v>0</v>
      </c>
      <c r="GS166" s="30">
        <f t="shared" si="253"/>
        <v>15346546.592509992</v>
      </c>
      <c r="GT166" s="30">
        <f t="shared" si="253"/>
        <v>34676277.61850442</v>
      </c>
      <c r="GU166" s="31">
        <f t="shared" si="226"/>
        <v>0.44256614742063788</v>
      </c>
      <c r="GV166" s="124">
        <f t="shared" ca="1" si="227"/>
        <v>0</v>
      </c>
      <c r="GW166" s="124">
        <v>0</v>
      </c>
      <c r="GX166" s="179">
        <f t="shared" ca="1" si="228"/>
        <v>0</v>
      </c>
    </row>
    <row r="167" spans="3:207" hidden="1">
      <c r="F167" s="403" t="s">
        <v>720</v>
      </c>
      <c r="G167" s="403" t="s">
        <v>226</v>
      </c>
      <c r="H167" s="405" t="s">
        <v>564</v>
      </c>
      <c r="I167" s="403" t="s">
        <v>598</v>
      </c>
      <c r="J167" s="403" t="s">
        <v>207</v>
      </c>
      <c r="K167" s="515" t="s">
        <v>544</v>
      </c>
      <c r="O167" s="537">
        <v>43353</v>
      </c>
      <c r="P167" s="108">
        <v>43678</v>
      </c>
      <c r="Q167" s="323"/>
      <c r="R167" s="109">
        <v>7</v>
      </c>
      <c r="S167" s="108"/>
      <c r="T167" s="110"/>
      <c r="U167" s="483"/>
      <c r="V167" s="483"/>
      <c r="W167" s="405"/>
      <c r="X167" s="405"/>
      <c r="Y167" s="492"/>
      <c r="Z167" s="406" t="s">
        <v>545</v>
      </c>
      <c r="AA167" s="394">
        <v>1000</v>
      </c>
      <c r="AB167" s="394">
        <v>1000</v>
      </c>
      <c r="AC167" s="394">
        <v>1000</v>
      </c>
      <c r="AD167" s="394">
        <v>1000</v>
      </c>
      <c r="AE167" s="394">
        <v>1000</v>
      </c>
      <c r="AF167" s="394">
        <v>1000</v>
      </c>
      <c r="AG167" s="394">
        <v>1000</v>
      </c>
      <c r="AH167" s="394">
        <v>1000</v>
      </c>
      <c r="AI167" s="394">
        <v>1000</v>
      </c>
      <c r="AJ167" s="394">
        <v>1000</v>
      </c>
      <c r="AK167" s="394">
        <v>1000</v>
      </c>
      <c r="AL167" s="394">
        <v>1000</v>
      </c>
      <c r="AM167" s="388">
        <f t="shared" si="261"/>
        <v>12000</v>
      </c>
      <c r="AN167" s="388">
        <f t="shared" si="257"/>
        <v>12000</v>
      </c>
      <c r="AO167" s="389">
        <f t="shared" si="262"/>
        <v>1000</v>
      </c>
      <c r="AP167" s="502" t="s">
        <v>793</v>
      </c>
      <c r="AQ167" s="159">
        <v>0.6</v>
      </c>
      <c r="AR167" s="103" t="s">
        <v>211</v>
      </c>
      <c r="AS167" s="119" t="s">
        <v>210</v>
      </c>
      <c r="AT167" s="389"/>
      <c r="AU167" s="504"/>
      <c r="AV167" s="504">
        <v>3257375.4395111124</v>
      </c>
      <c r="AW167" s="504">
        <v>3508273.7037182339</v>
      </c>
      <c r="AX167" s="173"/>
      <c r="AY167" s="173"/>
      <c r="AZ167" s="113">
        <v>2280144.4454199998</v>
      </c>
      <c r="BA167" s="506"/>
      <c r="BF167" s="114">
        <f t="shared" si="263"/>
        <v>0</v>
      </c>
      <c r="BG167" s="114">
        <f t="shared" si="263"/>
        <v>0</v>
      </c>
      <c r="BH167" s="114">
        <f t="shared" si="263"/>
        <v>2280144.4454199998</v>
      </c>
      <c r="BI167" s="114">
        <f t="shared" si="263"/>
        <v>0</v>
      </c>
      <c r="BJ167" s="114">
        <f t="shared" si="264"/>
        <v>2280144.4454199998</v>
      </c>
      <c r="BK167" s="115">
        <f t="shared" si="265"/>
        <v>6765649.1432293467</v>
      </c>
      <c r="BL167" s="115">
        <f t="shared" si="230"/>
        <v>6765649.1432293467</v>
      </c>
      <c r="BM167" s="116">
        <f t="shared" si="231"/>
        <v>0.33700000000000002</v>
      </c>
      <c r="BN167" s="126">
        <f t="shared" ca="1" si="174"/>
        <v>0</v>
      </c>
      <c r="BO167" s="117">
        <f t="shared" ca="1" si="175"/>
        <v>0</v>
      </c>
      <c r="BP167" s="118" t="str">
        <f t="shared" si="176"/>
        <v>Uncapped</v>
      </c>
      <c r="BQ167" s="115">
        <f t="shared" ca="1" si="209"/>
        <v>0</v>
      </c>
      <c r="BR167" s="173" t="s">
        <v>363</v>
      </c>
      <c r="BS167" s="505">
        <v>0.2</v>
      </c>
      <c r="BT167" s="173" t="s">
        <v>211</v>
      </c>
      <c r="BU167" s="173" t="s">
        <v>210</v>
      </c>
      <c r="BV167" s="173"/>
      <c r="BW167" s="173"/>
      <c r="BX167" s="173"/>
      <c r="BY167" s="173"/>
      <c r="BZ167" s="173"/>
      <c r="CA167" s="173"/>
      <c r="CB167" s="504"/>
      <c r="CC167" s="173"/>
      <c r="CH167" s="114">
        <f t="shared" si="266"/>
        <v>0</v>
      </c>
      <c r="CI167" s="114">
        <f t="shared" si="266"/>
        <v>0</v>
      </c>
      <c r="CJ167" s="120">
        <f t="shared" si="266"/>
        <v>0</v>
      </c>
      <c r="CK167" s="114">
        <f t="shared" si="266"/>
        <v>0</v>
      </c>
      <c r="CL167" s="114">
        <f t="shared" si="256"/>
        <v>0</v>
      </c>
      <c r="CM167" s="114">
        <f t="shared" si="267"/>
        <v>0</v>
      </c>
      <c r="CN167" s="114">
        <f t="shared" si="189"/>
        <v>0</v>
      </c>
      <c r="CO167" s="116">
        <f t="shared" si="232"/>
        <v>0</v>
      </c>
      <c r="CP167" s="126">
        <f t="shared" si="233"/>
        <v>0</v>
      </c>
      <c r="CQ167" s="115">
        <f t="shared" si="210"/>
        <v>0</v>
      </c>
      <c r="CR167" s="118" t="str">
        <f t="shared" si="234"/>
        <v>Uncapped</v>
      </c>
      <c r="CS167" s="115">
        <f t="shared" si="211"/>
        <v>0</v>
      </c>
      <c r="CT167" s="173" t="s">
        <v>778</v>
      </c>
      <c r="CU167" s="173">
        <v>0.2</v>
      </c>
      <c r="CV167" s="173" t="s">
        <v>217</v>
      </c>
      <c r="CW167" s="173" t="s">
        <v>210</v>
      </c>
      <c r="CX167" s="173"/>
      <c r="CY167" s="173"/>
      <c r="CZ167" s="506">
        <v>12127720.049081041</v>
      </c>
      <c r="DA167" s="506">
        <v>16523055.704212198</v>
      </c>
      <c r="DB167" s="506"/>
      <c r="DC167" s="506"/>
      <c r="DD167" s="534">
        <v>11561621</v>
      </c>
      <c r="DE167" s="506"/>
      <c r="DF167" s="173"/>
      <c r="DG167" s="173"/>
      <c r="DH167" s="173"/>
      <c r="DI167" s="173"/>
      <c r="DJ167" s="114">
        <f t="shared" si="268"/>
        <v>0</v>
      </c>
      <c r="DK167" s="114">
        <f t="shared" si="268"/>
        <v>0</v>
      </c>
      <c r="DL167" s="114">
        <f t="shared" si="268"/>
        <v>11561621</v>
      </c>
      <c r="DM167" s="114">
        <f t="shared" si="268"/>
        <v>0</v>
      </c>
      <c r="DN167" s="114">
        <f t="shared" si="269"/>
        <v>11561621</v>
      </c>
      <c r="DO167" s="114">
        <f t="shared" si="270"/>
        <v>28650775.753293239</v>
      </c>
      <c r="DP167" s="114">
        <f t="shared" si="201"/>
        <v>28650775.753293239</v>
      </c>
      <c r="DQ167" s="116">
        <f t="shared" si="235"/>
        <v>0.40350000000000003</v>
      </c>
      <c r="DR167" s="126">
        <f t="shared" ca="1" si="212"/>
        <v>0</v>
      </c>
      <c r="DS167" s="115">
        <f t="shared" ca="1" si="213"/>
        <v>0</v>
      </c>
      <c r="DT167" s="118" t="str">
        <f t="shared" si="236"/>
        <v>Uncapped</v>
      </c>
      <c r="DU167" s="115">
        <f t="shared" ca="1" si="214"/>
        <v>0</v>
      </c>
      <c r="DV167" s="173"/>
      <c r="DW167" s="173"/>
      <c r="DX167" s="173"/>
      <c r="DY167" s="173"/>
      <c r="DZ167" s="173"/>
      <c r="EA167" s="173"/>
      <c r="EB167" s="173"/>
      <c r="EC167" s="173"/>
      <c r="ED167" s="173"/>
      <c r="EE167" s="173"/>
      <c r="EF167" s="173"/>
      <c r="EG167" s="173"/>
      <c r="EH167" s="173"/>
      <c r="EI167" s="173"/>
      <c r="EJ167" s="173"/>
      <c r="EK167" s="173"/>
      <c r="EL167" s="114">
        <f t="shared" si="271"/>
        <v>0</v>
      </c>
      <c r="EM167" s="114">
        <f t="shared" si="271"/>
        <v>0</v>
      </c>
      <c r="EN167" s="114">
        <f t="shared" si="271"/>
        <v>0</v>
      </c>
      <c r="EO167" s="114">
        <f t="shared" si="271"/>
        <v>0</v>
      </c>
      <c r="EP167" s="114">
        <f t="shared" si="215"/>
        <v>0</v>
      </c>
      <c r="EQ167" s="114">
        <f t="shared" si="251"/>
        <v>0</v>
      </c>
      <c r="ER167" s="114">
        <f t="shared" si="192"/>
        <v>0</v>
      </c>
      <c r="ES167" s="116">
        <f t="shared" si="237"/>
        <v>0</v>
      </c>
      <c r="ET167" s="126">
        <f t="shared" ca="1" si="238"/>
        <v>0</v>
      </c>
      <c r="EU167" s="115">
        <f t="shared" ca="1" si="216"/>
        <v>0</v>
      </c>
      <c r="EV167" s="118" t="str">
        <f t="shared" si="217"/>
        <v>Uncapped</v>
      </c>
      <c r="EW167" s="115">
        <f t="shared" ca="1" si="218"/>
        <v>0</v>
      </c>
      <c r="EX167" s="112">
        <f t="shared" ca="1" si="219"/>
        <v>0</v>
      </c>
      <c r="EY167" s="114">
        <f t="shared" ca="1" si="239"/>
        <v>0</v>
      </c>
      <c r="FD167" s="115">
        <f t="shared" si="252"/>
        <v>0</v>
      </c>
      <c r="FE167" s="114">
        <f t="shared" si="177"/>
        <v>0</v>
      </c>
      <c r="FJ167" s="115">
        <f t="shared" si="198"/>
        <v>0</v>
      </c>
      <c r="FK167" s="114">
        <f t="shared" si="178"/>
        <v>0</v>
      </c>
      <c r="FL167" s="514"/>
      <c r="FM167" s="514"/>
      <c r="FN167" s="514"/>
      <c r="FO167" s="514"/>
      <c r="FP167" s="115">
        <f t="shared" si="203"/>
        <v>0</v>
      </c>
      <c r="FT167" s="33">
        <f t="shared" si="240"/>
        <v>0</v>
      </c>
      <c r="FU167" s="361">
        <f t="shared" ca="1" si="244"/>
        <v>0</v>
      </c>
      <c r="FV167" s="33">
        <f t="shared" ca="1" si="241"/>
        <v>0</v>
      </c>
      <c r="FW167" s="33">
        <f t="shared" si="272"/>
        <v>0</v>
      </c>
      <c r="FX167" s="33">
        <f t="shared" si="272"/>
        <v>0</v>
      </c>
      <c r="FY167" s="33">
        <f t="shared" si="272"/>
        <v>0</v>
      </c>
      <c r="FZ167" s="33">
        <f t="shared" si="272"/>
        <v>0</v>
      </c>
      <c r="GA167" s="33">
        <f t="shared" ref="GA167:GA181" si="274">SUM(FW167:FZ167)</f>
        <v>0</v>
      </c>
      <c r="GB167" s="33">
        <f t="shared" si="273"/>
        <v>0</v>
      </c>
      <c r="GC167" s="33">
        <f t="shared" si="273"/>
        <v>0</v>
      </c>
      <c r="GD167" s="33">
        <f t="shared" si="273"/>
        <v>0</v>
      </c>
      <c r="GE167" s="33">
        <f t="shared" si="273"/>
        <v>0</v>
      </c>
      <c r="GF167" s="33">
        <f t="shared" si="242"/>
        <v>0</v>
      </c>
      <c r="GG167" s="33">
        <f t="shared" si="242"/>
        <v>0</v>
      </c>
      <c r="GH167" s="33">
        <f t="shared" si="242"/>
        <v>0</v>
      </c>
      <c r="GI167" s="33">
        <f t="shared" si="242"/>
        <v>0</v>
      </c>
      <c r="GJ167" s="33">
        <f t="shared" si="199"/>
        <v>0</v>
      </c>
      <c r="GK167" s="33">
        <f t="shared" si="220"/>
        <v>0</v>
      </c>
      <c r="GL167" s="33">
        <f t="shared" si="221"/>
        <v>0</v>
      </c>
      <c r="GM167" s="33">
        <f t="shared" si="222"/>
        <v>0</v>
      </c>
      <c r="GN167" s="33">
        <f t="shared" si="223"/>
        <v>0</v>
      </c>
      <c r="GO167" s="33">
        <f t="shared" si="224"/>
        <v>0</v>
      </c>
      <c r="GP167" s="33">
        <f t="shared" si="200"/>
        <v>0</v>
      </c>
      <c r="GQ167" s="114">
        <f t="shared" si="259"/>
        <v>0</v>
      </c>
      <c r="GS167" s="507">
        <f t="shared" si="253"/>
        <v>13841765.445420001</v>
      </c>
      <c r="GT167" s="507">
        <f t="shared" si="253"/>
        <v>35416424.896522582</v>
      </c>
      <c r="GU167" s="31">
        <f t="shared" si="226"/>
        <v>0.39082898643389263</v>
      </c>
      <c r="GV167" s="124">
        <f t="shared" ca="1" si="227"/>
        <v>0</v>
      </c>
      <c r="GW167" s="124">
        <v>0</v>
      </c>
      <c r="GX167" s="179">
        <f t="shared" ca="1" si="228"/>
        <v>0</v>
      </c>
    </row>
    <row r="168" spans="3:207" hidden="1">
      <c r="F168" s="403" t="s">
        <v>720</v>
      </c>
      <c r="G168" s="403" t="s">
        <v>226</v>
      </c>
      <c r="H168" s="405" t="s">
        <v>561</v>
      </c>
      <c r="I168" s="403" t="s">
        <v>595</v>
      </c>
      <c r="J168" s="403" t="s">
        <v>207</v>
      </c>
      <c r="K168" s="515" t="s">
        <v>544</v>
      </c>
      <c r="O168" s="537">
        <v>43374</v>
      </c>
      <c r="P168" s="359">
        <v>43647</v>
      </c>
      <c r="Q168" s="323"/>
      <c r="R168" s="109">
        <v>7</v>
      </c>
      <c r="S168" s="108"/>
      <c r="T168" s="110"/>
      <c r="U168" s="483"/>
      <c r="V168" s="483"/>
      <c r="W168" s="405"/>
      <c r="X168" s="405"/>
      <c r="Y168" s="492"/>
      <c r="Z168" s="406" t="s">
        <v>545</v>
      </c>
      <c r="AA168" s="394">
        <v>1000</v>
      </c>
      <c r="AB168" s="394">
        <v>1000</v>
      </c>
      <c r="AC168" s="394">
        <v>1000</v>
      </c>
      <c r="AD168" s="394">
        <v>1000</v>
      </c>
      <c r="AE168" s="394">
        <v>1000</v>
      </c>
      <c r="AF168" s="394">
        <v>1000</v>
      </c>
      <c r="AG168" s="394">
        <v>1000</v>
      </c>
      <c r="AH168" s="394">
        <v>1000</v>
      </c>
      <c r="AI168" s="394">
        <v>1000</v>
      </c>
      <c r="AJ168" s="394">
        <v>1000</v>
      </c>
      <c r="AK168" s="394">
        <v>1000</v>
      </c>
      <c r="AL168" s="394">
        <v>1000</v>
      </c>
      <c r="AM168" s="388">
        <f t="shared" si="261"/>
        <v>12000</v>
      </c>
      <c r="AN168" s="388">
        <f t="shared" si="257"/>
        <v>12000</v>
      </c>
      <c r="AO168" s="389">
        <f t="shared" si="262"/>
        <v>1000</v>
      </c>
      <c r="AP168" s="502" t="s">
        <v>794</v>
      </c>
      <c r="AQ168" s="159">
        <v>0.5</v>
      </c>
      <c r="AR168" s="103" t="s">
        <v>211</v>
      </c>
      <c r="AS168" s="119" t="s">
        <v>210</v>
      </c>
      <c r="AT168" s="111"/>
      <c r="AU168" s="111"/>
      <c r="AV168" s="111">
        <v>594694.32825934701</v>
      </c>
      <c r="AW168" s="111">
        <v>604495.44684246101</v>
      </c>
      <c r="AX168" s="113"/>
      <c r="AY168" s="113"/>
      <c r="AZ168" s="113">
        <v>577515.96114999987</v>
      </c>
      <c r="BA168" s="581"/>
      <c r="BF168" s="114">
        <f t="shared" si="263"/>
        <v>0</v>
      </c>
      <c r="BG168" s="114">
        <f t="shared" si="263"/>
        <v>0</v>
      </c>
      <c r="BH168" s="114">
        <f t="shared" si="263"/>
        <v>577515.96114999987</v>
      </c>
      <c r="BI168" s="114">
        <f t="shared" si="263"/>
        <v>0</v>
      </c>
      <c r="BJ168" s="114">
        <f t="shared" ref="BJ168:BJ178" si="275">IF($BB$3="After AR Adjustment",IF($H$2=1,BF168,IF($H$2=2,SUM(BF168:BG168),IF($H$2=3,SUM(BF168:BH168),SUM(BF168:BI168)))),IF($H$2=1,AX168,IF($H$2=2,SUM(AX168:AY168),IF($H$2=3,SUM(AX168:AZ168),SUM(AX168:BA168)))))</f>
        <v>577515.96114999987</v>
      </c>
      <c r="BK168" s="115">
        <f t="shared" si="265"/>
        <v>1199189.7751018079</v>
      </c>
      <c r="BL168" s="115">
        <f t="shared" si="230"/>
        <v>1199189.7751018079</v>
      </c>
      <c r="BM168" s="116">
        <f t="shared" si="231"/>
        <v>0.48159999999999997</v>
      </c>
      <c r="BN168" s="126">
        <f t="shared" ca="1" si="174"/>
        <v>0</v>
      </c>
      <c r="BO168" s="117">
        <f t="shared" ca="1" si="175"/>
        <v>0</v>
      </c>
      <c r="BP168" s="118" t="str">
        <f t="shared" si="176"/>
        <v>Uncapped</v>
      </c>
      <c r="BQ168" s="115">
        <f t="shared" ca="1" si="209"/>
        <v>0</v>
      </c>
      <c r="BR168" s="174" t="s">
        <v>738</v>
      </c>
      <c r="BS168" s="175">
        <v>0.3</v>
      </c>
      <c r="BT168" s="174" t="s">
        <v>211</v>
      </c>
      <c r="BU168" s="174" t="s">
        <v>725</v>
      </c>
      <c r="BV168" s="113"/>
      <c r="BW168" s="113"/>
      <c r="BX168" s="113"/>
      <c r="BY168" s="113"/>
      <c r="BZ168" s="113"/>
      <c r="CA168" s="113"/>
      <c r="CB168" s="113"/>
      <c r="CC168" s="113"/>
      <c r="CH168" s="114">
        <f t="shared" si="266"/>
        <v>0</v>
      </c>
      <c r="CI168" s="114">
        <f t="shared" si="266"/>
        <v>0</v>
      </c>
      <c r="CJ168" s="120">
        <f t="shared" si="266"/>
        <v>0</v>
      </c>
      <c r="CK168" s="114">
        <f t="shared" si="266"/>
        <v>0</v>
      </c>
      <c r="CL168" s="114">
        <f t="shared" ref="CL168" si="276">IF($BB$3="After AR Adjustment",IF($H$2=1,CH168,IF($H$2=2,SUM(CH168:CI168),IF($H$2=3,SUM(CH168:CJ168),SUM(CH168:CK168)))),IF($H$2=1,BZ168,IF($H$2=2,SUM(BZ168:CA168),IF($H$2=3,SUM(BZ168:CB168),SUM(BZ168:CC168)))))</f>
        <v>0</v>
      </c>
      <c r="CM168" s="114">
        <f t="shared" ref="CM168:CM181" si="277">IF($H$2=1,BV168,IF($H$2=2,SUM(BV168:BW168),IF($H$2=3,SUM(BV168:BX168),SUM(BV168:BY168))))</f>
        <v>0</v>
      </c>
      <c r="CN168" s="114">
        <f t="shared" si="189"/>
        <v>0</v>
      </c>
      <c r="CO168" s="116">
        <f t="shared" si="232"/>
        <v>0</v>
      </c>
      <c r="CP168" s="126">
        <f t="shared" ca="1" si="233"/>
        <v>0</v>
      </c>
      <c r="CQ168" s="115">
        <f t="shared" ca="1" si="210"/>
        <v>0</v>
      </c>
      <c r="CR168" s="118" t="str">
        <f t="shared" si="234"/>
        <v>Uncapped</v>
      </c>
      <c r="CS168" s="115">
        <f t="shared" ca="1" si="211"/>
        <v>0</v>
      </c>
      <c r="CT168" s="113" t="s">
        <v>729</v>
      </c>
      <c r="CU168" s="119">
        <v>0.2</v>
      </c>
      <c r="CV168" s="113" t="s">
        <v>217</v>
      </c>
      <c r="CW168" s="113" t="s">
        <v>210</v>
      </c>
      <c r="CX168" s="173"/>
      <c r="CY168" s="173"/>
      <c r="CZ168" s="113">
        <v>15159650.061351301</v>
      </c>
      <c r="DA168" s="113">
        <v>16523055.704212198</v>
      </c>
      <c r="DB168" s="113"/>
      <c r="DC168" s="113"/>
      <c r="DD168" s="113">
        <v>13923765.347779993</v>
      </c>
      <c r="DE168" s="581"/>
      <c r="DF168" s="173"/>
      <c r="DG168" s="173"/>
      <c r="DH168" s="173"/>
      <c r="DI168" s="173"/>
      <c r="DJ168" s="114">
        <f t="shared" si="268"/>
        <v>0</v>
      </c>
      <c r="DK168" s="114">
        <f t="shared" si="268"/>
        <v>0</v>
      </c>
      <c r="DL168" s="114">
        <f t="shared" si="268"/>
        <v>13923765.347779993</v>
      </c>
      <c r="DM168" s="114">
        <f t="shared" si="268"/>
        <v>0</v>
      </c>
      <c r="DN168" s="114">
        <f t="shared" si="269"/>
        <v>13923765.347779993</v>
      </c>
      <c r="DO168" s="114">
        <f t="shared" ref="DO168" si="278">IF($H$2=1,CX168,IF($H$2=2,SUM(CX168:CY168),IF($H$2=3,SUM(CX168:CZ168),SUM(CX168:DA168))))</f>
        <v>31682705.765563499</v>
      </c>
      <c r="DP168" s="114">
        <f t="shared" si="201"/>
        <v>31682705.765563499</v>
      </c>
      <c r="DQ168" s="116">
        <f t="shared" si="235"/>
        <v>0.4395</v>
      </c>
      <c r="DR168" s="126">
        <f t="shared" ca="1" si="212"/>
        <v>0</v>
      </c>
      <c r="DS168" s="115">
        <f t="shared" ca="1" si="213"/>
        <v>0</v>
      </c>
      <c r="DT168" s="118" t="str">
        <f t="shared" si="236"/>
        <v>Uncapped</v>
      </c>
      <c r="DU168" s="115">
        <f t="shared" ca="1" si="214"/>
        <v>0</v>
      </c>
      <c r="DV168" s="173"/>
      <c r="DW168" s="173"/>
      <c r="DX168" s="173"/>
      <c r="DY168" s="173"/>
      <c r="DZ168" s="173"/>
      <c r="EA168" s="173"/>
      <c r="EB168" s="173"/>
      <c r="EC168" s="173"/>
      <c r="ED168" s="173"/>
      <c r="EE168" s="173"/>
      <c r="EF168" s="173"/>
      <c r="EG168" s="173"/>
      <c r="EH168" s="173"/>
      <c r="EI168" s="173"/>
      <c r="EJ168" s="173"/>
      <c r="EK168" s="173"/>
      <c r="EL168" s="114">
        <f t="shared" si="271"/>
        <v>0</v>
      </c>
      <c r="EM168" s="114">
        <f t="shared" si="271"/>
        <v>0</v>
      </c>
      <c r="EN168" s="114">
        <f t="shared" si="271"/>
        <v>0</v>
      </c>
      <c r="EO168" s="114">
        <f t="shared" si="271"/>
        <v>0</v>
      </c>
      <c r="EP168" s="114">
        <f t="shared" ref="EP168:EP178" si="279">IF($BB$3="After AR Adjustment",IF($H$2=1,EL168,IF($H$2=2,SUM(EL168:EM168),IF($H$2=3,SUM(EL168:EN168),SUM(EL168:EO168)))),IF($H$2=1,ED168,IF($H$2=2,SUM(ED168:EE168),IF($H$2=3,SUM(ED168:EF168),SUM(ED168:EG168)))))</f>
        <v>0</v>
      </c>
      <c r="EQ168" s="114">
        <f t="shared" ref="EQ168:EQ182" si="280">IF($H$2=1,DZ168,IF($H$2=2,SUM(DZ168:EA168),IF($H$2=3,SUM(DZ168:EB168),SUM(DZ168:EC168))))</f>
        <v>0</v>
      </c>
      <c r="ER168" s="114">
        <f t="shared" si="192"/>
        <v>0</v>
      </c>
      <c r="ES168" s="116">
        <f t="shared" si="237"/>
        <v>0</v>
      </c>
      <c r="ET168" s="126">
        <f t="shared" ca="1" si="238"/>
        <v>0</v>
      </c>
      <c r="EU168" s="115">
        <f t="shared" ca="1" si="216"/>
        <v>0</v>
      </c>
      <c r="EV168" s="118" t="str">
        <f t="shared" si="217"/>
        <v>Uncapped</v>
      </c>
      <c r="EW168" s="115">
        <f t="shared" ca="1" si="218"/>
        <v>0</v>
      </c>
      <c r="EX168" s="112">
        <f t="shared" ca="1" si="219"/>
        <v>0</v>
      </c>
      <c r="EY168" s="114">
        <f t="shared" ca="1" si="239"/>
        <v>0</v>
      </c>
      <c r="FD168" s="115">
        <f t="shared" si="252"/>
        <v>0</v>
      </c>
      <c r="FE168" s="114">
        <f t="shared" si="177"/>
        <v>0</v>
      </c>
      <c r="FJ168" s="115">
        <f t="shared" si="198"/>
        <v>0</v>
      </c>
      <c r="FK168" s="114">
        <f t="shared" si="178"/>
        <v>0</v>
      </c>
      <c r="FL168" s="514"/>
      <c r="FM168" s="514"/>
      <c r="FN168" s="514"/>
      <c r="FO168" s="514"/>
      <c r="FP168" s="115">
        <f t="shared" si="203"/>
        <v>0</v>
      </c>
      <c r="FT168" s="33">
        <f t="shared" si="240"/>
        <v>0</v>
      </c>
      <c r="FU168" s="361">
        <f t="shared" ca="1" si="244"/>
        <v>0</v>
      </c>
      <c r="FV168" s="33">
        <f t="shared" ca="1" si="241"/>
        <v>0</v>
      </c>
      <c r="FW168" s="33">
        <f t="shared" si="272"/>
        <v>0</v>
      </c>
      <c r="FX168" s="33">
        <f t="shared" si="272"/>
        <v>0</v>
      </c>
      <c r="FY168" s="33">
        <f t="shared" si="272"/>
        <v>0</v>
      </c>
      <c r="FZ168" s="33">
        <f t="shared" si="272"/>
        <v>0</v>
      </c>
      <c r="GA168" s="33">
        <f t="shared" si="274"/>
        <v>0</v>
      </c>
      <c r="GB168" s="33">
        <f t="shared" si="273"/>
        <v>0</v>
      </c>
      <c r="GC168" s="33">
        <f t="shared" si="273"/>
        <v>0</v>
      </c>
      <c r="GD168" s="33">
        <f t="shared" si="273"/>
        <v>0</v>
      </c>
      <c r="GE168" s="33">
        <f t="shared" si="273"/>
        <v>0</v>
      </c>
      <c r="GF168" s="33">
        <f t="shared" si="242"/>
        <v>0</v>
      </c>
      <c r="GG168" s="33">
        <f t="shared" si="242"/>
        <v>0</v>
      </c>
      <c r="GH168" s="33">
        <f t="shared" si="242"/>
        <v>0</v>
      </c>
      <c r="GI168" s="33">
        <f t="shared" si="242"/>
        <v>0</v>
      </c>
      <c r="GJ168" s="33">
        <f t="shared" si="199"/>
        <v>0</v>
      </c>
      <c r="GK168" s="33">
        <f t="shared" si="220"/>
        <v>0</v>
      </c>
      <c r="GL168" s="33">
        <f t="shared" si="221"/>
        <v>0</v>
      </c>
      <c r="GM168" s="33">
        <f t="shared" si="222"/>
        <v>0</v>
      </c>
      <c r="GN168" s="33">
        <f t="shared" si="223"/>
        <v>0</v>
      </c>
      <c r="GO168" s="33">
        <f t="shared" si="224"/>
        <v>0</v>
      </c>
      <c r="GP168" s="33">
        <f t="shared" si="200"/>
        <v>0</v>
      </c>
      <c r="GQ168" s="114">
        <f t="shared" si="259"/>
        <v>0</v>
      </c>
      <c r="GS168" s="507">
        <f t="shared" si="253"/>
        <v>14501281.308929993</v>
      </c>
      <c r="GT168" s="507">
        <f t="shared" si="253"/>
        <v>32881895.540665306</v>
      </c>
      <c r="GU168" s="31">
        <f t="shared" si="226"/>
        <v>0.44101111175285318</v>
      </c>
      <c r="GV168" s="124">
        <f t="shared" ca="1" si="227"/>
        <v>0</v>
      </c>
      <c r="GW168" s="124">
        <v>0</v>
      </c>
      <c r="GX168" s="179">
        <f t="shared" ca="1" si="228"/>
        <v>0</v>
      </c>
    </row>
    <row r="169" spans="3:207" hidden="1">
      <c r="F169" s="403" t="s">
        <v>795</v>
      </c>
      <c r="G169" s="104" t="s">
        <v>226</v>
      </c>
      <c r="H169" s="405" t="s">
        <v>348</v>
      </c>
      <c r="I169" s="106" t="s">
        <v>349</v>
      </c>
      <c r="J169" s="104" t="s">
        <v>207</v>
      </c>
      <c r="K169" s="511" t="s">
        <v>208</v>
      </c>
      <c r="O169" s="537">
        <v>41376</v>
      </c>
      <c r="P169" s="359">
        <v>43647</v>
      </c>
      <c r="Q169" s="323"/>
      <c r="R169" s="109">
        <v>7</v>
      </c>
      <c r="S169" s="108"/>
      <c r="T169" s="110"/>
      <c r="U169" s="483"/>
      <c r="V169" s="483"/>
      <c r="W169" s="405"/>
      <c r="X169" s="405"/>
      <c r="Y169" s="492"/>
      <c r="Z169" s="406" t="s">
        <v>545</v>
      </c>
      <c r="AA169" s="394">
        <v>1000</v>
      </c>
      <c r="AB169" s="394">
        <v>1000</v>
      </c>
      <c r="AC169" s="394">
        <v>1000</v>
      </c>
      <c r="AD169" s="394">
        <v>1000</v>
      </c>
      <c r="AE169" s="394">
        <v>1000</v>
      </c>
      <c r="AF169" s="394">
        <v>1000</v>
      </c>
      <c r="AG169" s="394">
        <v>1000</v>
      </c>
      <c r="AH169" s="394">
        <v>1000</v>
      </c>
      <c r="AI169" s="394">
        <v>1000</v>
      </c>
      <c r="AJ169" s="394">
        <v>1000</v>
      </c>
      <c r="AK169" s="394">
        <v>1000</v>
      </c>
      <c r="AL169" s="394">
        <v>1000</v>
      </c>
      <c r="AM169" s="388">
        <f t="shared" si="261"/>
        <v>12000</v>
      </c>
      <c r="AN169" s="388">
        <f t="shared" si="257"/>
        <v>12000</v>
      </c>
      <c r="AO169" s="389">
        <f t="shared" si="262"/>
        <v>1000</v>
      </c>
      <c r="AP169" s="498" t="s">
        <v>682</v>
      </c>
      <c r="AQ169" s="159">
        <v>0.5</v>
      </c>
      <c r="AR169" s="160" t="s">
        <v>211</v>
      </c>
      <c r="AS169" s="119" t="s">
        <v>210</v>
      </c>
      <c r="AT169" s="504"/>
      <c r="AU169" s="504"/>
      <c r="AV169" s="504">
        <v>10795356.019200001</v>
      </c>
      <c r="AW169" s="504">
        <v>13015519.956999999</v>
      </c>
      <c r="AX169" s="173"/>
      <c r="AY169" s="173"/>
      <c r="AZ169" s="113">
        <v>10654868.665443931</v>
      </c>
      <c r="BA169" s="506"/>
      <c r="BF169" s="114">
        <f t="shared" si="263"/>
        <v>0</v>
      </c>
      <c r="BG169" s="114">
        <f t="shared" si="263"/>
        <v>0</v>
      </c>
      <c r="BH169" s="114">
        <f t="shared" si="263"/>
        <v>10654868.665443931</v>
      </c>
      <c r="BI169" s="114">
        <f t="shared" si="263"/>
        <v>0</v>
      </c>
      <c r="BJ169" s="114">
        <f t="shared" si="275"/>
        <v>10654868.665443931</v>
      </c>
      <c r="BK169" s="115">
        <f t="shared" si="265"/>
        <v>23810875.976199999</v>
      </c>
      <c r="BL169" s="115">
        <f t="shared" si="230"/>
        <v>23810875.976199999</v>
      </c>
      <c r="BM169" s="116">
        <f t="shared" si="231"/>
        <v>0.44750000000000001</v>
      </c>
      <c r="BN169" s="126">
        <f t="shared" ref="BN169:BN181" ca="1" si="281">IF(OR(AP169="MBO",AP169="10% Realized Price"),BM169,SUMPRODUCT(Lower_Payout*(Curve=AR169)*(Lower_Attain&lt;=BM169)*(Upper_Attain&gt;BM169))+(BM169-SUMPRODUCT(Lower_Attain*(Curve=AR169)*(Lower_Attain&lt;=BM169)*(Upper_Attain&gt;BM169)))*SUMPRODUCT(Slope*(Curve=AR169)*(Lower_Attain&lt;=BM169)*(Upper_Attain&gt;BM169)))</f>
        <v>0</v>
      </c>
      <c r="BO169" s="117">
        <f t="shared" ref="BO169:BO181" ca="1" si="282">IFERROR(AM169*AQ169*BN169,0)</f>
        <v>0</v>
      </c>
      <c r="BP169" s="118" t="str">
        <f t="shared" ref="BP169:BP181" si="283">IF($T169="Y","100%",IF($H$2=4,"Uncapped",IF(N169="Y","100%",IF($G169="AA","50%",IF($G169="SA","90%",IF($G169="APJ Regional-AA","50%",IF($G169="APJ Regional-SA","90%",75%)))))))</f>
        <v>Uncapped</v>
      </c>
      <c r="BQ169" s="115">
        <f t="shared" ca="1" si="209"/>
        <v>0</v>
      </c>
      <c r="BR169" s="113" t="s">
        <v>700</v>
      </c>
      <c r="BS169" s="161">
        <v>0.3</v>
      </c>
      <c r="BT169" s="113" t="s">
        <v>211</v>
      </c>
      <c r="BU169" s="160" t="s">
        <v>210</v>
      </c>
      <c r="BV169" s="173"/>
      <c r="BW169" s="173"/>
      <c r="BX169" s="113">
        <v>568983.43999999994</v>
      </c>
      <c r="BY169" s="113">
        <v>506569.43</v>
      </c>
      <c r="BZ169" s="173"/>
      <c r="CA169" s="173"/>
      <c r="CB169" s="113">
        <v>415869.76799999998</v>
      </c>
      <c r="CC169" s="506"/>
      <c r="CH169" s="114">
        <f t="shared" si="266"/>
        <v>0</v>
      </c>
      <c r="CI169" s="114">
        <f t="shared" si="266"/>
        <v>0</v>
      </c>
      <c r="CJ169" s="120">
        <f t="shared" si="266"/>
        <v>415869.76799999998</v>
      </c>
      <c r="CK169" s="114">
        <f t="shared" si="266"/>
        <v>0</v>
      </c>
      <c r="CL169" s="114">
        <f t="shared" ref="CL169:CL181" si="284">IF($BB$3="After AR Adjustment",IF($H$2=1,CH169,IF($H$2=2,SUM(CH169:CI169),IF($H$2=3,SUM(CH169:CJ169),SUM(CH169:CK169)))),IF($H$2=1,BZ169,IF($H$2=2,SUM(BZ169:CA169),IF($H$2=3,SUM(BZ169:CB169),SUM(BZ169:CC169)))))</f>
        <v>415869.76799999998</v>
      </c>
      <c r="CM169" s="114">
        <f t="shared" si="277"/>
        <v>1075552.8699999999</v>
      </c>
      <c r="CN169" s="114">
        <f t="shared" si="189"/>
        <v>1075552.8699999999</v>
      </c>
      <c r="CO169" s="116">
        <f t="shared" si="232"/>
        <v>0.38669999999999999</v>
      </c>
      <c r="CP169" s="126">
        <f t="shared" ca="1" si="233"/>
        <v>0</v>
      </c>
      <c r="CQ169" s="115">
        <f t="shared" ca="1" si="210"/>
        <v>0</v>
      </c>
      <c r="CR169" s="118" t="str">
        <f t="shared" si="234"/>
        <v>Uncapped</v>
      </c>
      <c r="CS169" s="115">
        <f t="shared" ca="1" si="211"/>
        <v>0</v>
      </c>
      <c r="CT169" s="113" t="s">
        <v>702</v>
      </c>
      <c r="CU169" s="119">
        <v>0.2</v>
      </c>
      <c r="CV169" s="113" t="s">
        <v>217</v>
      </c>
      <c r="CW169" s="113" t="s">
        <v>210</v>
      </c>
      <c r="CX169" s="173"/>
      <c r="CY169" s="173"/>
      <c r="CZ169" s="506">
        <v>22618799.574099999</v>
      </c>
      <c r="DA169" s="506">
        <v>27098464.121500004</v>
      </c>
      <c r="DB169" s="173"/>
      <c r="DC169" s="173"/>
      <c r="DD169" s="113">
        <v>22879083.486580007</v>
      </c>
      <c r="DE169" s="506"/>
      <c r="DF169" s="173"/>
      <c r="DG169" s="173"/>
      <c r="DH169" s="173"/>
      <c r="DI169" s="173"/>
      <c r="DJ169" s="114">
        <f t="shared" si="268"/>
        <v>0</v>
      </c>
      <c r="DK169" s="114">
        <f t="shared" si="268"/>
        <v>0</v>
      </c>
      <c r="DL169" s="114">
        <f t="shared" si="268"/>
        <v>22879083.486580007</v>
      </c>
      <c r="DM169" s="114">
        <f t="shared" si="268"/>
        <v>0</v>
      </c>
      <c r="DN169" s="114">
        <f t="shared" si="269"/>
        <v>22879083.486580007</v>
      </c>
      <c r="DO169" s="114">
        <f t="shared" ref="DO169:DO182" si="285">IF($H$2=1,CX169,IF($H$2=2,SUM(CX169:CY169),IF($H$2=3,SUM(CX169:CZ169),SUM(CX169:DA169))))</f>
        <v>49717263.695600003</v>
      </c>
      <c r="DP169" s="114">
        <f t="shared" si="201"/>
        <v>49717263.695600003</v>
      </c>
      <c r="DQ169" s="116">
        <f t="shared" si="235"/>
        <v>0.4602</v>
      </c>
      <c r="DR169" s="126">
        <f t="shared" ca="1" si="212"/>
        <v>0</v>
      </c>
      <c r="DS169" s="115">
        <f t="shared" ca="1" si="213"/>
        <v>0</v>
      </c>
      <c r="DT169" s="118" t="str">
        <f t="shared" si="236"/>
        <v>Uncapped</v>
      </c>
      <c r="DU169" s="115">
        <f t="shared" ca="1" si="214"/>
        <v>0</v>
      </c>
      <c r="DV169" s="173"/>
      <c r="DW169" s="173"/>
      <c r="DX169" s="173"/>
      <c r="DY169" s="173"/>
      <c r="DZ169" s="173"/>
      <c r="EA169" s="173"/>
      <c r="EB169" s="173"/>
      <c r="EC169" s="173"/>
      <c r="ED169" s="173"/>
      <c r="EE169" s="173"/>
      <c r="EF169" s="173"/>
      <c r="EG169" s="173"/>
      <c r="EH169" s="173"/>
      <c r="EI169" s="173"/>
      <c r="EJ169" s="173"/>
      <c r="EK169" s="173"/>
      <c r="EL169" s="114">
        <f t="shared" si="271"/>
        <v>0</v>
      </c>
      <c r="EM169" s="114">
        <f t="shared" si="271"/>
        <v>0</v>
      </c>
      <c r="EN169" s="114">
        <f t="shared" si="271"/>
        <v>0</v>
      </c>
      <c r="EO169" s="114">
        <f t="shared" si="271"/>
        <v>0</v>
      </c>
      <c r="EP169" s="114">
        <f t="shared" si="279"/>
        <v>0</v>
      </c>
      <c r="EQ169" s="114">
        <f t="shared" si="280"/>
        <v>0</v>
      </c>
      <c r="ER169" s="114">
        <f t="shared" si="192"/>
        <v>0</v>
      </c>
      <c r="ES169" s="116">
        <f t="shared" si="237"/>
        <v>0</v>
      </c>
      <c r="ET169" s="126">
        <f t="shared" ca="1" si="238"/>
        <v>0</v>
      </c>
      <c r="EU169" s="115">
        <f t="shared" ca="1" si="216"/>
        <v>0</v>
      </c>
      <c r="EV169" s="118" t="str">
        <f t="shared" si="217"/>
        <v>Uncapped</v>
      </c>
      <c r="EW169" s="115">
        <f t="shared" ca="1" si="218"/>
        <v>0</v>
      </c>
      <c r="EX169" s="112">
        <f t="shared" ca="1" si="219"/>
        <v>0</v>
      </c>
      <c r="EY169" s="114">
        <f t="shared" ca="1" si="239"/>
        <v>0</v>
      </c>
      <c r="FD169" s="115">
        <f t="shared" si="252"/>
        <v>0</v>
      </c>
      <c r="FE169" s="114">
        <f t="shared" si="177"/>
        <v>0</v>
      </c>
      <c r="FJ169" s="115">
        <f t="shared" si="198"/>
        <v>0</v>
      </c>
      <c r="FK169" s="114">
        <f t="shared" si="178"/>
        <v>0</v>
      </c>
      <c r="FL169" s="514"/>
      <c r="FM169" s="514"/>
      <c r="FN169" s="514"/>
      <c r="FO169" s="514"/>
      <c r="FP169" s="115">
        <f t="shared" si="203"/>
        <v>0</v>
      </c>
      <c r="FT169" s="33">
        <f t="shared" si="240"/>
        <v>0</v>
      </c>
      <c r="FU169" s="361">
        <f t="shared" ca="1" si="244"/>
        <v>0</v>
      </c>
      <c r="FV169" s="33">
        <f t="shared" ca="1" si="241"/>
        <v>0</v>
      </c>
      <c r="FW169" s="33">
        <f t="shared" si="272"/>
        <v>0</v>
      </c>
      <c r="FX169" s="33">
        <f t="shared" si="272"/>
        <v>0</v>
      </c>
      <c r="FY169" s="33">
        <f t="shared" si="272"/>
        <v>0</v>
      </c>
      <c r="FZ169" s="33">
        <f t="shared" si="272"/>
        <v>0</v>
      </c>
      <c r="GA169" s="33">
        <f t="shared" si="274"/>
        <v>0</v>
      </c>
      <c r="GB169" s="33">
        <f t="shared" si="273"/>
        <v>0</v>
      </c>
      <c r="GC169" s="33">
        <f t="shared" si="273"/>
        <v>0</v>
      </c>
      <c r="GD169" s="33">
        <f t="shared" si="273"/>
        <v>0</v>
      </c>
      <c r="GE169" s="33">
        <f t="shared" si="273"/>
        <v>0</v>
      </c>
      <c r="GF169" s="33">
        <f t="shared" si="242"/>
        <v>0</v>
      </c>
      <c r="GG169" s="33">
        <f t="shared" si="242"/>
        <v>0</v>
      </c>
      <c r="GH169" s="33">
        <f t="shared" si="242"/>
        <v>0</v>
      </c>
      <c r="GI169" s="33">
        <f t="shared" si="242"/>
        <v>0</v>
      </c>
      <c r="GJ169" s="33">
        <f t="shared" si="199"/>
        <v>0</v>
      </c>
      <c r="GK169" s="33">
        <f t="shared" si="220"/>
        <v>0</v>
      </c>
      <c r="GL169" s="33">
        <f t="shared" si="221"/>
        <v>0</v>
      </c>
      <c r="GM169" s="33">
        <f t="shared" si="222"/>
        <v>0</v>
      </c>
      <c r="GN169" s="33">
        <f t="shared" si="223"/>
        <v>0</v>
      </c>
      <c r="GO169" s="33">
        <f t="shared" si="224"/>
        <v>0</v>
      </c>
      <c r="GP169" s="33">
        <f t="shared" si="200"/>
        <v>0</v>
      </c>
      <c r="GQ169" s="114">
        <f t="shared" si="259"/>
        <v>0</v>
      </c>
      <c r="GS169" s="507">
        <f t="shared" si="253"/>
        <v>33949821.920023933</v>
      </c>
      <c r="GT169" s="507">
        <f t="shared" si="253"/>
        <v>74603692.541800007</v>
      </c>
      <c r="GU169" s="31">
        <f t="shared" si="226"/>
        <v>0.45506892170252899</v>
      </c>
      <c r="GV169" s="124">
        <f t="shared" ca="1" si="227"/>
        <v>0</v>
      </c>
      <c r="GW169" s="124">
        <v>0</v>
      </c>
      <c r="GX169" s="179">
        <f t="shared" ca="1" si="228"/>
        <v>0</v>
      </c>
    </row>
    <row r="170" spans="3:207" hidden="1">
      <c r="F170" s="104" t="s">
        <v>235</v>
      </c>
      <c r="G170" s="104" t="s">
        <v>226</v>
      </c>
      <c r="H170" s="405" t="s">
        <v>236</v>
      </c>
      <c r="I170" s="106" t="s">
        <v>237</v>
      </c>
      <c r="J170" s="104" t="s">
        <v>238</v>
      </c>
      <c r="K170" s="511" t="s">
        <v>208</v>
      </c>
      <c r="O170" s="537">
        <v>41376</v>
      </c>
      <c r="P170" s="359">
        <v>43647</v>
      </c>
      <c r="Q170" s="323"/>
      <c r="R170" s="109">
        <v>7</v>
      </c>
      <c r="S170" s="108"/>
      <c r="T170" s="110"/>
      <c r="U170" s="483"/>
      <c r="V170" s="483"/>
      <c r="W170" s="405"/>
      <c r="X170" s="405"/>
      <c r="Y170" s="492"/>
      <c r="Z170" s="406" t="s">
        <v>545</v>
      </c>
      <c r="AA170" s="394"/>
      <c r="AB170" s="394"/>
      <c r="AC170" s="394"/>
      <c r="AD170" s="394"/>
      <c r="AE170" s="394"/>
      <c r="AF170" s="394"/>
      <c r="AG170" s="371">
        <v>5000000</v>
      </c>
      <c r="AH170" s="371">
        <v>5000000</v>
      </c>
      <c r="AI170" s="371">
        <v>5000000</v>
      </c>
      <c r="AJ170" s="371">
        <v>5000000</v>
      </c>
      <c r="AK170" s="371">
        <v>5000000</v>
      </c>
      <c r="AL170" s="371">
        <v>5000000</v>
      </c>
      <c r="AM170" s="388">
        <f t="shared" si="261"/>
        <v>30000000</v>
      </c>
      <c r="AN170" s="388">
        <f t="shared" si="257"/>
        <v>60000000</v>
      </c>
      <c r="AO170" s="389">
        <f t="shared" si="262"/>
        <v>5000000</v>
      </c>
      <c r="AP170" s="498" t="s">
        <v>682</v>
      </c>
      <c r="AQ170" s="159">
        <v>0.5</v>
      </c>
      <c r="AR170" s="160" t="s">
        <v>211</v>
      </c>
      <c r="AS170" s="119" t="s">
        <v>210</v>
      </c>
      <c r="AT170" s="504"/>
      <c r="AU170" s="504"/>
      <c r="AV170" s="111">
        <v>22618799.574099999</v>
      </c>
      <c r="AW170" s="111">
        <v>27098464.121500004</v>
      </c>
      <c r="AX170" s="173"/>
      <c r="AY170" s="173"/>
      <c r="AZ170" s="113">
        <v>22879083.486580007</v>
      </c>
      <c r="BA170" s="506"/>
      <c r="BF170" s="114">
        <f t="shared" si="263"/>
        <v>0</v>
      </c>
      <c r="BG170" s="114">
        <f t="shared" si="263"/>
        <v>0</v>
      </c>
      <c r="BH170" s="114">
        <f t="shared" si="263"/>
        <v>22879083.486580007</v>
      </c>
      <c r="BI170" s="114">
        <f t="shared" si="263"/>
        <v>0</v>
      </c>
      <c r="BJ170" s="114">
        <f t="shared" si="275"/>
        <v>22879083.486580007</v>
      </c>
      <c r="BK170" s="115">
        <f t="shared" si="265"/>
        <v>49717263.695600003</v>
      </c>
      <c r="BL170" s="115">
        <f t="shared" si="230"/>
        <v>49717263.695600003</v>
      </c>
      <c r="BM170" s="116">
        <f t="shared" si="231"/>
        <v>0.4602</v>
      </c>
      <c r="BN170" s="126">
        <f t="shared" ca="1" si="281"/>
        <v>0</v>
      </c>
      <c r="BO170" s="117">
        <f t="shared" ca="1" si="282"/>
        <v>0</v>
      </c>
      <c r="BP170" s="118" t="str">
        <f t="shared" si="283"/>
        <v>Uncapped</v>
      </c>
      <c r="BQ170" s="115">
        <f t="shared" ca="1" si="209"/>
        <v>0</v>
      </c>
      <c r="BR170" s="113" t="s">
        <v>700</v>
      </c>
      <c r="BS170" s="161">
        <v>0.3</v>
      </c>
      <c r="BT170" s="113" t="s">
        <v>211</v>
      </c>
      <c r="BU170" s="160" t="s">
        <v>210</v>
      </c>
      <c r="BV170" s="173"/>
      <c r="BW170" s="173"/>
      <c r="BX170" s="113">
        <v>3014750.0350000001</v>
      </c>
      <c r="BY170" s="113">
        <v>2985254.3949999996</v>
      </c>
      <c r="BZ170" s="173"/>
      <c r="CA170" s="173"/>
      <c r="CB170" s="113">
        <v>2584754.9819999998</v>
      </c>
      <c r="CC170" s="506"/>
      <c r="CH170" s="114">
        <f t="shared" si="266"/>
        <v>0</v>
      </c>
      <c r="CI170" s="114">
        <f t="shared" si="266"/>
        <v>0</v>
      </c>
      <c r="CJ170" s="120">
        <f t="shared" si="266"/>
        <v>2584754.9819999998</v>
      </c>
      <c r="CK170" s="114">
        <f t="shared" si="266"/>
        <v>0</v>
      </c>
      <c r="CL170" s="114">
        <f t="shared" si="284"/>
        <v>2584754.9819999998</v>
      </c>
      <c r="CM170" s="114">
        <f t="shared" si="277"/>
        <v>6000004.4299999997</v>
      </c>
      <c r="CN170" s="114">
        <f t="shared" si="189"/>
        <v>6000004.4299999997</v>
      </c>
      <c r="CO170" s="116">
        <f t="shared" si="232"/>
        <v>0.43080000000000002</v>
      </c>
      <c r="CP170" s="126">
        <f t="shared" ca="1" si="233"/>
        <v>0</v>
      </c>
      <c r="CQ170" s="115">
        <f t="shared" ca="1" si="210"/>
        <v>0</v>
      </c>
      <c r="CR170" s="118" t="str">
        <f t="shared" si="234"/>
        <v>Uncapped</v>
      </c>
      <c r="CS170" s="115">
        <f t="shared" ca="1" si="211"/>
        <v>0</v>
      </c>
      <c r="CT170" s="113" t="s">
        <v>696</v>
      </c>
      <c r="CU170" s="119">
        <v>0.2</v>
      </c>
      <c r="CV170" s="113" t="s">
        <v>217</v>
      </c>
      <c r="CW170" s="113" t="s">
        <v>210</v>
      </c>
      <c r="CX170" s="173"/>
      <c r="CY170" s="173"/>
      <c r="CZ170" s="113">
        <v>69179032.514420599</v>
      </c>
      <c r="DA170" s="113">
        <v>76323964.015026003</v>
      </c>
      <c r="DB170" s="173"/>
      <c r="DC170" s="173"/>
      <c r="DD170" s="113">
        <v>66410604.684560001</v>
      </c>
      <c r="DE170" s="506"/>
      <c r="DF170" s="173"/>
      <c r="DG170" s="173"/>
      <c r="DH170" s="173"/>
      <c r="DI170" s="173"/>
      <c r="DJ170" s="114">
        <f t="shared" si="268"/>
        <v>0</v>
      </c>
      <c r="DK170" s="114">
        <f t="shared" si="268"/>
        <v>0</v>
      </c>
      <c r="DL170" s="114">
        <f t="shared" si="268"/>
        <v>66410604.684560001</v>
      </c>
      <c r="DM170" s="114">
        <f t="shared" si="268"/>
        <v>0</v>
      </c>
      <c r="DN170" s="114">
        <f t="shared" si="269"/>
        <v>66410604.684560001</v>
      </c>
      <c r="DO170" s="114">
        <f t="shared" si="285"/>
        <v>145502996.5294466</v>
      </c>
      <c r="DP170" s="114">
        <f t="shared" si="201"/>
        <v>145502996.5294466</v>
      </c>
      <c r="DQ170" s="116">
        <f t="shared" si="235"/>
        <v>0.45639999999999997</v>
      </c>
      <c r="DR170" s="126">
        <f t="shared" ca="1" si="212"/>
        <v>0</v>
      </c>
      <c r="DS170" s="115">
        <f t="shared" ca="1" si="213"/>
        <v>0</v>
      </c>
      <c r="DT170" s="118" t="str">
        <f t="shared" si="236"/>
        <v>Uncapped</v>
      </c>
      <c r="DU170" s="115">
        <f t="shared" ca="1" si="214"/>
        <v>0</v>
      </c>
      <c r="DV170" s="173"/>
      <c r="DW170" s="173"/>
      <c r="DX170" s="173"/>
      <c r="DY170" s="173"/>
      <c r="DZ170" s="173"/>
      <c r="EA170" s="173"/>
      <c r="EB170" s="173"/>
      <c r="EC170" s="173"/>
      <c r="ED170" s="173"/>
      <c r="EE170" s="173"/>
      <c r="EF170" s="173"/>
      <c r="EG170" s="173"/>
      <c r="EH170" s="173"/>
      <c r="EI170" s="173"/>
      <c r="EJ170" s="173"/>
      <c r="EK170" s="173"/>
      <c r="EL170" s="114">
        <f t="shared" si="271"/>
        <v>0</v>
      </c>
      <c r="EM170" s="114">
        <f t="shared" si="271"/>
        <v>0</v>
      </c>
      <c r="EN170" s="114">
        <f t="shared" si="271"/>
        <v>0</v>
      </c>
      <c r="EO170" s="114">
        <f t="shared" si="271"/>
        <v>0</v>
      </c>
      <c r="EP170" s="114">
        <f t="shared" si="279"/>
        <v>0</v>
      </c>
      <c r="EQ170" s="114">
        <f t="shared" si="280"/>
        <v>0</v>
      </c>
      <c r="ER170" s="114">
        <f t="shared" si="192"/>
        <v>0</v>
      </c>
      <c r="ES170" s="116">
        <f t="shared" si="237"/>
        <v>0</v>
      </c>
      <c r="ET170" s="126">
        <f t="shared" ca="1" si="238"/>
        <v>0</v>
      </c>
      <c r="EU170" s="115">
        <f t="shared" ca="1" si="216"/>
        <v>0</v>
      </c>
      <c r="EV170" s="118" t="str">
        <f t="shared" si="217"/>
        <v>Uncapped</v>
      </c>
      <c r="EW170" s="115">
        <f t="shared" ca="1" si="218"/>
        <v>0</v>
      </c>
      <c r="EX170" s="112">
        <f t="shared" ca="1" si="219"/>
        <v>0</v>
      </c>
      <c r="EY170" s="114">
        <f t="shared" ca="1" si="239"/>
        <v>0</v>
      </c>
      <c r="FD170" s="115">
        <f t="shared" si="252"/>
        <v>0</v>
      </c>
      <c r="FE170" s="114">
        <f t="shared" si="177"/>
        <v>0</v>
      </c>
      <c r="FJ170" s="115">
        <f t="shared" si="198"/>
        <v>0</v>
      </c>
      <c r="FK170" s="114">
        <f t="shared" si="178"/>
        <v>0</v>
      </c>
      <c r="FL170" s="514"/>
      <c r="FM170" s="514"/>
      <c r="FN170" s="514"/>
      <c r="FO170" s="514"/>
      <c r="FP170" s="115">
        <f t="shared" si="203"/>
        <v>0</v>
      </c>
      <c r="FT170" s="33">
        <f t="shared" si="240"/>
        <v>0</v>
      </c>
      <c r="FU170" s="361">
        <f t="shared" ca="1" si="244"/>
        <v>0</v>
      </c>
      <c r="FV170" s="33">
        <f t="shared" ca="1" si="241"/>
        <v>0</v>
      </c>
      <c r="FW170" s="33">
        <f t="shared" si="272"/>
        <v>0</v>
      </c>
      <c r="FX170" s="33">
        <f t="shared" si="272"/>
        <v>0</v>
      </c>
      <c r="FY170" s="33">
        <f t="shared" si="272"/>
        <v>0</v>
      </c>
      <c r="FZ170" s="33">
        <f t="shared" si="272"/>
        <v>0</v>
      </c>
      <c r="GA170" s="33">
        <f t="shared" si="274"/>
        <v>0</v>
      </c>
      <c r="GB170" s="33">
        <f t="shared" si="273"/>
        <v>0</v>
      </c>
      <c r="GC170" s="33">
        <f t="shared" si="273"/>
        <v>0</v>
      </c>
      <c r="GD170" s="33">
        <f t="shared" si="273"/>
        <v>0</v>
      </c>
      <c r="GE170" s="33">
        <f t="shared" si="273"/>
        <v>0</v>
      </c>
      <c r="GF170" s="33">
        <f t="shared" si="242"/>
        <v>0</v>
      </c>
      <c r="GG170" s="33">
        <f t="shared" si="242"/>
        <v>0</v>
      </c>
      <c r="GH170" s="33">
        <f t="shared" si="242"/>
        <v>0</v>
      </c>
      <c r="GI170" s="33">
        <f t="shared" si="242"/>
        <v>0</v>
      </c>
      <c r="GJ170" s="33">
        <f t="shared" si="199"/>
        <v>0</v>
      </c>
      <c r="GK170" s="33">
        <f t="shared" si="220"/>
        <v>0</v>
      </c>
      <c r="GL170" s="33">
        <f t="shared" si="221"/>
        <v>0</v>
      </c>
      <c r="GM170" s="33">
        <f t="shared" si="222"/>
        <v>0</v>
      </c>
      <c r="GN170" s="33">
        <f t="shared" si="223"/>
        <v>0</v>
      </c>
      <c r="GO170" s="33">
        <f t="shared" si="224"/>
        <v>0</v>
      </c>
      <c r="GP170" s="33">
        <f t="shared" si="200"/>
        <v>0</v>
      </c>
      <c r="GQ170" s="114">
        <f t="shared" si="259"/>
        <v>0</v>
      </c>
      <c r="GS170" s="507">
        <f t="shared" ref="GS170:GT185" si="286">IFERROR(BJ170+CL170+DN170+EP170,0)</f>
        <v>91874443.153140008</v>
      </c>
      <c r="GT170" s="507">
        <f t="shared" si="286"/>
        <v>201220264.65504661</v>
      </c>
      <c r="GU170" s="31">
        <f t="shared" si="226"/>
        <v>0.45658643432678636</v>
      </c>
      <c r="GV170" s="124">
        <f t="shared" ca="1" si="227"/>
        <v>0</v>
      </c>
      <c r="GW170" s="124">
        <v>0</v>
      </c>
      <c r="GX170" s="179">
        <f t="shared" ca="1" si="228"/>
        <v>0</v>
      </c>
    </row>
    <row r="171" spans="3:207" hidden="1">
      <c r="F171" s="104" t="s">
        <v>224</v>
      </c>
      <c r="G171" s="104" t="s">
        <v>226</v>
      </c>
      <c r="H171" s="405" t="s">
        <v>241</v>
      </c>
      <c r="I171" s="106" t="s">
        <v>242</v>
      </c>
      <c r="J171" s="104" t="s">
        <v>212</v>
      </c>
      <c r="K171" s="511" t="s">
        <v>208</v>
      </c>
      <c r="O171" s="537">
        <v>41376</v>
      </c>
      <c r="P171" s="359">
        <v>43647</v>
      </c>
      <c r="Q171" s="323"/>
      <c r="R171" s="109">
        <v>7</v>
      </c>
      <c r="S171" s="108"/>
      <c r="T171" s="110"/>
      <c r="U171" s="483"/>
      <c r="V171" s="483"/>
      <c r="W171" s="405"/>
      <c r="X171" s="405"/>
      <c r="Y171" s="492"/>
      <c r="Z171" s="406" t="s">
        <v>545</v>
      </c>
      <c r="AA171" s="394">
        <v>1000</v>
      </c>
      <c r="AB171" s="394">
        <v>1000</v>
      </c>
      <c r="AC171" s="394">
        <v>1000</v>
      </c>
      <c r="AD171" s="394">
        <v>1000</v>
      </c>
      <c r="AE171" s="394">
        <v>1000</v>
      </c>
      <c r="AF171" s="394">
        <v>1000</v>
      </c>
      <c r="AG171" s="394">
        <v>1000</v>
      </c>
      <c r="AH171" s="394">
        <v>1000</v>
      </c>
      <c r="AI171" s="394">
        <v>1000</v>
      </c>
      <c r="AJ171" s="394">
        <v>1000</v>
      </c>
      <c r="AK171" s="394">
        <v>1000</v>
      </c>
      <c r="AL171" s="394">
        <v>1000</v>
      </c>
      <c r="AM171" s="388">
        <f t="shared" si="261"/>
        <v>12000</v>
      </c>
      <c r="AN171" s="388">
        <f t="shared" si="257"/>
        <v>12000</v>
      </c>
      <c r="AO171" s="389">
        <f t="shared" si="262"/>
        <v>1000</v>
      </c>
      <c r="AP171" s="498" t="s">
        <v>675</v>
      </c>
      <c r="AQ171" s="159">
        <v>0.6</v>
      </c>
      <c r="AR171" s="160" t="s">
        <v>211</v>
      </c>
      <c r="AS171" s="119" t="s">
        <v>210</v>
      </c>
      <c r="AT171" s="504"/>
      <c r="AU171" s="504"/>
      <c r="AV171" s="111">
        <v>776677.55599999998</v>
      </c>
      <c r="AW171" s="111">
        <v>1112502.1939999999</v>
      </c>
      <c r="AX171" s="173"/>
      <c r="AY171" s="173"/>
      <c r="AZ171" s="113">
        <v>813612.90600000101</v>
      </c>
      <c r="BA171" s="506"/>
      <c r="BF171" s="114">
        <f t="shared" si="263"/>
        <v>0</v>
      </c>
      <c r="BG171" s="114">
        <f t="shared" si="263"/>
        <v>0</v>
      </c>
      <c r="BH171" s="114">
        <f t="shared" si="263"/>
        <v>813612.90600000101</v>
      </c>
      <c r="BI171" s="114">
        <f t="shared" si="263"/>
        <v>0</v>
      </c>
      <c r="BJ171" s="114">
        <f t="shared" si="275"/>
        <v>813612.90600000101</v>
      </c>
      <c r="BK171" s="115">
        <f t="shared" si="265"/>
        <v>1889179.75</v>
      </c>
      <c r="BL171" s="115">
        <f t="shared" si="230"/>
        <v>1889179.75</v>
      </c>
      <c r="BM171" s="116">
        <f t="shared" si="231"/>
        <v>0.43070000000000003</v>
      </c>
      <c r="BN171" s="126">
        <f t="shared" ca="1" si="281"/>
        <v>0</v>
      </c>
      <c r="BO171" s="117">
        <f t="shared" ca="1" si="282"/>
        <v>0</v>
      </c>
      <c r="BP171" s="118" t="str">
        <f t="shared" si="283"/>
        <v>Uncapped</v>
      </c>
      <c r="BQ171" s="115">
        <f t="shared" ca="1" si="209"/>
        <v>0</v>
      </c>
      <c r="BR171" s="113" t="s">
        <v>688</v>
      </c>
      <c r="BS171" s="161">
        <v>0.2</v>
      </c>
      <c r="BT171" s="113" t="s">
        <v>211</v>
      </c>
      <c r="BU171" s="160" t="s">
        <v>210</v>
      </c>
      <c r="BV171" s="173"/>
      <c r="BW171" s="173"/>
      <c r="BX171" s="113">
        <v>22618799.574099999</v>
      </c>
      <c r="BY171" s="113">
        <v>27098464.121500004</v>
      </c>
      <c r="BZ171" s="173"/>
      <c r="CA171" s="173"/>
      <c r="CB171" s="113">
        <v>22879083.486580007</v>
      </c>
      <c r="CC171" s="506"/>
      <c r="CH171" s="114">
        <f t="shared" si="266"/>
        <v>0</v>
      </c>
      <c r="CI171" s="114">
        <f t="shared" si="266"/>
        <v>0</v>
      </c>
      <c r="CJ171" s="120">
        <f t="shared" si="266"/>
        <v>22879083.486580007</v>
      </c>
      <c r="CK171" s="114">
        <f t="shared" si="266"/>
        <v>0</v>
      </c>
      <c r="CL171" s="114">
        <f t="shared" si="284"/>
        <v>22879083.486580007</v>
      </c>
      <c r="CM171" s="114">
        <f t="shared" si="277"/>
        <v>49717263.695600003</v>
      </c>
      <c r="CN171" s="114">
        <f t="shared" si="189"/>
        <v>49717263.695600003</v>
      </c>
      <c r="CO171" s="116">
        <f t="shared" si="232"/>
        <v>0.4602</v>
      </c>
      <c r="CP171" s="126">
        <f t="shared" ca="1" si="233"/>
        <v>0</v>
      </c>
      <c r="CQ171" s="115">
        <f t="shared" ca="1" si="210"/>
        <v>0</v>
      </c>
      <c r="CR171" s="118" t="str">
        <f t="shared" si="234"/>
        <v>Uncapped</v>
      </c>
      <c r="CS171" s="115">
        <f t="shared" ca="1" si="211"/>
        <v>0</v>
      </c>
      <c r="CT171" s="113" t="s">
        <v>696</v>
      </c>
      <c r="CU171" s="119">
        <v>0.2</v>
      </c>
      <c r="CV171" s="113" t="s">
        <v>217</v>
      </c>
      <c r="CW171" s="113" t="s">
        <v>210</v>
      </c>
      <c r="CX171" s="173"/>
      <c r="CY171" s="173"/>
      <c r="CZ171" s="113">
        <v>69179032.514420599</v>
      </c>
      <c r="DA171" s="113">
        <v>76323964.015026003</v>
      </c>
      <c r="DB171" s="173"/>
      <c r="DC171" s="173"/>
      <c r="DD171" s="113">
        <v>66410604.684560001</v>
      </c>
      <c r="DE171" s="506"/>
      <c r="DF171" s="173"/>
      <c r="DG171" s="173"/>
      <c r="DH171" s="173"/>
      <c r="DI171" s="173"/>
      <c r="DJ171" s="114">
        <f t="shared" si="268"/>
        <v>0</v>
      </c>
      <c r="DK171" s="114">
        <f t="shared" si="268"/>
        <v>0</v>
      </c>
      <c r="DL171" s="114">
        <f t="shared" si="268"/>
        <v>66410604.684560001</v>
      </c>
      <c r="DM171" s="114">
        <f t="shared" si="268"/>
        <v>0</v>
      </c>
      <c r="DN171" s="114">
        <f t="shared" si="269"/>
        <v>66410604.684560001</v>
      </c>
      <c r="DO171" s="114">
        <f t="shared" si="285"/>
        <v>145502996.5294466</v>
      </c>
      <c r="DP171" s="114">
        <f t="shared" si="201"/>
        <v>145502996.5294466</v>
      </c>
      <c r="DQ171" s="116">
        <f t="shared" si="235"/>
        <v>0.45639999999999997</v>
      </c>
      <c r="DR171" s="126">
        <f t="shared" ca="1" si="212"/>
        <v>0</v>
      </c>
      <c r="DS171" s="115">
        <f t="shared" ca="1" si="213"/>
        <v>0</v>
      </c>
      <c r="DT171" s="118" t="str">
        <f t="shared" si="236"/>
        <v>Uncapped</v>
      </c>
      <c r="DU171" s="115">
        <f t="shared" ca="1" si="214"/>
        <v>0</v>
      </c>
      <c r="DV171" s="173"/>
      <c r="DW171" s="173"/>
      <c r="DX171" s="173"/>
      <c r="DY171" s="173"/>
      <c r="DZ171" s="173"/>
      <c r="EA171" s="173"/>
      <c r="EB171" s="173"/>
      <c r="EC171" s="173"/>
      <c r="ED171" s="173"/>
      <c r="EE171" s="173"/>
      <c r="EF171" s="173"/>
      <c r="EG171" s="173"/>
      <c r="EH171" s="173"/>
      <c r="EI171" s="173"/>
      <c r="EJ171" s="173"/>
      <c r="EK171" s="173"/>
      <c r="EL171" s="114">
        <f t="shared" si="271"/>
        <v>0</v>
      </c>
      <c r="EM171" s="114">
        <f t="shared" si="271"/>
        <v>0</v>
      </c>
      <c r="EN171" s="114">
        <f t="shared" si="271"/>
        <v>0</v>
      </c>
      <c r="EO171" s="114">
        <f t="shared" si="271"/>
        <v>0</v>
      </c>
      <c r="EP171" s="114">
        <f t="shared" si="279"/>
        <v>0</v>
      </c>
      <c r="EQ171" s="114">
        <f t="shared" si="280"/>
        <v>0</v>
      </c>
      <c r="ER171" s="114">
        <f t="shared" si="192"/>
        <v>0</v>
      </c>
      <c r="ES171" s="116">
        <f t="shared" si="237"/>
        <v>0</v>
      </c>
      <c r="ET171" s="126">
        <f t="shared" ca="1" si="238"/>
        <v>0</v>
      </c>
      <c r="EU171" s="115">
        <f t="shared" ca="1" si="216"/>
        <v>0</v>
      </c>
      <c r="EV171" s="118" t="str">
        <f t="shared" si="217"/>
        <v>Uncapped</v>
      </c>
      <c r="EW171" s="115">
        <f t="shared" ca="1" si="218"/>
        <v>0</v>
      </c>
      <c r="EX171" s="112">
        <f t="shared" ca="1" si="219"/>
        <v>0</v>
      </c>
      <c r="EY171" s="114">
        <f t="shared" ca="1" si="239"/>
        <v>0</v>
      </c>
      <c r="FD171" s="115">
        <f t="shared" si="252"/>
        <v>0</v>
      </c>
      <c r="FE171" s="114">
        <f t="shared" ref="FE171:FE179" si="287">SUMIFS(171:171,$5:$5,"SPIFF payout $ (Local CCY)",$4:$4,CONCATENATE("Q",$H$2))</f>
        <v>0</v>
      </c>
      <c r="FJ171" s="115">
        <f t="shared" si="198"/>
        <v>0</v>
      </c>
      <c r="FK171" s="114">
        <f t="shared" ref="FK171:FK179" si="288">SUMIFS(171:171,$5:$5,"Other payout $ (Local CCY)",$4:$4,CONCATENATE("Q",$H$2))</f>
        <v>0</v>
      </c>
      <c r="FL171" s="514"/>
      <c r="FM171" s="514"/>
      <c r="FN171" s="514"/>
      <c r="FO171" s="514"/>
      <c r="FP171" s="115">
        <f t="shared" si="203"/>
        <v>0</v>
      </c>
      <c r="FT171" s="33">
        <f t="shared" si="240"/>
        <v>0</v>
      </c>
      <c r="FU171" s="361">
        <f t="shared" ca="1" si="244"/>
        <v>0</v>
      </c>
      <c r="FV171" s="33">
        <f t="shared" ca="1" si="241"/>
        <v>0</v>
      </c>
      <c r="FW171" s="33">
        <f t="shared" si="272"/>
        <v>0</v>
      </c>
      <c r="FX171" s="33">
        <f t="shared" si="272"/>
        <v>0</v>
      </c>
      <c r="FY171" s="33">
        <f t="shared" si="272"/>
        <v>0</v>
      </c>
      <c r="FZ171" s="33">
        <f t="shared" si="272"/>
        <v>0</v>
      </c>
      <c r="GA171" s="33">
        <f t="shared" si="274"/>
        <v>0</v>
      </c>
      <c r="GB171" s="33">
        <f t="shared" si="273"/>
        <v>0</v>
      </c>
      <c r="GC171" s="33">
        <f t="shared" si="273"/>
        <v>0</v>
      </c>
      <c r="GD171" s="33">
        <f t="shared" si="273"/>
        <v>0</v>
      </c>
      <c r="GE171" s="33">
        <f t="shared" si="273"/>
        <v>0</v>
      </c>
      <c r="GF171" s="33">
        <f t="shared" ref="GF171:GI186" si="289">GB171+FW171</f>
        <v>0</v>
      </c>
      <c r="GG171" s="33">
        <f t="shared" si="289"/>
        <v>0</v>
      </c>
      <c r="GH171" s="33">
        <f t="shared" si="289"/>
        <v>0</v>
      </c>
      <c r="GI171" s="33">
        <f t="shared" si="289"/>
        <v>0</v>
      </c>
      <c r="GJ171" s="33">
        <f t="shared" si="199"/>
        <v>0</v>
      </c>
      <c r="GK171" s="33">
        <f t="shared" si="220"/>
        <v>0</v>
      </c>
      <c r="GL171" s="33">
        <f t="shared" si="221"/>
        <v>0</v>
      </c>
      <c r="GM171" s="33">
        <f t="shared" si="222"/>
        <v>0</v>
      </c>
      <c r="GN171" s="33">
        <f t="shared" si="223"/>
        <v>0</v>
      </c>
      <c r="GO171" s="33">
        <f t="shared" si="224"/>
        <v>0</v>
      </c>
      <c r="GP171" s="33">
        <f t="shared" si="200"/>
        <v>0</v>
      </c>
      <c r="GQ171" s="114">
        <f t="shared" si="259"/>
        <v>0</v>
      </c>
      <c r="GS171" s="507">
        <f t="shared" si="286"/>
        <v>90103301.077140003</v>
      </c>
      <c r="GT171" s="507">
        <f t="shared" si="286"/>
        <v>197109439.9750466</v>
      </c>
      <c r="GU171" s="31">
        <f t="shared" si="226"/>
        <v>0.45712321585687005</v>
      </c>
      <c r="GV171" s="124">
        <f t="shared" ca="1" si="227"/>
        <v>0</v>
      </c>
      <c r="GW171" s="124">
        <v>0</v>
      </c>
      <c r="GX171" s="179">
        <f t="shared" ca="1" si="228"/>
        <v>0</v>
      </c>
    </row>
    <row r="172" spans="3:207" hidden="1">
      <c r="F172" s="104" t="s">
        <v>248</v>
      </c>
      <c r="G172" s="403" t="s">
        <v>796</v>
      </c>
      <c r="H172" s="405" t="s">
        <v>251</v>
      </c>
      <c r="I172" s="106" t="s">
        <v>252</v>
      </c>
      <c r="J172" s="104" t="s">
        <v>212</v>
      </c>
      <c r="K172" s="511" t="s">
        <v>208</v>
      </c>
      <c r="O172" s="537">
        <v>41701</v>
      </c>
      <c r="P172" s="359">
        <v>43647</v>
      </c>
      <c r="Q172" s="323"/>
      <c r="R172" s="109">
        <v>7</v>
      </c>
      <c r="S172" s="108"/>
      <c r="T172" s="110"/>
      <c r="U172" s="483"/>
      <c r="V172" s="483"/>
      <c r="W172" s="405"/>
      <c r="X172" s="405"/>
      <c r="Y172" s="492"/>
      <c r="Z172" s="406" t="s">
        <v>545</v>
      </c>
      <c r="AA172" s="394">
        <v>1000</v>
      </c>
      <c r="AB172" s="394">
        <v>1000</v>
      </c>
      <c r="AC172" s="394">
        <v>1000</v>
      </c>
      <c r="AD172" s="394">
        <v>1000</v>
      </c>
      <c r="AE172" s="394">
        <v>1000</v>
      </c>
      <c r="AF172" s="394">
        <v>1000</v>
      </c>
      <c r="AG172" s="394">
        <v>1000</v>
      </c>
      <c r="AH172" s="394">
        <v>1000</v>
      </c>
      <c r="AI172" s="394">
        <v>1000</v>
      </c>
      <c r="AJ172" s="394">
        <v>1000</v>
      </c>
      <c r="AK172" s="394">
        <v>1000</v>
      </c>
      <c r="AL172" s="394">
        <v>1000</v>
      </c>
      <c r="AM172" s="388">
        <f t="shared" si="261"/>
        <v>12000</v>
      </c>
      <c r="AN172" s="388">
        <f t="shared" si="257"/>
        <v>12000</v>
      </c>
      <c r="AO172" s="389">
        <f t="shared" si="262"/>
        <v>1000</v>
      </c>
      <c r="AP172" s="498" t="s">
        <v>685</v>
      </c>
      <c r="AQ172" s="159">
        <v>0.8</v>
      </c>
      <c r="AR172" s="160" t="s">
        <v>392</v>
      </c>
      <c r="AS172" s="119" t="s">
        <v>210</v>
      </c>
      <c r="AT172" s="504"/>
      <c r="AU172" s="504"/>
      <c r="AV172" s="111">
        <v>2533469.2420000001</v>
      </c>
      <c r="AW172" s="111">
        <v>3023491.9134999998</v>
      </c>
      <c r="AX172" s="173"/>
      <c r="AY172" s="173"/>
      <c r="AZ172" s="113">
        <v>2747045.0877474295</v>
      </c>
      <c r="BA172" s="506"/>
      <c r="BF172" s="114">
        <f t="shared" si="263"/>
        <v>0</v>
      </c>
      <c r="BG172" s="114">
        <f t="shared" si="263"/>
        <v>0</v>
      </c>
      <c r="BH172" s="114">
        <f t="shared" si="263"/>
        <v>2747045.0877474295</v>
      </c>
      <c r="BI172" s="114">
        <f t="shared" si="263"/>
        <v>0</v>
      </c>
      <c r="BJ172" s="114">
        <f t="shared" si="275"/>
        <v>2747045.0877474295</v>
      </c>
      <c r="BK172" s="115">
        <f t="shared" si="265"/>
        <v>5556961.1555000003</v>
      </c>
      <c r="BL172" s="115">
        <f t="shared" si="230"/>
        <v>5556961.1555000003</v>
      </c>
      <c r="BM172" s="116">
        <f t="shared" si="231"/>
        <v>0.49430000000000002</v>
      </c>
      <c r="BN172" s="126">
        <f t="shared" ca="1" si="281"/>
        <v>0</v>
      </c>
      <c r="BO172" s="117">
        <f t="shared" ca="1" si="282"/>
        <v>0</v>
      </c>
      <c r="BP172" s="118" t="str">
        <f t="shared" si="283"/>
        <v>Uncapped</v>
      </c>
      <c r="BQ172" s="115">
        <f t="shared" ca="1" si="209"/>
        <v>0</v>
      </c>
      <c r="BR172" s="113" t="s">
        <v>695</v>
      </c>
      <c r="BS172" s="161">
        <v>0.2</v>
      </c>
      <c r="BT172" s="113" t="s">
        <v>217</v>
      </c>
      <c r="BU172" s="160" t="s">
        <v>210</v>
      </c>
      <c r="BV172" s="173"/>
      <c r="BW172" s="173"/>
      <c r="BX172" s="113">
        <v>552581.10960000008</v>
      </c>
      <c r="BY172" s="113">
        <v>592604.09269999992</v>
      </c>
      <c r="BZ172" s="173"/>
      <c r="CA172" s="173"/>
      <c r="CB172" s="113">
        <v>590999.86889999988</v>
      </c>
      <c r="CC172" s="506"/>
      <c r="CH172" s="114">
        <f t="shared" si="266"/>
        <v>0</v>
      </c>
      <c r="CI172" s="114">
        <f t="shared" si="266"/>
        <v>0</v>
      </c>
      <c r="CJ172" s="120">
        <f t="shared" si="266"/>
        <v>590999.86889999988</v>
      </c>
      <c r="CK172" s="114">
        <f t="shared" si="266"/>
        <v>0</v>
      </c>
      <c r="CL172" s="114">
        <f t="shared" si="284"/>
        <v>590999.86889999988</v>
      </c>
      <c r="CM172" s="114">
        <f t="shared" si="277"/>
        <v>1145185.2023</v>
      </c>
      <c r="CN172" s="114">
        <f t="shared" si="189"/>
        <v>1145185.2023</v>
      </c>
      <c r="CO172" s="116">
        <f t="shared" si="232"/>
        <v>0.5161</v>
      </c>
      <c r="CP172" s="126">
        <f t="shared" ca="1" si="233"/>
        <v>0</v>
      </c>
      <c r="CQ172" s="115">
        <f t="shared" ca="1" si="210"/>
        <v>0</v>
      </c>
      <c r="CR172" s="118" t="str">
        <f t="shared" si="234"/>
        <v>Uncapped</v>
      </c>
      <c r="CS172" s="115">
        <f t="shared" ca="1" si="211"/>
        <v>0</v>
      </c>
      <c r="CT172" s="513" t="s">
        <v>208</v>
      </c>
      <c r="CU172" s="173"/>
      <c r="CV172" s="173"/>
      <c r="CW172" s="173"/>
      <c r="CX172" s="173"/>
      <c r="CY172" s="173"/>
      <c r="CZ172" s="113">
        <v>22618799.574099999</v>
      </c>
      <c r="DA172" s="113">
        <v>27098464.121500004</v>
      </c>
      <c r="DB172" s="173"/>
      <c r="DC172" s="173"/>
      <c r="DD172" s="113">
        <v>22879083.486580007</v>
      </c>
      <c r="DE172" s="506"/>
      <c r="DF172" s="173"/>
      <c r="DG172" s="173"/>
      <c r="DH172" s="173"/>
      <c r="DI172" s="173"/>
      <c r="DJ172" s="114">
        <f t="shared" si="268"/>
        <v>0</v>
      </c>
      <c r="DK172" s="114">
        <f t="shared" si="268"/>
        <v>0</v>
      </c>
      <c r="DL172" s="114">
        <f t="shared" si="268"/>
        <v>22879083.486580007</v>
      </c>
      <c r="DM172" s="114">
        <f t="shared" si="268"/>
        <v>0</v>
      </c>
      <c r="DN172" s="114">
        <f t="shared" si="269"/>
        <v>22879083.486580007</v>
      </c>
      <c r="DO172" s="114">
        <f t="shared" si="285"/>
        <v>49717263.695600003</v>
      </c>
      <c r="DP172" s="114">
        <f t="shared" si="201"/>
        <v>49717263.695600003</v>
      </c>
      <c r="DQ172" s="116">
        <f t="shared" si="235"/>
        <v>0.4602</v>
      </c>
      <c r="DR172" s="126">
        <f t="shared" ca="1" si="212"/>
        <v>0</v>
      </c>
      <c r="DS172" s="115">
        <f t="shared" ca="1" si="213"/>
        <v>0</v>
      </c>
      <c r="DT172" s="118" t="str">
        <f t="shared" si="236"/>
        <v>Uncapped</v>
      </c>
      <c r="DU172" s="115">
        <f t="shared" ca="1" si="214"/>
        <v>0</v>
      </c>
      <c r="DV172" s="173"/>
      <c r="DW172" s="173"/>
      <c r="DX172" s="173"/>
      <c r="DY172" s="173"/>
      <c r="DZ172" s="173"/>
      <c r="EA172" s="173"/>
      <c r="EB172" s="173"/>
      <c r="EC172" s="173"/>
      <c r="ED172" s="173"/>
      <c r="EE172" s="173"/>
      <c r="EF172" s="173"/>
      <c r="EG172" s="173"/>
      <c r="EH172" s="173"/>
      <c r="EI172" s="173"/>
      <c r="EJ172" s="173"/>
      <c r="EK172" s="173"/>
      <c r="EL172" s="114">
        <f t="shared" si="271"/>
        <v>0</v>
      </c>
      <c r="EM172" s="114">
        <f t="shared" si="271"/>
        <v>0</v>
      </c>
      <c r="EN172" s="114">
        <f t="shared" si="271"/>
        <v>0</v>
      </c>
      <c r="EO172" s="114">
        <f t="shared" si="271"/>
        <v>0</v>
      </c>
      <c r="EP172" s="114">
        <f t="shared" si="279"/>
        <v>0</v>
      </c>
      <c r="EQ172" s="114">
        <f t="shared" si="280"/>
        <v>0</v>
      </c>
      <c r="ER172" s="114">
        <f t="shared" si="192"/>
        <v>0</v>
      </c>
      <c r="ES172" s="116">
        <f t="shared" si="237"/>
        <v>0</v>
      </c>
      <c r="ET172" s="126">
        <f t="shared" ca="1" si="238"/>
        <v>0</v>
      </c>
      <c r="EU172" s="115">
        <f t="shared" ca="1" si="216"/>
        <v>0</v>
      </c>
      <c r="EV172" s="118" t="str">
        <f t="shared" si="217"/>
        <v>Uncapped</v>
      </c>
      <c r="EW172" s="115">
        <f t="shared" ca="1" si="218"/>
        <v>0</v>
      </c>
      <c r="EX172" s="112">
        <f t="shared" ca="1" si="219"/>
        <v>0</v>
      </c>
      <c r="EY172" s="114">
        <f t="shared" ca="1" si="239"/>
        <v>0</v>
      </c>
      <c r="FD172" s="115">
        <f t="shared" si="252"/>
        <v>0</v>
      </c>
      <c r="FE172" s="114">
        <f t="shared" si="287"/>
        <v>0</v>
      </c>
      <c r="FJ172" s="115">
        <f t="shared" si="198"/>
        <v>0</v>
      </c>
      <c r="FK172" s="114">
        <f t="shared" si="288"/>
        <v>0</v>
      </c>
      <c r="FL172" s="514"/>
      <c r="FM172" s="514"/>
      <c r="FN172" s="514"/>
      <c r="FO172" s="514"/>
      <c r="FP172" s="115">
        <f t="shared" si="203"/>
        <v>0</v>
      </c>
      <c r="FT172" s="33">
        <f t="shared" si="240"/>
        <v>0</v>
      </c>
      <c r="FU172" s="361">
        <f t="shared" ca="1" si="244"/>
        <v>0</v>
      </c>
      <c r="FV172" s="33">
        <f t="shared" ca="1" si="241"/>
        <v>0</v>
      </c>
      <c r="FW172" s="33">
        <f t="shared" si="272"/>
        <v>0</v>
      </c>
      <c r="FX172" s="33">
        <f t="shared" si="272"/>
        <v>0</v>
      </c>
      <c r="FY172" s="33">
        <f t="shared" si="272"/>
        <v>0</v>
      </c>
      <c r="FZ172" s="33">
        <f t="shared" si="272"/>
        <v>0</v>
      </c>
      <c r="GA172" s="33">
        <f t="shared" si="274"/>
        <v>0</v>
      </c>
      <c r="GB172" s="33">
        <f t="shared" si="273"/>
        <v>0</v>
      </c>
      <c r="GC172" s="33">
        <f t="shared" si="273"/>
        <v>0</v>
      </c>
      <c r="GD172" s="33">
        <f t="shared" si="273"/>
        <v>0</v>
      </c>
      <c r="GE172" s="33">
        <f t="shared" si="273"/>
        <v>0</v>
      </c>
      <c r="GF172" s="33">
        <f t="shared" si="289"/>
        <v>0</v>
      </c>
      <c r="GG172" s="33">
        <f t="shared" si="289"/>
        <v>0</v>
      </c>
      <c r="GH172" s="33">
        <f t="shared" si="289"/>
        <v>0</v>
      </c>
      <c r="GI172" s="33">
        <f t="shared" si="289"/>
        <v>0</v>
      </c>
      <c r="GJ172" s="33">
        <f t="shared" si="199"/>
        <v>0</v>
      </c>
      <c r="GK172" s="33">
        <f t="shared" si="220"/>
        <v>0</v>
      </c>
      <c r="GL172" s="33">
        <f t="shared" si="221"/>
        <v>0</v>
      </c>
      <c r="GM172" s="33">
        <f t="shared" si="222"/>
        <v>0</v>
      </c>
      <c r="GN172" s="33">
        <f t="shared" si="223"/>
        <v>0</v>
      </c>
      <c r="GO172" s="33">
        <f t="shared" si="224"/>
        <v>0</v>
      </c>
      <c r="GP172" s="33">
        <f t="shared" si="200"/>
        <v>0</v>
      </c>
      <c r="GQ172" s="114">
        <f t="shared" si="259"/>
        <v>0</v>
      </c>
      <c r="GS172" s="507">
        <f t="shared" si="286"/>
        <v>26217128.443227436</v>
      </c>
      <c r="GT172" s="507">
        <f t="shared" si="286"/>
        <v>56419410.053400002</v>
      </c>
      <c r="GU172" s="31">
        <f t="shared" si="226"/>
        <v>0.46468278236892896</v>
      </c>
      <c r="GV172" s="124">
        <f t="shared" ca="1" si="227"/>
        <v>0</v>
      </c>
      <c r="GW172" s="124">
        <v>0</v>
      </c>
      <c r="GX172" s="179">
        <f t="shared" ca="1" si="228"/>
        <v>0</v>
      </c>
    </row>
    <row r="173" spans="3:207" hidden="1">
      <c r="F173" s="460" t="s">
        <v>261</v>
      </c>
      <c r="G173" s="449" t="s">
        <v>226</v>
      </c>
      <c r="H173" s="405" t="s">
        <v>262</v>
      </c>
      <c r="I173" s="451" t="s">
        <v>263</v>
      </c>
      <c r="J173" s="449" t="s">
        <v>207</v>
      </c>
      <c r="K173" s="512" t="s">
        <v>208</v>
      </c>
      <c r="O173" s="539">
        <v>41376</v>
      </c>
      <c r="P173" s="359">
        <v>43647</v>
      </c>
      <c r="Q173" s="323"/>
      <c r="R173" s="109">
        <v>7</v>
      </c>
      <c r="S173" s="108"/>
      <c r="T173" s="110"/>
      <c r="U173" s="483"/>
      <c r="V173" s="483"/>
      <c r="W173" s="405"/>
      <c r="X173" s="405"/>
      <c r="Y173" s="492"/>
      <c r="Z173" s="406" t="s">
        <v>545</v>
      </c>
      <c r="AA173" s="394">
        <v>1000</v>
      </c>
      <c r="AB173" s="394">
        <v>1000</v>
      </c>
      <c r="AC173" s="394">
        <v>1000</v>
      </c>
      <c r="AD173" s="394">
        <v>1000</v>
      </c>
      <c r="AE173" s="394">
        <v>1000</v>
      </c>
      <c r="AF173" s="394">
        <v>1000</v>
      </c>
      <c r="AG173" s="394">
        <v>1000</v>
      </c>
      <c r="AH173" s="394">
        <v>1000</v>
      </c>
      <c r="AI173" s="394">
        <v>1000</v>
      </c>
      <c r="AJ173" s="394">
        <v>1000</v>
      </c>
      <c r="AK173" s="394">
        <v>1000</v>
      </c>
      <c r="AL173" s="394">
        <v>1000</v>
      </c>
      <c r="AM173" s="388">
        <f t="shared" si="261"/>
        <v>12000</v>
      </c>
      <c r="AN173" s="388">
        <f t="shared" si="257"/>
        <v>12000</v>
      </c>
      <c r="AO173" s="389">
        <f t="shared" si="262"/>
        <v>1000</v>
      </c>
      <c r="AP173" s="500" t="s">
        <v>682</v>
      </c>
      <c r="AQ173" s="461">
        <v>0.5</v>
      </c>
      <c r="AR173" s="462" t="s">
        <v>211</v>
      </c>
      <c r="AS173" s="463" t="s">
        <v>210</v>
      </c>
      <c r="AT173" s="504"/>
      <c r="AU173" s="504"/>
      <c r="AV173" s="464">
        <v>8863903.4937999994</v>
      </c>
      <c r="AW173" s="464">
        <v>10735934.438300001</v>
      </c>
      <c r="AX173" s="173"/>
      <c r="AY173" s="173"/>
      <c r="AZ173" s="460">
        <v>9149506.9754673615</v>
      </c>
      <c r="BA173" s="506"/>
      <c r="BF173" s="114">
        <f t="shared" si="263"/>
        <v>0</v>
      </c>
      <c r="BG173" s="114">
        <f t="shared" si="263"/>
        <v>0</v>
      </c>
      <c r="BH173" s="114">
        <f t="shared" si="263"/>
        <v>9149506.9754673615</v>
      </c>
      <c r="BI173" s="114">
        <f t="shared" si="263"/>
        <v>0</v>
      </c>
      <c r="BJ173" s="114">
        <f t="shared" si="275"/>
        <v>9149506.9754673615</v>
      </c>
      <c r="BK173" s="115">
        <f t="shared" si="265"/>
        <v>19599837.932099998</v>
      </c>
      <c r="BL173" s="115">
        <f t="shared" si="230"/>
        <v>19599837.932099998</v>
      </c>
      <c r="BM173" s="116">
        <f t="shared" si="231"/>
        <v>0.46679999999999999</v>
      </c>
      <c r="BN173" s="126">
        <f t="shared" ca="1" si="281"/>
        <v>0</v>
      </c>
      <c r="BO173" s="117">
        <f t="shared" ca="1" si="282"/>
        <v>0</v>
      </c>
      <c r="BP173" s="118" t="str">
        <f t="shared" si="283"/>
        <v>Uncapped</v>
      </c>
      <c r="BQ173" s="115">
        <f t="shared" ca="1" si="209"/>
        <v>0</v>
      </c>
      <c r="BR173" s="460" t="s">
        <v>700</v>
      </c>
      <c r="BS173" s="471">
        <v>0.3</v>
      </c>
      <c r="BT173" s="460" t="s">
        <v>211</v>
      </c>
      <c r="BU173" s="462" t="s">
        <v>210</v>
      </c>
      <c r="BV173" s="173"/>
      <c r="BW173" s="173"/>
      <c r="BX173" s="460">
        <v>2062904.5950000002</v>
      </c>
      <c r="BY173" s="460">
        <v>2068354.7149999996</v>
      </c>
      <c r="BZ173" s="173"/>
      <c r="CA173" s="173"/>
      <c r="CB173" s="460">
        <v>1837756.9151999999</v>
      </c>
      <c r="CC173" s="506"/>
      <c r="CH173" s="114">
        <f t="shared" si="266"/>
        <v>0</v>
      </c>
      <c r="CI173" s="114">
        <f t="shared" si="266"/>
        <v>0</v>
      </c>
      <c r="CJ173" s="120">
        <f t="shared" si="266"/>
        <v>1837756.9151999999</v>
      </c>
      <c r="CK173" s="114">
        <f t="shared" si="266"/>
        <v>0</v>
      </c>
      <c r="CL173" s="114">
        <f t="shared" si="284"/>
        <v>1837756.9151999999</v>
      </c>
      <c r="CM173" s="114">
        <f t="shared" si="277"/>
        <v>4131259.3099999996</v>
      </c>
      <c r="CN173" s="114">
        <f t="shared" si="189"/>
        <v>4131259.3099999996</v>
      </c>
      <c r="CO173" s="116">
        <f t="shared" si="232"/>
        <v>0.44479999999999997</v>
      </c>
      <c r="CP173" s="126">
        <f t="shared" ca="1" si="233"/>
        <v>0</v>
      </c>
      <c r="CQ173" s="115">
        <f t="shared" ca="1" si="210"/>
        <v>0</v>
      </c>
      <c r="CR173" s="118" t="str">
        <f t="shared" si="234"/>
        <v>Uncapped</v>
      </c>
      <c r="CS173" s="115">
        <f t="shared" ca="1" si="211"/>
        <v>0</v>
      </c>
      <c r="CT173" s="460" t="s">
        <v>702</v>
      </c>
      <c r="CU173" s="463">
        <v>0.2</v>
      </c>
      <c r="CV173" s="460" t="s">
        <v>217</v>
      </c>
      <c r="CW173" s="460" t="s">
        <v>210</v>
      </c>
      <c r="CX173" s="173"/>
      <c r="CY173" s="173"/>
      <c r="CZ173" s="460">
        <v>22618799.574099999</v>
      </c>
      <c r="DA173" s="460">
        <v>27098464.121500004</v>
      </c>
      <c r="DB173" s="173"/>
      <c r="DC173" s="173"/>
      <c r="DD173" s="460">
        <v>22879083.486580007</v>
      </c>
      <c r="DE173" s="506"/>
      <c r="DF173" s="173"/>
      <c r="DG173" s="173"/>
      <c r="DH173" s="173"/>
      <c r="DI173" s="173"/>
      <c r="DJ173" s="114">
        <f t="shared" si="268"/>
        <v>0</v>
      </c>
      <c r="DK173" s="114">
        <f t="shared" si="268"/>
        <v>0</v>
      </c>
      <c r="DL173" s="114">
        <f t="shared" si="268"/>
        <v>22879083.486580007</v>
      </c>
      <c r="DM173" s="114">
        <f t="shared" si="268"/>
        <v>0</v>
      </c>
      <c r="DN173" s="114">
        <f t="shared" si="269"/>
        <v>22879083.486580007</v>
      </c>
      <c r="DO173" s="114">
        <f t="shared" si="285"/>
        <v>49717263.695600003</v>
      </c>
      <c r="DP173" s="114">
        <f t="shared" si="201"/>
        <v>49717263.695600003</v>
      </c>
      <c r="DQ173" s="116">
        <f t="shared" si="235"/>
        <v>0.4602</v>
      </c>
      <c r="DR173" s="126">
        <f t="shared" ca="1" si="212"/>
        <v>0</v>
      </c>
      <c r="DS173" s="115">
        <f t="shared" ca="1" si="213"/>
        <v>0</v>
      </c>
      <c r="DT173" s="118" t="str">
        <f t="shared" si="236"/>
        <v>Uncapped</v>
      </c>
      <c r="DU173" s="115">
        <f t="shared" ca="1" si="214"/>
        <v>0</v>
      </c>
      <c r="DV173" s="173"/>
      <c r="DW173" s="173"/>
      <c r="DX173" s="173"/>
      <c r="DY173" s="173"/>
      <c r="DZ173" s="173"/>
      <c r="EA173" s="173"/>
      <c r="EB173" s="173"/>
      <c r="EC173" s="173"/>
      <c r="ED173" s="173"/>
      <c r="EE173" s="173"/>
      <c r="EF173" s="173"/>
      <c r="EG173" s="173"/>
      <c r="EH173" s="173"/>
      <c r="EI173" s="173"/>
      <c r="EJ173" s="173"/>
      <c r="EK173" s="173"/>
      <c r="EL173" s="114">
        <f t="shared" si="271"/>
        <v>0</v>
      </c>
      <c r="EM173" s="114">
        <f t="shared" si="271"/>
        <v>0</v>
      </c>
      <c r="EN173" s="114">
        <f t="shared" si="271"/>
        <v>0</v>
      </c>
      <c r="EO173" s="114">
        <f t="shared" si="271"/>
        <v>0</v>
      </c>
      <c r="EP173" s="114">
        <f t="shared" si="279"/>
        <v>0</v>
      </c>
      <c r="EQ173" s="114">
        <f t="shared" si="280"/>
        <v>0</v>
      </c>
      <c r="ER173" s="114">
        <f t="shared" si="192"/>
        <v>0</v>
      </c>
      <c r="ES173" s="116">
        <f t="shared" si="237"/>
        <v>0</v>
      </c>
      <c r="ET173" s="126">
        <f t="shared" ca="1" si="238"/>
        <v>0</v>
      </c>
      <c r="EU173" s="115">
        <f t="shared" ca="1" si="216"/>
        <v>0</v>
      </c>
      <c r="EV173" s="118" t="str">
        <f t="shared" si="217"/>
        <v>Uncapped</v>
      </c>
      <c r="EW173" s="115">
        <f t="shared" ca="1" si="218"/>
        <v>0</v>
      </c>
      <c r="EX173" s="112">
        <f t="shared" ca="1" si="219"/>
        <v>0</v>
      </c>
      <c r="EY173" s="114">
        <f t="shared" ca="1" si="239"/>
        <v>0</v>
      </c>
      <c r="FD173" s="115">
        <f t="shared" si="252"/>
        <v>0</v>
      </c>
      <c r="FE173" s="114">
        <f t="shared" si="287"/>
        <v>0</v>
      </c>
      <c r="FJ173" s="115">
        <f t="shared" si="198"/>
        <v>0</v>
      </c>
      <c r="FK173" s="114">
        <f t="shared" si="288"/>
        <v>0</v>
      </c>
      <c r="FL173" s="514"/>
      <c r="FM173" s="514"/>
      <c r="FN173" s="514"/>
      <c r="FO173" s="514"/>
      <c r="FP173" s="115">
        <f t="shared" si="203"/>
        <v>0</v>
      </c>
      <c r="FT173" s="33">
        <f t="shared" si="240"/>
        <v>0</v>
      </c>
      <c r="FU173" s="361">
        <f t="shared" ca="1" si="244"/>
        <v>0</v>
      </c>
      <c r="FV173" s="33">
        <f t="shared" ca="1" si="241"/>
        <v>0</v>
      </c>
      <c r="FW173" s="33">
        <f t="shared" si="272"/>
        <v>0</v>
      </c>
      <c r="FX173" s="33">
        <f t="shared" si="272"/>
        <v>0</v>
      </c>
      <c r="FY173" s="33">
        <f t="shared" si="272"/>
        <v>0</v>
      </c>
      <c r="FZ173" s="33">
        <f t="shared" si="272"/>
        <v>0</v>
      </c>
      <c r="GA173" s="33">
        <f t="shared" si="274"/>
        <v>0</v>
      </c>
      <c r="GB173" s="33">
        <f t="shared" si="273"/>
        <v>0</v>
      </c>
      <c r="GC173" s="33">
        <f t="shared" si="273"/>
        <v>0</v>
      </c>
      <c r="GD173" s="33">
        <f t="shared" si="273"/>
        <v>0</v>
      </c>
      <c r="GE173" s="33">
        <f t="shared" si="273"/>
        <v>0</v>
      </c>
      <c r="GF173" s="33">
        <f t="shared" si="289"/>
        <v>0</v>
      </c>
      <c r="GG173" s="33">
        <f t="shared" si="289"/>
        <v>0</v>
      </c>
      <c r="GH173" s="33">
        <f t="shared" si="289"/>
        <v>0</v>
      </c>
      <c r="GI173" s="33">
        <f t="shared" si="289"/>
        <v>0</v>
      </c>
      <c r="GJ173" s="33">
        <f t="shared" si="199"/>
        <v>0</v>
      </c>
      <c r="GK173" s="33">
        <f t="shared" si="220"/>
        <v>0</v>
      </c>
      <c r="GL173" s="33">
        <f t="shared" si="221"/>
        <v>0</v>
      </c>
      <c r="GM173" s="33">
        <f t="shared" si="222"/>
        <v>0</v>
      </c>
      <c r="GN173" s="33">
        <f t="shared" si="223"/>
        <v>0</v>
      </c>
      <c r="GO173" s="33">
        <f t="shared" si="224"/>
        <v>0</v>
      </c>
      <c r="GP173" s="33">
        <f t="shared" si="200"/>
        <v>0</v>
      </c>
      <c r="GQ173" s="114">
        <f t="shared" si="259"/>
        <v>0</v>
      </c>
      <c r="GS173" s="507">
        <f t="shared" si="286"/>
        <v>33866347.377247371</v>
      </c>
      <c r="GT173" s="507">
        <f t="shared" si="286"/>
        <v>73448360.937700003</v>
      </c>
      <c r="GU173" s="31">
        <f t="shared" si="226"/>
        <v>0.46109058044158824</v>
      </c>
      <c r="GV173" s="124">
        <f t="shared" ca="1" si="227"/>
        <v>0</v>
      </c>
      <c r="GW173" s="124">
        <v>0</v>
      </c>
      <c r="GX173" s="179">
        <f t="shared" ca="1" si="228"/>
        <v>0</v>
      </c>
    </row>
    <row r="174" spans="3:207" hidden="1">
      <c r="F174" s="104" t="s">
        <v>235</v>
      </c>
      <c r="G174" s="104" t="s">
        <v>226</v>
      </c>
      <c r="H174" s="405" t="s">
        <v>300</v>
      </c>
      <c r="I174" s="106" t="s">
        <v>649</v>
      </c>
      <c r="J174" s="104" t="s">
        <v>238</v>
      </c>
      <c r="K174" s="511" t="s">
        <v>208</v>
      </c>
      <c r="O174" s="537">
        <v>41376</v>
      </c>
      <c r="P174" s="359">
        <v>43647</v>
      </c>
      <c r="Q174" s="323"/>
      <c r="R174" s="109">
        <v>7</v>
      </c>
      <c r="S174" s="108"/>
      <c r="T174" s="110"/>
      <c r="U174" s="483"/>
      <c r="V174" s="483"/>
      <c r="W174" s="405"/>
      <c r="X174" s="405"/>
      <c r="Y174" s="492"/>
      <c r="Z174" s="406" t="s">
        <v>545</v>
      </c>
      <c r="AA174" s="394">
        <v>1000</v>
      </c>
      <c r="AB174" s="394">
        <v>1000</v>
      </c>
      <c r="AC174" s="394">
        <v>1000</v>
      </c>
      <c r="AD174" s="394">
        <v>1000</v>
      </c>
      <c r="AE174" s="394">
        <v>1000</v>
      </c>
      <c r="AF174" s="394">
        <v>1000</v>
      </c>
      <c r="AG174" s="394">
        <v>1000</v>
      </c>
      <c r="AH174" s="394">
        <v>1000</v>
      </c>
      <c r="AI174" s="394">
        <v>1000</v>
      </c>
      <c r="AJ174" s="394">
        <v>1000</v>
      </c>
      <c r="AK174" s="394">
        <v>1000</v>
      </c>
      <c r="AL174" s="394">
        <v>1000</v>
      </c>
      <c r="AM174" s="388">
        <f t="shared" si="261"/>
        <v>12000</v>
      </c>
      <c r="AN174" s="388">
        <f t="shared" si="257"/>
        <v>12000</v>
      </c>
      <c r="AO174" s="389">
        <f t="shared" si="262"/>
        <v>1000</v>
      </c>
      <c r="AP174" s="498" t="s">
        <v>682</v>
      </c>
      <c r="AQ174" s="159">
        <v>0.5</v>
      </c>
      <c r="AR174" s="160" t="s">
        <v>211</v>
      </c>
      <c r="AS174" s="119" t="s">
        <v>210</v>
      </c>
      <c r="AT174" s="504"/>
      <c r="AU174" s="504"/>
      <c r="AV174" s="111">
        <v>2403013.8540666671</v>
      </c>
      <c r="AW174" s="111">
        <v>2872134.2993666665</v>
      </c>
      <c r="AX174" s="173"/>
      <c r="AY174" s="173"/>
      <c r="AZ174" s="113">
        <v>2666236.2623866103</v>
      </c>
      <c r="BA174" s="581"/>
      <c r="BB174" s="113"/>
      <c r="BF174" s="114">
        <f t="shared" si="263"/>
        <v>0</v>
      </c>
      <c r="BG174" s="114">
        <f t="shared" si="263"/>
        <v>0</v>
      </c>
      <c r="BH174" s="114">
        <f t="shared" si="263"/>
        <v>2666236.2623866103</v>
      </c>
      <c r="BI174" s="114">
        <f t="shared" si="263"/>
        <v>0</v>
      </c>
      <c r="BJ174" s="114">
        <f t="shared" si="275"/>
        <v>2666236.2623866103</v>
      </c>
      <c r="BK174" s="115">
        <f t="shared" si="265"/>
        <v>5275148.1534333341</v>
      </c>
      <c r="BL174" s="115">
        <f t="shared" si="230"/>
        <v>5275148.1534333341</v>
      </c>
      <c r="BM174" s="116">
        <f t="shared" si="231"/>
        <v>0.50539999999999996</v>
      </c>
      <c r="BN174" s="126">
        <f t="shared" ca="1" si="281"/>
        <v>0</v>
      </c>
      <c r="BO174" s="117">
        <f t="shared" ca="1" si="282"/>
        <v>0</v>
      </c>
      <c r="BP174" s="118" t="str">
        <f t="shared" si="283"/>
        <v>Uncapped</v>
      </c>
      <c r="BQ174" s="115">
        <f t="shared" ca="1" si="209"/>
        <v>0</v>
      </c>
      <c r="BR174" s="113" t="s">
        <v>700</v>
      </c>
      <c r="BS174" s="161">
        <v>0.3</v>
      </c>
      <c r="BT174" s="113" t="s">
        <v>211</v>
      </c>
      <c r="BU174" s="160" t="s">
        <v>210</v>
      </c>
      <c r="BV174" s="173"/>
      <c r="BW174" s="173"/>
      <c r="BX174" s="113">
        <v>382862</v>
      </c>
      <c r="BY174" s="113">
        <v>410330.25</v>
      </c>
      <c r="BZ174" s="173"/>
      <c r="CA174" s="173"/>
      <c r="CB174" s="113">
        <v>331128.29879999999</v>
      </c>
      <c r="CC174" s="506"/>
      <c r="CH174" s="114">
        <f t="shared" si="266"/>
        <v>0</v>
      </c>
      <c r="CI174" s="114">
        <f t="shared" si="266"/>
        <v>0</v>
      </c>
      <c r="CJ174" s="120">
        <f t="shared" si="266"/>
        <v>331128.29879999999</v>
      </c>
      <c r="CK174" s="114">
        <f t="shared" si="266"/>
        <v>0</v>
      </c>
      <c r="CL174" s="114">
        <f t="shared" si="284"/>
        <v>331128.29879999999</v>
      </c>
      <c r="CM174" s="114">
        <f t="shared" si="277"/>
        <v>793192.25</v>
      </c>
      <c r="CN174" s="114">
        <f t="shared" si="189"/>
        <v>793192.25</v>
      </c>
      <c r="CO174" s="116">
        <f t="shared" si="232"/>
        <v>0.41749999999999998</v>
      </c>
      <c r="CP174" s="126">
        <f t="shared" ca="1" si="233"/>
        <v>0</v>
      </c>
      <c r="CQ174" s="115">
        <f t="shared" ca="1" si="210"/>
        <v>0</v>
      </c>
      <c r="CR174" s="118" t="str">
        <f t="shared" si="234"/>
        <v>Uncapped</v>
      </c>
      <c r="CS174" s="115">
        <f t="shared" ca="1" si="211"/>
        <v>0</v>
      </c>
      <c r="CT174" s="113" t="s">
        <v>696</v>
      </c>
      <c r="CU174" s="119">
        <v>0.2</v>
      </c>
      <c r="CV174" s="113" t="s">
        <v>217</v>
      </c>
      <c r="CW174" s="113" t="s">
        <v>210</v>
      </c>
      <c r="CX174" s="173"/>
      <c r="CY174" s="173"/>
      <c r="CZ174" s="113">
        <v>69179032.514420599</v>
      </c>
      <c r="DA174" s="113">
        <v>76323964.015026003</v>
      </c>
      <c r="DB174" s="173"/>
      <c r="DC174" s="173"/>
      <c r="DD174" s="113">
        <v>66410604.684560001</v>
      </c>
      <c r="DE174" s="506"/>
      <c r="DF174" s="173"/>
      <c r="DG174" s="173"/>
      <c r="DH174" s="173"/>
      <c r="DI174" s="173"/>
      <c r="DJ174" s="114">
        <f t="shared" si="268"/>
        <v>0</v>
      </c>
      <c r="DK174" s="114">
        <f t="shared" si="268"/>
        <v>0</v>
      </c>
      <c r="DL174" s="114">
        <f t="shared" si="268"/>
        <v>66410604.684560001</v>
      </c>
      <c r="DM174" s="114">
        <f t="shared" si="268"/>
        <v>0</v>
      </c>
      <c r="DN174" s="114">
        <f t="shared" si="269"/>
        <v>66410604.684560001</v>
      </c>
      <c r="DO174" s="114">
        <f t="shared" si="285"/>
        <v>145502996.5294466</v>
      </c>
      <c r="DP174" s="114">
        <f t="shared" si="201"/>
        <v>145502996.5294466</v>
      </c>
      <c r="DQ174" s="116">
        <f t="shared" si="235"/>
        <v>0.45639999999999997</v>
      </c>
      <c r="DR174" s="126">
        <f t="shared" ca="1" si="212"/>
        <v>0</v>
      </c>
      <c r="DS174" s="115">
        <f t="shared" ca="1" si="213"/>
        <v>0</v>
      </c>
      <c r="DT174" s="118" t="str">
        <f t="shared" si="236"/>
        <v>Uncapped</v>
      </c>
      <c r="DU174" s="115">
        <f t="shared" ca="1" si="214"/>
        <v>0</v>
      </c>
      <c r="DV174" s="173"/>
      <c r="DW174" s="173"/>
      <c r="DX174" s="173"/>
      <c r="DY174" s="173"/>
      <c r="DZ174" s="173"/>
      <c r="EA174" s="173"/>
      <c r="EB174" s="173"/>
      <c r="EC174" s="173"/>
      <c r="ED174" s="173"/>
      <c r="EE174" s="173"/>
      <c r="EF174" s="173"/>
      <c r="EG174" s="173"/>
      <c r="EH174" s="173"/>
      <c r="EI174" s="173"/>
      <c r="EJ174" s="173"/>
      <c r="EK174" s="173"/>
      <c r="EL174" s="114">
        <f t="shared" si="271"/>
        <v>0</v>
      </c>
      <c r="EM174" s="114">
        <f t="shared" si="271"/>
        <v>0</v>
      </c>
      <c r="EN174" s="114">
        <f t="shared" si="271"/>
        <v>0</v>
      </c>
      <c r="EO174" s="114">
        <f t="shared" si="271"/>
        <v>0</v>
      </c>
      <c r="EP174" s="114">
        <f t="shared" si="279"/>
        <v>0</v>
      </c>
      <c r="EQ174" s="114">
        <f t="shared" si="280"/>
        <v>0</v>
      </c>
      <c r="ER174" s="114">
        <f t="shared" si="192"/>
        <v>0</v>
      </c>
      <c r="ES174" s="116">
        <f t="shared" si="237"/>
        <v>0</v>
      </c>
      <c r="ET174" s="126">
        <f t="shared" ca="1" si="238"/>
        <v>0</v>
      </c>
      <c r="EU174" s="115">
        <f t="shared" ca="1" si="216"/>
        <v>0</v>
      </c>
      <c r="EV174" s="118" t="str">
        <f t="shared" si="217"/>
        <v>Uncapped</v>
      </c>
      <c r="EW174" s="115">
        <f t="shared" ca="1" si="218"/>
        <v>0</v>
      </c>
      <c r="EX174" s="112">
        <f t="shared" ca="1" si="219"/>
        <v>0</v>
      </c>
      <c r="EY174" s="114">
        <f t="shared" ca="1" si="239"/>
        <v>0</v>
      </c>
      <c r="FD174" s="115">
        <f t="shared" si="252"/>
        <v>0</v>
      </c>
      <c r="FE174" s="114">
        <f t="shared" si="287"/>
        <v>0</v>
      </c>
      <c r="FJ174" s="115">
        <f t="shared" si="198"/>
        <v>0</v>
      </c>
      <c r="FK174" s="114">
        <f t="shared" si="288"/>
        <v>0</v>
      </c>
      <c r="FL174" s="514"/>
      <c r="FM174" s="514"/>
      <c r="FN174" s="514"/>
      <c r="FO174" s="514"/>
      <c r="FP174" s="115">
        <f t="shared" si="203"/>
        <v>0</v>
      </c>
      <c r="FT174" s="33">
        <f t="shared" si="240"/>
        <v>0</v>
      </c>
      <c r="FU174" s="361">
        <f t="shared" ca="1" si="244"/>
        <v>0</v>
      </c>
      <c r="FV174" s="33">
        <f t="shared" ca="1" si="241"/>
        <v>0</v>
      </c>
      <c r="FW174" s="33">
        <f t="shared" si="272"/>
        <v>0</v>
      </c>
      <c r="FX174" s="33">
        <f t="shared" si="272"/>
        <v>0</v>
      </c>
      <c r="FY174" s="33">
        <f t="shared" si="272"/>
        <v>0</v>
      </c>
      <c r="FZ174" s="33">
        <f t="shared" si="272"/>
        <v>0</v>
      </c>
      <c r="GA174" s="33">
        <f t="shared" si="274"/>
        <v>0</v>
      </c>
      <c r="GB174" s="33">
        <f t="shared" si="273"/>
        <v>0</v>
      </c>
      <c r="GC174" s="33">
        <f t="shared" si="273"/>
        <v>0</v>
      </c>
      <c r="GD174" s="33">
        <f t="shared" si="273"/>
        <v>0</v>
      </c>
      <c r="GE174" s="33">
        <f t="shared" si="273"/>
        <v>0</v>
      </c>
      <c r="GF174" s="33">
        <f t="shared" si="289"/>
        <v>0</v>
      </c>
      <c r="GG174" s="33">
        <f t="shared" si="289"/>
        <v>0</v>
      </c>
      <c r="GH174" s="33">
        <f t="shared" si="289"/>
        <v>0</v>
      </c>
      <c r="GI174" s="33">
        <f t="shared" si="289"/>
        <v>0</v>
      </c>
      <c r="GJ174" s="33">
        <f t="shared" si="199"/>
        <v>0</v>
      </c>
      <c r="GK174" s="33">
        <f t="shared" si="220"/>
        <v>0</v>
      </c>
      <c r="GL174" s="33">
        <f t="shared" si="221"/>
        <v>0</v>
      </c>
      <c r="GM174" s="33">
        <f t="shared" si="222"/>
        <v>0</v>
      </c>
      <c r="GN174" s="33">
        <f t="shared" si="223"/>
        <v>0</v>
      </c>
      <c r="GO174" s="33">
        <f t="shared" si="224"/>
        <v>0</v>
      </c>
      <c r="GP174" s="33">
        <f t="shared" si="200"/>
        <v>0</v>
      </c>
      <c r="GQ174" s="114">
        <f t="shared" si="259"/>
        <v>0</v>
      </c>
      <c r="GS174" s="507">
        <f t="shared" si="286"/>
        <v>69407969.245746613</v>
      </c>
      <c r="GT174" s="507">
        <f t="shared" si="286"/>
        <v>151571336.93287992</v>
      </c>
      <c r="GU174" s="31">
        <f t="shared" si="226"/>
        <v>0.45792278837312378</v>
      </c>
      <c r="GV174" s="124">
        <f t="shared" ca="1" si="227"/>
        <v>0</v>
      </c>
      <c r="GW174" s="124">
        <v>0</v>
      </c>
      <c r="GX174" s="179">
        <f t="shared" ca="1" si="228"/>
        <v>0</v>
      </c>
    </row>
    <row r="175" spans="3:207" hidden="1">
      <c r="F175" s="104" t="s">
        <v>261</v>
      </c>
      <c r="G175" s="104" t="s">
        <v>226</v>
      </c>
      <c r="H175" s="405" t="s">
        <v>330</v>
      </c>
      <c r="I175" s="106" t="s">
        <v>331</v>
      </c>
      <c r="J175" s="104" t="s">
        <v>207</v>
      </c>
      <c r="K175" s="511" t="s">
        <v>208</v>
      </c>
      <c r="O175" s="537">
        <v>42954</v>
      </c>
      <c r="P175" s="359">
        <v>43647</v>
      </c>
      <c r="Q175" s="323"/>
      <c r="R175" s="109">
        <v>7</v>
      </c>
      <c r="S175" s="108"/>
      <c r="T175" s="110"/>
      <c r="U175" s="483"/>
      <c r="V175" s="483"/>
      <c r="W175" s="405"/>
      <c r="X175" s="405"/>
      <c r="Y175" s="492"/>
      <c r="Z175" s="406" t="s">
        <v>545</v>
      </c>
      <c r="AA175" s="394">
        <v>1000</v>
      </c>
      <c r="AB175" s="394">
        <v>1000</v>
      </c>
      <c r="AC175" s="394">
        <v>1000</v>
      </c>
      <c r="AD175" s="394">
        <v>1000</v>
      </c>
      <c r="AE175" s="394">
        <v>1000</v>
      </c>
      <c r="AF175" s="394">
        <v>1000</v>
      </c>
      <c r="AG175" s="394">
        <v>1000</v>
      </c>
      <c r="AH175" s="394">
        <v>1000</v>
      </c>
      <c r="AI175" s="394">
        <v>1000</v>
      </c>
      <c r="AJ175" s="394">
        <v>1000</v>
      </c>
      <c r="AK175" s="394">
        <v>1000</v>
      </c>
      <c r="AL175" s="394">
        <v>1000</v>
      </c>
      <c r="AM175" s="388">
        <f t="shared" si="261"/>
        <v>12000</v>
      </c>
      <c r="AN175" s="388">
        <f t="shared" si="257"/>
        <v>12000</v>
      </c>
      <c r="AO175" s="389">
        <f t="shared" si="262"/>
        <v>1000</v>
      </c>
      <c r="AP175" s="498" t="s">
        <v>682</v>
      </c>
      <c r="AQ175" s="159">
        <v>0.5</v>
      </c>
      <c r="AR175" s="160" t="s">
        <v>211</v>
      </c>
      <c r="AS175" s="119" t="s">
        <v>210</v>
      </c>
      <c r="AT175" s="504"/>
      <c r="AU175" s="504"/>
      <c r="AV175" s="111">
        <v>3746953.1584000001</v>
      </c>
      <c r="AW175" s="111">
        <v>4578926.4906000001</v>
      </c>
      <c r="AX175" s="173"/>
      <c r="AY175" s="173"/>
      <c r="AZ175" s="113">
        <v>3599733.7100519915</v>
      </c>
      <c r="BA175" s="506"/>
      <c r="BF175" s="114">
        <f t="shared" si="263"/>
        <v>0</v>
      </c>
      <c r="BG175" s="114">
        <f t="shared" si="263"/>
        <v>0</v>
      </c>
      <c r="BH175" s="114">
        <f t="shared" si="263"/>
        <v>3599733.7100519915</v>
      </c>
      <c r="BI175" s="114">
        <f t="shared" si="263"/>
        <v>0</v>
      </c>
      <c r="BJ175" s="114">
        <f t="shared" si="275"/>
        <v>3599733.7100519915</v>
      </c>
      <c r="BK175" s="115">
        <f t="shared" si="265"/>
        <v>8325879.6490000002</v>
      </c>
      <c r="BL175" s="115">
        <f t="shared" si="230"/>
        <v>8325879.6490000002</v>
      </c>
      <c r="BM175" s="116">
        <f t="shared" si="231"/>
        <v>0.43240000000000001</v>
      </c>
      <c r="BN175" s="126">
        <f t="shared" ca="1" si="281"/>
        <v>0</v>
      </c>
      <c r="BO175" s="117">
        <f t="shared" ca="1" si="282"/>
        <v>0</v>
      </c>
      <c r="BP175" s="118" t="str">
        <f t="shared" si="283"/>
        <v>Uncapped</v>
      </c>
      <c r="BQ175" s="115">
        <f t="shared" ca="1" si="209"/>
        <v>0</v>
      </c>
      <c r="BR175" s="113" t="s">
        <v>700</v>
      </c>
      <c r="BS175" s="161">
        <v>0.3</v>
      </c>
      <c r="BT175" s="113" t="s">
        <v>211</v>
      </c>
      <c r="BU175" s="160" t="s">
        <v>210</v>
      </c>
      <c r="BV175" s="173"/>
      <c r="BW175" s="173"/>
      <c r="BX175" s="113">
        <v>263460.38</v>
      </c>
      <c r="BY175" s="113">
        <v>236259.96</v>
      </c>
      <c r="BZ175" s="173"/>
      <c r="CA175" s="173"/>
      <c r="CB175" s="113">
        <v>116091.13500000001</v>
      </c>
      <c r="CC175" s="506"/>
      <c r="CH175" s="114">
        <f t="shared" si="266"/>
        <v>0</v>
      </c>
      <c r="CI175" s="114">
        <f t="shared" si="266"/>
        <v>0</v>
      </c>
      <c r="CJ175" s="120">
        <f t="shared" si="266"/>
        <v>116091.13500000001</v>
      </c>
      <c r="CK175" s="114">
        <f t="shared" si="266"/>
        <v>0</v>
      </c>
      <c r="CL175" s="114">
        <f t="shared" si="284"/>
        <v>116091.13500000001</v>
      </c>
      <c r="CM175" s="114">
        <f t="shared" si="277"/>
        <v>499720.33999999997</v>
      </c>
      <c r="CN175" s="114">
        <f t="shared" si="189"/>
        <v>499720.33999999997</v>
      </c>
      <c r="CO175" s="116">
        <f t="shared" si="232"/>
        <v>0.23230000000000001</v>
      </c>
      <c r="CP175" s="126">
        <f t="shared" ca="1" si="233"/>
        <v>0</v>
      </c>
      <c r="CQ175" s="115">
        <f t="shared" ca="1" si="210"/>
        <v>0</v>
      </c>
      <c r="CR175" s="118" t="str">
        <f t="shared" si="234"/>
        <v>Uncapped</v>
      </c>
      <c r="CS175" s="115">
        <f t="shared" ca="1" si="211"/>
        <v>0</v>
      </c>
      <c r="CT175" s="113" t="s">
        <v>702</v>
      </c>
      <c r="CU175" s="119">
        <v>0.2</v>
      </c>
      <c r="CV175" s="113" t="s">
        <v>217</v>
      </c>
      <c r="CW175" s="113" t="s">
        <v>210</v>
      </c>
      <c r="CX175" s="173"/>
      <c r="CY175" s="173"/>
      <c r="CZ175" s="113">
        <v>22618799.574099999</v>
      </c>
      <c r="DA175" s="113">
        <v>27098464.121500004</v>
      </c>
      <c r="DB175" s="173"/>
      <c r="DC175" s="173"/>
      <c r="DD175" s="113">
        <v>22879083.486580007</v>
      </c>
      <c r="DE175" s="506"/>
      <c r="DF175" s="173"/>
      <c r="DG175" s="173"/>
      <c r="DH175" s="173"/>
      <c r="DI175" s="173"/>
      <c r="DJ175" s="114">
        <f t="shared" si="268"/>
        <v>0</v>
      </c>
      <c r="DK175" s="114">
        <f t="shared" si="268"/>
        <v>0</v>
      </c>
      <c r="DL175" s="114">
        <f t="shared" si="268"/>
        <v>22879083.486580007</v>
      </c>
      <c r="DM175" s="114">
        <f t="shared" si="268"/>
        <v>0</v>
      </c>
      <c r="DN175" s="114">
        <f t="shared" si="269"/>
        <v>22879083.486580007</v>
      </c>
      <c r="DO175" s="114">
        <f t="shared" si="285"/>
        <v>49717263.695600003</v>
      </c>
      <c r="DP175" s="114">
        <f t="shared" si="201"/>
        <v>49717263.695600003</v>
      </c>
      <c r="DQ175" s="116">
        <f t="shared" si="235"/>
        <v>0.4602</v>
      </c>
      <c r="DR175" s="126">
        <f t="shared" ca="1" si="212"/>
        <v>0</v>
      </c>
      <c r="DS175" s="115">
        <f t="shared" ca="1" si="213"/>
        <v>0</v>
      </c>
      <c r="DT175" s="118" t="str">
        <f t="shared" si="236"/>
        <v>Uncapped</v>
      </c>
      <c r="DU175" s="115">
        <f t="shared" ca="1" si="214"/>
        <v>0</v>
      </c>
      <c r="DV175" s="173"/>
      <c r="DW175" s="173"/>
      <c r="DX175" s="173"/>
      <c r="DY175" s="173"/>
      <c r="DZ175" s="173"/>
      <c r="EA175" s="173"/>
      <c r="EB175" s="173"/>
      <c r="EC175" s="173"/>
      <c r="ED175" s="173"/>
      <c r="EE175" s="173"/>
      <c r="EF175" s="173"/>
      <c r="EG175" s="173"/>
      <c r="EH175" s="173"/>
      <c r="EI175" s="173"/>
      <c r="EJ175" s="173"/>
      <c r="EK175" s="173"/>
      <c r="EL175" s="114">
        <f t="shared" si="271"/>
        <v>0</v>
      </c>
      <c r="EM175" s="114">
        <f t="shared" si="271"/>
        <v>0</v>
      </c>
      <c r="EN175" s="114">
        <f t="shared" si="271"/>
        <v>0</v>
      </c>
      <c r="EO175" s="114">
        <f t="shared" si="271"/>
        <v>0</v>
      </c>
      <c r="EP175" s="114">
        <f t="shared" si="279"/>
        <v>0</v>
      </c>
      <c r="EQ175" s="114">
        <f t="shared" si="280"/>
        <v>0</v>
      </c>
      <c r="ER175" s="114">
        <f t="shared" si="192"/>
        <v>0</v>
      </c>
      <c r="ES175" s="116">
        <f t="shared" si="237"/>
        <v>0</v>
      </c>
      <c r="ET175" s="126">
        <f t="shared" ca="1" si="238"/>
        <v>0</v>
      </c>
      <c r="EU175" s="115">
        <f t="shared" ca="1" si="216"/>
        <v>0</v>
      </c>
      <c r="EV175" s="118" t="str">
        <f t="shared" si="217"/>
        <v>Uncapped</v>
      </c>
      <c r="EW175" s="115">
        <f t="shared" ca="1" si="218"/>
        <v>0</v>
      </c>
      <c r="EX175" s="112">
        <f t="shared" ca="1" si="219"/>
        <v>0</v>
      </c>
      <c r="EY175" s="114">
        <f t="shared" ca="1" si="239"/>
        <v>0</v>
      </c>
      <c r="FD175" s="115">
        <f t="shared" si="252"/>
        <v>0</v>
      </c>
      <c r="FE175" s="114">
        <f t="shared" si="287"/>
        <v>0</v>
      </c>
      <c r="FJ175" s="115">
        <f t="shared" si="198"/>
        <v>0</v>
      </c>
      <c r="FK175" s="114">
        <f t="shared" si="288"/>
        <v>0</v>
      </c>
      <c r="FL175" s="514"/>
      <c r="FM175" s="514"/>
      <c r="FN175" s="514"/>
      <c r="FO175" s="514"/>
      <c r="FP175" s="115">
        <f t="shared" si="203"/>
        <v>0</v>
      </c>
      <c r="FT175" s="33">
        <f t="shared" si="240"/>
        <v>0</v>
      </c>
      <c r="FU175" s="361">
        <f t="shared" ca="1" si="244"/>
        <v>0</v>
      </c>
      <c r="FV175" s="33">
        <f t="shared" ca="1" si="241"/>
        <v>0</v>
      </c>
      <c r="FW175" s="33">
        <f t="shared" si="272"/>
        <v>0</v>
      </c>
      <c r="FX175" s="33">
        <f t="shared" si="272"/>
        <v>0</v>
      </c>
      <c r="FY175" s="33">
        <f t="shared" si="272"/>
        <v>0</v>
      </c>
      <c r="FZ175" s="33">
        <f t="shared" si="272"/>
        <v>0</v>
      </c>
      <c r="GA175" s="33">
        <f t="shared" si="274"/>
        <v>0</v>
      </c>
      <c r="GB175" s="33">
        <f t="shared" si="273"/>
        <v>0</v>
      </c>
      <c r="GC175" s="33">
        <f t="shared" si="273"/>
        <v>0</v>
      </c>
      <c r="GD175" s="33">
        <f t="shared" si="273"/>
        <v>0</v>
      </c>
      <c r="GE175" s="33">
        <f t="shared" si="273"/>
        <v>0</v>
      </c>
      <c r="GF175" s="33">
        <f t="shared" si="289"/>
        <v>0</v>
      </c>
      <c r="GG175" s="33">
        <f t="shared" si="289"/>
        <v>0</v>
      </c>
      <c r="GH175" s="33">
        <f t="shared" si="289"/>
        <v>0</v>
      </c>
      <c r="GI175" s="33">
        <f t="shared" si="289"/>
        <v>0</v>
      </c>
      <c r="GJ175" s="33">
        <f t="shared" si="199"/>
        <v>0</v>
      </c>
      <c r="GK175" s="33">
        <f t="shared" si="220"/>
        <v>0</v>
      </c>
      <c r="GL175" s="33">
        <f t="shared" si="221"/>
        <v>0</v>
      </c>
      <c r="GM175" s="33">
        <f t="shared" si="222"/>
        <v>0</v>
      </c>
      <c r="GN175" s="33">
        <f t="shared" si="223"/>
        <v>0</v>
      </c>
      <c r="GO175" s="33">
        <f t="shared" si="224"/>
        <v>0</v>
      </c>
      <c r="GP175" s="33">
        <f t="shared" si="200"/>
        <v>0</v>
      </c>
      <c r="GQ175" s="114">
        <f t="shared" si="259"/>
        <v>0</v>
      </c>
      <c r="GS175" s="507">
        <f t="shared" si="286"/>
        <v>26594908.331631999</v>
      </c>
      <c r="GT175" s="507">
        <f t="shared" si="286"/>
        <v>58542863.684600003</v>
      </c>
      <c r="GU175" s="31">
        <f t="shared" si="226"/>
        <v>0.45428096027061832</v>
      </c>
      <c r="GV175" s="124">
        <f t="shared" ca="1" si="227"/>
        <v>0</v>
      </c>
      <c r="GW175" s="124">
        <v>0</v>
      </c>
      <c r="GX175" s="179">
        <f t="shared" ca="1" si="228"/>
        <v>0</v>
      </c>
    </row>
    <row r="176" spans="3:207" hidden="1">
      <c r="F176" s="104" t="s">
        <v>347</v>
      </c>
      <c r="G176" s="104" t="s">
        <v>226</v>
      </c>
      <c r="H176" s="405" t="s">
        <v>351</v>
      </c>
      <c r="I176" s="106" t="s">
        <v>352</v>
      </c>
      <c r="J176" s="104" t="s">
        <v>212</v>
      </c>
      <c r="K176" s="511" t="s">
        <v>208</v>
      </c>
      <c r="O176" s="537">
        <v>41376</v>
      </c>
      <c r="P176" s="359">
        <v>43647</v>
      </c>
      <c r="Q176" s="323"/>
      <c r="R176" s="109">
        <v>7</v>
      </c>
      <c r="S176" s="108"/>
      <c r="T176" s="110"/>
      <c r="U176" s="483"/>
      <c r="V176" s="483"/>
      <c r="W176" s="405"/>
      <c r="X176" s="405"/>
      <c r="Y176" s="492"/>
      <c r="Z176" s="406" t="s">
        <v>545</v>
      </c>
      <c r="AA176" s="394">
        <v>1000</v>
      </c>
      <c r="AB176" s="394">
        <v>1000</v>
      </c>
      <c r="AC176" s="394">
        <v>1000</v>
      </c>
      <c r="AD176" s="394">
        <v>1000</v>
      </c>
      <c r="AE176" s="394">
        <v>1000</v>
      </c>
      <c r="AF176" s="394">
        <v>1000</v>
      </c>
      <c r="AG176" s="394">
        <v>1000</v>
      </c>
      <c r="AH176" s="394">
        <v>1000</v>
      </c>
      <c r="AI176" s="394">
        <v>1000</v>
      </c>
      <c r="AJ176" s="394">
        <v>1000</v>
      </c>
      <c r="AK176" s="394">
        <v>1000</v>
      </c>
      <c r="AL176" s="394">
        <v>1000</v>
      </c>
      <c r="AM176" s="388">
        <f t="shared" si="261"/>
        <v>12000</v>
      </c>
      <c r="AN176" s="388">
        <f t="shared" si="257"/>
        <v>12000</v>
      </c>
      <c r="AO176" s="389">
        <f t="shared" si="262"/>
        <v>1000</v>
      </c>
      <c r="AP176" s="498" t="s">
        <v>682</v>
      </c>
      <c r="AQ176" s="159">
        <v>0.5</v>
      </c>
      <c r="AR176" s="160" t="s">
        <v>211</v>
      </c>
      <c r="AS176" s="119" t="s">
        <v>210</v>
      </c>
      <c r="AT176" s="504"/>
      <c r="AU176" s="504"/>
      <c r="AV176" s="111">
        <v>10795356.019200001</v>
      </c>
      <c r="AW176" s="111">
        <v>13015519.956999999</v>
      </c>
      <c r="AX176" s="173"/>
      <c r="AY176" s="173"/>
      <c r="AZ176" s="113">
        <v>10654868.665443931</v>
      </c>
      <c r="BA176" s="506"/>
      <c r="BF176" s="114">
        <f t="shared" si="263"/>
        <v>0</v>
      </c>
      <c r="BG176" s="114">
        <f t="shared" si="263"/>
        <v>0</v>
      </c>
      <c r="BH176" s="114">
        <f t="shared" si="263"/>
        <v>10654868.665443931</v>
      </c>
      <c r="BI176" s="114">
        <f t="shared" si="263"/>
        <v>0</v>
      </c>
      <c r="BJ176" s="114">
        <f t="shared" si="275"/>
        <v>10654868.665443931</v>
      </c>
      <c r="BK176" s="115">
        <f t="shared" si="265"/>
        <v>23810875.976199999</v>
      </c>
      <c r="BL176" s="115">
        <f t="shared" si="230"/>
        <v>23810875.976199999</v>
      </c>
      <c r="BM176" s="116">
        <f t="shared" si="231"/>
        <v>0.44750000000000001</v>
      </c>
      <c r="BN176" s="126">
        <f t="shared" ca="1" si="281"/>
        <v>0</v>
      </c>
      <c r="BO176" s="117">
        <f t="shared" ca="1" si="282"/>
        <v>0</v>
      </c>
      <c r="BP176" s="118" t="str">
        <f t="shared" si="283"/>
        <v>Uncapped</v>
      </c>
      <c r="BQ176" s="115">
        <f t="shared" ca="1" si="209"/>
        <v>0</v>
      </c>
      <c r="BR176" s="113" t="s">
        <v>700</v>
      </c>
      <c r="BS176" s="161">
        <v>0.3</v>
      </c>
      <c r="BT176" s="113" t="s">
        <v>211</v>
      </c>
      <c r="BU176" s="160" t="s">
        <v>210</v>
      </c>
      <c r="BV176" s="173"/>
      <c r="BW176" s="173"/>
      <c r="BX176" s="113">
        <v>568983.43999999994</v>
      </c>
      <c r="BY176" s="113">
        <v>506569.43</v>
      </c>
      <c r="BZ176" s="173"/>
      <c r="CA176" s="173"/>
      <c r="CB176" s="113">
        <v>415869.76799999998</v>
      </c>
      <c r="CC176" s="506"/>
      <c r="CH176" s="114">
        <f t="shared" si="266"/>
        <v>0</v>
      </c>
      <c r="CI176" s="114">
        <f t="shared" si="266"/>
        <v>0</v>
      </c>
      <c r="CJ176" s="120">
        <f t="shared" si="266"/>
        <v>415869.76799999998</v>
      </c>
      <c r="CK176" s="114">
        <f t="shared" si="266"/>
        <v>0</v>
      </c>
      <c r="CL176" s="114">
        <f t="shared" si="284"/>
        <v>415869.76799999998</v>
      </c>
      <c r="CM176" s="114">
        <f t="shared" si="277"/>
        <v>1075552.8699999999</v>
      </c>
      <c r="CN176" s="114">
        <f t="shared" si="189"/>
        <v>1075552.8699999999</v>
      </c>
      <c r="CO176" s="116">
        <f t="shared" si="232"/>
        <v>0.38669999999999999</v>
      </c>
      <c r="CP176" s="126">
        <f t="shared" ca="1" si="233"/>
        <v>0</v>
      </c>
      <c r="CQ176" s="115">
        <f t="shared" ca="1" si="210"/>
        <v>0</v>
      </c>
      <c r="CR176" s="118" t="str">
        <f t="shared" si="234"/>
        <v>Uncapped</v>
      </c>
      <c r="CS176" s="115">
        <f t="shared" ca="1" si="211"/>
        <v>0</v>
      </c>
      <c r="CT176" s="113" t="s">
        <v>702</v>
      </c>
      <c r="CU176" s="119">
        <v>0.2</v>
      </c>
      <c r="CV176" s="113" t="s">
        <v>217</v>
      </c>
      <c r="CW176" s="113" t="s">
        <v>210</v>
      </c>
      <c r="CX176" s="173"/>
      <c r="CY176" s="173"/>
      <c r="CZ176" s="113">
        <v>22618799.574099999</v>
      </c>
      <c r="DA176" s="113">
        <v>27098464.121500004</v>
      </c>
      <c r="DB176" s="173"/>
      <c r="DC176" s="173"/>
      <c r="DD176" s="113">
        <v>22879083.486580007</v>
      </c>
      <c r="DE176" s="506"/>
      <c r="DF176" s="173"/>
      <c r="DG176" s="173"/>
      <c r="DH176" s="173"/>
      <c r="DI176" s="173"/>
      <c r="DJ176" s="114">
        <f t="shared" si="268"/>
        <v>0</v>
      </c>
      <c r="DK176" s="114">
        <f t="shared" si="268"/>
        <v>0</v>
      </c>
      <c r="DL176" s="114">
        <f t="shared" si="268"/>
        <v>22879083.486580007</v>
      </c>
      <c r="DM176" s="114">
        <f t="shared" si="268"/>
        <v>0</v>
      </c>
      <c r="DN176" s="114">
        <f t="shared" si="269"/>
        <v>22879083.486580007</v>
      </c>
      <c r="DO176" s="114">
        <f t="shared" si="285"/>
        <v>49717263.695600003</v>
      </c>
      <c r="DP176" s="114">
        <f t="shared" si="201"/>
        <v>49717263.695600003</v>
      </c>
      <c r="DQ176" s="116">
        <f t="shared" si="235"/>
        <v>0.4602</v>
      </c>
      <c r="DR176" s="126">
        <f t="shared" ca="1" si="212"/>
        <v>0</v>
      </c>
      <c r="DS176" s="115">
        <f t="shared" ca="1" si="213"/>
        <v>0</v>
      </c>
      <c r="DT176" s="118" t="str">
        <f t="shared" si="236"/>
        <v>Uncapped</v>
      </c>
      <c r="DU176" s="115">
        <f t="shared" ca="1" si="214"/>
        <v>0</v>
      </c>
      <c r="DV176" s="173"/>
      <c r="DW176" s="173"/>
      <c r="DX176" s="173"/>
      <c r="DY176" s="173"/>
      <c r="DZ176" s="173"/>
      <c r="EA176" s="173"/>
      <c r="EB176" s="173"/>
      <c r="EC176" s="173"/>
      <c r="ED176" s="173"/>
      <c r="EE176" s="173"/>
      <c r="EF176" s="173"/>
      <c r="EG176" s="173"/>
      <c r="EH176" s="173"/>
      <c r="EI176" s="173"/>
      <c r="EJ176" s="173"/>
      <c r="EK176" s="173"/>
      <c r="EL176" s="114">
        <f t="shared" si="271"/>
        <v>0</v>
      </c>
      <c r="EM176" s="114">
        <f t="shared" si="271"/>
        <v>0</v>
      </c>
      <c r="EN176" s="114">
        <f t="shared" si="271"/>
        <v>0</v>
      </c>
      <c r="EO176" s="114">
        <f t="shared" si="271"/>
        <v>0</v>
      </c>
      <c r="EP176" s="114">
        <f t="shared" si="279"/>
        <v>0</v>
      </c>
      <c r="EQ176" s="114">
        <f t="shared" si="280"/>
        <v>0</v>
      </c>
      <c r="ER176" s="114">
        <f t="shared" si="192"/>
        <v>0</v>
      </c>
      <c r="ES176" s="116">
        <f t="shared" si="237"/>
        <v>0</v>
      </c>
      <c r="ET176" s="126">
        <f t="shared" ca="1" si="238"/>
        <v>0</v>
      </c>
      <c r="EU176" s="115">
        <f t="shared" ca="1" si="216"/>
        <v>0</v>
      </c>
      <c r="EV176" s="118" t="str">
        <f t="shared" si="217"/>
        <v>Uncapped</v>
      </c>
      <c r="EW176" s="115">
        <f t="shared" ca="1" si="218"/>
        <v>0</v>
      </c>
      <c r="EX176" s="112">
        <f t="shared" ca="1" si="219"/>
        <v>0</v>
      </c>
      <c r="EY176" s="114">
        <f t="shared" ca="1" si="239"/>
        <v>0</v>
      </c>
      <c r="FD176" s="115">
        <f t="shared" si="252"/>
        <v>0</v>
      </c>
      <c r="FE176" s="114">
        <f t="shared" si="287"/>
        <v>0</v>
      </c>
      <c r="FJ176" s="115">
        <f t="shared" si="198"/>
        <v>0</v>
      </c>
      <c r="FK176" s="114">
        <f t="shared" si="288"/>
        <v>0</v>
      </c>
      <c r="FL176" s="514"/>
      <c r="FM176" s="514"/>
      <c r="FN176" s="514"/>
      <c r="FO176" s="514"/>
      <c r="FP176" s="115">
        <f t="shared" si="203"/>
        <v>0</v>
      </c>
      <c r="FT176" s="33">
        <f t="shared" si="240"/>
        <v>0</v>
      </c>
      <c r="FU176" s="361">
        <f t="shared" ca="1" si="244"/>
        <v>0</v>
      </c>
      <c r="FV176" s="33">
        <f t="shared" ca="1" si="241"/>
        <v>0</v>
      </c>
      <c r="FW176" s="33">
        <f t="shared" si="272"/>
        <v>0</v>
      </c>
      <c r="FX176" s="33">
        <f t="shared" si="272"/>
        <v>0</v>
      </c>
      <c r="FY176" s="33">
        <f t="shared" si="272"/>
        <v>0</v>
      </c>
      <c r="FZ176" s="33">
        <f t="shared" si="272"/>
        <v>0</v>
      </c>
      <c r="GA176" s="33">
        <f t="shared" si="274"/>
        <v>0</v>
      </c>
      <c r="GB176" s="33">
        <f t="shared" si="273"/>
        <v>0</v>
      </c>
      <c r="GC176" s="33">
        <f t="shared" si="273"/>
        <v>0</v>
      </c>
      <c r="GD176" s="33">
        <f t="shared" si="273"/>
        <v>0</v>
      </c>
      <c r="GE176" s="33">
        <f t="shared" si="273"/>
        <v>0</v>
      </c>
      <c r="GF176" s="33">
        <f t="shared" si="289"/>
        <v>0</v>
      </c>
      <c r="GG176" s="33">
        <f t="shared" si="289"/>
        <v>0</v>
      </c>
      <c r="GH176" s="33">
        <f t="shared" si="289"/>
        <v>0</v>
      </c>
      <c r="GI176" s="33">
        <f t="shared" si="289"/>
        <v>0</v>
      </c>
      <c r="GJ176" s="33">
        <f t="shared" si="199"/>
        <v>0</v>
      </c>
      <c r="GK176" s="33">
        <f t="shared" si="220"/>
        <v>0</v>
      </c>
      <c r="GL176" s="33">
        <f t="shared" si="221"/>
        <v>0</v>
      </c>
      <c r="GM176" s="33">
        <f t="shared" si="222"/>
        <v>0</v>
      </c>
      <c r="GN176" s="33">
        <f t="shared" si="223"/>
        <v>0</v>
      </c>
      <c r="GO176" s="33">
        <f t="shared" si="224"/>
        <v>0</v>
      </c>
      <c r="GP176" s="33">
        <f t="shared" si="200"/>
        <v>0</v>
      </c>
      <c r="GQ176" s="114">
        <f t="shared" si="259"/>
        <v>0</v>
      </c>
      <c r="GS176" s="507">
        <f t="shared" si="286"/>
        <v>33949821.920023933</v>
      </c>
      <c r="GT176" s="507">
        <f t="shared" si="286"/>
        <v>74603692.541800007</v>
      </c>
      <c r="GU176" s="31">
        <f t="shared" si="226"/>
        <v>0.45506892170252899</v>
      </c>
      <c r="GV176" s="124">
        <f t="shared" ca="1" si="227"/>
        <v>0</v>
      </c>
      <c r="GW176" s="124">
        <v>0</v>
      </c>
      <c r="GX176" s="179">
        <f t="shared" ca="1" si="228"/>
        <v>0</v>
      </c>
    </row>
    <row r="177" spans="1:207" hidden="1">
      <c r="F177" s="104" t="s">
        <v>347</v>
      </c>
      <c r="G177" s="104" t="s">
        <v>226</v>
      </c>
      <c r="H177" s="405" t="s">
        <v>353</v>
      </c>
      <c r="I177" s="547" t="s">
        <v>644</v>
      </c>
      <c r="J177" s="104" t="s">
        <v>212</v>
      </c>
      <c r="K177" s="545" t="s">
        <v>208</v>
      </c>
      <c r="O177" s="537">
        <v>43530</v>
      </c>
      <c r="P177" s="359">
        <v>43647</v>
      </c>
      <c r="Q177" s="323"/>
      <c r="R177" s="109">
        <v>7</v>
      </c>
      <c r="S177" s="108"/>
      <c r="T177" s="110"/>
      <c r="U177" s="483"/>
      <c r="V177" s="483"/>
      <c r="W177" s="405"/>
      <c r="X177" s="405"/>
      <c r="Y177" s="492"/>
      <c r="Z177" s="406" t="s">
        <v>545</v>
      </c>
      <c r="AA177" s="394">
        <v>1000</v>
      </c>
      <c r="AB177" s="394">
        <v>1000</v>
      </c>
      <c r="AC177" s="394">
        <v>1000</v>
      </c>
      <c r="AD177" s="394">
        <v>1000</v>
      </c>
      <c r="AE177" s="394">
        <v>1000</v>
      </c>
      <c r="AF177" s="394">
        <v>1000</v>
      </c>
      <c r="AG177" s="394">
        <v>1000</v>
      </c>
      <c r="AH177" s="394">
        <v>1000</v>
      </c>
      <c r="AI177" s="394">
        <v>1000</v>
      </c>
      <c r="AJ177" s="394">
        <v>1000</v>
      </c>
      <c r="AK177" s="394">
        <v>1000</v>
      </c>
      <c r="AL177" s="394">
        <v>1000</v>
      </c>
      <c r="AM177" s="388">
        <f t="shared" si="261"/>
        <v>12000</v>
      </c>
      <c r="AN177" s="388">
        <f t="shared" si="257"/>
        <v>12000</v>
      </c>
      <c r="AO177" s="389">
        <f t="shared" si="262"/>
        <v>1000</v>
      </c>
      <c r="AP177" s="498" t="s">
        <v>682</v>
      </c>
      <c r="AQ177" s="159">
        <v>0.5</v>
      </c>
      <c r="AR177" s="160" t="s">
        <v>211</v>
      </c>
      <c r="AS177" s="119" t="s">
        <v>210</v>
      </c>
      <c r="AT177" s="504"/>
      <c r="AU177" s="504"/>
      <c r="AV177" s="111">
        <v>10795356.019200001</v>
      </c>
      <c r="AW177" s="111">
        <v>13015519.956999999</v>
      </c>
      <c r="AX177" s="173"/>
      <c r="AY177" s="173"/>
      <c r="AZ177" s="113">
        <v>10654868.665443931</v>
      </c>
      <c r="BA177" s="506"/>
      <c r="BF177" s="114">
        <f t="shared" si="263"/>
        <v>0</v>
      </c>
      <c r="BG177" s="114">
        <f t="shared" si="263"/>
        <v>0</v>
      </c>
      <c r="BH177" s="114">
        <f t="shared" si="263"/>
        <v>10654868.665443931</v>
      </c>
      <c r="BI177" s="114">
        <f t="shared" si="263"/>
        <v>0</v>
      </c>
      <c r="BJ177" s="114">
        <f t="shared" si="275"/>
        <v>10654868.665443931</v>
      </c>
      <c r="BK177" s="115">
        <f t="shared" si="265"/>
        <v>23810875.976199999</v>
      </c>
      <c r="BL177" s="115">
        <f t="shared" si="230"/>
        <v>23810875.976199999</v>
      </c>
      <c r="BM177" s="116">
        <f t="shared" si="231"/>
        <v>0.44750000000000001</v>
      </c>
      <c r="BN177" s="126">
        <f t="shared" ca="1" si="281"/>
        <v>0</v>
      </c>
      <c r="BO177" s="117">
        <f t="shared" ca="1" si="282"/>
        <v>0</v>
      </c>
      <c r="BP177" s="118" t="str">
        <f t="shared" si="283"/>
        <v>Uncapped</v>
      </c>
      <c r="BQ177" s="115">
        <f t="shared" ca="1" si="209"/>
        <v>0</v>
      </c>
      <c r="BR177" s="113" t="s">
        <v>700</v>
      </c>
      <c r="BS177" s="161">
        <v>0.3</v>
      </c>
      <c r="BT177" s="113" t="s">
        <v>211</v>
      </c>
      <c r="BU177" s="160" t="s">
        <v>210</v>
      </c>
      <c r="BV177" s="173"/>
      <c r="BW177" s="173"/>
      <c r="BX177" s="113">
        <v>568983.43999999994</v>
      </c>
      <c r="BY177" s="113">
        <v>506569.43</v>
      </c>
      <c r="BZ177" s="173"/>
      <c r="CA177" s="173"/>
      <c r="CB177" s="113">
        <v>415869.76799999998</v>
      </c>
      <c r="CC177" s="506"/>
      <c r="CH177" s="114">
        <f t="shared" si="266"/>
        <v>0</v>
      </c>
      <c r="CI177" s="114">
        <f t="shared" si="266"/>
        <v>0</v>
      </c>
      <c r="CJ177" s="120">
        <f t="shared" si="266"/>
        <v>415869.76799999998</v>
      </c>
      <c r="CK177" s="114">
        <f t="shared" si="266"/>
        <v>0</v>
      </c>
      <c r="CL177" s="114">
        <f t="shared" si="284"/>
        <v>415869.76799999998</v>
      </c>
      <c r="CM177" s="114">
        <f t="shared" si="277"/>
        <v>1075552.8699999999</v>
      </c>
      <c r="CN177" s="114">
        <f t="shared" si="189"/>
        <v>1075552.8699999999</v>
      </c>
      <c r="CO177" s="116">
        <f t="shared" si="232"/>
        <v>0.38669999999999999</v>
      </c>
      <c r="CP177" s="126">
        <f t="shared" ca="1" si="233"/>
        <v>0</v>
      </c>
      <c r="CQ177" s="115">
        <f t="shared" ca="1" si="210"/>
        <v>0</v>
      </c>
      <c r="CR177" s="118" t="str">
        <f t="shared" si="234"/>
        <v>Uncapped</v>
      </c>
      <c r="CS177" s="115">
        <f t="shared" ca="1" si="211"/>
        <v>0</v>
      </c>
      <c r="CT177" s="113" t="s">
        <v>702</v>
      </c>
      <c r="CU177" s="119">
        <v>0.2</v>
      </c>
      <c r="CV177" s="113" t="s">
        <v>217</v>
      </c>
      <c r="CW177" s="113" t="s">
        <v>210</v>
      </c>
      <c r="CX177" s="173"/>
      <c r="CY177" s="173"/>
      <c r="CZ177" s="113">
        <v>22618799.574099999</v>
      </c>
      <c r="DA177" s="113">
        <v>27098464.121500004</v>
      </c>
      <c r="DB177" s="173"/>
      <c r="DC177" s="173"/>
      <c r="DD177" s="113">
        <v>22879083.486580007</v>
      </c>
      <c r="DE177" s="506"/>
      <c r="DF177" s="173"/>
      <c r="DG177" s="173"/>
      <c r="DH177" s="173"/>
      <c r="DI177" s="173"/>
      <c r="DJ177" s="114">
        <f t="shared" si="268"/>
        <v>0</v>
      </c>
      <c r="DK177" s="114">
        <f t="shared" si="268"/>
        <v>0</v>
      </c>
      <c r="DL177" s="114">
        <f t="shared" si="268"/>
        <v>22879083.486580007</v>
      </c>
      <c r="DM177" s="114">
        <f t="shared" si="268"/>
        <v>0</v>
      </c>
      <c r="DN177" s="114">
        <f t="shared" si="269"/>
        <v>22879083.486580007</v>
      </c>
      <c r="DO177" s="114">
        <f t="shared" si="285"/>
        <v>49717263.695600003</v>
      </c>
      <c r="DP177" s="114">
        <f t="shared" si="201"/>
        <v>49717263.695600003</v>
      </c>
      <c r="DQ177" s="116">
        <f t="shared" si="235"/>
        <v>0.4602</v>
      </c>
      <c r="DR177" s="126">
        <f t="shared" ca="1" si="212"/>
        <v>0</v>
      </c>
      <c r="DS177" s="115">
        <f t="shared" ca="1" si="213"/>
        <v>0</v>
      </c>
      <c r="DT177" s="118" t="str">
        <f t="shared" si="236"/>
        <v>Uncapped</v>
      </c>
      <c r="DU177" s="115">
        <f t="shared" ca="1" si="214"/>
        <v>0</v>
      </c>
      <c r="DV177" s="173"/>
      <c r="DW177" s="173"/>
      <c r="DX177" s="173"/>
      <c r="DY177" s="173"/>
      <c r="DZ177" s="173"/>
      <c r="EA177" s="173"/>
      <c r="EB177" s="173"/>
      <c r="EC177" s="173"/>
      <c r="ED177" s="173"/>
      <c r="EE177" s="173"/>
      <c r="EF177" s="173"/>
      <c r="EG177" s="173"/>
      <c r="EH177" s="173"/>
      <c r="EI177" s="173"/>
      <c r="EJ177" s="173"/>
      <c r="EK177" s="173"/>
      <c r="EL177" s="114">
        <f t="shared" si="271"/>
        <v>0</v>
      </c>
      <c r="EM177" s="114">
        <f t="shared" si="271"/>
        <v>0</v>
      </c>
      <c r="EN177" s="114">
        <f t="shared" si="271"/>
        <v>0</v>
      </c>
      <c r="EO177" s="114">
        <f t="shared" si="271"/>
        <v>0</v>
      </c>
      <c r="EP177" s="114">
        <f t="shared" si="279"/>
        <v>0</v>
      </c>
      <c r="EQ177" s="114">
        <f t="shared" si="280"/>
        <v>0</v>
      </c>
      <c r="ER177" s="114">
        <f t="shared" si="192"/>
        <v>0</v>
      </c>
      <c r="ES177" s="116">
        <f t="shared" si="237"/>
        <v>0</v>
      </c>
      <c r="ET177" s="126">
        <f t="shared" ca="1" si="238"/>
        <v>0</v>
      </c>
      <c r="EU177" s="115">
        <f t="shared" ca="1" si="216"/>
        <v>0</v>
      </c>
      <c r="EV177" s="118" t="str">
        <f t="shared" si="217"/>
        <v>Uncapped</v>
      </c>
      <c r="EW177" s="115">
        <f t="shared" ca="1" si="218"/>
        <v>0</v>
      </c>
      <c r="EX177" s="112">
        <f t="shared" ca="1" si="219"/>
        <v>0</v>
      </c>
      <c r="EY177" s="114">
        <f t="shared" ca="1" si="239"/>
        <v>0</v>
      </c>
      <c r="FD177" s="115">
        <f t="shared" si="252"/>
        <v>0</v>
      </c>
      <c r="FE177" s="114">
        <f t="shared" si="287"/>
        <v>0</v>
      </c>
      <c r="FJ177" s="115">
        <f t="shared" si="198"/>
        <v>0</v>
      </c>
      <c r="FK177" s="114">
        <f t="shared" si="288"/>
        <v>0</v>
      </c>
      <c r="FL177" s="514"/>
      <c r="FM177" s="514"/>
      <c r="FN177" s="514"/>
      <c r="FO177" s="514"/>
      <c r="FP177" s="115">
        <f t="shared" si="203"/>
        <v>0</v>
      </c>
      <c r="FT177" s="33">
        <f t="shared" si="240"/>
        <v>0</v>
      </c>
      <c r="FU177" s="361">
        <f t="shared" ca="1" si="244"/>
        <v>0</v>
      </c>
      <c r="FV177" s="33">
        <f t="shared" ca="1" si="241"/>
        <v>0</v>
      </c>
      <c r="FW177" s="33">
        <f t="shared" si="272"/>
        <v>0</v>
      </c>
      <c r="FX177" s="33">
        <f t="shared" si="272"/>
        <v>0</v>
      </c>
      <c r="FY177" s="33">
        <f t="shared" si="272"/>
        <v>0</v>
      </c>
      <c r="FZ177" s="33">
        <f t="shared" si="272"/>
        <v>0</v>
      </c>
      <c r="GA177" s="33">
        <f t="shared" si="274"/>
        <v>0</v>
      </c>
      <c r="GB177" s="33">
        <f t="shared" si="273"/>
        <v>0</v>
      </c>
      <c r="GC177" s="33">
        <f t="shared" si="273"/>
        <v>0</v>
      </c>
      <c r="GD177" s="33">
        <f t="shared" si="273"/>
        <v>0</v>
      </c>
      <c r="GE177" s="33">
        <f t="shared" si="273"/>
        <v>0</v>
      </c>
      <c r="GF177" s="33">
        <f t="shared" si="289"/>
        <v>0</v>
      </c>
      <c r="GG177" s="33">
        <f t="shared" si="289"/>
        <v>0</v>
      </c>
      <c r="GH177" s="33">
        <f t="shared" si="289"/>
        <v>0</v>
      </c>
      <c r="GI177" s="33">
        <f t="shared" si="289"/>
        <v>0</v>
      </c>
      <c r="GJ177" s="33">
        <f t="shared" si="199"/>
        <v>0</v>
      </c>
      <c r="GK177" s="33">
        <f t="shared" si="220"/>
        <v>0</v>
      </c>
      <c r="GL177" s="33">
        <f t="shared" si="221"/>
        <v>0</v>
      </c>
      <c r="GM177" s="33">
        <f t="shared" si="222"/>
        <v>0</v>
      </c>
      <c r="GN177" s="33">
        <f t="shared" si="223"/>
        <v>0</v>
      </c>
      <c r="GO177" s="33">
        <f t="shared" si="224"/>
        <v>0</v>
      </c>
      <c r="GP177" s="33">
        <f t="shared" si="200"/>
        <v>0</v>
      </c>
      <c r="GQ177" s="114">
        <f t="shared" si="259"/>
        <v>0</v>
      </c>
      <c r="GS177" s="507">
        <f t="shared" si="286"/>
        <v>33949821.920023933</v>
      </c>
      <c r="GT177" s="507">
        <f t="shared" si="286"/>
        <v>74603692.541800007</v>
      </c>
      <c r="GU177" s="31">
        <f t="shared" si="226"/>
        <v>0.45506892170252899</v>
      </c>
      <c r="GV177" s="124">
        <f t="shared" ca="1" si="227"/>
        <v>0</v>
      </c>
      <c r="GW177" s="124">
        <v>0</v>
      </c>
      <c r="GX177" s="179">
        <f t="shared" ca="1" si="228"/>
        <v>0</v>
      </c>
    </row>
    <row r="178" spans="1:207" hidden="1">
      <c r="F178" s="104" t="s">
        <v>617</v>
      </c>
      <c r="G178" s="104" t="s">
        <v>226</v>
      </c>
      <c r="H178" s="405" t="s">
        <v>619</v>
      </c>
      <c r="I178" s="106" t="s">
        <v>620</v>
      </c>
      <c r="J178" s="104" t="s">
        <v>471</v>
      </c>
      <c r="K178" s="511" t="s">
        <v>618</v>
      </c>
      <c r="O178" s="537">
        <v>41376</v>
      </c>
      <c r="P178" s="359">
        <v>43647</v>
      </c>
      <c r="Q178" s="323"/>
      <c r="R178" s="109">
        <v>7</v>
      </c>
      <c r="S178" s="108"/>
      <c r="T178" s="110"/>
      <c r="U178" s="483"/>
      <c r="V178" s="483"/>
      <c r="W178" s="405"/>
      <c r="X178" s="405"/>
      <c r="Y178" s="492"/>
      <c r="Z178" s="406" t="s">
        <v>545</v>
      </c>
      <c r="AA178" s="394">
        <v>1000</v>
      </c>
      <c r="AB178" s="394">
        <v>1000</v>
      </c>
      <c r="AC178" s="394">
        <v>1000</v>
      </c>
      <c r="AD178" s="394">
        <v>1000</v>
      </c>
      <c r="AE178" s="394">
        <v>1000</v>
      </c>
      <c r="AF178" s="394">
        <v>1000</v>
      </c>
      <c r="AG178" s="394">
        <v>1000</v>
      </c>
      <c r="AH178" s="394">
        <v>1000</v>
      </c>
      <c r="AI178" s="394">
        <v>1000</v>
      </c>
      <c r="AJ178" s="394">
        <v>1000</v>
      </c>
      <c r="AK178" s="394">
        <v>1000</v>
      </c>
      <c r="AL178" s="394">
        <v>1000</v>
      </c>
      <c r="AM178" s="388">
        <f t="shared" ref="AM178" si="290">IF($H$2=1,SUM(AA178:AC178),IF($H$2=2,SUM(AA178:AF178),IF($H$2=3,SUM(AA178:AI178),SUM(AA178:AL178))))</f>
        <v>12000</v>
      </c>
      <c r="AN178" s="388">
        <f t="shared" si="257"/>
        <v>12000</v>
      </c>
      <c r="AO178" s="389">
        <f t="shared" si="262"/>
        <v>1000</v>
      </c>
      <c r="AP178" s="498" t="s">
        <v>688</v>
      </c>
      <c r="AQ178" s="161">
        <v>0.5</v>
      </c>
      <c r="AR178" s="113" t="s">
        <v>211</v>
      </c>
      <c r="AS178" s="119" t="s">
        <v>210</v>
      </c>
      <c r="AT178" s="504"/>
      <c r="AU178" s="504"/>
      <c r="AV178" s="111">
        <v>22618799.574099999</v>
      </c>
      <c r="AW178" s="111">
        <v>27098464.121500004</v>
      </c>
      <c r="AX178" s="173"/>
      <c r="AY178" s="173"/>
      <c r="AZ178" s="113">
        <v>22879083.486580007</v>
      </c>
      <c r="BA178" s="506"/>
      <c r="BF178" s="114">
        <f t="shared" si="263"/>
        <v>0</v>
      </c>
      <c r="BG178" s="114">
        <f t="shared" si="263"/>
        <v>0</v>
      </c>
      <c r="BH178" s="114">
        <f t="shared" si="263"/>
        <v>22879083.486580007</v>
      </c>
      <c r="BI178" s="114">
        <f t="shared" si="263"/>
        <v>0</v>
      </c>
      <c r="BJ178" s="114">
        <f t="shared" si="275"/>
        <v>22879083.486580007</v>
      </c>
      <c r="BK178" s="115">
        <f t="shared" si="265"/>
        <v>49717263.695600003</v>
      </c>
      <c r="BL178" s="115">
        <f t="shared" si="230"/>
        <v>49717263.695600003</v>
      </c>
      <c r="BM178" s="116">
        <f t="shared" si="231"/>
        <v>0.4602</v>
      </c>
      <c r="BN178" s="126">
        <f t="shared" ca="1" si="281"/>
        <v>0</v>
      </c>
      <c r="BO178" s="117">
        <f t="shared" ca="1" si="282"/>
        <v>0</v>
      </c>
      <c r="BP178" s="118" t="str">
        <f t="shared" si="283"/>
        <v>Uncapped</v>
      </c>
      <c r="BQ178" s="115">
        <f t="shared" ca="1" si="209"/>
        <v>0</v>
      </c>
      <c r="BR178" s="113"/>
      <c r="BS178" s="119"/>
      <c r="BT178" s="113"/>
      <c r="BU178" s="113"/>
      <c r="BV178" s="173"/>
      <c r="BW178" s="173"/>
      <c r="BX178" s="173"/>
      <c r="BY178" s="173"/>
      <c r="BZ178" s="173"/>
      <c r="CA178" s="173"/>
      <c r="CB178" s="504"/>
      <c r="CC178" s="173"/>
      <c r="CH178" s="114">
        <f t="shared" si="266"/>
        <v>0</v>
      </c>
      <c r="CI178" s="114">
        <f t="shared" si="266"/>
        <v>0</v>
      </c>
      <c r="CJ178" s="120">
        <f t="shared" si="266"/>
        <v>0</v>
      </c>
      <c r="CK178" s="114">
        <f t="shared" si="266"/>
        <v>0</v>
      </c>
      <c r="CL178" s="114">
        <f t="shared" si="284"/>
        <v>0</v>
      </c>
      <c r="CM178" s="114">
        <f t="shared" si="277"/>
        <v>0</v>
      </c>
      <c r="CN178" s="114">
        <f t="shared" si="189"/>
        <v>0</v>
      </c>
      <c r="CO178" s="116">
        <f t="shared" si="232"/>
        <v>0</v>
      </c>
      <c r="CP178" s="126">
        <f t="shared" ca="1" si="233"/>
        <v>0</v>
      </c>
      <c r="CQ178" s="115">
        <f t="shared" ca="1" si="210"/>
        <v>0</v>
      </c>
      <c r="CR178" s="118" t="str">
        <f t="shared" si="234"/>
        <v>Uncapped</v>
      </c>
      <c r="CS178" s="115">
        <f t="shared" ca="1" si="211"/>
        <v>0</v>
      </c>
      <c r="CT178" s="113" t="s">
        <v>696</v>
      </c>
      <c r="CU178" s="119">
        <v>0.2</v>
      </c>
      <c r="CV178" s="113" t="s">
        <v>217</v>
      </c>
      <c r="CW178" s="113" t="s">
        <v>667</v>
      </c>
      <c r="CX178" s="173"/>
      <c r="CY178" s="173"/>
      <c r="CZ178" s="113">
        <v>69179032.514420599</v>
      </c>
      <c r="DA178" s="113">
        <v>76323964.015026003</v>
      </c>
      <c r="DB178" s="173"/>
      <c r="DC178" s="173"/>
      <c r="DD178" s="113">
        <v>66410604.684560001</v>
      </c>
      <c r="DE178" s="506"/>
      <c r="DF178" s="173"/>
      <c r="DG178" s="173"/>
      <c r="DH178" s="173"/>
      <c r="DI178" s="173"/>
      <c r="DJ178" s="114">
        <f t="shared" si="268"/>
        <v>0</v>
      </c>
      <c r="DK178" s="114">
        <f t="shared" si="268"/>
        <v>0</v>
      </c>
      <c r="DL178" s="114">
        <f t="shared" si="268"/>
        <v>66410604.684560001</v>
      </c>
      <c r="DM178" s="114">
        <f t="shared" si="268"/>
        <v>0</v>
      </c>
      <c r="DN178" s="114">
        <f t="shared" si="269"/>
        <v>66410604.684560001</v>
      </c>
      <c r="DO178" s="114">
        <f t="shared" si="285"/>
        <v>145502996.5294466</v>
      </c>
      <c r="DP178" s="114">
        <f t="shared" si="201"/>
        <v>145502996.5294466</v>
      </c>
      <c r="DQ178" s="116">
        <f t="shared" si="235"/>
        <v>0.45639999999999997</v>
      </c>
      <c r="DR178" s="126">
        <f t="shared" ca="1" si="212"/>
        <v>0</v>
      </c>
      <c r="DS178" s="115">
        <f t="shared" ca="1" si="213"/>
        <v>0</v>
      </c>
      <c r="DT178" s="118" t="str">
        <f t="shared" si="236"/>
        <v>Uncapped</v>
      </c>
      <c r="DU178" s="115">
        <f t="shared" ca="1" si="214"/>
        <v>0</v>
      </c>
      <c r="DV178" s="173"/>
      <c r="DW178" s="173"/>
      <c r="DX178" s="173"/>
      <c r="DY178" s="173"/>
      <c r="DZ178" s="173"/>
      <c r="EA178" s="173"/>
      <c r="EB178" s="173"/>
      <c r="EC178" s="173"/>
      <c r="ED178" s="173"/>
      <c r="EE178" s="173"/>
      <c r="EF178" s="173"/>
      <c r="EG178" s="173"/>
      <c r="EH178" s="173"/>
      <c r="EI178" s="173"/>
      <c r="EJ178" s="173"/>
      <c r="EK178" s="173"/>
      <c r="EL178" s="114">
        <f t="shared" si="271"/>
        <v>0</v>
      </c>
      <c r="EM178" s="114">
        <f t="shared" si="271"/>
        <v>0</v>
      </c>
      <c r="EN178" s="114">
        <f t="shared" si="271"/>
        <v>0</v>
      </c>
      <c r="EO178" s="114">
        <f t="shared" si="271"/>
        <v>0</v>
      </c>
      <c r="EP178" s="114">
        <f t="shared" si="279"/>
        <v>0</v>
      </c>
      <c r="EQ178" s="114">
        <f t="shared" si="280"/>
        <v>0</v>
      </c>
      <c r="ER178" s="114">
        <f t="shared" si="192"/>
        <v>0</v>
      </c>
      <c r="ES178" s="116">
        <f t="shared" si="237"/>
        <v>0</v>
      </c>
      <c r="ET178" s="126">
        <f t="shared" ca="1" si="238"/>
        <v>0</v>
      </c>
      <c r="EU178" s="115">
        <f t="shared" ca="1" si="216"/>
        <v>0</v>
      </c>
      <c r="EV178" s="118" t="str">
        <f t="shared" si="217"/>
        <v>Uncapped</v>
      </c>
      <c r="EW178" s="115">
        <f t="shared" ca="1" si="218"/>
        <v>0</v>
      </c>
      <c r="EX178" s="112">
        <f t="shared" ca="1" si="219"/>
        <v>0</v>
      </c>
      <c r="EY178" s="114">
        <f t="shared" ca="1" si="239"/>
        <v>0</v>
      </c>
      <c r="FD178" s="115">
        <f t="shared" si="252"/>
        <v>0</v>
      </c>
      <c r="FE178" s="114">
        <f t="shared" si="287"/>
        <v>0</v>
      </c>
      <c r="FJ178" s="115">
        <f t="shared" si="198"/>
        <v>0</v>
      </c>
      <c r="FK178" s="114">
        <f t="shared" si="288"/>
        <v>0</v>
      </c>
      <c r="FL178" s="514"/>
      <c r="FM178" s="514"/>
      <c r="FN178" s="514"/>
      <c r="FO178" s="514"/>
      <c r="FP178" s="115">
        <f t="shared" si="203"/>
        <v>0</v>
      </c>
      <c r="FT178" s="33">
        <f t="shared" si="240"/>
        <v>0</v>
      </c>
      <c r="FU178" s="361">
        <f t="shared" ca="1" si="244"/>
        <v>0</v>
      </c>
      <c r="FV178" s="33">
        <f t="shared" ca="1" si="241"/>
        <v>0</v>
      </c>
      <c r="FW178" s="33">
        <f t="shared" si="272"/>
        <v>0</v>
      </c>
      <c r="FX178" s="33">
        <f t="shared" si="272"/>
        <v>0</v>
      </c>
      <c r="FY178" s="33">
        <f t="shared" si="272"/>
        <v>0</v>
      </c>
      <c r="FZ178" s="33">
        <f t="shared" si="272"/>
        <v>0</v>
      </c>
      <c r="GA178" s="33">
        <f t="shared" si="274"/>
        <v>0</v>
      </c>
      <c r="GB178" s="33">
        <f t="shared" si="273"/>
        <v>0</v>
      </c>
      <c r="GC178" s="33">
        <f t="shared" si="273"/>
        <v>0</v>
      </c>
      <c r="GD178" s="33">
        <f t="shared" si="273"/>
        <v>0</v>
      </c>
      <c r="GE178" s="33">
        <f t="shared" si="273"/>
        <v>0</v>
      </c>
      <c r="GF178" s="33">
        <f t="shared" si="289"/>
        <v>0</v>
      </c>
      <c r="GG178" s="33">
        <f t="shared" si="289"/>
        <v>0</v>
      </c>
      <c r="GH178" s="33">
        <f t="shared" si="289"/>
        <v>0</v>
      </c>
      <c r="GI178" s="33">
        <f t="shared" si="289"/>
        <v>0</v>
      </c>
      <c r="GJ178" s="33">
        <f t="shared" si="199"/>
        <v>0</v>
      </c>
      <c r="GK178" s="33">
        <f t="shared" si="220"/>
        <v>0</v>
      </c>
      <c r="GL178" s="33">
        <f t="shared" si="221"/>
        <v>0</v>
      </c>
      <c r="GM178" s="33">
        <f t="shared" si="222"/>
        <v>0</v>
      </c>
      <c r="GN178" s="33">
        <f t="shared" si="223"/>
        <v>0</v>
      </c>
      <c r="GO178" s="33">
        <f t="shared" si="224"/>
        <v>0</v>
      </c>
      <c r="GP178" s="33">
        <f t="shared" si="200"/>
        <v>0</v>
      </c>
      <c r="GQ178" s="114">
        <f t="shared" si="259"/>
        <v>0</v>
      </c>
      <c r="GS178" s="507">
        <f t="shared" si="286"/>
        <v>89289688.171140015</v>
      </c>
      <c r="GT178" s="507">
        <f t="shared" si="286"/>
        <v>195220260.2250466</v>
      </c>
      <c r="GU178" s="31">
        <f t="shared" si="226"/>
        <v>0.45737920883933036</v>
      </c>
      <c r="GV178" s="124">
        <f t="shared" ca="1" si="227"/>
        <v>0</v>
      </c>
      <c r="GW178" s="124">
        <v>0</v>
      </c>
      <c r="GX178" s="179">
        <f t="shared" ca="1" si="228"/>
        <v>0</v>
      </c>
    </row>
    <row r="179" spans="1:207" hidden="1">
      <c r="F179" s="104" t="s">
        <v>231</v>
      </c>
      <c r="G179" s="104" t="s">
        <v>226</v>
      </c>
      <c r="H179" s="405" t="s">
        <v>232</v>
      </c>
      <c r="I179" s="106" t="s">
        <v>233</v>
      </c>
      <c r="J179" s="104" t="s">
        <v>207</v>
      </c>
      <c r="K179" s="168" t="s">
        <v>221</v>
      </c>
      <c r="O179" s="537">
        <v>41376</v>
      </c>
      <c r="P179" s="359">
        <v>43739</v>
      </c>
      <c r="Q179" s="323"/>
      <c r="R179" s="109">
        <v>10</v>
      </c>
      <c r="S179" s="108"/>
      <c r="T179" s="110"/>
      <c r="U179" s="483"/>
      <c r="V179" s="483"/>
      <c r="W179" s="405"/>
      <c r="X179" s="405"/>
      <c r="Y179" s="492"/>
      <c r="Z179" s="406"/>
      <c r="AA179" s="394"/>
      <c r="AB179" s="394"/>
      <c r="AC179" s="394"/>
      <c r="AD179" s="394"/>
      <c r="AE179" s="394"/>
      <c r="AF179" s="394"/>
      <c r="AG179" s="394"/>
      <c r="AH179" s="394"/>
      <c r="AI179" s="394"/>
      <c r="AJ179" s="394"/>
      <c r="AK179" s="394"/>
      <c r="AL179" s="394"/>
      <c r="AM179" s="388"/>
      <c r="AN179" s="388"/>
      <c r="AO179" s="389"/>
      <c r="AP179" s="498" t="s">
        <v>674</v>
      </c>
      <c r="AQ179" s="159">
        <v>0.6</v>
      </c>
      <c r="AR179" s="160" t="s">
        <v>211</v>
      </c>
      <c r="AS179" s="119" t="s">
        <v>210</v>
      </c>
      <c r="AT179" s="504"/>
      <c r="AU179" s="504"/>
      <c r="AV179" s="111"/>
      <c r="AW179" s="111">
        <v>1875000</v>
      </c>
      <c r="AX179" s="173"/>
      <c r="AY179" s="173"/>
      <c r="AZ179" s="113"/>
      <c r="BA179" s="506"/>
      <c r="BF179" s="114">
        <f t="shared" si="263"/>
        <v>0</v>
      </c>
      <c r="BG179" s="114">
        <f t="shared" si="263"/>
        <v>0</v>
      </c>
      <c r="BH179" s="114">
        <f t="shared" si="263"/>
        <v>0</v>
      </c>
      <c r="BI179" s="114">
        <f t="shared" si="263"/>
        <v>0</v>
      </c>
      <c r="BJ179" s="114">
        <f t="shared" ref="BJ179:BJ181" si="291">IF($BB$3="After AR Adjustment",IF($H$2=1,BF179,IF($H$2=2,SUM(BF179:BG179),IF($H$2=3,SUM(BF179:BH179),SUM(BF179:BI179)))),IF($H$2=1,AX179,IF($H$2=2,SUM(AX179:AY179),IF($H$2=3,SUM(AX179:AZ179),SUM(AX179:BA179)))))</f>
        <v>0</v>
      </c>
      <c r="BK179" s="115">
        <f t="shared" si="265"/>
        <v>1875000</v>
      </c>
      <c r="BL179" s="115">
        <f t="shared" si="230"/>
        <v>1875000</v>
      </c>
      <c r="BM179" s="116">
        <f t="shared" si="231"/>
        <v>0</v>
      </c>
      <c r="BN179" s="126">
        <f t="shared" ca="1" si="281"/>
        <v>0</v>
      </c>
      <c r="BO179" s="117">
        <f t="shared" ca="1" si="282"/>
        <v>0</v>
      </c>
      <c r="BP179" s="118" t="str">
        <f t="shared" si="283"/>
        <v>Uncapped</v>
      </c>
      <c r="BQ179" s="115">
        <f t="shared" ca="1" si="209"/>
        <v>0</v>
      </c>
      <c r="BR179" s="113"/>
      <c r="BS179" s="119"/>
      <c r="BT179" s="113"/>
      <c r="BU179" s="113"/>
      <c r="BV179" s="173"/>
      <c r="BW179" s="173"/>
      <c r="BX179" s="173"/>
      <c r="BY179" s="173"/>
      <c r="BZ179" s="173"/>
      <c r="CA179" s="173"/>
      <c r="CB179" s="504"/>
      <c r="CC179" s="173"/>
      <c r="CH179" s="114">
        <f t="shared" si="266"/>
        <v>0</v>
      </c>
      <c r="CI179" s="114">
        <f t="shared" si="266"/>
        <v>0</v>
      </c>
      <c r="CJ179" s="120">
        <f t="shared" si="266"/>
        <v>0</v>
      </c>
      <c r="CK179" s="114">
        <f t="shared" si="266"/>
        <v>0</v>
      </c>
      <c r="CL179" s="114">
        <f t="shared" si="284"/>
        <v>0</v>
      </c>
      <c r="CM179" s="114">
        <f t="shared" si="277"/>
        <v>0</v>
      </c>
      <c r="CN179" s="114">
        <f t="shared" si="189"/>
        <v>0</v>
      </c>
      <c r="CO179" s="116">
        <f t="shared" si="232"/>
        <v>0</v>
      </c>
      <c r="CP179" s="126">
        <f t="shared" ca="1" si="233"/>
        <v>0</v>
      </c>
      <c r="CQ179" s="115">
        <f t="shared" ca="1" si="210"/>
        <v>0</v>
      </c>
      <c r="CR179" s="118" t="str">
        <f t="shared" si="234"/>
        <v>Uncapped</v>
      </c>
      <c r="CS179" s="115">
        <f t="shared" ca="1" si="211"/>
        <v>0</v>
      </c>
      <c r="CT179" s="113" t="s">
        <v>694</v>
      </c>
      <c r="CU179" s="119">
        <v>0.1</v>
      </c>
      <c r="CV179" s="113" t="s">
        <v>211</v>
      </c>
      <c r="CW179" s="113" t="s">
        <v>667</v>
      </c>
      <c r="CX179" s="173"/>
      <c r="CY179" s="173"/>
      <c r="CZ179" s="113"/>
      <c r="DA179" s="113">
        <v>5054032.5888146162</v>
      </c>
      <c r="DB179" s="173"/>
      <c r="DC179" s="173"/>
      <c r="DD179" s="113"/>
      <c r="DE179" s="506"/>
      <c r="DF179" s="173"/>
      <c r="DG179" s="173"/>
      <c r="DH179" s="173"/>
      <c r="DI179" s="173"/>
      <c r="DJ179" s="114">
        <f t="shared" si="268"/>
        <v>0</v>
      </c>
      <c r="DK179" s="114">
        <f t="shared" si="268"/>
        <v>0</v>
      </c>
      <c r="DL179" s="114">
        <f t="shared" si="268"/>
        <v>0</v>
      </c>
      <c r="DM179" s="114">
        <f t="shared" si="268"/>
        <v>0</v>
      </c>
      <c r="DN179" s="114">
        <f t="shared" si="269"/>
        <v>0</v>
      </c>
      <c r="DO179" s="114">
        <f t="shared" si="285"/>
        <v>5054032.5888146162</v>
      </c>
      <c r="DP179" s="114">
        <f t="shared" si="201"/>
        <v>5054032.5888146162</v>
      </c>
      <c r="DQ179" s="116">
        <f t="shared" si="235"/>
        <v>0</v>
      </c>
      <c r="DR179" s="126">
        <f t="shared" ca="1" si="212"/>
        <v>0</v>
      </c>
      <c r="DS179" s="115">
        <f t="shared" ca="1" si="213"/>
        <v>0</v>
      </c>
      <c r="DT179" s="118" t="str">
        <f t="shared" si="236"/>
        <v>Uncapped</v>
      </c>
      <c r="DU179" s="115">
        <f t="shared" ca="1" si="214"/>
        <v>0</v>
      </c>
      <c r="DV179" s="173" t="s">
        <v>728</v>
      </c>
      <c r="DW179" s="173">
        <v>0.2</v>
      </c>
      <c r="DX179" s="173" t="s">
        <v>703</v>
      </c>
      <c r="DY179" s="173" t="s">
        <v>210</v>
      </c>
      <c r="DZ179" s="173"/>
      <c r="EA179" s="173"/>
      <c r="EB179" s="173"/>
      <c r="EC179" s="506">
        <v>76323964.015026003</v>
      </c>
      <c r="ED179" s="173"/>
      <c r="EE179" s="173"/>
      <c r="EF179" s="173"/>
      <c r="EG179" s="506"/>
      <c r="EH179" s="173"/>
      <c r="EI179" s="173"/>
      <c r="EJ179" s="173"/>
      <c r="EK179" s="173"/>
      <c r="EL179" s="114">
        <f t="shared" si="271"/>
        <v>0</v>
      </c>
      <c r="EM179" s="114">
        <f t="shared" si="271"/>
        <v>0</v>
      </c>
      <c r="EN179" s="114">
        <f t="shared" si="271"/>
        <v>0</v>
      </c>
      <c r="EO179" s="114">
        <f t="shared" si="271"/>
        <v>0</v>
      </c>
      <c r="EP179" s="114">
        <f t="shared" ref="EP179:EP181" si="292">IF($BB$3="After AR Adjustment",IF($H$2=1,EL179,IF($H$2=2,SUM(EL179:EM179),IF($H$2=3,SUM(EL179:EN179),SUM(EL179:EO179)))),IF($H$2=1,ED179,IF($H$2=2,SUM(ED179:EE179),IF($H$2=3,SUM(ED179:EF179),SUM(ED179:EG179)))))</f>
        <v>0</v>
      </c>
      <c r="EQ179" s="114">
        <f t="shared" si="280"/>
        <v>76323964.015026003</v>
      </c>
      <c r="ER179" s="114">
        <f t="shared" si="192"/>
        <v>76323964.015026003</v>
      </c>
      <c r="ES179" s="116">
        <f t="shared" si="237"/>
        <v>0</v>
      </c>
      <c r="ET179" s="126">
        <f t="shared" ca="1" si="238"/>
        <v>0</v>
      </c>
      <c r="EU179" s="115">
        <f t="shared" ca="1" si="216"/>
        <v>0</v>
      </c>
      <c r="EV179" s="118" t="str">
        <f t="shared" si="217"/>
        <v>Uncapped</v>
      </c>
      <c r="EW179" s="115">
        <f t="shared" ca="1" si="218"/>
        <v>0</v>
      </c>
      <c r="EX179" s="112">
        <f t="shared" ca="1" si="219"/>
        <v>0</v>
      </c>
      <c r="EY179" s="114">
        <f t="shared" ca="1" si="239"/>
        <v>0</v>
      </c>
      <c r="FD179" s="115">
        <f t="shared" si="252"/>
        <v>0</v>
      </c>
      <c r="FE179" s="114">
        <f t="shared" si="287"/>
        <v>0</v>
      </c>
      <c r="FJ179" s="115">
        <f t="shared" ref="FJ179:FJ180" si="293">IF($H$2=1,FF179,IF($H$2=2,SUM(FF179:FG179),IF($H$2=3,SUM(FF179:FH179),SUM(FF179:FI179))))</f>
        <v>0</v>
      </c>
      <c r="FK179" s="114">
        <f t="shared" si="288"/>
        <v>0</v>
      </c>
      <c r="FL179" s="514"/>
      <c r="FM179" s="514"/>
      <c r="FN179" s="514"/>
      <c r="FO179" s="514"/>
      <c r="FP179" s="115">
        <f t="shared" si="203"/>
        <v>0</v>
      </c>
      <c r="FT179" s="33">
        <f t="shared" si="240"/>
        <v>0</v>
      </c>
      <c r="FU179" s="361">
        <f t="shared" ca="1" si="244"/>
        <v>0</v>
      </c>
      <c r="FV179" s="33">
        <f t="shared" ca="1" si="241"/>
        <v>0</v>
      </c>
      <c r="FW179" s="33">
        <f t="shared" si="272"/>
        <v>0</v>
      </c>
      <c r="FX179" s="33">
        <f t="shared" si="272"/>
        <v>0</v>
      </c>
      <c r="FY179" s="33">
        <f t="shared" si="272"/>
        <v>0</v>
      </c>
      <c r="FZ179" s="33">
        <f t="shared" si="272"/>
        <v>0</v>
      </c>
      <c r="GA179" s="33">
        <f t="shared" si="274"/>
        <v>0</v>
      </c>
      <c r="GB179" s="33">
        <f t="shared" si="273"/>
        <v>0</v>
      </c>
      <c r="GC179" s="33">
        <f t="shared" si="273"/>
        <v>0</v>
      </c>
      <c r="GD179" s="33">
        <f t="shared" si="273"/>
        <v>0</v>
      </c>
      <c r="GE179" s="33">
        <f t="shared" si="273"/>
        <v>0</v>
      </c>
      <c r="GF179" s="33">
        <f t="shared" si="289"/>
        <v>0</v>
      </c>
      <c r="GG179" s="33">
        <f t="shared" si="289"/>
        <v>0</v>
      </c>
      <c r="GH179" s="33">
        <f t="shared" si="289"/>
        <v>0</v>
      </c>
      <c r="GI179" s="33">
        <f t="shared" si="289"/>
        <v>0</v>
      </c>
      <c r="GJ179" s="33">
        <f t="shared" si="199"/>
        <v>0</v>
      </c>
      <c r="GK179" s="33">
        <f t="shared" si="220"/>
        <v>0</v>
      </c>
      <c r="GL179" s="33">
        <f t="shared" si="221"/>
        <v>0</v>
      </c>
      <c r="GM179" s="33">
        <f t="shared" si="222"/>
        <v>0</v>
      </c>
      <c r="GN179" s="33">
        <f t="shared" si="223"/>
        <v>0</v>
      </c>
      <c r="GO179" s="33">
        <f t="shared" si="224"/>
        <v>0</v>
      </c>
      <c r="GP179" s="33">
        <f t="shared" si="200"/>
        <v>0</v>
      </c>
      <c r="GQ179" s="114">
        <f t="shared" ref="GQ179:GQ181" si="294">SUM(GL179:GO179)</f>
        <v>0</v>
      </c>
      <c r="GS179" s="507">
        <f t="shared" si="286"/>
        <v>0</v>
      </c>
      <c r="GT179" s="507">
        <f t="shared" si="286"/>
        <v>83252996.603840619</v>
      </c>
      <c r="GU179" s="31">
        <f t="shared" si="226"/>
        <v>0</v>
      </c>
      <c r="GV179" s="124">
        <f t="shared" ca="1" si="227"/>
        <v>0</v>
      </c>
      <c r="GW179" s="124">
        <v>0</v>
      </c>
      <c r="GX179" s="179">
        <f t="shared" ca="1" si="228"/>
        <v>0</v>
      </c>
    </row>
    <row r="180" spans="1:207" hidden="1">
      <c r="F180" s="104" t="s">
        <v>256</v>
      </c>
      <c r="G180" s="104" t="s">
        <v>226</v>
      </c>
      <c r="H180" s="405" t="s">
        <v>344</v>
      </c>
      <c r="I180" s="106" t="s">
        <v>345</v>
      </c>
      <c r="J180" s="104" t="s">
        <v>212</v>
      </c>
      <c r="K180" s="168" t="s">
        <v>208</v>
      </c>
      <c r="O180" s="537">
        <v>43435</v>
      </c>
      <c r="P180" s="359">
        <v>43647</v>
      </c>
      <c r="Q180" s="323"/>
      <c r="R180" s="109">
        <v>7</v>
      </c>
      <c r="S180" s="108"/>
      <c r="T180" s="110"/>
      <c r="U180" s="483"/>
      <c r="V180" s="483"/>
      <c r="W180" s="405"/>
      <c r="X180" s="405"/>
      <c r="Y180" s="492"/>
      <c r="Z180" s="406"/>
      <c r="AA180" s="394"/>
      <c r="AB180" s="394"/>
      <c r="AC180" s="394"/>
      <c r="AD180" s="394"/>
      <c r="AE180" s="394"/>
      <c r="AF180" s="394"/>
      <c r="AG180" s="394"/>
      <c r="AH180" s="394"/>
      <c r="AI180" s="394"/>
      <c r="AJ180" s="394"/>
      <c r="AK180" s="394"/>
      <c r="AL180" s="394"/>
      <c r="AM180" s="388"/>
      <c r="AN180" s="388"/>
      <c r="AO180" s="389"/>
      <c r="AP180" s="498" t="s">
        <v>676</v>
      </c>
      <c r="AQ180" s="159">
        <v>0.6</v>
      </c>
      <c r="AR180" s="160" t="s">
        <v>211</v>
      </c>
      <c r="AS180" s="119" t="s">
        <v>210</v>
      </c>
      <c r="AT180" s="504"/>
      <c r="AU180" s="504"/>
      <c r="AV180" s="111">
        <v>2860000</v>
      </c>
      <c r="AW180" s="111">
        <v>3117000</v>
      </c>
      <c r="AX180" s="173"/>
      <c r="AY180" s="173"/>
      <c r="AZ180" s="113">
        <v>2790350.7567450805</v>
      </c>
      <c r="BA180" s="506"/>
      <c r="BF180" s="114">
        <f t="shared" si="263"/>
        <v>0</v>
      </c>
      <c r="BG180" s="114">
        <f t="shared" si="263"/>
        <v>0</v>
      </c>
      <c r="BH180" s="114">
        <f t="shared" si="263"/>
        <v>2790350.7567450805</v>
      </c>
      <c r="BI180" s="114">
        <f t="shared" si="263"/>
        <v>0</v>
      </c>
      <c r="BJ180" s="114">
        <f t="shared" si="291"/>
        <v>2790350.7567450805</v>
      </c>
      <c r="BK180" s="115">
        <f t="shared" si="265"/>
        <v>5977000</v>
      </c>
      <c r="BL180" s="115">
        <f t="shared" si="230"/>
        <v>5977000</v>
      </c>
      <c r="BM180" s="116">
        <f t="shared" si="231"/>
        <v>0.46679999999999999</v>
      </c>
      <c r="BN180" s="126">
        <f t="shared" ca="1" si="281"/>
        <v>0</v>
      </c>
      <c r="BO180" s="117">
        <f t="shared" ca="1" si="282"/>
        <v>0</v>
      </c>
      <c r="BP180" s="118" t="str">
        <f t="shared" si="283"/>
        <v>Uncapped</v>
      </c>
      <c r="BQ180" s="115">
        <f t="shared" ca="1" si="209"/>
        <v>0</v>
      </c>
      <c r="BR180" s="113" t="s">
        <v>688</v>
      </c>
      <c r="BS180" s="119">
        <v>0.2</v>
      </c>
      <c r="BT180" s="113" t="s">
        <v>211</v>
      </c>
      <c r="BU180" s="113" t="s">
        <v>210</v>
      </c>
      <c r="BV180" s="173"/>
      <c r="BW180" s="173"/>
      <c r="BX180" s="173">
        <v>22618799.574099999</v>
      </c>
      <c r="BY180" s="173">
        <v>27098464.121500004</v>
      </c>
      <c r="BZ180" s="173"/>
      <c r="CA180" s="173"/>
      <c r="CB180" s="504">
        <v>22879083.486580007</v>
      </c>
      <c r="CC180" s="506"/>
      <c r="CH180" s="114">
        <f t="shared" si="266"/>
        <v>0</v>
      </c>
      <c r="CI180" s="114">
        <f t="shared" si="266"/>
        <v>0</v>
      </c>
      <c r="CJ180" s="120">
        <f t="shared" si="266"/>
        <v>22879083.486580007</v>
      </c>
      <c r="CK180" s="114">
        <f t="shared" si="266"/>
        <v>0</v>
      </c>
      <c r="CL180" s="114">
        <f t="shared" si="284"/>
        <v>22879083.486580007</v>
      </c>
      <c r="CM180" s="114">
        <f t="shared" si="277"/>
        <v>49717263.695600003</v>
      </c>
      <c r="CN180" s="114">
        <f t="shared" si="189"/>
        <v>49717263.695600003</v>
      </c>
      <c r="CO180" s="116">
        <f t="shared" si="232"/>
        <v>0.4602</v>
      </c>
      <c r="CP180" s="126">
        <f t="shared" ca="1" si="233"/>
        <v>0</v>
      </c>
      <c r="CQ180" s="115">
        <f t="shared" ca="1" si="210"/>
        <v>0</v>
      </c>
      <c r="CR180" s="118" t="str">
        <f t="shared" si="234"/>
        <v>Uncapped</v>
      </c>
      <c r="CS180" s="115">
        <f t="shared" ca="1" si="211"/>
        <v>0</v>
      </c>
      <c r="CT180" s="113" t="s">
        <v>696</v>
      </c>
      <c r="CU180" s="119">
        <v>0.2</v>
      </c>
      <c r="CV180" s="113" t="s">
        <v>217</v>
      </c>
      <c r="CW180" s="113" t="s">
        <v>667</v>
      </c>
      <c r="CX180" s="173"/>
      <c r="CY180" s="173"/>
      <c r="CZ180" s="113">
        <v>69179032.514420599</v>
      </c>
      <c r="DA180" s="113">
        <v>76323964.015026003</v>
      </c>
      <c r="DB180" s="173"/>
      <c r="DC180" s="173"/>
      <c r="DD180" s="113">
        <v>66410604.684560001</v>
      </c>
      <c r="DE180" s="506"/>
      <c r="DF180" s="173"/>
      <c r="DG180" s="173"/>
      <c r="DH180" s="173"/>
      <c r="DI180" s="173"/>
      <c r="DJ180" s="114">
        <f t="shared" si="268"/>
        <v>0</v>
      </c>
      <c r="DK180" s="114">
        <f t="shared" si="268"/>
        <v>0</v>
      </c>
      <c r="DL180" s="114">
        <f t="shared" si="268"/>
        <v>66410604.684560001</v>
      </c>
      <c r="DM180" s="114">
        <f t="shared" si="268"/>
        <v>0</v>
      </c>
      <c r="DN180" s="114">
        <f t="shared" si="269"/>
        <v>66410604.684560001</v>
      </c>
      <c r="DO180" s="114">
        <f t="shared" si="285"/>
        <v>145502996.5294466</v>
      </c>
      <c r="DP180" s="114">
        <f t="shared" si="201"/>
        <v>145502996.5294466</v>
      </c>
      <c r="DQ180" s="116">
        <f t="shared" si="235"/>
        <v>0.45639999999999997</v>
      </c>
      <c r="DR180" s="126">
        <f t="shared" ca="1" si="212"/>
        <v>0</v>
      </c>
      <c r="DS180" s="115">
        <f t="shared" ca="1" si="213"/>
        <v>0</v>
      </c>
      <c r="DT180" s="118" t="str">
        <f t="shared" si="236"/>
        <v>Uncapped</v>
      </c>
      <c r="DU180" s="115">
        <f t="shared" ca="1" si="214"/>
        <v>0</v>
      </c>
      <c r="DV180" s="173"/>
      <c r="DW180" s="173"/>
      <c r="DX180" s="173"/>
      <c r="DY180" s="173"/>
      <c r="DZ180" s="173"/>
      <c r="EA180" s="173"/>
      <c r="EB180" s="173"/>
      <c r="EC180" s="173"/>
      <c r="ED180" s="173"/>
      <c r="EE180" s="173"/>
      <c r="EF180" s="173"/>
      <c r="EG180" s="173"/>
      <c r="EH180" s="173"/>
      <c r="EI180" s="173"/>
      <c r="EJ180" s="173"/>
      <c r="EK180" s="173"/>
      <c r="EL180" s="114">
        <f t="shared" si="271"/>
        <v>0</v>
      </c>
      <c r="EM180" s="114">
        <f t="shared" si="271"/>
        <v>0</v>
      </c>
      <c r="EN180" s="114">
        <f t="shared" si="271"/>
        <v>0</v>
      </c>
      <c r="EO180" s="114">
        <f t="shared" si="271"/>
        <v>0</v>
      </c>
      <c r="EP180" s="114">
        <f t="shared" si="292"/>
        <v>0</v>
      </c>
      <c r="EQ180" s="114">
        <f t="shared" si="280"/>
        <v>0</v>
      </c>
      <c r="ER180" s="114">
        <f t="shared" si="192"/>
        <v>0</v>
      </c>
      <c r="ES180" s="116">
        <f t="shared" si="237"/>
        <v>0</v>
      </c>
      <c r="ET180" s="126">
        <f t="shared" ca="1" si="238"/>
        <v>0</v>
      </c>
      <c r="EU180" s="115">
        <f t="shared" ca="1" si="216"/>
        <v>0</v>
      </c>
      <c r="EV180" s="118" t="str">
        <f t="shared" si="217"/>
        <v>Uncapped</v>
      </c>
      <c r="EW180" s="115">
        <f t="shared" ca="1" si="218"/>
        <v>0</v>
      </c>
      <c r="EX180" s="112">
        <f t="shared" ca="1" si="219"/>
        <v>0</v>
      </c>
      <c r="EY180" s="114">
        <f t="shared" ca="1" si="239"/>
        <v>0</v>
      </c>
      <c r="FD180" s="115">
        <f t="shared" si="252"/>
        <v>0</v>
      </c>
      <c r="FE180" s="114">
        <f>SUMIFS(180:180,$5:$5,"SPIFF payout $ (Local CCY)",$4:$4,CONCATENATE("Q",$H$2))</f>
        <v>0</v>
      </c>
      <c r="FJ180" s="115">
        <f t="shared" si="293"/>
        <v>0</v>
      </c>
      <c r="FK180" s="114">
        <f>SUMIFS(180:180,$5:$5,"Other payout $ (Local CCY)",$4:$4,CONCATENATE("Q",$H$2))</f>
        <v>0</v>
      </c>
      <c r="FL180" s="514"/>
      <c r="FM180" s="514"/>
      <c r="FN180" s="514"/>
      <c r="FO180" s="514"/>
      <c r="FP180" s="115">
        <f t="shared" si="203"/>
        <v>0</v>
      </c>
      <c r="FT180" s="33">
        <f t="shared" si="240"/>
        <v>0</v>
      </c>
      <c r="FU180" s="361">
        <f t="shared" ca="1" si="244"/>
        <v>0</v>
      </c>
      <c r="FV180" s="33">
        <f t="shared" ca="1" si="241"/>
        <v>0</v>
      </c>
      <c r="FW180" s="33">
        <f t="shared" si="272"/>
        <v>0</v>
      </c>
      <c r="FX180" s="33">
        <f t="shared" si="272"/>
        <v>0</v>
      </c>
      <c r="FY180" s="33">
        <f t="shared" si="272"/>
        <v>0</v>
      </c>
      <c r="FZ180" s="33">
        <f t="shared" si="272"/>
        <v>0</v>
      </c>
      <c r="GA180" s="33">
        <f t="shared" si="274"/>
        <v>0</v>
      </c>
      <c r="GB180" s="33">
        <f t="shared" si="273"/>
        <v>0</v>
      </c>
      <c r="GC180" s="33">
        <f t="shared" si="273"/>
        <v>0</v>
      </c>
      <c r="GD180" s="33">
        <f t="shared" si="273"/>
        <v>0</v>
      </c>
      <c r="GE180" s="33">
        <f t="shared" si="273"/>
        <v>0</v>
      </c>
      <c r="GF180" s="33">
        <f t="shared" si="289"/>
        <v>0</v>
      </c>
      <c r="GG180" s="33">
        <f t="shared" si="289"/>
        <v>0</v>
      </c>
      <c r="GH180" s="33">
        <f t="shared" si="289"/>
        <v>0</v>
      </c>
      <c r="GI180" s="33">
        <f t="shared" si="289"/>
        <v>0</v>
      </c>
      <c r="GJ180" s="33">
        <f t="shared" si="199"/>
        <v>0</v>
      </c>
      <c r="GK180" s="33">
        <f t="shared" si="220"/>
        <v>0</v>
      </c>
      <c r="GL180" s="33">
        <f t="shared" si="221"/>
        <v>0</v>
      </c>
      <c r="GM180" s="33">
        <f t="shared" si="222"/>
        <v>0</v>
      </c>
      <c r="GN180" s="33">
        <f t="shared" si="223"/>
        <v>0</v>
      </c>
      <c r="GO180" s="33">
        <f t="shared" si="224"/>
        <v>0</v>
      </c>
      <c r="GP180" s="33">
        <f t="shared" si="200"/>
        <v>0</v>
      </c>
      <c r="GQ180" s="114">
        <f t="shared" si="294"/>
        <v>0</v>
      </c>
      <c r="GS180" s="507">
        <f t="shared" si="286"/>
        <v>92080038.927885085</v>
      </c>
      <c r="GT180" s="507">
        <f t="shared" si="286"/>
        <v>201197260.2250466</v>
      </c>
      <c r="GU180" s="31">
        <f t="shared" si="226"/>
        <v>0.45766050106691386</v>
      </c>
      <c r="GV180" s="124">
        <f t="shared" ca="1" si="227"/>
        <v>0</v>
      </c>
      <c r="GW180" s="124">
        <v>0</v>
      </c>
      <c r="GX180" s="179">
        <f t="shared" ca="1" si="228"/>
        <v>0</v>
      </c>
    </row>
    <row r="181" spans="1:207" s="152" customFormat="1" ht="15" hidden="1" customHeight="1">
      <c r="A181" s="129"/>
      <c r="B181" s="130"/>
      <c r="C181" s="130"/>
      <c r="D181" s="131"/>
      <c r="E181" s="131" t="s">
        <v>224</v>
      </c>
      <c r="F181" s="131" t="s">
        <v>225</v>
      </c>
      <c r="G181" s="131" t="s">
        <v>226</v>
      </c>
      <c r="H181" s="132" t="s">
        <v>227</v>
      </c>
      <c r="I181" s="133" t="s">
        <v>228</v>
      </c>
      <c r="J181" s="131" t="s">
        <v>212</v>
      </c>
      <c r="K181" s="536" t="s">
        <v>221</v>
      </c>
      <c r="L181" s="131" t="s">
        <v>229</v>
      </c>
      <c r="M181" s="131" t="s">
        <v>229</v>
      </c>
      <c r="N181" s="134"/>
      <c r="O181" s="540">
        <v>41376</v>
      </c>
      <c r="P181" s="155">
        <v>43556</v>
      </c>
      <c r="Q181" s="321"/>
      <c r="R181" s="109">
        <v>4</v>
      </c>
      <c r="S181" s="108"/>
      <c r="T181" s="135" t="str">
        <f t="shared" ref="T181" si="295">IF(S181&gt;0,"Y","")</f>
        <v/>
      </c>
      <c r="U181" s="134"/>
      <c r="V181" s="134"/>
      <c r="W181" s="134"/>
      <c r="X181" s="134"/>
      <c r="Y181" s="383"/>
      <c r="Z181" s="383" t="s">
        <v>545</v>
      </c>
      <c r="AA181" s="371">
        <v>1000</v>
      </c>
      <c r="AB181" s="371">
        <v>1000</v>
      </c>
      <c r="AC181" s="371">
        <v>1000</v>
      </c>
      <c r="AD181" s="371">
        <v>1000</v>
      </c>
      <c r="AE181" s="371">
        <v>1000</v>
      </c>
      <c r="AF181" s="371">
        <v>1000</v>
      </c>
      <c r="AG181" s="371">
        <v>1000</v>
      </c>
      <c r="AH181" s="371">
        <v>1000</v>
      </c>
      <c r="AI181" s="371">
        <v>1000</v>
      </c>
      <c r="AJ181" s="371">
        <v>1000</v>
      </c>
      <c r="AK181" s="371">
        <v>1000</v>
      </c>
      <c r="AL181" s="371">
        <v>1000</v>
      </c>
      <c r="AM181" s="384">
        <f t="shared" ref="AM181" si="296">IF($H$2=1,SUM(AA181:AC181),IF($H$2=2,SUM(AA181:AF181),IF($H$2=3,SUM(AA181:AI181),SUM(AA181:AL181))))</f>
        <v>12000</v>
      </c>
      <c r="AN181" s="384">
        <f t="shared" ref="AN181" si="297">SUM(AA181:AL181)+INDEX(AA181:AL181,,MATCH($H$3,$AA$5:$AL$5,0))*(12-COUNTA(AA181:AL181))</f>
        <v>12000</v>
      </c>
      <c r="AO181" s="385">
        <f>AI181</f>
        <v>1000</v>
      </c>
      <c r="AP181" s="497" t="s">
        <v>668</v>
      </c>
      <c r="AQ181" s="156">
        <v>0.4</v>
      </c>
      <c r="AR181" s="153" t="s">
        <v>211</v>
      </c>
      <c r="AS181" s="146" t="s">
        <v>210</v>
      </c>
      <c r="AT181" s="136"/>
      <c r="AU181" s="136">
        <v>1811680</v>
      </c>
      <c r="AV181" s="136">
        <v>1811680</v>
      </c>
      <c r="AW181" s="111">
        <v>1672320</v>
      </c>
      <c r="AX181" s="138"/>
      <c r="AY181" s="138">
        <v>2519674.1063998202</v>
      </c>
      <c r="AZ181" s="138">
        <v>2260219.2939180001</v>
      </c>
      <c r="BA181" s="579"/>
      <c r="BB181" s="138"/>
      <c r="BC181" s="138"/>
      <c r="BD181" s="138"/>
      <c r="BE181" s="138"/>
      <c r="BF181" s="139">
        <f>AX181+BB181</f>
        <v>0</v>
      </c>
      <c r="BG181" s="139">
        <f>AY181+BC181</f>
        <v>2519674.1063998202</v>
      </c>
      <c r="BH181" s="139">
        <f>AZ181+BD181</f>
        <v>2260219.2939180001</v>
      </c>
      <c r="BI181" s="139">
        <f>BA181+BE181</f>
        <v>0</v>
      </c>
      <c r="BJ181" s="139">
        <f t="shared" si="291"/>
        <v>4779893.4003178198</v>
      </c>
      <c r="BK181" s="140">
        <f t="shared" si="265"/>
        <v>5295680</v>
      </c>
      <c r="BL181" s="140">
        <f>SUM(AT181:AW181)</f>
        <v>5295680</v>
      </c>
      <c r="BM181" s="141">
        <f>IFERROR(ROUND(BJ181/BK181,4),0)</f>
        <v>0.90259999999999996</v>
      </c>
      <c r="BN181" s="142">
        <f t="shared" ca="1" si="281"/>
        <v>0</v>
      </c>
      <c r="BO181" s="143">
        <f t="shared" ca="1" si="282"/>
        <v>0</v>
      </c>
      <c r="BP181" s="144" t="str">
        <f t="shared" si="283"/>
        <v>Uncapped</v>
      </c>
      <c r="BQ181" s="140">
        <f t="shared" ca="1" si="209"/>
        <v>0</v>
      </c>
      <c r="BR181" s="138" t="s">
        <v>689</v>
      </c>
      <c r="BS181" s="158">
        <v>0.2</v>
      </c>
      <c r="BT181" s="138" t="s">
        <v>211</v>
      </c>
      <c r="BU181" s="157" t="s">
        <v>210</v>
      </c>
      <c r="BV181" s="138"/>
      <c r="BW181" s="136">
        <v>811460</v>
      </c>
      <c r="BX181" s="136">
        <v>811460</v>
      </c>
      <c r="BY181" s="111">
        <v>749040</v>
      </c>
      <c r="BZ181" s="138"/>
      <c r="CA181" s="138">
        <v>406461.77099999931</v>
      </c>
      <c r="CB181" s="138">
        <v>529108.1189999996</v>
      </c>
      <c r="CC181" s="579"/>
      <c r="CD181" s="138"/>
      <c r="CE181" s="138"/>
      <c r="CF181" s="138"/>
      <c r="CG181" s="138"/>
      <c r="CH181" s="139">
        <f>BZ181+CD181</f>
        <v>0</v>
      </c>
      <c r="CI181" s="139">
        <f>CA181+CE181</f>
        <v>406461.77099999931</v>
      </c>
      <c r="CJ181" s="145">
        <f>CB181+CF181</f>
        <v>529108.1189999996</v>
      </c>
      <c r="CK181" s="139">
        <f>CC181+CG181</f>
        <v>0</v>
      </c>
      <c r="CL181" s="139">
        <f t="shared" si="284"/>
        <v>935569.88999999897</v>
      </c>
      <c r="CM181" s="139">
        <f t="shared" si="277"/>
        <v>2371960</v>
      </c>
      <c r="CN181" s="139">
        <f>SUM(BV181:BY181)</f>
        <v>2371960</v>
      </c>
      <c r="CO181" s="141">
        <f>IFERROR(ROUND(CL181/CM181,4),0)</f>
        <v>0.39439999999999997</v>
      </c>
      <c r="CP181" s="142">
        <f ca="1">IF(OR(BR181="MBO",BR181="10% Realized Price"),CO181,SUMPRODUCT(Lower_Payout*(Curve=BT181)*(Lower_Attain&lt;=CO181)*(Upper_Attain&gt;CO181))+(CO181-SUMPRODUCT(Lower_Attain*(Curve=BT181)*(Lower_Attain&lt;=CO181)*(Upper_Attain&gt;CO181)))*SUMPRODUCT(Slope*(Curve=BT181)*(Lower_Attain&lt;=CO181)*(Upper_Attain&gt;CO181)))</f>
        <v>0</v>
      </c>
      <c r="CQ181" s="140">
        <f t="shared" ca="1" si="210"/>
        <v>0</v>
      </c>
      <c r="CR181" s="144" t="str">
        <f t="shared" si="234"/>
        <v>Uncapped</v>
      </c>
      <c r="CS181" s="140">
        <f t="shared" ca="1" si="211"/>
        <v>0</v>
      </c>
      <c r="CT181" s="113" t="s">
        <v>696</v>
      </c>
      <c r="CU181" s="146">
        <v>0.4</v>
      </c>
      <c r="CV181" s="138" t="s">
        <v>217</v>
      </c>
      <c r="CW181" s="138" t="s">
        <v>667</v>
      </c>
      <c r="CX181" s="138"/>
      <c r="CY181" s="136">
        <v>72180793.063260496</v>
      </c>
      <c r="CZ181" s="136">
        <v>69179032.514420599</v>
      </c>
      <c r="DA181" s="113">
        <v>76323964.015026003</v>
      </c>
      <c r="DB181" s="138"/>
      <c r="DC181" s="138">
        <v>65995192.891159989</v>
      </c>
      <c r="DD181" s="138">
        <v>66410604.684560001</v>
      </c>
      <c r="DE181" s="579"/>
      <c r="DF181" s="138"/>
      <c r="DG181" s="138"/>
      <c r="DH181" s="138"/>
      <c r="DI181" s="138"/>
      <c r="DJ181" s="139">
        <f>DB181+DF181</f>
        <v>0</v>
      </c>
      <c r="DK181" s="139">
        <f>DC181+DG181</f>
        <v>65995192.891159989</v>
      </c>
      <c r="DL181" s="139">
        <f>DD181+DH181</f>
        <v>66410604.684560001</v>
      </c>
      <c r="DM181" s="139">
        <f>DE181+DI181</f>
        <v>0</v>
      </c>
      <c r="DN181" s="139">
        <f>IF($BB$3="After AR Adjustment",IF($H$2=1,DJ181,IF($H$2=2,SUM(DJ181:DK181),IF($H$2=3,SUM(DJ181:DL181),SUM(DJ181:DM181)))),IF($H$2=1,DB181,IF($H$2=2,SUM(DB181:DC181),IF($H$2=3,SUM(DB181:DD181),SUM(DB181:DE181)))))</f>
        <v>132405797.57571998</v>
      </c>
      <c r="DO181" s="139">
        <f t="shared" si="285"/>
        <v>217683789.5927071</v>
      </c>
      <c r="DP181" s="139">
        <f>SUM(CX181:DA181)</f>
        <v>217683789.5927071</v>
      </c>
      <c r="DQ181" s="141">
        <f>IFERROR(ROUND(DN181/DO181,4),0)</f>
        <v>0.60819999999999996</v>
      </c>
      <c r="DR181" s="142">
        <f t="shared" ca="1" si="212"/>
        <v>0</v>
      </c>
      <c r="DS181" s="140">
        <f t="shared" ca="1" si="213"/>
        <v>0</v>
      </c>
      <c r="DT181" s="144" t="str">
        <f t="shared" si="236"/>
        <v>Uncapped</v>
      </c>
      <c r="DU181" s="140">
        <f t="shared" ca="1" si="214"/>
        <v>0</v>
      </c>
      <c r="DV181" s="138"/>
      <c r="DW181" s="146">
        <v>0</v>
      </c>
      <c r="DX181" s="138"/>
      <c r="DY181" s="138"/>
      <c r="DZ181" s="138">
        <v>0</v>
      </c>
      <c r="EA181" s="136">
        <v>0</v>
      </c>
      <c r="EB181" s="136">
        <v>0</v>
      </c>
      <c r="EC181" s="136">
        <v>0</v>
      </c>
      <c r="ED181" s="138">
        <v>0</v>
      </c>
      <c r="EE181" s="138">
        <v>0</v>
      </c>
      <c r="EF181" s="138"/>
      <c r="EG181" s="138"/>
      <c r="EH181" s="138"/>
      <c r="EI181" s="138"/>
      <c r="EJ181" s="138"/>
      <c r="EK181" s="138"/>
      <c r="EL181" s="139">
        <f>ED181+EH181</f>
        <v>0</v>
      </c>
      <c r="EM181" s="139">
        <f>EE181+EI181</f>
        <v>0</v>
      </c>
      <c r="EN181" s="139">
        <f>EF181+EJ181</f>
        <v>0</v>
      </c>
      <c r="EO181" s="139">
        <f>EG181+EK181</f>
        <v>0</v>
      </c>
      <c r="EP181" s="139">
        <f t="shared" si="292"/>
        <v>0</v>
      </c>
      <c r="EQ181" s="139">
        <f t="shared" si="280"/>
        <v>0</v>
      </c>
      <c r="ER181" s="139">
        <f>SUM(DZ181:EC181)</f>
        <v>0</v>
      </c>
      <c r="ES181" s="141">
        <f>IFERROR(ROUND(EP181/EQ181,4),0)</f>
        <v>0</v>
      </c>
      <c r="ET181" s="142">
        <f ca="1">IF(OR(DV181="MBO",DV181="10% Realized Price"),ES181,SUMPRODUCT(Lower_Payout*(Curve=DX181)*(Lower_Attain&lt;=ES181)*(Upper_Attain&gt;ES181))+(ES181-SUMPRODUCT(Lower_Attain*(Curve=DX181)*(Lower_Attain&lt;=ES181)*(Upper_Attain&gt;ES181)))*SUMPRODUCT(Slope*(Curve=DX181)*(Lower_Attain&lt;=ES181)*(Upper_Attain&gt;ES181)))</f>
        <v>0</v>
      </c>
      <c r="EU181" s="140">
        <f t="shared" ca="1" si="216"/>
        <v>0</v>
      </c>
      <c r="EV181" s="144" t="str">
        <f t="shared" si="217"/>
        <v>Uncapped</v>
      </c>
      <c r="EW181" s="140">
        <f t="shared" ca="1" si="218"/>
        <v>0</v>
      </c>
      <c r="EX181" s="137">
        <f t="shared" ca="1" si="219"/>
        <v>0</v>
      </c>
      <c r="EY181" s="139">
        <f ca="1">MAX(EX181,GP181)</f>
        <v>0</v>
      </c>
      <c r="EZ181" s="140"/>
      <c r="FA181" s="140"/>
      <c r="FB181" s="115">
        <v>59297</v>
      </c>
      <c r="FC181" s="115">
        <v>0</v>
      </c>
      <c r="FD181" s="140">
        <f t="shared" si="252"/>
        <v>59297</v>
      </c>
      <c r="FE181" s="139">
        <f t="shared" ref="FE181:FE193" si="298">SUMIFS(181:181,$5:$5,"SPIFF payout $ (Local CCY)",$4:$4,CONCATENATE("Q",$H$2))</f>
        <v>0</v>
      </c>
      <c r="FF181" s="140">
        <v>0</v>
      </c>
      <c r="FG181" s="140">
        <v>0</v>
      </c>
      <c r="FH181" s="115">
        <v>0</v>
      </c>
      <c r="FI181" s="115">
        <v>0</v>
      </c>
      <c r="FJ181" s="140">
        <f t="shared" ref="FJ181" si="299">IF($H$2=1,FF181,IF($H$2=2,SUM(FF181:FG181),IF($H$2=3,SUM(FF181:FH181),SUM(FF181:FI181))))</f>
        <v>0</v>
      </c>
      <c r="FK181" s="139">
        <f t="shared" ref="FK181:FK193" si="300">SUMIFS(181:181,$5:$5,"Other payout $ (Local CCY)",$4:$4,CONCATENATE("Q",$H$2))</f>
        <v>0</v>
      </c>
      <c r="FL181" s="113"/>
      <c r="FM181" s="111"/>
      <c r="FN181" s="111"/>
      <c r="FO181" s="111"/>
      <c r="FP181" s="140">
        <f t="shared" si="203"/>
        <v>0</v>
      </c>
      <c r="FQ181" s="140"/>
      <c r="FR181" s="140"/>
      <c r="FS181" s="140"/>
      <c r="FT181" s="139">
        <f>SUM(FQ181:FS181)</f>
        <v>0</v>
      </c>
      <c r="FU181" s="365">
        <f ca="1">ROUND(MAX(FV181-FT181,0),2)</f>
        <v>59297</v>
      </c>
      <c r="FV181" s="147">
        <f ca="1">SUM(EY181,FD181,FJ181,FP181)</f>
        <v>59297</v>
      </c>
      <c r="FW181" s="139">
        <f t="shared" si="272"/>
        <v>0</v>
      </c>
      <c r="FX181" s="139">
        <f t="shared" si="272"/>
        <v>0</v>
      </c>
      <c r="FY181" s="139">
        <f t="shared" si="272"/>
        <v>0</v>
      </c>
      <c r="FZ181" s="139">
        <f t="shared" si="272"/>
        <v>0</v>
      </c>
      <c r="GA181" s="139">
        <f t="shared" si="274"/>
        <v>0</v>
      </c>
      <c r="GB181" s="139">
        <f t="shared" si="273"/>
        <v>0</v>
      </c>
      <c r="GC181" s="139">
        <f t="shared" si="273"/>
        <v>0</v>
      </c>
      <c r="GD181" s="139">
        <f t="shared" si="273"/>
        <v>59297</v>
      </c>
      <c r="GE181" s="139">
        <f t="shared" si="273"/>
        <v>0</v>
      </c>
      <c r="GF181" s="139">
        <f t="shared" si="289"/>
        <v>0</v>
      </c>
      <c r="GG181" s="139">
        <f t="shared" si="289"/>
        <v>0</v>
      </c>
      <c r="GH181" s="139">
        <f t="shared" si="289"/>
        <v>59297</v>
      </c>
      <c r="GI181" s="139">
        <f t="shared" si="289"/>
        <v>0</v>
      </c>
      <c r="GJ181" s="140">
        <f t="shared" ref="GJ181" si="301">IF($H$2=1,GF181,IF($H$2=2,SUM(GF181:GG181),IF($H$2=3,SUM(GF181:GH181),SUM(GF181:GI181))))</f>
        <v>59297</v>
      </c>
      <c r="GK181" s="139">
        <f t="shared" si="220"/>
        <v>59297</v>
      </c>
      <c r="GL181" s="139">
        <f t="shared" si="221"/>
        <v>0</v>
      </c>
      <c r="GM181" s="139">
        <f t="shared" si="222"/>
        <v>0</v>
      </c>
      <c r="GN181" s="139">
        <f t="shared" si="223"/>
        <v>0</v>
      </c>
      <c r="GO181" s="139">
        <f t="shared" si="224"/>
        <v>0</v>
      </c>
      <c r="GP181" s="139">
        <f t="shared" si="200"/>
        <v>0</v>
      </c>
      <c r="GQ181" s="139">
        <f t="shared" si="294"/>
        <v>0</v>
      </c>
      <c r="GR181" s="409"/>
      <c r="GS181" s="148">
        <f t="shared" si="286"/>
        <v>138121260.86603779</v>
      </c>
      <c r="GT181" s="148">
        <f t="shared" si="286"/>
        <v>225351429.5927071</v>
      </c>
      <c r="GU181" s="149">
        <f t="shared" si="226"/>
        <v>0.61291495295003762</v>
      </c>
      <c r="GV181" s="150">
        <f t="shared" ca="1" si="227"/>
        <v>0</v>
      </c>
      <c r="GW181" s="150">
        <v>0</v>
      </c>
      <c r="GX181" s="151">
        <f t="shared" ca="1" si="228"/>
        <v>0</v>
      </c>
      <c r="GY181" s="100"/>
    </row>
    <row r="182" spans="1:207" s="125" customFormat="1" ht="15" hidden="1" customHeight="1">
      <c r="A182" s="102"/>
      <c r="B182" s="103"/>
      <c r="C182" s="103" t="s">
        <v>75</v>
      </c>
      <c r="D182" s="104"/>
      <c r="E182" s="104"/>
      <c r="F182" s="104" t="s">
        <v>266</v>
      </c>
      <c r="G182" s="104" t="s">
        <v>226</v>
      </c>
      <c r="H182" s="105" t="s">
        <v>308</v>
      </c>
      <c r="I182" s="546" t="s">
        <v>309</v>
      </c>
      <c r="J182" s="104" t="s">
        <v>212</v>
      </c>
      <c r="K182" s="542" t="s">
        <v>208</v>
      </c>
      <c r="L182" s="537">
        <v>43556</v>
      </c>
      <c r="M182" s="359">
        <v>43556</v>
      </c>
      <c r="N182" s="322">
        <v>4</v>
      </c>
      <c r="O182" s="537">
        <v>43556</v>
      </c>
      <c r="P182" s="359">
        <v>43647</v>
      </c>
      <c r="Q182" s="322">
        <f t="shared" ref="Q182:Q193" si="302">IF(P182&gt;$Q$2,MONTH(P182),0)</f>
        <v>7</v>
      </c>
      <c r="R182" s="109">
        <f>IF((P182-VLOOKUP(Q182,month!$A$1:$C$13,3,0))&lt;0,Q182,Q182+1)</f>
        <v>7</v>
      </c>
      <c r="S182" s="320"/>
      <c r="T182" s="320"/>
      <c r="U182" s="107"/>
      <c r="V182" s="386"/>
      <c r="W182" s="386"/>
      <c r="X182" s="387"/>
      <c r="Y182" s="387"/>
      <c r="Z182" s="387"/>
      <c r="AA182" s="387"/>
      <c r="AB182" s="387"/>
      <c r="AC182" s="387"/>
      <c r="AD182" s="387"/>
      <c r="AE182" s="387"/>
      <c r="AF182" s="387"/>
      <c r="AG182" s="387"/>
      <c r="AH182" s="387"/>
      <c r="AI182" s="387"/>
      <c r="AJ182" s="388"/>
      <c r="AK182" s="388"/>
      <c r="AL182" s="390"/>
      <c r="AM182" s="498"/>
      <c r="AN182" s="159"/>
      <c r="AO182" s="160"/>
      <c r="AP182" s="498" t="s">
        <v>682</v>
      </c>
      <c r="AQ182" s="159">
        <v>0.8</v>
      </c>
      <c r="AR182" s="160" t="s">
        <v>211</v>
      </c>
      <c r="AS182" s="119" t="s">
        <v>210</v>
      </c>
      <c r="AT182" s="111"/>
      <c r="AU182" s="113"/>
      <c r="AV182" s="111">
        <v>185326.73039999997</v>
      </c>
      <c r="AW182" s="111">
        <v>222163.27099999998</v>
      </c>
      <c r="AX182" s="581"/>
      <c r="AY182" s="113"/>
      <c r="AZ182" s="113">
        <v>217901.35770299964</v>
      </c>
      <c r="BA182" s="113"/>
      <c r="BB182" s="113"/>
      <c r="BC182" s="114"/>
      <c r="BD182" s="114"/>
      <c r="BE182" s="114"/>
      <c r="BF182" s="114"/>
      <c r="BG182" s="114"/>
      <c r="BH182" s="115"/>
      <c r="BI182" s="115"/>
      <c r="BJ182" s="116"/>
      <c r="BK182" s="126"/>
      <c r="BL182" s="117"/>
      <c r="BM182" s="118"/>
      <c r="BN182" s="115"/>
      <c r="BO182" s="113"/>
      <c r="BP182" s="161"/>
      <c r="BQ182" s="113"/>
      <c r="BR182" s="160"/>
      <c r="BS182" s="113"/>
      <c r="BT182" s="113"/>
      <c r="BU182" s="113"/>
      <c r="BV182" s="113"/>
      <c r="BW182" s="113"/>
      <c r="BX182" s="113">
        <v>25820.744999999999</v>
      </c>
      <c r="BY182" s="113">
        <v>29373.214999999997</v>
      </c>
      <c r="BZ182" s="581"/>
      <c r="CA182" s="113"/>
      <c r="CB182" s="113">
        <v>10139.130000000001</v>
      </c>
      <c r="CC182" s="113"/>
      <c r="CD182" s="113"/>
      <c r="CE182" s="114"/>
      <c r="CF182" s="114"/>
      <c r="CG182" s="120"/>
      <c r="CH182" s="114"/>
      <c r="CI182" s="114"/>
      <c r="CJ182" s="114"/>
      <c r="CK182" s="114"/>
      <c r="CL182" s="116"/>
      <c r="CM182" s="126"/>
      <c r="CN182" s="115"/>
      <c r="CO182" s="118"/>
      <c r="CP182" s="115"/>
      <c r="CQ182" s="113"/>
      <c r="CR182" s="119"/>
      <c r="CS182" s="113"/>
      <c r="CT182" s="113" t="s">
        <v>781</v>
      </c>
      <c r="CU182" s="113"/>
      <c r="CV182" s="113"/>
      <c r="CW182" s="113"/>
      <c r="CX182" s="113"/>
      <c r="CY182" s="113"/>
      <c r="CZ182" s="113">
        <v>583241.87239999999</v>
      </c>
      <c r="DA182" s="113">
        <v>701050.38899999997</v>
      </c>
      <c r="DB182" s="166"/>
      <c r="DC182" s="166"/>
      <c r="DD182" s="166">
        <v>618119.22230299935</v>
      </c>
      <c r="DE182" s="166"/>
      <c r="DF182" s="166"/>
      <c r="DG182" s="114"/>
      <c r="DH182" s="114"/>
      <c r="DI182" s="114"/>
      <c r="DJ182" s="114">
        <f t="shared" ref="DJ182:DM193" si="303">DB182+DF182</f>
        <v>0</v>
      </c>
      <c r="DK182" s="114">
        <f t="shared" si="303"/>
        <v>0</v>
      </c>
      <c r="DL182" s="114">
        <f t="shared" si="303"/>
        <v>618119.22230299935</v>
      </c>
      <c r="DM182" s="114">
        <f t="shared" si="303"/>
        <v>0</v>
      </c>
      <c r="DN182" s="114">
        <f t="shared" ref="DN182" si="304">IF($BB$3="After AR Adjustment",IF($H$2=1,DJ182,IF($H$2=2,SUM(DJ182:DK182),IF($H$2=3,SUM(DJ182:DL182),SUM(DJ182:DM182)))),IF($H$2=1,DB182,IF($H$2=2,SUM(DB182:DC182),IF($H$2=3,SUM(DB182:DD182),SUM(DB182:DE182)))))</f>
        <v>618119.22230299935</v>
      </c>
      <c r="DO182" s="114">
        <f t="shared" si="285"/>
        <v>1284292.2614</v>
      </c>
      <c r="DP182" s="114">
        <f t="shared" ref="DP182:DP193" si="305">SUM(CX182:DA182)</f>
        <v>1284292.2614</v>
      </c>
      <c r="DQ182" s="116">
        <f t="shared" ref="DQ182:DQ193" si="306">IFERROR(ROUND(DN182/DO182,4),0)</f>
        <v>0.48130000000000001</v>
      </c>
      <c r="DR182" s="126">
        <f t="shared" ca="1" si="212"/>
        <v>0</v>
      </c>
      <c r="DS182" s="115">
        <f t="shared" ca="1" si="213"/>
        <v>0</v>
      </c>
      <c r="DT182" s="118" t="str">
        <f t="shared" si="236"/>
        <v>Uncapped</v>
      </c>
      <c r="DU182" s="115">
        <f t="shared" ca="1" si="214"/>
        <v>0</v>
      </c>
      <c r="DV182" s="113"/>
      <c r="DW182" s="113"/>
      <c r="DX182" s="113"/>
      <c r="DY182" s="113"/>
      <c r="DZ182" s="113"/>
      <c r="EA182" s="113"/>
      <c r="EB182" s="113"/>
      <c r="EC182" s="113"/>
      <c r="ED182" s="166"/>
      <c r="EE182" s="166"/>
      <c r="EF182" s="166"/>
      <c r="EG182" s="166"/>
      <c r="EH182" s="166"/>
      <c r="EI182" s="114"/>
      <c r="EJ182" s="114"/>
      <c r="EK182" s="114"/>
      <c r="EL182" s="114">
        <f t="shared" ref="EL182:EO193" si="307">ED182+EH182</f>
        <v>0</v>
      </c>
      <c r="EM182" s="114">
        <f t="shared" si="307"/>
        <v>0</v>
      </c>
      <c r="EN182" s="114">
        <f t="shared" si="307"/>
        <v>0</v>
      </c>
      <c r="EO182" s="114">
        <f t="shared" si="307"/>
        <v>0</v>
      </c>
      <c r="EP182" s="114">
        <f t="shared" ref="EP182" si="308">IF($BB$3="After AR Adjustment",IF($H$2=1,EL182,IF($H$2=2,SUM(EL182:EM182),IF($H$2=3,SUM(EL182:EN182),SUM(EL182:EO182)))),IF($H$2=1,ED182,IF($H$2=2,SUM(ED182:EE182),IF($H$2=3,SUM(ED182:EF182),SUM(ED182:EG182)))))</f>
        <v>0</v>
      </c>
      <c r="EQ182" s="114">
        <f t="shared" si="280"/>
        <v>0</v>
      </c>
      <c r="ER182" s="114">
        <f t="shared" ref="ER182" si="309">SUM(DZ182:EC182)</f>
        <v>0</v>
      </c>
      <c r="ES182" s="116">
        <f t="shared" ref="ES182:ES193" si="310">IFERROR(ROUND(EP182/EQ182,4),0)</f>
        <v>0</v>
      </c>
      <c r="ET182" s="126">
        <f t="shared" ref="ET182:ET193" ca="1" si="311">IF(OR(DV182="MBO",DV182="10% Realized Price"),ES182,SUMPRODUCT(Lower_Payout*(Curve=DX182)*(Lower_Attain&lt;=ES182)*(Upper_Attain&gt;ES182))+(ES182-SUMPRODUCT(Lower_Attain*(Curve=DX182)*(Lower_Attain&lt;=ES182)*(Upper_Attain&gt;ES182)))*SUMPRODUCT(Slope*(Curve=DX182)*(Lower_Attain&lt;=ES182)*(Upper_Attain&gt;ES182)))</f>
        <v>0</v>
      </c>
      <c r="EU182" s="115">
        <f t="shared" ca="1" si="216"/>
        <v>0</v>
      </c>
      <c r="EV182" s="118" t="str">
        <f t="shared" si="217"/>
        <v>Uncapped</v>
      </c>
      <c r="EW182" s="115">
        <f t="shared" ca="1" si="218"/>
        <v>0</v>
      </c>
      <c r="EX182" s="112">
        <f t="shared" ca="1" si="219"/>
        <v>0</v>
      </c>
      <c r="EY182" s="114">
        <f t="shared" ref="EY182:EY193" ca="1" si="312">MAX(EX182,GP182)</f>
        <v>0</v>
      </c>
      <c r="EZ182" s="115"/>
      <c r="FA182" s="115"/>
      <c r="FB182" s="114"/>
      <c r="FC182" s="115"/>
      <c r="FD182" s="115">
        <f t="shared" si="252"/>
        <v>0</v>
      </c>
      <c r="FE182" s="114">
        <f t="shared" si="298"/>
        <v>0</v>
      </c>
      <c r="FF182" s="115"/>
      <c r="FG182" s="115"/>
      <c r="FH182" s="114"/>
      <c r="FI182" s="113"/>
      <c r="FJ182" s="115">
        <f t="shared" ref="FJ182" si="313">IF($H$2=1,FF182,IF($H$2=2,SUM(FF182:FG182),IF($H$2=3,SUM(FF182:FH182),SUM(FF182:FI182))))</f>
        <v>0</v>
      </c>
      <c r="FK182" s="114">
        <f t="shared" si="300"/>
        <v>0</v>
      </c>
      <c r="FL182" s="111"/>
      <c r="FM182" s="115"/>
      <c r="FN182" s="115"/>
      <c r="FO182" s="115"/>
      <c r="FP182" s="115">
        <f>SUM(FL182:FO182)</f>
        <v>0</v>
      </c>
      <c r="FQ182" s="114"/>
      <c r="FR182" s="366"/>
      <c r="FS182" s="121"/>
      <c r="FT182" s="114">
        <f t="shared" ref="FT182:FT193" si="314">SUM(FQ182:FS182)</f>
        <v>0</v>
      </c>
      <c r="FU182" s="366">
        <f t="shared" ref="FU182:FU193" ca="1" si="315">ROUND(MAX(FV182-FT182,0),2)</f>
        <v>0</v>
      </c>
      <c r="FV182" s="121">
        <f t="shared" ref="FV182:FV193" ca="1" si="316">SUM(EY182,FD182,FJ182,FP182)</f>
        <v>0</v>
      </c>
      <c r="FW182" s="114">
        <f t="shared" ref="FW182:FZ193" si="317">FF182</f>
        <v>0</v>
      </c>
      <c r="FX182" s="114">
        <f t="shared" si="317"/>
        <v>0</v>
      </c>
      <c r="FY182" s="114">
        <f t="shared" si="317"/>
        <v>0</v>
      </c>
      <c r="FZ182" s="114">
        <f t="shared" si="317"/>
        <v>0</v>
      </c>
      <c r="GA182" s="114">
        <f>SUM(FW182:FZ182)</f>
        <v>0</v>
      </c>
      <c r="GB182" s="114">
        <f t="shared" ref="GB182:GE193" si="318">EZ182</f>
        <v>0</v>
      </c>
      <c r="GC182" s="114">
        <f t="shared" si="318"/>
        <v>0</v>
      </c>
      <c r="GD182" s="114">
        <f t="shared" si="318"/>
        <v>0</v>
      </c>
      <c r="GE182" s="114">
        <f t="shared" si="318"/>
        <v>0</v>
      </c>
      <c r="GF182" s="114">
        <f t="shared" si="289"/>
        <v>0</v>
      </c>
      <c r="GG182" s="114">
        <f t="shared" si="289"/>
        <v>0</v>
      </c>
      <c r="GH182" s="114">
        <f t="shared" si="289"/>
        <v>0</v>
      </c>
      <c r="GI182" s="114">
        <f t="shared" si="289"/>
        <v>0</v>
      </c>
      <c r="GJ182" s="115">
        <f t="shared" ref="GJ182:GJ193" si="319">IF($H$2=1,GF182,IF($H$2=2,SUM(GF182:GG182),IF($H$2=3,SUM(GF182:GH182),SUM(GF182:GI182))))</f>
        <v>0</v>
      </c>
      <c r="GK182" s="114">
        <f>SUM(GF182:GI182)</f>
        <v>0</v>
      </c>
      <c r="GL182" s="114">
        <f t="shared" si="221"/>
        <v>0</v>
      </c>
      <c r="GM182" s="114">
        <f t="shared" si="222"/>
        <v>0</v>
      </c>
      <c r="GN182" s="114">
        <f t="shared" si="223"/>
        <v>0</v>
      </c>
      <c r="GO182" s="114">
        <f t="shared" si="224"/>
        <v>0</v>
      </c>
      <c r="GP182" s="114">
        <f t="shared" si="200"/>
        <v>0</v>
      </c>
      <c r="GQ182" s="114">
        <f>SUM(GL182:GO182)</f>
        <v>0</v>
      </c>
      <c r="GR182" s="123"/>
      <c r="GS182" s="122">
        <f t="shared" si="286"/>
        <v>618119.22230299935</v>
      </c>
      <c r="GT182" s="122">
        <f t="shared" si="286"/>
        <v>1284292.2614</v>
      </c>
      <c r="GU182" s="123">
        <f>IFERROR(GS182/GT182,"")</f>
        <v>0.48129171286074007</v>
      </c>
      <c r="GV182" s="124">
        <f t="shared" ca="1" si="227"/>
        <v>0</v>
      </c>
      <c r="GW182" s="124">
        <v>0</v>
      </c>
      <c r="GX182" s="32">
        <f t="shared" ca="1" si="228"/>
        <v>0</v>
      </c>
    </row>
    <row r="183" spans="1:207" s="125" customFormat="1" ht="15" hidden="1" customHeight="1">
      <c r="A183" s="102"/>
      <c r="B183" s="103"/>
      <c r="C183" s="103"/>
      <c r="D183" s="104"/>
      <c r="E183" s="104"/>
      <c r="F183" s="104" t="s">
        <v>820</v>
      </c>
      <c r="G183" s="104" t="s">
        <v>226</v>
      </c>
      <c r="H183" s="105" t="s">
        <v>799</v>
      </c>
      <c r="I183" s="584" t="s">
        <v>810</v>
      </c>
      <c r="J183" s="104"/>
      <c r="K183" s="403" t="s">
        <v>825</v>
      </c>
      <c r="L183" s="537"/>
      <c r="M183" s="359"/>
      <c r="N183" s="322"/>
      <c r="O183" s="549">
        <v>43752</v>
      </c>
      <c r="P183" s="359">
        <v>43752</v>
      </c>
      <c r="Q183" s="322">
        <f t="shared" si="302"/>
        <v>10</v>
      </c>
      <c r="R183" s="109">
        <f>IF((P183-VLOOKUP(Q183,month!$A$1:$C$13,3,0))&lt;0,Q183,Q183+1)</f>
        <v>10</v>
      </c>
      <c r="S183" s="320"/>
      <c r="T183" s="320" t="str">
        <f t="shared" ref="T183:T193" si="320">IF(S183&gt;0,"Y","")</f>
        <v/>
      </c>
      <c r="U183" s="107"/>
      <c r="V183" s="386"/>
      <c r="W183" s="386"/>
      <c r="X183" s="387"/>
      <c r="Y183" s="387"/>
      <c r="Z183" s="387" t="s">
        <v>545</v>
      </c>
      <c r="AA183" s="387">
        <v>1000</v>
      </c>
      <c r="AB183" s="387">
        <v>1000</v>
      </c>
      <c r="AC183" s="387">
        <v>1000</v>
      </c>
      <c r="AD183" s="387">
        <v>1000</v>
      </c>
      <c r="AE183" s="387">
        <v>1000</v>
      </c>
      <c r="AF183" s="387">
        <v>1000</v>
      </c>
      <c r="AG183" s="387">
        <v>1000</v>
      </c>
      <c r="AH183" s="387">
        <v>1000</v>
      </c>
      <c r="AI183" s="387">
        <v>1000</v>
      </c>
      <c r="AJ183" s="388">
        <v>1000</v>
      </c>
      <c r="AK183" s="388">
        <v>1000</v>
      </c>
      <c r="AL183" s="390">
        <v>1000</v>
      </c>
      <c r="AM183" s="498">
        <f t="shared" ref="AM183:AM193" si="321">IF($H$2=1,SUM(AA183:AC183),IF($H$2=2,SUM(AA183:AF183),IF($H$2=3,SUM(AA183:AI183),SUM(AA183:AL183))))</f>
        <v>12000</v>
      </c>
      <c r="AN183" s="159">
        <f t="shared" ref="AN183:AN193" si="322">SUM(AA183:AL183)+INDEX(AA183:AL183,,MATCH($H$3,$AA$5:$AL$5,0))*(12-COUNTA(AA183:AL183))</f>
        <v>12000</v>
      </c>
      <c r="AO183" s="160"/>
      <c r="AP183" s="498"/>
      <c r="AQ183" s="159"/>
      <c r="AR183" s="160"/>
      <c r="AS183" s="119" t="s">
        <v>210</v>
      </c>
      <c r="AT183" s="111"/>
      <c r="AU183" s="113"/>
      <c r="AV183" s="111"/>
      <c r="AW183" s="111"/>
      <c r="AX183" s="581"/>
      <c r="AY183" s="113"/>
      <c r="AZ183" s="113"/>
      <c r="BA183" s="113"/>
      <c r="BB183" s="113"/>
      <c r="BC183" s="114"/>
      <c r="BD183" s="114"/>
      <c r="BE183" s="114"/>
      <c r="BF183" s="114">
        <f t="shared" ref="BF183:BI193" si="323">AX183+BB183</f>
        <v>0</v>
      </c>
      <c r="BG183" s="114">
        <f t="shared" si="323"/>
        <v>0</v>
      </c>
      <c r="BH183" s="115">
        <f t="shared" si="323"/>
        <v>0</v>
      </c>
      <c r="BI183" s="115">
        <f t="shared" si="323"/>
        <v>0</v>
      </c>
      <c r="BJ183" s="116">
        <f t="shared" ref="BJ183:BJ193" si="324">IF($BB$3="After AR Adjustment",IF($H$2=1,BF183,IF($H$2=2,SUM(BF183:BG183),IF($H$2=3,SUM(BF183:BH183),SUM(BF183:BI183)))),IF($H$2=1,AX183,IF($H$2=2,SUM(AX183:AY183),IF($H$2=3,SUM(AX183:AZ183),SUM(AX183:BA183)))))</f>
        <v>0</v>
      </c>
      <c r="BK183" s="126">
        <f t="shared" ref="BK183:BK193" si="325">IF($H$2=1,AT183,IF($H$2=2,SUM(AT183:AU183),IF($H$2=3,SUM(AT183:AV183),SUM(AT183:AW183))))</f>
        <v>0</v>
      </c>
      <c r="BL183" s="117">
        <f t="shared" ref="BL183:BL193" si="326">SUM(AT183:AW183)</f>
        <v>0</v>
      </c>
      <c r="BM183" s="118">
        <f t="shared" ref="BM183:BM193" si="327">IFERROR(ROUND(BJ183/BK183,4),0)</f>
        <v>0</v>
      </c>
      <c r="BN183" s="115">
        <f t="shared" ref="BN183:BN193" ca="1" si="328">IF(OR(AP183="MBO",AP183="10% Realized Price"),BM183,SUMPRODUCT(Lower_Payout*(Curve=AR183)*(Lower_Attain&lt;=BM183)*(Upper_Attain&gt;BM183))+(BM183-SUMPRODUCT(Lower_Attain*(Curve=AR183)*(Lower_Attain&lt;=BM183)*(Upper_Attain&gt;BM183)))*SUMPRODUCT(Slope*(Curve=AR183)*(Lower_Attain&lt;=BM183)*(Upper_Attain&gt;BM183)))</f>
        <v>0</v>
      </c>
      <c r="BO183" s="113">
        <f t="shared" ref="BO183:BO193" ca="1" si="329">IFERROR(AM183*AQ183*BN183,0)</f>
        <v>0</v>
      </c>
      <c r="BP183" s="161" t="str">
        <f t="shared" ref="BP183:BP193" si="330">IF($T183="Y","100%",IF($H$2=4,"Uncapped",IF(N183="Y","100%",IF($G183="AA","50%",IF($G183="SA","90%",IF($G183="APJ Regional-AA","50%",IF($G183="APJ Regional-SA","90%",75%)))))))</f>
        <v>Uncapped</v>
      </c>
      <c r="BQ183" s="113">
        <f t="shared" ref="BQ183:BQ193" ca="1" si="331">IF(BP183="Uncapped",BO183,IFERROR(AM183*AQ183*BP183,0))</f>
        <v>0</v>
      </c>
      <c r="BR183" s="160"/>
      <c r="BS183" s="113"/>
      <c r="BT183" s="113"/>
      <c r="BU183" s="113" t="s">
        <v>809</v>
      </c>
      <c r="BV183" s="113"/>
      <c r="BW183" s="113"/>
      <c r="BX183" s="113"/>
      <c r="BY183" s="113"/>
      <c r="BZ183" s="581"/>
      <c r="CA183" s="113"/>
      <c r="CB183" s="113"/>
      <c r="CC183" s="113"/>
      <c r="CD183" s="113"/>
      <c r="CE183" s="114"/>
      <c r="CF183" s="114"/>
      <c r="CG183" s="120"/>
      <c r="CH183" s="114">
        <f t="shared" ref="CH183:CK193" si="332">BZ183+CD183</f>
        <v>0</v>
      </c>
      <c r="CI183" s="114">
        <f t="shared" si="332"/>
        <v>0</v>
      </c>
      <c r="CJ183" s="114">
        <f t="shared" si="332"/>
        <v>0</v>
      </c>
      <c r="CK183" s="114">
        <f t="shared" si="332"/>
        <v>0</v>
      </c>
      <c r="CL183" s="116">
        <f t="shared" ref="CL183:CL193" si="333">IF($BB$3="After AR Adjustment",IF($H$2=1,CH183,IF($H$2=2,SUM(CH183:CI183),IF($H$2=3,SUM(CH183:CJ183),SUM(CH183:CK183)))),IF($H$2=1,BZ183,IF($H$2=2,SUM(BZ183:CA183),IF($H$2=3,SUM(BZ183:CB183),SUM(BZ183:CC183)))))</f>
        <v>0</v>
      </c>
      <c r="CM183" s="126">
        <f t="shared" ref="CM183:CM193" si="334">IF($H$2=1,BV183,IF($H$2=2,SUM(BV183:BW183),IF($H$2=3,SUM(BV183:BX183),SUM(BV183:BY183))))</f>
        <v>0</v>
      </c>
      <c r="CN183" s="115">
        <f t="shared" ref="CN183:CN193" si="335">SUM(BV183:BY183)</f>
        <v>0</v>
      </c>
      <c r="CO183" s="118">
        <f t="shared" ref="CO183:CO193" si="336">IFERROR(ROUND(CL183/CM183,4),0)</f>
        <v>0</v>
      </c>
      <c r="CP183" s="115">
        <f t="shared" ref="CP183:CP193" ca="1" si="337">IF(OR(BR183="MBO",BR183="10% Realized Price"),CO183,SUMPRODUCT(Lower_Payout*(Curve=BT183)*(Lower_Attain&lt;=CO183)*(Upper_Attain&gt;CO183))+(CO183-SUMPRODUCT(Lower_Attain*(Curve=BT183)*(Lower_Attain&lt;=CO183)*(Upper_Attain&gt;CO183)))*SUMPRODUCT(Slope*(Curve=BT183)*(Lower_Attain&lt;=CO183)*(Upper_Attain&gt;CO183)))</f>
        <v>0</v>
      </c>
      <c r="CQ183" s="113">
        <f t="shared" ref="CQ183:CQ193" ca="1" si="338">AM183*BS183*CP183</f>
        <v>0</v>
      </c>
      <c r="CR183" s="119" t="str">
        <f t="shared" ref="CR183:CR193" si="339">IF($T183="Y","100%",IF($H$2=4,"Uncapped",IF(N183="Y","100%",IF($G183="AA","50%",IF($G183="SA","90%",IF($G183="APJ Regional-AA","50%",IF($G183="APJ Regional-SA","90%",75%)))))))</f>
        <v>Uncapped</v>
      </c>
      <c r="CS183" s="113">
        <f t="shared" ref="CS183:CS193" ca="1" si="340">IF(CR183="Uncapped",CQ183,IFERROR(AM183*BS183*CR183,0))</f>
        <v>0</v>
      </c>
      <c r="CT183" s="113"/>
      <c r="CU183" s="161"/>
      <c r="CV183" s="113"/>
      <c r="CW183" s="113" t="s">
        <v>210</v>
      </c>
      <c r="CX183" s="113"/>
      <c r="CY183" s="113"/>
      <c r="CZ183" s="113"/>
      <c r="DA183" s="113"/>
      <c r="DB183" s="166"/>
      <c r="DC183" s="166"/>
      <c r="DD183" s="166"/>
      <c r="DE183" s="166"/>
      <c r="DF183" s="166"/>
      <c r="DG183" s="114"/>
      <c r="DH183" s="114"/>
      <c r="DI183" s="114"/>
      <c r="DJ183" s="114">
        <f t="shared" si="303"/>
        <v>0</v>
      </c>
      <c r="DK183" s="114">
        <f t="shared" si="303"/>
        <v>0</v>
      </c>
      <c r="DL183" s="114">
        <f t="shared" si="303"/>
        <v>0</v>
      </c>
      <c r="DM183" s="114">
        <f t="shared" si="303"/>
        <v>0</v>
      </c>
      <c r="DN183" s="114">
        <f t="shared" ref="DN183:DN193" si="341">IF($BB$3="After AR Adjustment",IF($H$2=1,DJ183,IF($H$2=2,SUM(DJ183:DK183),IF($H$2=3,SUM(DJ183:DL183),SUM(DJ183:DM183)))),IF($H$2=1,DB183,IF($H$2=2,SUM(DB183:DC183),IF($H$2=3,SUM(DB183:DD183),SUM(DB183:DE183)))))</f>
        <v>0</v>
      </c>
      <c r="DO183" s="114">
        <f t="shared" ref="DO183:DO193" si="342">IF($H$2=1,CX183,IF($H$2=2,SUM(CX183:CY183),IF($H$2=3,SUM(CX183:CZ183),SUM(CX183:DA183))))</f>
        <v>0</v>
      </c>
      <c r="DP183" s="114">
        <f t="shared" si="305"/>
        <v>0</v>
      </c>
      <c r="DQ183" s="116">
        <f t="shared" si="306"/>
        <v>0</v>
      </c>
      <c r="DR183" s="126">
        <f t="shared" ca="1" si="212"/>
        <v>0</v>
      </c>
      <c r="DS183" s="115">
        <f t="shared" ca="1" si="213"/>
        <v>0</v>
      </c>
      <c r="DT183" s="118" t="str">
        <f t="shared" si="236"/>
        <v>Uncapped</v>
      </c>
      <c r="DU183" s="115">
        <f t="shared" ca="1" si="214"/>
        <v>0</v>
      </c>
      <c r="DV183" s="113"/>
      <c r="DW183" s="113">
        <v>0</v>
      </c>
      <c r="DX183" s="113"/>
      <c r="DY183" s="113"/>
      <c r="DZ183" s="113">
        <v>0</v>
      </c>
      <c r="EA183" s="113">
        <v>0</v>
      </c>
      <c r="EB183" s="113">
        <v>0</v>
      </c>
      <c r="EC183" s="113">
        <v>0</v>
      </c>
      <c r="ED183" s="166">
        <v>0</v>
      </c>
      <c r="EE183" s="166">
        <v>0</v>
      </c>
      <c r="EF183" s="166"/>
      <c r="EG183" s="166"/>
      <c r="EH183" s="166"/>
      <c r="EI183" s="114"/>
      <c r="EJ183" s="114"/>
      <c r="EK183" s="114"/>
      <c r="EL183" s="114">
        <f t="shared" si="307"/>
        <v>0</v>
      </c>
      <c r="EM183" s="114">
        <f t="shared" si="307"/>
        <v>0</v>
      </c>
      <c r="EN183" s="114">
        <f t="shared" si="307"/>
        <v>0</v>
      </c>
      <c r="EO183" s="114">
        <f t="shared" si="307"/>
        <v>0</v>
      </c>
      <c r="EP183" s="114">
        <f t="shared" ref="EP183:EP193" si="343">IF($BB$3="After AR Adjustment",IF($H$2=1,EL183,IF($H$2=2,SUM(EL183:EM183),IF($H$2=3,SUM(EL183:EN183),SUM(EL183:EO183)))),IF($H$2=1,ED183,IF($H$2=2,SUM(ED183:EE183),IF($H$2=3,SUM(ED183:EF183),SUM(ED183:EG183)))))</f>
        <v>0</v>
      </c>
      <c r="EQ183" s="114">
        <f t="shared" ref="EQ183:EQ193" si="344">IF($H$2=1,DZ183,IF($H$2=2,SUM(DZ183:EA183),IF($H$2=3,SUM(DZ183:EB183),SUM(DZ183:EC183))))</f>
        <v>0</v>
      </c>
      <c r="ER183" s="114">
        <f t="shared" ref="ER183:ER193" si="345">SUM(DZ183:EC183)</f>
        <v>0</v>
      </c>
      <c r="ES183" s="116">
        <f t="shared" si="310"/>
        <v>0</v>
      </c>
      <c r="ET183" s="126">
        <f t="shared" ca="1" si="311"/>
        <v>0</v>
      </c>
      <c r="EU183" s="115">
        <f t="shared" ca="1" si="216"/>
        <v>0</v>
      </c>
      <c r="EV183" s="118" t="str">
        <f t="shared" si="217"/>
        <v>Uncapped</v>
      </c>
      <c r="EW183" s="115">
        <f t="shared" ca="1" si="218"/>
        <v>0</v>
      </c>
      <c r="EX183" s="112">
        <f t="shared" ca="1" si="219"/>
        <v>0</v>
      </c>
      <c r="EY183" s="114">
        <f t="shared" ca="1" si="312"/>
        <v>0</v>
      </c>
      <c r="EZ183" s="115">
        <v>0</v>
      </c>
      <c r="FA183" s="115"/>
      <c r="FB183" s="114"/>
      <c r="FC183" s="115">
        <v>0</v>
      </c>
      <c r="FD183" s="115">
        <f t="shared" si="252"/>
        <v>0</v>
      </c>
      <c r="FE183" s="114">
        <f t="shared" si="298"/>
        <v>0</v>
      </c>
      <c r="FF183" s="115">
        <v>0</v>
      </c>
      <c r="FG183" s="115">
        <v>0</v>
      </c>
      <c r="FH183" s="114">
        <v>0</v>
      </c>
      <c r="FI183" s="113">
        <v>0</v>
      </c>
      <c r="FJ183" s="115">
        <f t="shared" ref="FJ183:FJ193" si="346">IF($H$2=1,FF183,IF($H$2=2,SUM(FF183:FG183),IF($H$2=3,SUM(FF183:FH183),SUM(FF183:FI183))))</f>
        <v>0</v>
      </c>
      <c r="FK183" s="114">
        <f t="shared" si="300"/>
        <v>0</v>
      </c>
      <c r="FL183" s="111"/>
      <c r="FM183" s="115"/>
      <c r="FN183" s="115"/>
      <c r="FO183" s="115"/>
      <c r="FP183" s="115">
        <f t="shared" ref="FP183:FP193" si="347">SUM(FL183:FO183)</f>
        <v>0</v>
      </c>
      <c r="FQ183" s="114"/>
      <c r="FR183" s="366"/>
      <c r="FS183" s="121"/>
      <c r="FT183" s="114">
        <f t="shared" si="314"/>
        <v>0</v>
      </c>
      <c r="FU183" s="366">
        <f t="shared" ca="1" si="315"/>
        <v>0</v>
      </c>
      <c r="FV183" s="121">
        <f t="shared" ca="1" si="316"/>
        <v>0</v>
      </c>
      <c r="FW183" s="114">
        <f t="shared" si="317"/>
        <v>0</v>
      </c>
      <c r="FX183" s="114">
        <f t="shared" si="317"/>
        <v>0</v>
      </c>
      <c r="FY183" s="114">
        <f t="shared" si="317"/>
        <v>0</v>
      </c>
      <c r="FZ183" s="114">
        <f t="shared" si="317"/>
        <v>0</v>
      </c>
      <c r="GA183" s="114">
        <f t="shared" ref="GA183:GA193" si="348">SUM(FW183:FZ183)</f>
        <v>0</v>
      </c>
      <c r="GB183" s="114">
        <f t="shared" si="318"/>
        <v>0</v>
      </c>
      <c r="GC183" s="114">
        <f t="shared" si="318"/>
        <v>0</v>
      </c>
      <c r="GD183" s="114">
        <f t="shared" si="318"/>
        <v>0</v>
      </c>
      <c r="GE183" s="114">
        <f t="shared" si="318"/>
        <v>0</v>
      </c>
      <c r="GF183" s="114">
        <f t="shared" si="289"/>
        <v>0</v>
      </c>
      <c r="GG183" s="114">
        <f t="shared" si="289"/>
        <v>0</v>
      </c>
      <c r="GH183" s="114">
        <f t="shared" si="289"/>
        <v>0</v>
      </c>
      <c r="GI183" s="114">
        <f t="shared" si="289"/>
        <v>0</v>
      </c>
      <c r="GJ183" s="115">
        <f t="shared" si="319"/>
        <v>0</v>
      </c>
      <c r="GK183" s="114">
        <f t="shared" ref="GK183:GK193" si="349">SUM(GF183:GI183)</f>
        <v>0</v>
      </c>
      <c r="GL183" s="114">
        <f t="shared" si="221"/>
        <v>0</v>
      </c>
      <c r="GM183" s="114">
        <f t="shared" si="222"/>
        <v>0</v>
      </c>
      <c r="GN183" s="114">
        <f t="shared" si="223"/>
        <v>0</v>
      </c>
      <c r="GO183" s="114">
        <f t="shared" si="224"/>
        <v>0</v>
      </c>
      <c r="GP183" s="114">
        <f t="shared" si="200"/>
        <v>0</v>
      </c>
      <c r="GQ183" s="114">
        <f t="shared" ref="GQ183:GQ193" si="350">SUM(GL183:GO183)</f>
        <v>0</v>
      </c>
      <c r="GR183" s="123"/>
      <c r="GS183" s="122">
        <f t="shared" si="286"/>
        <v>0</v>
      </c>
      <c r="GT183" s="122">
        <f t="shared" si="286"/>
        <v>0</v>
      </c>
      <c r="GU183" s="123" t="str">
        <f t="shared" ref="GU183:GU193" si="351">IFERROR(GS183/GT183,"")</f>
        <v/>
      </c>
      <c r="GV183" s="124">
        <f t="shared" ca="1" si="227"/>
        <v>0</v>
      </c>
      <c r="GW183" s="124">
        <v>0</v>
      </c>
      <c r="GX183" s="32">
        <f t="shared" ca="1" si="228"/>
        <v>0</v>
      </c>
    </row>
    <row r="184" spans="1:207" s="125" customFormat="1" ht="15" hidden="1" customHeight="1">
      <c r="A184" s="102"/>
      <c r="B184" s="103"/>
      <c r="C184" s="103"/>
      <c r="D184" s="104"/>
      <c r="E184" s="104"/>
      <c r="F184" s="104" t="s">
        <v>820</v>
      </c>
      <c r="G184" s="104" t="s">
        <v>226</v>
      </c>
      <c r="H184" s="105" t="s">
        <v>800</v>
      </c>
      <c r="I184" s="585" t="s">
        <v>811</v>
      </c>
      <c r="J184" s="104"/>
      <c r="K184" s="586" t="s">
        <v>825</v>
      </c>
      <c r="L184" s="537"/>
      <c r="M184" s="359"/>
      <c r="N184" s="322"/>
      <c r="O184" s="549">
        <v>43752</v>
      </c>
      <c r="P184" s="359">
        <v>43752</v>
      </c>
      <c r="Q184" s="322">
        <f t="shared" si="302"/>
        <v>10</v>
      </c>
      <c r="R184" s="109">
        <f>IF((P184-VLOOKUP(Q184,month!$A$1:$C$13,3,0))&lt;0,Q184,Q184+1)</f>
        <v>10</v>
      </c>
      <c r="S184" s="320"/>
      <c r="T184" s="320" t="str">
        <f t="shared" si="320"/>
        <v/>
      </c>
      <c r="U184" s="107"/>
      <c r="V184" s="386"/>
      <c r="W184" s="386"/>
      <c r="X184" s="387"/>
      <c r="Y184" s="387"/>
      <c r="Z184" s="387" t="s">
        <v>545</v>
      </c>
      <c r="AA184" s="387">
        <v>1000</v>
      </c>
      <c r="AB184" s="387">
        <v>1000</v>
      </c>
      <c r="AC184" s="387">
        <v>1000</v>
      </c>
      <c r="AD184" s="387">
        <v>1000</v>
      </c>
      <c r="AE184" s="387">
        <v>1000</v>
      </c>
      <c r="AF184" s="387">
        <v>1000</v>
      </c>
      <c r="AG184" s="387">
        <v>1000</v>
      </c>
      <c r="AH184" s="387">
        <v>1000</v>
      </c>
      <c r="AI184" s="387">
        <v>1000</v>
      </c>
      <c r="AJ184" s="388">
        <v>1000</v>
      </c>
      <c r="AK184" s="388">
        <v>1000</v>
      </c>
      <c r="AL184" s="390">
        <v>1000</v>
      </c>
      <c r="AM184" s="498">
        <f t="shared" si="321"/>
        <v>12000</v>
      </c>
      <c r="AN184" s="159">
        <f t="shared" si="322"/>
        <v>12000</v>
      </c>
      <c r="AO184" s="160"/>
      <c r="AP184" s="498"/>
      <c r="AQ184" s="159"/>
      <c r="AR184" s="160"/>
      <c r="AS184" s="119" t="s">
        <v>210</v>
      </c>
      <c r="AT184" s="111"/>
      <c r="AU184" s="113"/>
      <c r="AV184" s="111"/>
      <c r="AW184" s="111"/>
      <c r="AX184" s="581"/>
      <c r="AY184" s="113"/>
      <c r="AZ184" s="113"/>
      <c r="BA184" s="113"/>
      <c r="BB184" s="113"/>
      <c r="BC184" s="114"/>
      <c r="BD184" s="114"/>
      <c r="BE184" s="114"/>
      <c r="BF184" s="114">
        <f t="shared" si="323"/>
        <v>0</v>
      </c>
      <c r="BG184" s="114">
        <f t="shared" si="323"/>
        <v>0</v>
      </c>
      <c r="BH184" s="115">
        <f t="shared" si="323"/>
        <v>0</v>
      </c>
      <c r="BI184" s="115">
        <f t="shared" si="323"/>
        <v>0</v>
      </c>
      <c r="BJ184" s="116">
        <f t="shared" si="324"/>
        <v>0</v>
      </c>
      <c r="BK184" s="126">
        <f t="shared" si="325"/>
        <v>0</v>
      </c>
      <c r="BL184" s="117">
        <f t="shared" si="326"/>
        <v>0</v>
      </c>
      <c r="BM184" s="118">
        <f t="shared" si="327"/>
        <v>0</v>
      </c>
      <c r="BN184" s="115">
        <f t="shared" ca="1" si="328"/>
        <v>0</v>
      </c>
      <c r="BO184" s="113">
        <f t="shared" ca="1" si="329"/>
        <v>0</v>
      </c>
      <c r="BP184" s="161" t="str">
        <f t="shared" si="330"/>
        <v>Uncapped</v>
      </c>
      <c r="BQ184" s="113">
        <f t="shared" ca="1" si="331"/>
        <v>0</v>
      </c>
      <c r="BR184" s="160"/>
      <c r="BS184" s="113"/>
      <c r="BT184" s="113"/>
      <c r="BU184" s="113" t="s">
        <v>809</v>
      </c>
      <c r="BV184" s="113"/>
      <c r="BW184" s="113"/>
      <c r="BX184" s="113"/>
      <c r="BY184" s="113"/>
      <c r="BZ184" s="581"/>
      <c r="CA184" s="113"/>
      <c r="CB184" s="113"/>
      <c r="CC184" s="113"/>
      <c r="CD184" s="113"/>
      <c r="CE184" s="114"/>
      <c r="CF184" s="114"/>
      <c r="CG184" s="120"/>
      <c r="CH184" s="114">
        <f t="shared" si="332"/>
        <v>0</v>
      </c>
      <c r="CI184" s="114">
        <f t="shared" si="332"/>
        <v>0</v>
      </c>
      <c r="CJ184" s="114">
        <f t="shared" si="332"/>
        <v>0</v>
      </c>
      <c r="CK184" s="114">
        <f t="shared" si="332"/>
        <v>0</v>
      </c>
      <c r="CL184" s="116">
        <f t="shared" si="333"/>
        <v>0</v>
      </c>
      <c r="CM184" s="126">
        <f t="shared" si="334"/>
        <v>0</v>
      </c>
      <c r="CN184" s="115">
        <f t="shared" si="335"/>
        <v>0</v>
      </c>
      <c r="CO184" s="118">
        <f t="shared" si="336"/>
        <v>0</v>
      </c>
      <c r="CP184" s="115">
        <f t="shared" ca="1" si="337"/>
        <v>0</v>
      </c>
      <c r="CQ184" s="113">
        <f t="shared" ca="1" si="338"/>
        <v>0</v>
      </c>
      <c r="CR184" s="119" t="str">
        <f t="shared" si="339"/>
        <v>Uncapped</v>
      </c>
      <c r="CS184" s="113">
        <f t="shared" ca="1" si="340"/>
        <v>0</v>
      </c>
      <c r="CT184" s="113"/>
      <c r="CU184" s="161"/>
      <c r="CV184" s="113"/>
      <c r="CW184" s="113" t="s">
        <v>210</v>
      </c>
      <c r="CX184" s="113"/>
      <c r="CY184" s="113"/>
      <c r="CZ184" s="113"/>
      <c r="DA184" s="113"/>
      <c r="DB184" s="166"/>
      <c r="DC184" s="166"/>
      <c r="DD184" s="166"/>
      <c r="DE184" s="166"/>
      <c r="DF184" s="166"/>
      <c r="DG184" s="114"/>
      <c r="DH184" s="114"/>
      <c r="DI184" s="114"/>
      <c r="DJ184" s="114">
        <f t="shared" si="303"/>
        <v>0</v>
      </c>
      <c r="DK184" s="114">
        <f t="shared" si="303"/>
        <v>0</v>
      </c>
      <c r="DL184" s="114">
        <f t="shared" si="303"/>
        <v>0</v>
      </c>
      <c r="DM184" s="114">
        <f t="shared" si="303"/>
        <v>0</v>
      </c>
      <c r="DN184" s="114">
        <f t="shared" si="341"/>
        <v>0</v>
      </c>
      <c r="DO184" s="114">
        <f t="shared" si="342"/>
        <v>0</v>
      </c>
      <c r="DP184" s="114">
        <f t="shared" si="305"/>
        <v>0</v>
      </c>
      <c r="DQ184" s="116">
        <f t="shared" si="306"/>
        <v>0</v>
      </c>
      <c r="DR184" s="126">
        <f t="shared" ca="1" si="212"/>
        <v>0</v>
      </c>
      <c r="DS184" s="115">
        <f t="shared" ca="1" si="213"/>
        <v>0</v>
      </c>
      <c r="DT184" s="118" t="str">
        <f t="shared" si="236"/>
        <v>Uncapped</v>
      </c>
      <c r="DU184" s="115">
        <f t="shared" ca="1" si="214"/>
        <v>0</v>
      </c>
      <c r="DV184" s="113"/>
      <c r="DW184" s="113">
        <v>0</v>
      </c>
      <c r="DX184" s="113"/>
      <c r="DY184" s="113"/>
      <c r="DZ184" s="113">
        <v>0</v>
      </c>
      <c r="EA184" s="113">
        <v>0</v>
      </c>
      <c r="EB184" s="113">
        <v>0</v>
      </c>
      <c r="EC184" s="113">
        <v>0</v>
      </c>
      <c r="ED184" s="166">
        <v>0</v>
      </c>
      <c r="EE184" s="166">
        <v>0</v>
      </c>
      <c r="EF184" s="166"/>
      <c r="EG184" s="166"/>
      <c r="EH184" s="166"/>
      <c r="EI184" s="114"/>
      <c r="EJ184" s="114"/>
      <c r="EK184" s="114"/>
      <c r="EL184" s="114">
        <f t="shared" si="307"/>
        <v>0</v>
      </c>
      <c r="EM184" s="114">
        <f t="shared" si="307"/>
        <v>0</v>
      </c>
      <c r="EN184" s="114">
        <f t="shared" si="307"/>
        <v>0</v>
      </c>
      <c r="EO184" s="114">
        <f t="shared" si="307"/>
        <v>0</v>
      </c>
      <c r="EP184" s="114">
        <f t="shared" si="343"/>
        <v>0</v>
      </c>
      <c r="EQ184" s="114">
        <f t="shared" si="344"/>
        <v>0</v>
      </c>
      <c r="ER184" s="114">
        <f t="shared" si="345"/>
        <v>0</v>
      </c>
      <c r="ES184" s="116">
        <f t="shared" si="310"/>
        <v>0</v>
      </c>
      <c r="ET184" s="126">
        <f t="shared" ca="1" si="311"/>
        <v>0</v>
      </c>
      <c r="EU184" s="115">
        <f t="shared" ca="1" si="216"/>
        <v>0</v>
      </c>
      <c r="EV184" s="118" t="str">
        <f t="shared" si="217"/>
        <v>Uncapped</v>
      </c>
      <c r="EW184" s="115">
        <f t="shared" ca="1" si="218"/>
        <v>0</v>
      </c>
      <c r="EX184" s="112">
        <f t="shared" ca="1" si="219"/>
        <v>0</v>
      </c>
      <c r="EY184" s="114">
        <f t="shared" ca="1" si="312"/>
        <v>0</v>
      </c>
      <c r="EZ184" s="115">
        <v>0</v>
      </c>
      <c r="FA184" s="115"/>
      <c r="FB184" s="114"/>
      <c r="FC184" s="115">
        <v>0</v>
      </c>
      <c r="FD184" s="115">
        <f t="shared" si="252"/>
        <v>0</v>
      </c>
      <c r="FE184" s="114">
        <f t="shared" si="298"/>
        <v>0</v>
      </c>
      <c r="FF184" s="115">
        <v>0</v>
      </c>
      <c r="FG184" s="115">
        <v>0</v>
      </c>
      <c r="FH184" s="114">
        <v>0</v>
      </c>
      <c r="FI184" s="113">
        <v>0</v>
      </c>
      <c r="FJ184" s="115">
        <f t="shared" si="346"/>
        <v>0</v>
      </c>
      <c r="FK184" s="114">
        <f t="shared" si="300"/>
        <v>0</v>
      </c>
      <c r="FL184" s="111"/>
      <c r="FM184" s="115"/>
      <c r="FN184" s="115"/>
      <c r="FO184" s="115"/>
      <c r="FP184" s="115">
        <f t="shared" si="347"/>
        <v>0</v>
      </c>
      <c r="FQ184" s="114"/>
      <c r="FR184" s="366"/>
      <c r="FS184" s="121"/>
      <c r="FT184" s="114">
        <f t="shared" si="314"/>
        <v>0</v>
      </c>
      <c r="FU184" s="366">
        <f t="shared" ca="1" si="315"/>
        <v>0</v>
      </c>
      <c r="FV184" s="121">
        <f t="shared" ca="1" si="316"/>
        <v>0</v>
      </c>
      <c r="FW184" s="114">
        <f t="shared" si="317"/>
        <v>0</v>
      </c>
      <c r="FX184" s="114">
        <f t="shared" si="317"/>
        <v>0</v>
      </c>
      <c r="FY184" s="114">
        <f t="shared" si="317"/>
        <v>0</v>
      </c>
      <c r="FZ184" s="114">
        <f t="shared" si="317"/>
        <v>0</v>
      </c>
      <c r="GA184" s="114">
        <f t="shared" si="348"/>
        <v>0</v>
      </c>
      <c r="GB184" s="114">
        <f t="shared" si="318"/>
        <v>0</v>
      </c>
      <c r="GC184" s="114">
        <f t="shared" si="318"/>
        <v>0</v>
      </c>
      <c r="GD184" s="114">
        <f t="shared" si="318"/>
        <v>0</v>
      </c>
      <c r="GE184" s="114">
        <f t="shared" si="318"/>
        <v>0</v>
      </c>
      <c r="GF184" s="114">
        <f t="shared" si="289"/>
        <v>0</v>
      </c>
      <c r="GG184" s="114">
        <f t="shared" si="289"/>
        <v>0</v>
      </c>
      <c r="GH184" s="114">
        <f t="shared" si="289"/>
        <v>0</v>
      </c>
      <c r="GI184" s="114">
        <f t="shared" si="289"/>
        <v>0</v>
      </c>
      <c r="GJ184" s="115">
        <f t="shared" si="319"/>
        <v>0</v>
      </c>
      <c r="GK184" s="114">
        <f t="shared" si="349"/>
        <v>0</v>
      </c>
      <c r="GL184" s="114">
        <f t="shared" si="221"/>
        <v>0</v>
      </c>
      <c r="GM184" s="114">
        <f t="shared" si="222"/>
        <v>0</v>
      </c>
      <c r="GN184" s="114">
        <f t="shared" si="223"/>
        <v>0</v>
      </c>
      <c r="GO184" s="114">
        <f t="shared" si="224"/>
        <v>0</v>
      </c>
      <c r="GP184" s="114">
        <f t="shared" si="200"/>
        <v>0</v>
      </c>
      <c r="GQ184" s="114">
        <f t="shared" si="350"/>
        <v>0</v>
      </c>
      <c r="GR184" s="123"/>
      <c r="GS184" s="122">
        <f t="shared" si="286"/>
        <v>0</v>
      </c>
      <c r="GT184" s="122">
        <f t="shared" si="286"/>
        <v>0</v>
      </c>
      <c r="GU184" s="123" t="str">
        <f t="shared" si="351"/>
        <v/>
      </c>
      <c r="GV184" s="124">
        <f t="shared" ca="1" si="227"/>
        <v>0</v>
      </c>
      <c r="GW184" s="124">
        <v>0</v>
      </c>
      <c r="GX184" s="32">
        <f t="shared" ca="1" si="228"/>
        <v>0</v>
      </c>
    </row>
    <row r="185" spans="1:207" s="125" customFormat="1" ht="15" customHeight="1">
      <c r="A185" s="102"/>
      <c r="B185" s="103"/>
      <c r="C185" s="103"/>
      <c r="D185" s="104"/>
      <c r="E185" s="104"/>
      <c r="F185" s="104" t="s">
        <v>821</v>
      </c>
      <c r="G185" s="104" t="s">
        <v>226</v>
      </c>
      <c r="H185" s="127" t="s">
        <v>801</v>
      </c>
      <c r="I185" s="585" t="s">
        <v>812</v>
      </c>
      <c r="J185" s="104"/>
      <c r="K185" s="586" t="s">
        <v>832</v>
      </c>
      <c r="L185" s="537"/>
      <c r="M185" s="359"/>
      <c r="N185" s="322"/>
      <c r="O185" s="549">
        <v>43766</v>
      </c>
      <c r="P185" s="359">
        <v>43766</v>
      </c>
      <c r="Q185" s="322">
        <f t="shared" si="302"/>
        <v>10</v>
      </c>
      <c r="R185" s="109">
        <f>IF((P185-VLOOKUP(Q185,month!$A$1:$C$13,3,0))&lt;0,Q185,Q185+1)</f>
        <v>10</v>
      </c>
      <c r="S185" s="320"/>
      <c r="T185" s="320" t="str">
        <f t="shared" si="320"/>
        <v/>
      </c>
      <c r="U185" s="107"/>
      <c r="V185" s="386"/>
      <c r="W185" s="386"/>
      <c r="X185" s="387"/>
      <c r="Y185" s="387"/>
      <c r="Z185" s="387" t="s">
        <v>545</v>
      </c>
      <c r="AA185" s="387">
        <v>1000</v>
      </c>
      <c r="AB185" s="387">
        <v>1000</v>
      </c>
      <c r="AC185" s="387">
        <v>1000</v>
      </c>
      <c r="AD185" s="387">
        <v>1000</v>
      </c>
      <c r="AE185" s="387">
        <v>1000</v>
      </c>
      <c r="AF185" s="387">
        <v>1000</v>
      </c>
      <c r="AG185" s="387">
        <v>1000</v>
      </c>
      <c r="AH185" s="387">
        <v>1000</v>
      </c>
      <c r="AI185" s="387">
        <v>1000</v>
      </c>
      <c r="AJ185" s="388">
        <v>1000</v>
      </c>
      <c r="AK185" s="388">
        <v>1000</v>
      </c>
      <c r="AL185" s="390">
        <v>1000</v>
      </c>
      <c r="AM185" s="498">
        <f t="shared" si="321"/>
        <v>12000</v>
      </c>
      <c r="AN185" s="159">
        <f t="shared" si="322"/>
        <v>12000</v>
      </c>
      <c r="AO185" s="160"/>
      <c r="AP185" s="498"/>
      <c r="AQ185" s="159"/>
      <c r="AR185" s="160"/>
      <c r="AS185" s="119" t="s">
        <v>210</v>
      </c>
      <c r="AT185" s="111"/>
      <c r="AU185" s="113"/>
      <c r="AV185" s="111"/>
      <c r="AW185" s="111"/>
      <c r="AX185" s="581"/>
      <c r="AY185" s="113"/>
      <c r="AZ185" s="113"/>
      <c r="BA185" s="113"/>
      <c r="BB185" s="113"/>
      <c r="BC185" s="114"/>
      <c r="BD185" s="114"/>
      <c r="BE185" s="114"/>
      <c r="BF185" s="114">
        <f t="shared" si="323"/>
        <v>0</v>
      </c>
      <c r="BG185" s="114">
        <f t="shared" si="323"/>
        <v>0</v>
      </c>
      <c r="BH185" s="115">
        <f t="shared" si="323"/>
        <v>0</v>
      </c>
      <c r="BI185" s="115">
        <f t="shared" si="323"/>
        <v>0</v>
      </c>
      <c r="BJ185" s="116">
        <f t="shared" si="324"/>
        <v>0</v>
      </c>
      <c r="BK185" s="126">
        <f t="shared" si="325"/>
        <v>0</v>
      </c>
      <c r="BL185" s="117">
        <f t="shared" si="326"/>
        <v>0</v>
      </c>
      <c r="BM185" s="118">
        <f t="shared" si="327"/>
        <v>0</v>
      </c>
      <c r="BN185" s="115">
        <f t="shared" ca="1" si="328"/>
        <v>0</v>
      </c>
      <c r="BO185" s="113">
        <f t="shared" ca="1" si="329"/>
        <v>0</v>
      </c>
      <c r="BP185" s="161" t="str">
        <f t="shared" si="330"/>
        <v>Uncapped</v>
      </c>
      <c r="BQ185" s="113">
        <f t="shared" ca="1" si="331"/>
        <v>0</v>
      </c>
      <c r="BR185" s="160"/>
      <c r="BS185" s="113"/>
      <c r="BT185" s="113"/>
      <c r="BU185" s="113" t="s">
        <v>809</v>
      </c>
      <c r="BV185" s="113"/>
      <c r="BW185" s="113"/>
      <c r="BX185" s="113"/>
      <c r="BY185" s="113"/>
      <c r="BZ185" s="581"/>
      <c r="CA185" s="113"/>
      <c r="CB185" s="113"/>
      <c r="CC185" s="113"/>
      <c r="CD185" s="113"/>
      <c r="CE185" s="114"/>
      <c r="CF185" s="114"/>
      <c r="CG185" s="120"/>
      <c r="CH185" s="114">
        <f t="shared" si="332"/>
        <v>0</v>
      </c>
      <c r="CI185" s="114">
        <f t="shared" si="332"/>
        <v>0</v>
      </c>
      <c r="CJ185" s="114">
        <f t="shared" si="332"/>
        <v>0</v>
      </c>
      <c r="CK185" s="114">
        <f t="shared" si="332"/>
        <v>0</v>
      </c>
      <c r="CL185" s="116">
        <f t="shared" si="333"/>
        <v>0</v>
      </c>
      <c r="CM185" s="126">
        <f t="shared" si="334"/>
        <v>0</v>
      </c>
      <c r="CN185" s="115">
        <f t="shared" si="335"/>
        <v>0</v>
      </c>
      <c r="CO185" s="118">
        <f t="shared" si="336"/>
        <v>0</v>
      </c>
      <c r="CP185" s="115">
        <f t="shared" ca="1" si="337"/>
        <v>0</v>
      </c>
      <c r="CQ185" s="113">
        <f t="shared" ca="1" si="338"/>
        <v>0</v>
      </c>
      <c r="CR185" s="119" t="str">
        <f t="shared" si="339"/>
        <v>Uncapped</v>
      </c>
      <c r="CS185" s="113">
        <f t="shared" ca="1" si="340"/>
        <v>0</v>
      </c>
      <c r="CT185" s="113"/>
      <c r="CU185" s="161"/>
      <c r="CV185" s="113"/>
      <c r="CW185" s="113" t="s">
        <v>210</v>
      </c>
      <c r="CX185" s="113"/>
      <c r="CY185" s="113"/>
      <c r="CZ185" s="113"/>
      <c r="DA185" s="113"/>
      <c r="DB185" s="166"/>
      <c r="DC185" s="166"/>
      <c r="DD185" s="166"/>
      <c r="DE185" s="166"/>
      <c r="DF185" s="166"/>
      <c r="DG185" s="114"/>
      <c r="DH185" s="114"/>
      <c r="DI185" s="114"/>
      <c r="DJ185" s="114">
        <f t="shared" si="303"/>
        <v>0</v>
      </c>
      <c r="DK185" s="114">
        <f t="shared" si="303"/>
        <v>0</v>
      </c>
      <c r="DL185" s="114">
        <f t="shared" si="303"/>
        <v>0</v>
      </c>
      <c r="DM185" s="114">
        <f t="shared" si="303"/>
        <v>0</v>
      </c>
      <c r="DN185" s="114">
        <f t="shared" si="341"/>
        <v>0</v>
      </c>
      <c r="DO185" s="114">
        <f t="shared" si="342"/>
        <v>0</v>
      </c>
      <c r="DP185" s="114">
        <f t="shared" si="305"/>
        <v>0</v>
      </c>
      <c r="DQ185" s="116">
        <f t="shared" si="306"/>
        <v>0</v>
      </c>
      <c r="DR185" s="126">
        <f t="shared" ca="1" si="212"/>
        <v>0</v>
      </c>
      <c r="DS185" s="115">
        <f t="shared" ca="1" si="213"/>
        <v>0</v>
      </c>
      <c r="DT185" s="118" t="str">
        <f t="shared" si="236"/>
        <v>Uncapped</v>
      </c>
      <c r="DU185" s="115">
        <f t="shared" ca="1" si="214"/>
        <v>0</v>
      </c>
      <c r="DV185" s="113"/>
      <c r="DW185" s="113">
        <v>0</v>
      </c>
      <c r="DX185" s="113"/>
      <c r="DY185" s="113"/>
      <c r="DZ185" s="113">
        <v>0</v>
      </c>
      <c r="EA185" s="113">
        <v>0</v>
      </c>
      <c r="EB185" s="113">
        <v>0</v>
      </c>
      <c r="EC185" s="113">
        <v>0</v>
      </c>
      <c r="ED185" s="166">
        <v>0</v>
      </c>
      <c r="EE185" s="166">
        <v>0</v>
      </c>
      <c r="EF185" s="166"/>
      <c r="EG185" s="166"/>
      <c r="EH185" s="166"/>
      <c r="EI185" s="114"/>
      <c r="EJ185" s="114"/>
      <c r="EK185" s="114"/>
      <c r="EL185" s="114">
        <f t="shared" si="307"/>
        <v>0</v>
      </c>
      <c r="EM185" s="114">
        <f t="shared" si="307"/>
        <v>0</v>
      </c>
      <c r="EN185" s="114">
        <f t="shared" si="307"/>
        <v>0</v>
      </c>
      <c r="EO185" s="114">
        <f t="shared" si="307"/>
        <v>0</v>
      </c>
      <c r="EP185" s="114">
        <f t="shared" si="343"/>
        <v>0</v>
      </c>
      <c r="EQ185" s="114">
        <f t="shared" si="344"/>
        <v>0</v>
      </c>
      <c r="ER185" s="114">
        <f t="shared" si="345"/>
        <v>0</v>
      </c>
      <c r="ES185" s="116">
        <f t="shared" si="310"/>
        <v>0</v>
      </c>
      <c r="ET185" s="126">
        <f t="shared" ca="1" si="311"/>
        <v>0</v>
      </c>
      <c r="EU185" s="115">
        <f t="shared" ca="1" si="216"/>
        <v>0</v>
      </c>
      <c r="EV185" s="118" t="str">
        <f t="shared" si="217"/>
        <v>Uncapped</v>
      </c>
      <c r="EW185" s="115">
        <f t="shared" ca="1" si="218"/>
        <v>0</v>
      </c>
      <c r="EX185" s="112">
        <f t="shared" ca="1" si="219"/>
        <v>0</v>
      </c>
      <c r="EY185" s="114">
        <f t="shared" ca="1" si="312"/>
        <v>0</v>
      </c>
      <c r="EZ185" s="115">
        <v>0</v>
      </c>
      <c r="FA185" s="115"/>
      <c r="FB185" s="114"/>
      <c r="FC185" s="115">
        <v>0</v>
      </c>
      <c r="FD185" s="115">
        <f t="shared" si="252"/>
        <v>0</v>
      </c>
      <c r="FE185" s="114">
        <f t="shared" si="298"/>
        <v>0</v>
      </c>
      <c r="FF185" s="115">
        <v>0</v>
      </c>
      <c r="FG185" s="115">
        <v>0</v>
      </c>
      <c r="FH185" s="114">
        <v>0</v>
      </c>
      <c r="FI185" s="113">
        <v>0</v>
      </c>
      <c r="FJ185" s="115">
        <f t="shared" si="346"/>
        <v>0</v>
      </c>
      <c r="FK185" s="114">
        <f t="shared" si="300"/>
        <v>0</v>
      </c>
      <c r="FL185" s="111"/>
      <c r="FM185" s="115"/>
      <c r="FN185" s="115"/>
      <c r="FO185" s="115"/>
      <c r="FP185" s="115">
        <f t="shared" si="347"/>
        <v>0</v>
      </c>
      <c r="FQ185" s="114"/>
      <c r="FR185" s="366"/>
      <c r="FS185" s="121"/>
      <c r="FT185" s="114">
        <f t="shared" si="314"/>
        <v>0</v>
      </c>
      <c r="FU185" s="366">
        <f t="shared" ca="1" si="315"/>
        <v>0</v>
      </c>
      <c r="FV185" s="121">
        <f t="shared" ca="1" si="316"/>
        <v>0</v>
      </c>
      <c r="FW185" s="114">
        <f t="shared" si="317"/>
        <v>0</v>
      </c>
      <c r="FX185" s="114">
        <f t="shared" si="317"/>
        <v>0</v>
      </c>
      <c r="FY185" s="114">
        <f t="shared" si="317"/>
        <v>0</v>
      </c>
      <c r="FZ185" s="114">
        <f t="shared" si="317"/>
        <v>0</v>
      </c>
      <c r="GA185" s="114">
        <f t="shared" si="348"/>
        <v>0</v>
      </c>
      <c r="GB185" s="114">
        <f t="shared" si="318"/>
        <v>0</v>
      </c>
      <c r="GC185" s="114">
        <f t="shared" si="318"/>
        <v>0</v>
      </c>
      <c r="GD185" s="114">
        <f t="shared" si="318"/>
        <v>0</v>
      </c>
      <c r="GE185" s="114">
        <f t="shared" si="318"/>
        <v>0</v>
      </c>
      <c r="GF185" s="114">
        <f t="shared" si="289"/>
        <v>0</v>
      </c>
      <c r="GG185" s="114">
        <f t="shared" si="289"/>
        <v>0</v>
      </c>
      <c r="GH185" s="114">
        <f t="shared" si="289"/>
        <v>0</v>
      </c>
      <c r="GI185" s="114">
        <f t="shared" si="289"/>
        <v>0</v>
      </c>
      <c r="GJ185" s="115">
        <f t="shared" si="319"/>
        <v>0</v>
      </c>
      <c r="GK185" s="114">
        <f t="shared" si="349"/>
        <v>0</v>
      </c>
      <c r="GL185" s="114">
        <f t="shared" si="221"/>
        <v>0</v>
      </c>
      <c r="GM185" s="114">
        <f t="shared" si="222"/>
        <v>0</v>
      </c>
      <c r="GN185" s="114">
        <f t="shared" si="223"/>
        <v>0</v>
      </c>
      <c r="GO185" s="114">
        <f t="shared" si="224"/>
        <v>0</v>
      </c>
      <c r="GP185" s="114">
        <f t="shared" si="200"/>
        <v>0</v>
      </c>
      <c r="GQ185" s="114">
        <f t="shared" si="350"/>
        <v>0</v>
      </c>
      <c r="GR185" s="123"/>
      <c r="GS185" s="122">
        <f t="shared" si="286"/>
        <v>0</v>
      </c>
      <c r="GT185" s="122">
        <f t="shared" si="286"/>
        <v>0</v>
      </c>
      <c r="GU185" s="123" t="str">
        <f t="shared" si="351"/>
        <v/>
      </c>
      <c r="GV185" s="124">
        <f t="shared" ca="1" si="227"/>
        <v>0</v>
      </c>
      <c r="GW185" s="124">
        <v>0</v>
      </c>
      <c r="GX185" s="32">
        <f t="shared" ca="1" si="228"/>
        <v>0</v>
      </c>
    </row>
    <row r="186" spans="1:207" s="125" customFormat="1" ht="15" customHeight="1">
      <c r="A186" s="102"/>
      <c r="B186" s="103"/>
      <c r="C186" s="103"/>
      <c r="D186" s="104"/>
      <c r="E186" s="104"/>
      <c r="F186" s="104" t="s">
        <v>822</v>
      </c>
      <c r="G186" s="104" t="s">
        <v>226</v>
      </c>
      <c r="H186" s="127" t="s">
        <v>802</v>
      </c>
      <c r="I186" s="585" t="s">
        <v>813</v>
      </c>
      <c r="J186" s="104"/>
      <c r="K186" s="586" t="s">
        <v>832</v>
      </c>
      <c r="L186" s="537"/>
      <c r="M186" s="359"/>
      <c r="N186" s="322"/>
      <c r="O186" s="549">
        <v>43759</v>
      </c>
      <c r="P186" s="359">
        <v>43759</v>
      </c>
      <c r="Q186" s="322">
        <f t="shared" si="302"/>
        <v>10</v>
      </c>
      <c r="R186" s="109">
        <f>IF((P186-VLOOKUP(Q186,month!$A$1:$C$13,3,0))&lt;0,Q186,Q186+1)</f>
        <v>10</v>
      </c>
      <c r="S186" s="320"/>
      <c r="T186" s="320" t="str">
        <f t="shared" si="320"/>
        <v/>
      </c>
      <c r="U186" s="107"/>
      <c r="V186" s="386"/>
      <c r="W186" s="386"/>
      <c r="X186" s="387"/>
      <c r="Y186" s="387"/>
      <c r="Z186" s="387" t="s">
        <v>545</v>
      </c>
      <c r="AA186" s="387">
        <v>1000</v>
      </c>
      <c r="AB186" s="387">
        <v>1000</v>
      </c>
      <c r="AC186" s="387">
        <v>1000</v>
      </c>
      <c r="AD186" s="387">
        <v>1000</v>
      </c>
      <c r="AE186" s="387">
        <v>1000</v>
      </c>
      <c r="AF186" s="387">
        <v>1000</v>
      </c>
      <c r="AG186" s="387">
        <v>1000</v>
      </c>
      <c r="AH186" s="387">
        <v>1000</v>
      </c>
      <c r="AI186" s="387">
        <v>1000</v>
      </c>
      <c r="AJ186" s="388">
        <v>1000</v>
      </c>
      <c r="AK186" s="388">
        <v>1000</v>
      </c>
      <c r="AL186" s="390">
        <v>1000</v>
      </c>
      <c r="AM186" s="498">
        <f t="shared" si="321"/>
        <v>12000</v>
      </c>
      <c r="AN186" s="159">
        <f t="shared" si="322"/>
        <v>12000</v>
      </c>
      <c r="AO186" s="160"/>
      <c r="AP186" s="498"/>
      <c r="AQ186" s="159"/>
      <c r="AR186" s="160"/>
      <c r="AS186" s="119" t="s">
        <v>210</v>
      </c>
      <c r="AT186" s="111"/>
      <c r="AU186" s="113"/>
      <c r="AV186" s="111"/>
      <c r="AW186" s="111"/>
      <c r="AX186" s="581"/>
      <c r="AY186" s="113"/>
      <c r="AZ186" s="113"/>
      <c r="BA186" s="113"/>
      <c r="BB186" s="113"/>
      <c r="BC186" s="114"/>
      <c r="BD186" s="114"/>
      <c r="BE186" s="114"/>
      <c r="BF186" s="114">
        <f t="shared" si="323"/>
        <v>0</v>
      </c>
      <c r="BG186" s="114">
        <f t="shared" si="323"/>
        <v>0</v>
      </c>
      <c r="BH186" s="115">
        <f t="shared" si="323"/>
        <v>0</v>
      </c>
      <c r="BI186" s="115">
        <f t="shared" si="323"/>
        <v>0</v>
      </c>
      <c r="BJ186" s="116">
        <f t="shared" si="324"/>
        <v>0</v>
      </c>
      <c r="BK186" s="126">
        <f t="shared" si="325"/>
        <v>0</v>
      </c>
      <c r="BL186" s="117">
        <f t="shared" si="326"/>
        <v>0</v>
      </c>
      <c r="BM186" s="118">
        <f t="shared" si="327"/>
        <v>0</v>
      </c>
      <c r="BN186" s="115">
        <f t="shared" ca="1" si="328"/>
        <v>0</v>
      </c>
      <c r="BO186" s="113">
        <f t="shared" ca="1" si="329"/>
        <v>0</v>
      </c>
      <c r="BP186" s="161" t="str">
        <f t="shared" si="330"/>
        <v>Uncapped</v>
      </c>
      <c r="BQ186" s="113">
        <f t="shared" ca="1" si="331"/>
        <v>0</v>
      </c>
      <c r="BR186" s="160"/>
      <c r="BS186" s="113"/>
      <c r="BT186" s="113"/>
      <c r="BU186" s="113" t="s">
        <v>809</v>
      </c>
      <c r="BV186" s="113"/>
      <c r="BW186" s="113"/>
      <c r="BX186" s="113"/>
      <c r="BY186" s="113"/>
      <c r="BZ186" s="581"/>
      <c r="CA186" s="113"/>
      <c r="CB186" s="113"/>
      <c r="CC186" s="113"/>
      <c r="CD186" s="113"/>
      <c r="CE186" s="114"/>
      <c r="CF186" s="114"/>
      <c r="CG186" s="120"/>
      <c r="CH186" s="114">
        <f t="shared" si="332"/>
        <v>0</v>
      </c>
      <c r="CI186" s="114">
        <f t="shared" si="332"/>
        <v>0</v>
      </c>
      <c r="CJ186" s="114">
        <f t="shared" si="332"/>
        <v>0</v>
      </c>
      <c r="CK186" s="114">
        <f t="shared" si="332"/>
        <v>0</v>
      </c>
      <c r="CL186" s="116">
        <f t="shared" si="333"/>
        <v>0</v>
      </c>
      <c r="CM186" s="126">
        <f t="shared" si="334"/>
        <v>0</v>
      </c>
      <c r="CN186" s="115">
        <f t="shared" si="335"/>
        <v>0</v>
      </c>
      <c r="CO186" s="118">
        <f t="shared" si="336"/>
        <v>0</v>
      </c>
      <c r="CP186" s="115">
        <f t="shared" ca="1" si="337"/>
        <v>0</v>
      </c>
      <c r="CQ186" s="113">
        <f t="shared" ca="1" si="338"/>
        <v>0</v>
      </c>
      <c r="CR186" s="119" t="str">
        <f t="shared" si="339"/>
        <v>Uncapped</v>
      </c>
      <c r="CS186" s="113">
        <f t="shared" ca="1" si="340"/>
        <v>0</v>
      </c>
      <c r="CT186" s="113"/>
      <c r="CU186" s="161"/>
      <c r="CV186" s="113"/>
      <c r="CW186" s="113" t="s">
        <v>210</v>
      </c>
      <c r="CX186" s="113"/>
      <c r="CY186" s="113"/>
      <c r="CZ186" s="113"/>
      <c r="DA186" s="113"/>
      <c r="DB186" s="166"/>
      <c r="DC186" s="166"/>
      <c r="DD186" s="166"/>
      <c r="DE186" s="166"/>
      <c r="DF186" s="166"/>
      <c r="DG186" s="114"/>
      <c r="DH186" s="114"/>
      <c r="DI186" s="114"/>
      <c r="DJ186" s="114">
        <f t="shared" si="303"/>
        <v>0</v>
      </c>
      <c r="DK186" s="114">
        <f t="shared" si="303"/>
        <v>0</v>
      </c>
      <c r="DL186" s="114">
        <f t="shared" si="303"/>
        <v>0</v>
      </c>
      <c r="DM186" s="114">
        <f t="shared" si="303"/>
        <v>0</v>
      </c>
      <c r="DN186" s="114">
        <f t="shared" si="341"/>
        <v>0</v>
      </c>
      <c r="DO186" s="114">
        <f t="shared" si="342"/>
        <v>0</v>
      </c>
      <c r="DP186" s="114">
        <f t="shared" si="305"/>
        <v>0</v>
      </c>
      <c r="DQ186" s="116">
        <f t="shared" si="306"/>
        <v>0</v>
      </c>
      <c r="DR186" s="126">
        <f t="shared" ca="1" si="212"/>
        <v>0</v>
      </c>
      <c r="DS186" s="115">
        <f t="shared" ca="1" si="213"/>
        <v>0</v>
      </c>
      <c r="DT186" s="118" t="str">
        <f t="shared" si="236"/>
        <v>Uncapped</v>
      </c>
      <c r="DU186" s="115">
        <f t="shared" ca="1" si="214"/>
        <v>0</v>
      </c>
      <c r="DV186" s="113"/>
      <c r="DW186" s="113">
        <v>0</v>
      </c>
      <c r="DX186" s="113"/>
      <c r="DY186" s="113"/>
      <c r="DZ186" s="113">
        <v>0</v>
      </c>
      <c r="EA186" s="113">
        <v>0</v>
      </c>
      <c r="EB186" s="113">
        <v>0</v>
      </c>
      <c r="EC186" s="113">
        <v>0</v>
      </c>
      <c r="ED186" s="166">
        <v>0</v>
      </c>
      <c r="EE186" s="166">
        <v>0</v>
      </c>
      <c r="EF186" s="166"/>
      <c r="EG186" s="166"/>
      <c r="EH186" s="166"/>
      <c r="EI186" s="114"/>
      <c r="EJ186" s="114"/>
      <c r="EK186" s="114"/>
      <c r="EL186" s="114">
        <f t="shared" si="307"/>
        <v>0</v>
      </c>
      <c r="EM186" s="114">
        <f t="shared" si="307"/>
        <v>0</v>
      </c>
      <c r="EN186" s="114">
        <f t="shared" si="307"/>
        <v>0</v>
      </c>
      <c r="EO186" s="114">
        <f t="shared" si="307"/>
        <v>0</v>
      </c>
      <c r="EP186" s="114">
        <f t="shared" si="343"/>
        <v>0</v>
      </c>
      <c r="EQ186" s="114">
        <f t="shared" si="344"/>
        <v>0</v>
      </c>
      <c r="ER186" s="114">
        <f t="shared" si="345"/>
        <v>0</v>
      </c>
      <c r="ES186" s="116">
        <f t="shared" si="310"/>
        <v>0</v>
      </c>
      <c r="ET186" s="126">
        <f t="shared" ca="1" si="311"/>
        <v>0</v>
      </c>
      <c r="EU186" s="115">
        <f t="shared" ca="1" si="216"/>
        <v>0</v>
      </c>
      <c r="EV186" s="118" t="str">
        <f t="shared" si="217"/>
        <v>Uncapped</v>
      </c>
      <c r="EW186" s="115">
        <f t="shared" ca="1" si="218"/>
        <v>0</v>
      </c>
      <c r="EX186" s="112">
        <f t="shared" ca="1" si="219"/>
        <v>0</v>
      </c>
      <c r="EY186" s="114">
        <f t="shared" ca="1" si="312"/>
        <v>0</v>
      </c>
      <c r="EZ186" s="115">
        <v>0</v>
      </c>
      <c r="FA186" s="115"/>
      <c r="FB186" s="114"/>
      <c r="FC186" s="115">
        <v>0</v>
      </c>
      <c r="FD186" s="115">
        <f t="shared" si="252"/>
        <v>0</v>
      </c>
      <c r="FE186" s="114">
        <f t="shared" si="298"/>
        <v>0</v>
      </c>
      <c r="FF186" s="115">
        <v>0</v>
      </c>
      <c r="FG186" s="115">
        <v>0</v>
      </c>
      <c r="FH186" s="114">
        <v>0</v>
      </c>
      <c r="FI186" s="113">
        <v>0</v>
      </c>
      <c r="FJ186" s="115">
        <f t="shared" si="346"/>
        <v>0</v>
      </c>
      <c r="FK186" s="114">
        <f t="shared" si="300"/>
        <v>0</v>
      </c>
      <c r="FL186" s="111"/>
      <c r="FM186" s="115"/>
      <c r="FN186" s="115"/>
      <c r="FO186" s="115"/>
      <c r="FP186" s="115">
        <f t="shared" si="347"/>
        <v>0</v>
      </c>
      <c r="FQ186" s="114"/>
      <c r="FR186" s="366"/>
      <c r="FS186" s="121"/>
      <c r="FT186" s="114">
        <f t="shared" si="314"/>
        <v>0</v>
      </c>
      <c r="FU186" s="366">
        <f t="shared" ca="1" si="315"/>
        <v>0</v>
      </c>
      <c r="FV186" s="121">
        <f t="shared" ca="1" si="316"/>
        <v>0</v>
      </c>
      <c r="FW186" s="114">
        <f t="shared" si="317"/>
        <v>0</v>
      </c>
      <c r="FX186" s="114">
        <f t="shared" si="317"/>
        <v>0</v>
      </c>
      <c r="FY186" s="114">
        <f t="shared" si="317"/>
        <v>0</v>
      </c>
      <c r="FZ186" s="114">
        <f t="shared" si="317"/>
        <v>0</v>
      </c>
      <c r="GA186" s="114">
        <f t="shared" si="348"/>
        <v>0</v>
      </c>
      <c r="GB186" s="114">
        <f t="shared" si="318"/>
        <v>0</v>
      </c>
      <c r="GC186" s="114">
        <f t="shared" si="318"/>
        <v>0</v>
      </c>
      <c r="GD186" s="114">
        <f t="shared" si="318"/>
        <v>0</v>
      </c>
      <c r="GE186" s="114">
        <f t="shared" si="318"/>
        <v>0</v>
      </c>
      <c r="GF186" s="114">
        <f t="shared" si="289"/>
        <v>0</v>
      </c>
      <c r="GG186" s="114">
        <f t="shared" si="289"/>
        <v>0</v>
      </c>
      <c r="GH186" s="114">
        <f t="shared" si="289"/>
        <v>0</v>
      </c>
      <c r="GI186" s="114">
        <f t="shared" si="289"/>
        <v>0</v>
      </c>
      <c r="GJ186" s="115">
        <f t="shared" si="319"/>
        <v>0</v>
      </c>
      <c r="GK186" s="114">
        <f t="shared" si="349"/>
        <v>0</v>
      </c>
      <c r="GL186" s="114">
        <f t="shared" si="221"/>
        <v>0</v>
      </c>
      <c r="GM186" s="114">
        <f t="shared" si="222"/>
        <v>0</v>
      </c>
      <c r="GN186" s="114">
        <f t="shared" si="223"/>
        <v>0</v>
      </c>
      <c r="GO186" s="114">
        <f t="shared" si="224"/>
        <v>0</v>
      </c>
      <c r="GP186" s="114">
        <f t="shared" si="200"/>
        <v>0</v>
      </c>
      <c r="GQ186" s="114">
        <f t="shared" si="350"/>
        <v>0</v>
      </c>
      <c r="GR186" s="123"/>
      <c r="GS186" s="122">
        <f t="shared" ref="GS186:GT193" si="352">IFERROR(BJ186+CL186+DN186+EP186,0)</f>
        <v>0</v>
      </c>
      <c r="GT186" s="122">
        <f t="shared" si="352"/>
        <v>0</v>
      </c>
      <c r="GU186" s="123" t="str">
        <f t="shared" si="351"/>
        <v/>
      </c>
      <c r="GV186" s="124">
        <f t="shared" ca="1" si="227"/>
        <v>0</v>
      </c>
      <c r="GW186" s="124">
        <v>0</v>
      </c>
      <c r="GX186" s="32">
        <f t="shared" ca="1" si="228"/>
        <v>0</v>
      </c>
    </row>
    <row r="187" spans="1:207" s="125" customFormat="1" ht="15" hidden="1" customHeight="1">
      <c r="A187" s="102"/>
      <c r="B187" s="103"/>
      <c r="C187" s="103"/>
      <c r="D187" s="104"/>
      <c r="E187" s="104"/>
      <c r="F187" s="104" t="s">
        <v>823</v>
      </c>
      <c r="G187" s="104" t="s">
        <v>226</v>
      </c>
      <c r="H187" s="105" t="s">
        <v>803</v>
      </c>
      <c r="I187" s="585" t="s">
        <v>814</v>
      </c>
      <c r="J187" s="104"/>
      <c r="K187" s="586" t="s">
        <v>825</v>
      </c>
      <c r="L187" s="537"/>
      <c r="M187" s="359"/>
      <c r="N187" s="322"/>
      <c r="O187" s="549">
        <v>43770</v>
      </c>
      <c r="P187" s="359">
        <v>43770</v>
      </c>
      <c r="Q187" s="322">
        <f t="shared" si="302"/>
        <v>11</v>
      </c>
      <c r="R187" s="109">
        <f>IF((P187-VLOOKUP(Q187,month!$A$1:$C$13,3,0))&lt;0,Q187,Q187+1)</f>
        <v>11</v>
      </c>
      <c r="S187" s="320"/>
      <c r="T187" s="320" t="str">
        <f t="shared" si="320"/>
        <v/>
      </c>
      <c r="U187" s="107"/>
      <c r="V187" s="386"/>
      <c r="W187" s="386"/>
      <c r="X187" s="387"/>
      <c r="Y187" s="387"/>
      <c r="Z187" s="387" t="s">
        <v>545</v>
      </c>
      <c r="AA187" s="387">
        <v>1000</v>
      </c>
      <c r="AB187" s="387">
        <v>1000</v>
      </c>
      <c r="AC187" s="387">
        <v>1000</v>
      </c>
      <c r="AD187" s="387">
        <v>1000</v>
      </c>
      <c r="AE187" s="387">
        <v>1000</v>
      </c>
      <c r="AF187" s="387">
        <v>1000</v>
      </c>
      <c r="AG187" s="387">
        <v>1000</v>
      </c>
      <c r="AH187" s="387">
        <v>1000</v>
      </c>
      <c r="AI187" s="387">
        <v>1000</v>
      </c>
      <c r="AJ187" s="388">
        <v>1000</v>
      </c>
      <c r="AK187" s="388">
        <v>1000</v>
      </c>
      <c r="AL187" s="390">
        <v>1000</v>
      </c>
      <c r="AM187" s="498">
        <f t="shared" si="321"/>
        <v>12000</v>
      </c>
      <c r="AN187" s="159">
        <f t="shared" si="322"/>
        <v>12000</v>
      </c>
      <c r="AO187" s="160"/>
      <c r="AP187" s="498"/>
      <c r="AQ187" s="159"/>
      <c r="AR187" s="160"/>
      <c r="AS187" s="119" t="s">
        <v>210</v>
      </c>
      <c r="AT187" s="111"/>
      <c r="AU187" s="113"/>
      <c r="AV187" s="111"/>
      <c r="AW187" s="111"/>
      <c r="AX187" s="581"/>
      <c r="AY187" s="113"/>
      <c r="AZ187" s="113"/>
      <c r="BA187" s="113"/>
      <c r="BB187" s="113"/>
      <c r="BC187" s="114"/>
      <c r="BD187" s="114"/>
      <c r="BE187" s="114"/>
      <c r="BF187" s="114">
        <f t="shared" si="323"/>
        <v>0</v>
      </c>
      <c r="BG187" s="114">
        <f t="shared" si="323"/>
        <v>0</v>
      </c>
      <c r="BH187" s="115">
        <f t="shared" si="323"/>
        <v>0</v>
      </c>
      <c r="BI187" s="115">
        <f t="shared" si="323"/>
        <v>0</v>
      </c>
      <c r="BJ187" s="116">
        <f t="shared" si="324"/>
        <v>0</v>
      </c>
      <c r="BK187" s="126">
        <f t="shared" si="325"/>
        <v>0</v>
      </c>
      <c r="BL187" s="117">
        <f t="shared" si="326"/>
        <v>0</v>
      </c>
      <c r="BM187" s="118">
        <f t="shared" si="327"/>
        <v>0</v>
      </c>
      <c r="BN187" s="115">
        <f t="shared" ca="1" si="328"/>
        <v>0</v>
      </c>
      <c r="BO187" s="113">
        <f t="shared" ca="1" si="329"/>
        <v>0</v>
      </c>
      <c r="BP187" s="161" t="str">
        <f t="shared" si="330"/>
        <v>Uncapped</v>
      </c>
      <c r="BQ187" s="113">
        <f t="shared" ca="1" si="331"/>
        <v>0</v>
      </c>
      <c r="BR187" s="160"/>
      <c r="BS187" s="113"/>
      <c r="BT187" s="113"/>
      <c r="BU187" s="113" t="s">
        <v>809</v>
      </c>
      <c r="BV187" s="113"/>
      <c r="BW187" s="113"/>
      <c r="BX187" s="113"/>
      <c r="BY187" s="113"/>
      <c r="BZ187" s="581"/>
      <c r="CA187" s="113"/>
      <c r="CB187" s="113"/>
      <c r="CC187" s="113"/>
      <c r="CD187" s="113"/>
      <c r="CE187" s="114"/>
      <c r="CF187" s="114"/>
      <c r="CG187" s="120"/>
      <c r="CH187" s="114">
        <f t="shared" si="332"/>
        <v>0</v>
      </c>
      <c r="CI187" s="114">
        <f t="shared" si="332"/>
        <v>0</v>
      </c>
      <c r="CJ187" s="114">
        <f t="shared" si="332"/>
        <v>0</v>
      </c>
      <c r="CK187" s="114">
        <f t="shared" si="332"/>
        <v>0</v>
      </c>
      <c r="CL187" s="116">
        <f t="shared" si="333"/>
        <v>0</v>
      </c>
      <c r="CM187" s="126">
        <f t="shared" si="334"/>
        <v>0</v>
      </c>
      <c r="CN187" s="115">
        <f t="shared" si="335"/>
        <v>0</v>
      </c>
      <c r="CO187" s="118">
        <f t="shared" si="336"/>
        <v>0</v>
      </c>
      <c r="CP187" s="115">
        <f t="shared" ca="1" si="337"/>
        <v>0</v>
      </c>
      <c r="CQ187" s="113">
        <f t="shared" ca="1" si="338"/>
        <v>0</v>
      </c>
      <c r="CR187" s="119" t="str">
        <f t="shared" si="339"/>
        <v>Uncapped</v>
      </c>
      <c r="CS187" s="113">
        <f t="shared" ca="1" si="340"/>
        <v>0</v>
      </c>
      <c r="CT187" s="113"/>
      <c r="CU187" s="161"/>
      <c r="CV187" s="113"/>
      <c r="CW187" s="113" t="s">
        <v>210</v>
      </c>
      <c r="CX187" s="113"/>
      <c r="CY187" s="113"/>
      <c r="CZ187" s="113"/>
      <c r="DA187" s="113"/>
      <c r="DB187" s="166"/>
      <c r="DC187" s="166"/>
      <c r="DD187" s="166"/>
      <c r="DE187" s="166"/>
      <c r="DF187" s="166"/>
      <c r="DG187" s="114"/>
      <c r="DH187" s="114"/>
      <c r="DI187" s="114"/>
      <c r="DJ187" s="114">
        <f t="shared" si="303"/>
        <v>0</v>
      </c>
      <c r="DK187" s="114">
        <f t="shared" si="303"/>
        <v>0</v>
      </c>
      <c r="DL187" s="114">
        <f t="shared" si="303"/>
        <v>0</v>
      </c>
      <c r="DM187" s="114">
        <f t="shared" si="303"/>
        <v>0</v>
      </c>
      <c r="DN187" s="114">
        <f t="shared" si="341"/>
        <v>0</v>
      </c>
      <c r="DO187" s="114">
        <f t="shared" si="342"/>
        <v>0</v>
      </c>
      <c r="DP187" s="114">
        <f t="shared" si="305"/>
        <v>0</v>
      </c>
      <c r="DQ187" s="116">
        <f t="shared" si="306"/>
        <v>0</v>
      </c>
      <c r="DR187" s="126">
        <f t="shared" ca="1" si="212"/>
        <v>0</v>
      </c>
      <c r="DS187" s="115">
        <f t="shared" ca="1" si="213"/>
        <v>0</v>
      </c>
      <c r="DT187" s="118" t="str">
        <f t="shared" si="236"/>
        <v>Uncapped</v>
      </c>
      <c r="DU187" s="115">
        <f t="shared" ca="1" si="214"/>
        <v>0</v>
      </c>
      <c r="DV187" s="113"/>
      <c r="DW187" s="113">
        <v>0</v>
      </c>
      <c r="DX187" s="113"/>
      <c r="DY187" s="113"/>
      <c r="DZ187" s="113">
        <v>0</v>
      </c>
      <c r="EA187" s="113">
        <v>0</v>
      </c>
      <c r="EB187" s="113">
        <v>0</v>
      </c>
      <c r="EC187" s="113">
        <v>0</v>
      </c>
      <c r="ED187" s="166">
        <v>0</v>
      </c>
      <c r="EE187" s="166">
        <v>0</v>
      </c>
      <c r="EF187" s="166"/>
      <c r="EG187" s="166"/>
      <c r="EH187" s="166"/>
      <c r="EI187" s="114"/>
      <c r="EJ187" s="114"/>
      <c r="EK187" s="114"/>
      <c r="EL187" s="114">
        <f t="shared" si="307"/>
        <v>0</v>
      </c>
      <c r="EM187" s="114">
        <f t="shared" si="307"/>
        <v>0</v>
      </c>
      <c r="EN187" s="114">
        <f t="shared" si="307"/>
        <v>0</v>
      </c>
      <c r="EO187" s="114">
        <f t="shared" si="307"/>
        <v>0</v>
      </c>
      <c r="EP187" s="114">
        <f t="shared" si="343"/>
        <v>0</v>
      </c>
      <c r="EQ187" s="114">
        <f t="shared" si="344"/>
        <v>0</v>
      </c>
      <c r="ER187" s="114">
        <f t="shared" si="345"/>
        <v>0</v>
      </c>
      <c r="ES187" s="116">
        <f t="shared" si="310"/>
        <v>0</v>
      </c>
      <c r="ET187" s="126">
        <f t="shared" ca="1" si="311"/>
        <v>0</v>
      </c>
      <c r="EU187" s="115">
        <f t="shared" ca="1" si="216"/>
        <v>0</v>
      </c>
      <c r="EV187" s="118" t="str">
        <f t="shared" si="217"/>
        <v>Uncapped</v>
      </c>
      <c r="EW187" s="115">
        <f t="shared" ca="1" si="218"/>
        <v>0</v>
      </c>
      <c r="EX187" s="112">
        <f t="shared" ca="1" si="219"/>
        <v>0</v>
      </c>
      <c r="EY187" s="114">
        <f t="shared" ca="1" si="312"/>
        <v>0</v>
      </c>
      <c r="EZ187" s="115">
        <v>0</v>
      </c>
      <c r="FA187" s="115"/>
      <c r="FB187" s="114"/>
      <c r="FC187" s="115">
        <v>0</v>
      </c>
      <c r="FD187" s="115">
        <f t="shared" si="252"/>
        <v>0</v>
      </c>
      <c r="FE187" s="114">
        <f t="shared" si="298"/>
        <v>0</v>
      </c>
      <c r="FF187" s="115">
        <v>0</v>
      </c>
      <c r="FG187" s="115">
        <v>0</v>
      </c>
      <c r="FH187" s="114">
        <v>0</v>
      </c>
      <c r="FI187" s="113">
        <v>0</v>
      </c>
      <c r="FJ187" s="115">
        <f t="shared" si="346"/>
        <v>0</v>
      </c>
      <c r="FK187" s="114">
        <f t="shared" si="300"/>
        <v>0</v>
      </c>
      <c r="FL187" s="111"/>
      <c r="FM187" s="115"/>
      <c r="FN187" s="115"/>
      <c r="FO187" s="115"/>
      <c r="FP187" s="115">
        <f t="shared" si="347"/>
        <v>0</v>
      </c>
      <c r="FQ187" s="114"/>
      <c r="FR187" s="366"/>
      <c r="FS187" s="121"/>
      <c r="FT187" s="114">
        <f t="shared" si="314"/>
        <v>0</v>
      </c>
      <c r="FU187" s="366">
        <f t="shared" ca="1" si="315"/>
        <v>0</v>
      </c>
      <c r="FV187" s="121">
        <f t="shared" ca="1" si="316"/>
        <v>0</v>
      </c>
      <c r="FW187" s="114">
        <f t="shared" si="317"/>
        <v>0</v>
      </c>
      <c r="FX187" s="114">
        <f t="shared" si="317"/>
        <v>0</v>
      </c>
      <c r="FY187" s="114">
        <f t="shared" si="317"/>
        <v>0</v>
      </c>
      <c r="FZ187" s="114">
        <f t="shared" si="317"/>
        <v>0</v>
      </c>
      <c r="GA187" s="114">
        <f t="shared" si="348"/>
        <v>0</v>
      </c>
      <c r="GB187" s="114">
        <f t="shared" si="318"/>
        <v>0</v>
      </c>
      <c r="GC187" s="114">
        <f t="shared" si="318"/>
        <v>0</v>
      </c>
      <c r="GD187" s="114">
        <f t="shared" si="318"/>
        <v>0</v>
      </c>
      <c r="GE187" s="114">
        <f t="shared" si="318"/>
        <v>0</v>
      </c>
      <c r="GF187" s="114">
        <f t="shared" ref="GF187:GI193" si="353">GB187+FW187</f>
        <v>0</v>
      </c>
      <c r="GG187" s="114">
        <f t="shared" si="353"/>
        <v>0</v>
      </c>
      <c r="GH187" s="114">
        <f t="shared" si="353"/>
        <v>0</v>
      </c>
      <c r="GI187" s="114">
        <f t="shared" si="353"/>
        <v>0</v>
      </c>
      <c r="GJ187" s="115">
        <f t="shared" si="319"/>
        <v>0</v>
      </c>
      <c r="GK187" s="114">
        <f t="shared" si="349"/>
        <v>0</v>
      </c>
      <c r="GL187" s="114">
        <f t="shared" si="221"/>
        <v>0</v>
      </c>
      <c r="GM187" s="114">
        <f t="shared" si="222"/>
        <v>0</v>
      </c>
      <c r="GN187" s="114">
        <f t="shared" si="223"/>
        <v>0</v>
      </c>
      <c r="GO187" s="114">
        <f t="shared" si="224"/>
        <v>0</v>
      </c>
      <c r="GP187" s="114">
        <f t="shared" si="200"/>
        <v>0</v>
      </c>
      <c r="GQ187" s="114">
        <f t="shared" si="350"/>
        <v>0</v>
      </c>
      <c r="GR187" s="123"/>
      <c r="GS187" s="122">
        <f t="shared" si="352"/>
        <v>0</v>
      </c>
      <c r="GT187" s="122">
        <f t="shared" si="352"/>
        <v>0</v>
      </c>
      <c r="GU187" s="123" t="str">
        <f t="shared" si="351"/>
        <v/>
      </c>
      <c r="GV187" s="124">
        <f t="shared" ca="1" si="227"/>
        <v>0</v>
      </c>
      <c r="GW187" s="124">
        <v>0</v>
      </c>
      <c r="GX187" s="32">
        <f t="shared" ca="1" si="228"/>
        <v>0</v>
      </c>
    </row>
    <row r="188" spans="1:207" s="125" customFormat="1" ht="15" hidden="1" customHeight="1">
      <c r="A188" s="102"/>
      <c r="B188" s="103"/>
      <c r="C188" s="103"/>
      <c r="D188" s="104"/>
      <c r="E188" s="104"/>
      <c r="F188" s="104" t="s">
        <v>820</v>
      </c>
      <c r="G188" s="104" t="s">
        <v>226</v>
      </c>
      <c r="H188" s="105" t="s">
        <v>804</v>
      </c>
      <c r="I188" s="585" t="s">
        <v>815</v>
      </c>
      <c r="J188" s="104"/>
      <c r="K188" s="586" t="s">
        <v>826</v>
      </c>
      <c r="L188" s="537"/>
      <c r="M188" s="359"/>
      <c r="N188" s="322"/>
      <c r="O188" s="549">
        <v>43770</v>
      </c>
      <c r="P188" s="359">
        <v>43770</v>
      </c>
      <c r="Q188" s="322">
        <f t="shared" si="302"/>
        <v>11</v>
      </c>
      <c r="R188" s="109">
        <f>IF((P188-VLOOKUP(Q188,month!$A$1:$C$13,3,0))&lt;0,Q188,Q188+1)</f>
        <v>11</v>
      </c>
      <c r="S188" s="320"/>
      <c r="T188" s="320" t="str">
        <f t="shared" si="320"/>
        <v/>
      </c>
      <c r="U188" s="107"/>
      <c r="V188" s="386"/>
      <c r="W188" s="386"/>
      <c r="X188" s="387"/>
      <c r="Y188" s="387"/>
      <c r="Z188" s="387" t="s">
        <v>545</v>
      </c>
      <c r="AA188" s="387">
        <v>1000</v>
      </c>
      <c r="AB188" s="387">
        <v>1000</v>
      </c>
      <c r="AC188" s="387">
        <v>1000</v>
      </c>
      <c r="AD188" s="387">
        <v>1000</v>
      </c>
      <c r="AE188" s="387">
        <v>1000</v>
      </c>
      <c r="AF188" s="387">
        <v>1000</v>
      </c>
      <c r="AG188" s="387">
        <v>1000</v>
      </c>
      <c r="AH188" s="387">
        <v>1000</v>
      </c>
      <c r="AI188" s="387">
        <v>1000</v>
      </c>
      <c r="AJ188" s="388">
        <v>1000</v>
      </c>
      <c r="AK188" s="388">
        <v>1000</v>
      </c>
      <c r="AL188" s="390">
        <v>1000</v>
      </c>
      <c r="AM188" s="498">
        <f t="shared" si="321"/>
        <v>12000</v>
      </c>
      <c r="AN188" s="159">
        <f t="shared" si="322"/>
        <v>12000</v>
      </c>
      <c r="AO188" s="160"/>
      <c r="AP188" s="498"/>
      <c r="AQ188" s="159"/>
      <c r="AR188" s="160"/>
      <c r="AS188" s="119" t="s">
        <v>210</v>
      </c>
      <c r="AT188" s="111"/>
      <c r="AU188" s="113"/>
      <c r="AV188" s="111"/>
      <c r="AW188" s="111"/>
      <c r="AX188" s="581"/>
      <c r="AY188" s="113"/>
      <c r="AZ188" s="113"/>
      <c r="BA188" s="113"/>
      <c r="BB188" s="113"/>
      <c r="BC188" s="114"/>
      <c r="BD188" s="114"/>
      <c r="BE188" s="114"/>
      <c r="BF188" s="114">
        <f t="shared" si="323"/>
        <v>0</v>
      </c>
      <c r="BG188" s="114">
        <f t="shared" si="323"/>
        <v>0</v>
      </c>
      <c r="BH188" s="115">
        <f t="shared" si="323"/>
        <v>0</v>
      </c>
      <c r="BI188" s="115">
        <f t="shared" si="323"/>
        <v>0</v>
      </c>
      <c r="BJ188" s="116">
        <f t="shared" si="324"/>
        <v>0</v>
      </c>
      <c r="BK188" s="126">
        <f t="shared" si="325"/>
        <v>0</v>
      </c>
      <c r="BL188" s="117">
        <f t="shared" si="326"/>
        <v>0</v>
      </c>
      <c r="BM188" s="118">
        <f t="shared" si="327"/>
        <v>0</v>
      </c>
      <c r="BN188" s="115">
        <f t="shared" ca="1" si="328"/>
        <v>0</v>
      </c>
      <c r="BO188" s="113">
        <f t="shared" ca="1" si="329"/>
        <v>0</v>
      </c>
      <c r="BP188" s="161" t="str">
        <f t="shared" si="330"/>
        <v>Uncapped</v>
      </c>
      <c r="BQ188" s="113">
        <f t="shared" ca="1" si="331"/>
        <v>0</v>
      </c>
      <c r="BR188" s="160"/>
      <c r="BS188" s="113"/>
      <c r="BT188" s="113"/>
      <c r="BU188" s="113" t="s">
        <v>809</v>
      </c>
      <c r="BV188" s="113"/>
      <c r="BW188" s="113"/>
      <c r="BX188" s="113"/>
      <c r="BY188" s="113"/>
      <c r="BZ188" s="581"/>
      <c r="CA188" s="113"/>
      <c r="CB188" s="113"/>
      <c r="CC188" s="113"/>
      <c r="CD188" s="113"/>
      <c r="CE188" s="114"/>
      <c r="CF188" s="114"/>
      <c r="CG188" s="120"/>
      <c r="CH188" s="114">
        <f t="shared" si="332"/>
        <v>0</v>
      </c>
      <c r="CI188" s="114">
        <f t="shared" si="332"/>
        <v>0</v>
      </c>
      <c r="CJ188" s="114">
        <f t="shared" si="332"/>
        <v>0</v>
      </c>
      <c r="CK188" s="114">
        <f t="shared" si="332"/>
        <v>0</v>
      </c>
      <c r="CL188" s="116">
        <f t="shared" si="333"/>
        <v>0</v>
      </c>
      <c r="CM188" s="126">
        <f t="shared" si="334"/>
        <v>0</v>
      </c>
      <c r="CN188" s="115">
        <f t="shared" si="335"/>
        <v>0</v>
      </c>
      <c r="CO188" s="118">
        <f t="shared" si="336"/>
        <v>0</v>
      </c>
      <c r="CP188" s="115">
        <f t="shared" ca="1" si="337"/>
        <v>0</v>
      </c>
      <c r="CQ188" s="113">
        <f t="shared" ca="1" si="338"/>
        <v>0</v>
      </c>
      <c r="CR188" s="119" t="str">
        <f t="shared" si="339"/>
        <v>Uncapped</v>
      </c>
      <c r="CS188" s="113">
        <f t="shared" ca="1" si="340"/>
        <v>0</v>
      </c>
      <c r="CT188" s="113"/>
      <c r="CU188" s="161"/>
      <c r="CV188" s="113"/>
      <c r="CW188" s="113" t="s">
        <v>210</v>
      </c>
      <c r="CX188" s="113"/>
      <c r="CY188" s="113"/>
      <c r="CZ188" s="113"/>
      <c r="DA188" s="113"/>
      <c r="DB188" s="166"/>
      <c r="DC188" s="166"/>
      <c r="DD188" s="166"/>
      <c r="DE188" s="166"/>
      <c r="DF188" s="166"/>
      <c r="DG188" s="114"/>
      <c r="DH188" s="114"/>
      <c r="DI188" s="114"/>
      <c r="DJ188" s="114">
        <f t="shared" si="303"/>
        <v>0</v>
      </c>
      <c r="DK188" s="114">
        <f t="shared" si="303"/>
        <v>0</v>
      </c>
      <c r="DL188" s="114">
        <f t="shared" si="303"/>
        <v>0</v>
      </c>
      <c r="DM188" s="114">
        <f t="shared" si="303"/>
        <v>0</v>
      </c>
      <c r="DN188" s="114">
        <f t="shared" si="341"/>
        <v>0</v>
      </c>
      <c r="DO188" s="114">
        <f t="shared" si="342"/>
        <v>0</v>
      </c>
      <c r="DP188" s="114">
        <f t="shared" si="305"/>
        <v>0</v>
      </c>
      <c r="DQ188" s="116">
        <f t="shared" si="306"/>
        <v>0</v>
      </c>
      <c r="DR188" s="126">
        <f t="shared" ca="1" si="212"/>
        <v>0</v>
      </c>
      <c r="DS188" s="115">
        <f t="shared" ca="1" si="213"/>
        <v>0</v>
      </c>
      <c r="DT188" s="118" t="str">
        <f t="shared" si="236"/>
        <v>Uncapped</v>
      </c>
      <c r="DU188" s="115">
        <f t="shared" ca="1" si="214"/>
        <v>0</v>
      </c>
      <c r="DV188" s="113"/>
      <c r="DW188" s="113">
        <v>0</v>
      </c>
      <c r="DX188" s="113"/>
      <c r="DY188" s="113"/>
      <c r="DZ188" s="113">
        <v>0</v>
      </c>
      <c r="EA188" s="113">
        <v>0</v>
      </c>
      <c r="EB188" s="113">
        <v>0</v>
      </c>
      <c r="EC188" s="113">
        <v>0</v>
      </c>
      <c r="ED188" s="166">
        <v>0</v>
      </c>
      <c r="EE188" s="166">
        <v>0</v>
      </c>
      <c r="EF188" s="166"/>
      <c r="EG188" s="166"/>
      <c r="EH188" s="166"/>
      <c r="EI188" s="114"/>
      <c r="EJ188" s="114"/>
      <c r="EK188" s="114"/>
      <c r="EL188" s="114">
        <f t="shared" si="307"/>
        <v>0</v>
      </c>
      <c r="EM188" s="114">
        <f t="shared" si="307"/>
        <v>0</v>
      </c>
      <c r="EN188" s="114">
        <f t="shared" si="307"/>
        <v>0</v>
      </c>
      <c r="EO188" s="114">
        <f t="shared" si="307"/>
        <v>0</v>
      </c>
      <c r="EP188" s="114">
        <f t="shared" si="343"/>
        <v>0</v>
      </c>
      <c r="EQ188" s="114">
        <f t="shared" si="344"/>
        <v>0</v>
      </c>
      <c r="ER188" s="114">
        <f t="shared" si="345"/>
        <v>0</v>
      </c>
      <c r="ES188" s="116">
        <f t="shared" si="310"/>
        <v>0</v>
      </c>
      <c r="ET188" s="126">
        <f t="shared" ca="1" si="311"/>
        <v>0</v>
      </c>
      <c r="EU188" s="115">
        <f t="shared" ca="1" si="216"/>
        <v>0</v>
      </c>
      <c r="EV188" s="118" t="str">
        <f t="shared" si="217"/>
        <v>Uncapped</v>
      </c>
      <c r="EW188" s="115">
        <f t="shared" ca="1" si="218"/>
        <v>0</v>
      </c>
      <c r="EX188" s="112">
        <f t="shared" ca="1" si="219"/>
        <v>0</v>
      </c>
      <c r="EY188" s="114">
        <f t="shared" ca="1" si="312"/>
        <v>0</v>
      </c>
      <c r="EZ188" s="115">
        <v>0</v>
      </c>
      <c r="FA188" s="115"/>
      <c r="FB188" s="114"/>
      <c r="FC188" s="115">
        <v>0</v>
      </c>
      <c r="FD188" s="115">
        <f t="shared" si="252"/>
        <v>0</v>
      </c>
      <c r="FE188" s="114">
        <f t="shared" si="298"/>
        <v>0</v>
      </c>
      <c r="FF188" s="115">
        <v>0</v>
      </c>
      <c r="FG188" s="115">
        <v>0</v>
      </c>
      <c r="FH188" s="114">
        <v>0</v>
      </c>
      <c r="FI188" s="113">
        <v>0</v>
      </c>
      <c r="FJ188" s="115">
        <f t="shared" si="346"/>
        <v>0</v>
      </c>
      <c r="FK188" s="114">
        <f t="shared" si="300"/>
        <v>0</v>
      </c>
      <c r="FL188" s="111"/>
      <c r="FM188" s="115"/>
      <c r="FN188" s="115"/>
      <c r="FO188" s="115"/>
      <c r="FP188" s="115">
        <f t="shared" si="347"/>
        <v>0</v>
      </c>
      <c r="FQ188" s="114"/>
      <c r="FR188" s="366"/>
      <c r="FS188" s="121"/>
      <c r="FT188" s="114">
        <f t="shared" si="314"/>
        <v>0</v>
      </c>
      <c r="FU188" s="366">
        <f t="shared" ca="1" si="315"/>
        <v>0</v>
      </c>
      <c r="FV188" s="121">
        <f t="shared" ca="1" si="316"/>
        <v>0</v>
      </c>
      <c r="FW188" s="114">
        <f t="shared" si="317"/>
        <v>0</v>
      </c>
      <c r="FX188" s="114">
        <f t="shared" si="317"/>
        <v>0</v>
      </c>
      <c r="FY188" s="114">
        <f t="shared" si="317"/>
        <v>0</v>
      </c>
      <c r="FZ188" s="114">
        <f t="shared" si="317"/>
        <v>0</v>
      </c>
      <c r="GA188" s="114">
        <f t="shared" si="348"/>
        <v>0</v>
      </c>
      <c r="GB188" s="114">
        <f t="shared" si="318"/>
        <v>0</v>
      </c>
      <c r="GC188" s="114">
        <f t="shared" si="318"/>
        <v>0</v>
      </c>
      <c r="GD188" s="114">
        <f t="shared" si="318"/>
        <v>0</v>
      </c>
      <c r="GE188" s="114">
        <f t="shared" si="318"/>
        <v>0</v>
      </c>
      <c r="GF188" s="114">
        <f t="shared" si="353"/>
        <v>0</v>
      </c>
      <c r="GG188" s="114">
        <f t="shared" si="353"/>
        <v>0</v>
      </c>
      <c r="GH188" s="114">
        <f t="shared" si="353"/>
        <v>0</v>
      </c>
      <c r="GI188" s="114">
        <f t="shared" si="353"/>
        <v>0</v>
      </c>
      <c r="GJ188" s="115">
        <f t="shared" si="319"/>
        <v>0</v>
      </c>
      <c r="GK188" s="114">
        <f t="shared" si="349"/>
        <v>0</v>
      </c>
      <c r="GL188" s="114">
        <f t="shared" si="221"/>
        <v>0</v>
      </c>
      <c r="GM188" s="114">
        <f t="shared" si="222"/>
        <v>0</v>
      </c>
      <c r="GN188" s="114">
        <f t="shared" si="223"/>
        <v>0</v>
      </c>
      <c r="GO188" s="114">
        <f t="shared" si="224"/>
        <v>0</v>
      </c>
      <c r="GP188" s="114">
        <f t="shared" si="200"/>
        <v>0</v>
      </c>
      <c r="GQ188" s="114">
        <f t="shared" si="350"/>
        <v>0</v>
      </c>
      <c r="GR188" s="123"/>
      <c r="GS188" s="122">
        <f t="shared" si="352"/>
        <v>0</v>
      </c>
      <c r="GT188" s="122">
        <f t="shared" si="352"/>
        <v>0</v>
      </c>
      <c r="GU188" s="123" t="str">
        <f t="shared" si="351"/>
        <v/>
      </c>
      <c r="GV188" s="124">
        <f t="shared" ca="1" si="227"/>
        <v>0</v>
      </c>
      <c r="GW188" s="124">
        <v>0</v>
      </c>
      <c r="GX188" s="32">
        <f t="shared" ca="1" si="228"/>
        <v>0</v>
      </c>
    </row>
    <row r="189" spans="1:207" s="125" customFormat="1" ht="15" hidden="1" customHeight="1">
      <c r="A189" s="102"/>
      <c r="B189" s="103"/>
      <c r="C189" s="103"/>
      <c r="D189" s="104"/>
      <c r="E189" s="104"/>
      <c r="F189" s="104" t="s">
        <v>824</v>
      </c>
      <c r="G189" s="104" t="s">
        <v>226</v>
      </c>
      <c r="H189" s="105" t="s">
        <v>805</v>
      </c>
      <c r="I189" s="585" t="s">
        <v>816</v>
      </c>
      <c r="J189" s="104"/>
      <c r="K189" s="586" t="s">
        <v>825</v>
      </c>
      <c r="L189" s="537"/>
      <c r="M189" s="359"/>
      <c r="N189" s="322"/>
      <c r="O189" s="549">
        <v>43780</v>
      </c>
      <c r="P189" s="359">
        <v>43780</v>
      </c>
      <c r="Q189" s="322">
        <f t="shared" si="302"/>
        <v>11</v>
      </c>
      <c r="R189" s="109">
        <f>IF((P189-VLOOKUP(Q189,month!$A$1:$C$13,3,0))&lt;0,Q189,Q189+1)</f>
        <v>11</v>
      </c>
      <c r="S189" s="320"/>
      <c r="T189" s="320" t="str">
        <f t="shared" si="320"/>
        <v/>
      </c>
      <c r="U189" s="107"/>
      <c r="V189" s="386"/>
      <c r="W189" s="386"/>
      <c r="X189" s="387"/>
      <c r="Y189" s="387"/>
      <c r="Z189" s="387" t="s">
        <v>545</v>
      </c>
      <c r="AA189" s="387">
        <v>1000</v>
      </c>
      <c r="AB189" s="387">
        <v>1000</v>
      </c>
      <c r="AC189" s="387">
        <v>1000</v>
      </c>
      <c r="AD189" s="387">
        <v>1000</v>
      </c>
      <c r="AE189" s="387">
        <v>1000</v>
      </c>
      <c r="AF189" s="387">
        <v>1000</v>
      </c>
      <c r="AG189" s="387">
        <v>1000</v>
      </c>
      <c r="AH189" s="387">
        <v>1000</v>
      </c>
      <c r="AI189" s="387">
        <v>1000</v>
      </c>
      <c r="AJ189" s="388">
        <v>1000</v>
      </c>
      <c r="AK189" s="388">
        <v>1000</v>
      </c>
      <c r="AL189" s="390">
        <v>1000</v>
      </c>
      <c r="AM189" s="498">
        <f t="shared" si="321"/>
        <v>12000</v>
      </c>
      <c r="AN189" s="159">
        <f t="shared" si="322"/>
        <v>12000</v>
      </c>
      <c r="AO189" s="160"/>
      <c r="AP189" s="498"/>
      <c r="AQ189" s="159"/>
      <c r="AR189" s="160"/>
      <c r="AS189" s="119" t="s">
        <v>210</v>
      </c>
      <c r="AT189" s="111"/>
      <c r="AU189" s="113"/>
      <c r="AV189" s="111"/>
      <c r="AW189" s="111"/>
      <c r="AX189" s="581"/>
      <c r="AY189" s="113"/>
      <c r="AZ189" s="113"/>
      <c r="BA189" s="113"/>
      <c r="BB189" s="113"/>
      <c r="BC189" s="114"/>
      <c r="BD189" s="114"/>
      <c r="BE189" s="114"/>
      <c r="BF189" s="114">
        <f t="shared" si="323"/>
        <v>0</v>
      </c>
      <c r="BG189" s="114">
        <f t="shared" si="323"/>
        <v>0</v>
      </c>
      <c r="BH189" s="115">
        <f t="shared" si="323"/>
        <v>0</v>
      </c>
      <c r="BI189" s="115">
        <f t="shared" si="323"/>
        <v>0</v>
      </c>
      <c r="BJ189" s="116">
        <f t="shared" si="324"/>
        <v>0</v>
      </c>
      <c r="BK189" s="126">
        <f t="shared" si="325"/>
        <v>0</v>
      </c>
      <c r="BL189" s="117">
        <f t="shared" si="326"/>
        <v>0</v>
      </c>
      <c r="BM189" s="118">
        <f t="shared" si="327"/>
        <v>0</v>
      </c>
      <c r="BN189" s="115">
        <f t="shared" ca="1" si="328"/>
        <v>0</v>
      </c>
      <c r="BO189" s="113">
        <f t="shared" ca="1" si="329"/>
        <v>0</v>
      </c>
      <c r="BP189" s="161" t="str">
        <f t="shared" si="330"/>
        <v>Uncapped</v>
      </c>
      <c r="BQ189" s="113">
        <f t="shared" ca="1" si="331"/>
        <v>0</v>
      </c>
      <c r="BR189" s="160"/>
      <c r="BS189" s="113"/>
      <c r="BT189" s="113"/>
      <c r="BU189" s="113" t="s">
        <v>809</v>
      </c>
      <c r="BV189" s="113"/>
      <c r="BW189" s="113"/>
      <c r="BX189" s="113"/>
      <c r="BY189" s="113"/>
      <c r="BZ189" s="581"/>
      <c r="CA189" s="113"/>
      <c r="CB189" s="113"/>
      <c r="CC189" s="113"/>
      <c r="CD189" s="113"/>
      <c r="CE189" s="114"/>
      <c r="CF189" s="114"/>
      <c r="CG189" s="120"/>
      <c r="CH189" s="114">
        <f t="shared" si="332"/>
        <v>0</v>
      </c>
      <c r="CI189" s="114">
        <f t="shared" si="332"/>
        <v>0</v>
      </c>
      <c r="CJ189" s="114">
        <f t="shared" si="332"/>
        <v>0</v>
      </c>
      <c r="CK189" s="114">
        <f t="shared" si="332"/>
        <v>0</v>
      </c>
      <c r="CL189" s="116">
        <f t="shared" si="333"/>
        <v>0</v>
      </c>
      <c r="CM189" s="126">
        <f t="shared" si="334"/>
        <v>0</v>
      </c>
      <c r="CN189" s="115">
        <f t="shared" si="335"/>
        <v>0</v>
      </c>
      <c r="CO189" s="118">
        <f t="shared" si="336"/>
        <v>0</v>
      </c>
      <c r="CP189" s="115">
        <f t="shared" ca="1" si="337"/>
        <v>0</v>
      </c>
      <c r="CQ189" s="113">
        <f t="shared" ca="1" si="338"/>
        <v>0</v>
      </c>
      <c r="CR189" s="119" t="str">
        <f t="shared" si="339"/>
        <v>Uncapped</v>
      </c>
      <c r="CS189" s="113">
        <f t="shared" ca="1" si="340"/>
        <v>0</v>
      </c>
      <c r="CT189" s="113"/>
      <c r="CU189" s="161"/>
      <c r="CV189" s="113"/>
      <c r="CW189" s="113" t="s">
        <v>210</v>
      </c>
      <c r="CX189" s="113"/>
      <c r="CY189" s="113"/>
      <c r="CZ189" s="113"/>
      <c r="DA189" s="113"/>
      <c r="DB189" s="166"/>
      <c r="DC189" s="166"/>
      <c r="DD189" s="166"/>
      <c r="DE189" s="166"/>
      <c r="DF189" s="166"/>
      <c r="DG189" s="114"/>
      <c r="DH189" s="114"/>
      <c r="DI189" s="114"/>
      <c r="DJ189" s="114">
        <f t="shared" si="303"/>
        <v>0</v>
      </c>
      <c r="DK189" s="114">
        <f t="shared" si="303"/>
        <v>0</v>
      </c>
      <c r="DL189" s="114">
        <f t="shared" si="303"/>
        <v>0</v>
      </c>
      <c r="DM189" s="114">
        <f t="shared" si="303"/>
        <v>0</v>
      </c>
      <c r="DN189" s="114">
        <f t="shared" si="341"/>
        <v>0</v>
      </c>
      <c r="DO189" s="114">
        <f t="shared" si="342"/>
        <v>0</v>
      </c>
      <c r="DP189" s="114">
        <f t="shared" si="305"/>
        <v>0</v>
      </c>
      <c r="DQ189" s="116">
        <f t="shared" si="306"/>
        <v>0</v>
      </c>
      <c r="DR189" s="126">
        <f t="shared" ca="1" si="212"/>
        <v>0</v>
      </c>
      <c r="DS189" s="115">
        <f t="shared" ca="1" si="213"/>
        <v>0</v>
      </c>
      <c r="DT189" s="118" t="str">
        <f t="shared" si="236"/>
        <v>Uncapped</v>
      </c>
      <c r="DU189" s="115">
        <f t="shared" ca="1" si="214"/>
        <v>0</v>
      </c>
      <c r="DV189" s="113"/>
      <c r="DW189" s="113">
        <v>0</v>
      </c>
      <c r="DX189" s="113"/>
      <c r="DY189" s="113"/>
      <c r="DZ189" s="113">
        <v>0</v>
      </c>
      <c r="EA189" s="113">
        <v>0</v>
      </c>
      <c r="EB189" s="113">
        <v>0</v>
      </c>
      <c r="EC189" s="113">
        <v>0</v>
      </c>
      <c r="ED189" s="166">
        <v>0</v>
      </c>
      <c r="EE189" s="166">
        <v>0</v>
      </c>
      <c r="EF189" s="166"/>
      <c r="EG189" s="166"/>
      <c r="EH189" s="166"/>
      <c r="EI189" s="114"/>
      <c r="EJ189" s="114"/>
      <c r="EK189" s="114"/>
      <c r="EL189" s="114">
        <f t="shared" si="307"/>
        <v>0</v>
      </c>
      <c r="EM189" s="114">
        <f t="shared" si="307"/>
        <v>0</v>
      </c>
      <c r="EN189" s="114">
        <f t="shared" si="307"/>
        <v>0</v>
      </c>
      <c r="EO189" s="114">
        <f t="shared" si="307"/>
        <v>0</v>
      </c>
      <c r="EP189" s="114">
        <f t="shared" si="343"/>
        <v>0</v>
      </c>
      <c r="EQ189" s="114">
        <f t="shared" si="344"/>
        <v>0</v>
      </c>
      <c r="ER189" s="114">
        <f t="shared" si="345"/>
        <v>0</v>
      </c>
      <c r="ES189" s="116">
        <f t="shared" si="310"/>
        <v>0</v>
      </c>
      <c r="ET189" s="126">
        <f t="shared" ca="1" si="311"/>
        <v>0</v>
      </c>
      <c r="EU189" s="115">
        <f t="shared" ca="1" si="216"/>
        <v>0</v>
      </c>
      <c r="EV189" s="118" t="str">
        <f t="shared" si="217"/>
        <v>Uncapped</v>
      </c>
      <c r="EW189" s="115">
        <f t="shared" ca="1" si="218"/>
        <v>0</v>
      </c>
      <c r="EX189" s="112">
        <f t="shared" ca="1" si="219"/>
        <v>0</v>
      </c>
      <c r="EY189" s="114">
        <f t="shared" ca="1" si="312"/>
        <v>0</v>
      </c>
      <c r="EZ189" s="115">
        <v>0</v>
      </c>
      <c r="FA189" s="115"/>
      <c r="FB189" s="114"/>
      <c r="FC189" s="115">
        <v>0</v>
      </c>
      <c r="FD189" s="115">
        <f t="shared" si="252"/>
        <v>0</v>
      </c>
      <c r="FE189" s="114">
        <f t="shared" si="298"/>
        <v>0</v>
      </c>
      <c r="FF189" s="115">
        <v>0</v>
      </c>
      <c r="FG189" s="115">
        <v>0</v>
      </c>
      <c r="FH189" s="114">
        <v>0</v>
      </c>
      <c r="FI189" s="113">
        <v>0</v>
      </c>
      <c r="FJ189" s="115">
        <f t="shared" si="346"/>
        <v>0</v>
      </c>
      <c r="FK189" s="114">
        <f t="shared" si="300"/>
        <v>0</v>
      </c>
      <c r="FL189" s="111"/>
      <c r="FM189" s="115"/>
      <c r="FN189" s="115"/>
      <c r="FO189" s="115"/>
      <c r="FP189" s="115">
        <f t="shared" si="347"/>
        <v>0</v>
      </c>
      <c r="FQ189" s="114"/>
      <c r="FR189" s="366"/>
      <c r="FS189" s="121"/>
      <c r="FT189" s="114">
        <f t="shared" si="314"/>
        <v>0</v>
      </c>
      <c r="FU189" s="366">
        <f t="shared" ca="1" si="315"/>
        <v>0</v>
      </c>
      <c r="FV189" s="121">
        <f t="shared" ca="1" si="316"/>
        <v>0</v>
      </c>
      <c r="FW189" s="114">
        <f t="shared" si="317"/>
        <v>0</v>
      </c>
      <c r="FX189" s="114">
        <f t="shared" si="317"/>
        <v>0</v>
      </c>
      <c r="FY189" s="114">
        <f t="shared" si="317"/>
        <v>0</v>
      </c>
      <c r="FZ189" s="114">
        <f t="shared" si="317"/>
        <v>0</v>
      </c>
      <c r="GA189" s="114">
        <f t="shared" si="348"/>
        <v>0</v>
      </c>
      <c r="GB189" s="114">
        <f t="shared" si="318"/>
        <v>0</v>
      </c>
      <c r="GC189" s="114">
        <f t="shared" si="318"/>
        <v>0</v>
      </c>
      <c r="GD189" s="114">
        <f t="shared" si="318"/>
        <v>0</v>
      </c>
      <c r="GE189" s="114">
        <f t="shared" si="318"/>
        <v>0</v>
      </c>
      <c r="GF189" s="114">
        <f t="shared" si="353"/>
        <v>0</v>
      </c>
      <c r="GG189" s="114">
        <f t="shared" si="353"/>
        <v>0</v>
      </c>
      <c r="GH189" s="114">
        <f t="shared" si="353"/>
        <v>0</v>
      </c>
      <c r="GI189" s="114">
        <f t="shared" si="353"/>
        <v>0</v>
      </c>
      <c r="GJ189" s="115">
        <f t="shared" si="319"/>
        <v>0</v>
      </c>
      <c r="GK189" s="114">
        <f t="shared" si="349"/>
        <v>0</v>
      </c>
      <c r="GL189" s="114">
        <f t="shared" si="221"/>
        <v>0</v>
      </c>
      <c r="GM189" s="114">
        <f t="shared" si="222"/>
        <v>0</v>
      </c>
      <c r="GN189" s="114">
        <f t="shared" si="223"/>
        <v>0</v>
      </c>
      <c r="GO189" s="114">
        <f t="shared" si="224"/>
        <v>0</v>
      </c>
      <c r="GP189" s="114">
        <f t="shared" ref="GP189:GP193" si="354">IF($H$2=1,GL189,IF($H$2=2,SUM(GL189:GM189),IF($H$2=3,SUM(GL189:GN189),IF($H$2=4,SUM(GL189:GO189)))))</f>
        <v>0</v>
      </c>
      <c r="GQ189" s="114">
        <f t="shared" si="350"/>
        <v>0</v>
      </c>
      <c r="GR189" s="123"/>
      <c r="GS189" s="122">
        <f t="shared" si="352"/>
        <v>0</v>
      </c>
      <c r="GT189" s="122">
        <f t="shared" si="352"/>
        <v>0</v>
      </c>
      <c r="GU189" s="123" t="str">
        <f t="shared" si="351"/>
        <v/>
      </c>
      <c r="GV189" s="124">
        <f t="shared" ca="1" si="227"/>
        <v>0</v>
      </c>
      <c r="GW189" s="124">
        <v>0</v>
      </c>
      <c r="GX189" s="32">
        <f t="shared" ca="1" si="228"/>
        <v>0</v>
      </c>
    </row>
    <row r="190" spans="1:207" s="125" customFormat="1" ht="15" hidden="1" customHeight="1">
      <c r="A190" s="102"/>
      <c r="B190" s="103"/>
      <c r="C190" s="103"/>
      <c r="D190" s="104"/>
      <c r="E190" s="104"/>
      <c r="F190" s="104" t="s">
        <v>820</v>
      </c>
      <c r="G190" s="104" t="s">
        <v>226</v>
      </c>
      <c r="H190" s="105" t="s">
        <v>806</v>
      </c>
      <c r="I190" s="585" t="s">
        <v>817</v>
      </c>
      <c r="J190" s="104"/>
      <c r="K190" s="586" t="s">
        <v>827</v>
      </c>
      <c r="L190" s="537"/>
      <c r="M190" s="359"/>
      <c r="N190" s="322"/>
      <c r="O190" s="549">
        <v>43759</v>
      </c>
      <c r="P190" s="359">
        <v>43759</v>
      </c>
      <c r="Q190" s="322">
        <f t="shared" si="302"/>
        <v>10</v>
      </c>
      <c r="R190" s="109">
        <f>IF((P190-VLOOKUP(Q190,month!$A$1:$C$13,3,0))&lt;0,Q190,Q190+1)</f>
        <v>10</v>
      </c>
      <c r="S190" s="320"/>
      <c r="T190" s="320" t="str">
        <f t="shared" si="320"/>
        <v/>
      </c>
      <c r="U190" s="107"/>
      <c r="V190" s="386"/>
      <c r="W190" s="386"/>
      <c r="X190" s="387"/>
      <c r="Y190" s="387"/>
      <c r="Z190" s="387" t="s">
        <v>545</v>
      </c>
      <c r="AA190" s="387">
        <v>1000</v>
      </c>
      <c r="AB190" s="387">
        <v>1000</v>
      </c>
      <c r="AC190" s="387">
        <v>1000</v>
      </c>
      <c r="AD190" s="387">
        <v>1000</v>
      </c>
      <c r="AE190" s="387">
        <v>1000</v>
      </c>
      <c r="AF190" s="387">
        <v>1000</v>
      </c>
      <c r="AG190" s="387">
        <v>1000</v>
      </c>
      <c r="AH190" s="387">
        <v>1000</v>
      </c>
      <c r="AI190" s="387">
        <v>1000</v>
      </c>
      <c r="AJ190" s="388">
        <v>1000</v>
      </c>
      <c r="AK190" s="388">
        <v>1000</v>
      </c>
      <c r="AL190" s="390">
        <v>1000</v>
      </c>
      <c r="AM190" s="498">
        <f t="shared" si="321"/>
        <v>12000</v>
      </c>
      <c r="AN190" s="159">
        <f t="shared" si="322"/>
        <v>12000</v>
      </c>
      <c r="AO190" s="160"/>
      <c r="AP190" s="498"/>
      <c r="AQ190" s="159"/>
      <c r="AR190" s="160"/>
      <c r="AS190" s="119" t="s">
        <v>210</v>
      </c>
      <c r="AT190" s="111"/>
      <c r="AU190" s="113"/>
      <c r="AV190" s="111"/>
      <c r="AW190" s="111"/>
      <c r="AX190" s="581"/>
      <c r="AY190" s="113"/>
      <c r="AZ190" s="113"/>
      <c r="BA190" s="113"/>
      <c r="BB190" s="113"/>
      <c r="BC190" s="114"/>
      <c r="BD190" s="114"/>
      <c r="BE190" s="114"/>
      <c r="BF190" s="114">
        <f t="shared" si="323"/>
        <v>0</v>
      </c>
      <c r="BG190" s="114">
        <f t="shared" si="323"/>
        <v>0</v>
      </c>
      <c r="BH190" s="115">
        <f t="shared" si="323"/>
        <v>0</v>
      </c>
      <c r="BI190" s="115">
        <f t="shared" si="323"/>
        <v>0</v>
      </c>
      <c r="BJ190" s="116">
        <f t="shared" si="324"/>
        <v>0</v>
      </c>
      <c r="BK190" s="126">
        <f t="shared" si="325"/>
        <v>0</v>
      </c>
      <c r="BL190" s="117">
        <f t="shared" si="326"/>
        <v>0</v>
      </c>
      <c r="BM190" s="118">
        <f t="shared" si="327"/>
        <v>0</v>
      </c>
      <c r="BN190" s="115">
        <f t="shared" ca="1" si="328"/>
        <v>0</v>
      </c>
      <c r="BO190" s="113">
        <f t="shared" ca="1" si="329"/>
        <v>0</v>
      </c>
      <c r="BP190" s="161" t="str">
        <f t="shared" si="330"/>
        <v>Uncapped</v>
      </c>
      <c r="BQ190" s="113">
        <f t="shared" ca="1" si="331"/>
        <v>0</v>
      </c>
      <c r="BR190" s="160"/>
      <c r="BS190" s="113"/>
      <c r="BT190" s="113"/>
      <c r="BU190" s="113" t="s">
        <v>809</v>
      </c>
      <c r="BV190" s="113"/>
      <c r="BW190" s="113"/>
      <c r="BX190" s="113"/>
      <c r="BY190" s="113"/>
      <c r="BZ190" s="581"/>
      <c r="CA190" s="113"/>
      <c r="CB190" s="113"/>
      <c r="CC190" s="113"/>
      <c r="CD190" s="113"/>
      <c r="CE190" s="114"/>
      <c r="CF190" s="114"/>
      <c r="CG190" s="120"/>
      <c r="CH190" s="114">
        <f t="shared" si="332"/>
        <v>0</v>
      </c>
      <c r="CI190" s="114">
        <f t="shared" si="332"/>
        <v>0</v>
      </c>
      <c r="CJ190" s="114">
        <f t="shared" si="332"/>
        <v>0</v>
      </c>
      <c r="CK190" s="114">
        <f t="shared" si="332"/>
        <v>0</v>
      </c>
      <c r="CL190" s="116">
        <f t="shared" si="333"/>
        <v>0</v>
      </c>
      <c r="CM190" s="126">
        <f t="shared" si="334"/>
        <v>0</v>
      </c>
      <c r="CN190" s="115">
        <f t="shared" si="335"/>
        <v>0</v>
      </c>
      <c r="CO190" s="118">
        <f t="shared" si="336"/>
        <v>0</v>
      </c>
      <c r="CP190" s="115">
        <f t="shared" ca="1" si="337"/>
        <v>0</v>
      </c>
      <c r="CQ190" s="113">
        <f t="shared" ca="1" si="338"/>
        <v>0</v>
      </c>
      <c r="CR190" s="119" t="str">
        <f t="shared" si="339"/>
        <v>Uncapped</v>
      </c>
      <c r="CS190" s="113">
        <f t="shared" ca="1" si="340"/>
        <v>0</v>
      </c>
      <c r="CT190" s="113"/>
      <c r="CU190" s="161"/>
      <c r="CV190" s="113"/>
      <c r="CW190" s="113" t="s">
        <v>210</v>
      </c>
      <c r="CX190" s="113"/>
      <c r="CY190" s="113"/>
      <c r="CZ190" s="113"/>
      <c r="DA190" s="113"/>
      <c r="DB190" s="166"/>
      <c r="DC190" s="166"/>
      <c r="DD190" s="166"/>
      <c r="DE190" s="166"/>
      <c r="DF190" s="166"/>
      <c r="DG190" s="114"/>
      <c r="DH190" s="114"/>
      <c r="DI190" s="114"/>
      <c r="DJ190" s="114">
        <f t="shared" si="303"/>
        <v>0</v>
      </c>
      <c r="DK190" s="114">
        <f t="shared" si="303"/>
        <v>0</v>
      </c>
      <c r="DL190" s="114">
        <f t="shared" si="303"/>
        <v>0</v>
      </c>
      <c r="DM190" s="114">
        <f t="shared" si="303"/>
        <v>0</v>
      </c>
      <c r="DN190" s="114">
        <f t="shared" si="341"/>
        <v>0</v>
      </c>
      <c r="DO190" s="114">
        <f t="shared" si="342"/>
        <v>0</v>
      </c>
      <c r="DP190" s="114">
        <f t="shared" si="305"/>
        <v>0</v>
      </c>
      <c r="DQ190" s="116">
        <f t="shared" si="306"/>
        <v>0</v>
      </c>
      <c r="DR190" s="126">
        <f t="shared" ca="1" si="212"/>
        <v>0</v>
      </c>
      <c r="DS190" s="115">
        <f t="shared" ca="1" si="213"/>
        <v>0</v>
      </c>
      <c r="DT190" s="118" t="str">
        <f t="shared" si="236"/>
        <v>Uncapped</v>
      </c>
      <c r="DU190" s="115">
        <f t="shared" ca="1" si="214"/>
        <v>0</v>
      </c>
      <c r="DV190" s="113"/>
      <c r="DW190" s="113">
        <v>0</v>
      </c>
      <c r="DX190" s="113"/>
      <c r="DY190" s="113"/>
      <c r="DZ190" s="113">
        <v>0</v>
      </c>
      <c r="EA190" s="113">
        <v>0</v>
      </c>
      <c r="EB190" s="113">
        <v>0</v>
      </c>
      <c r="EC190" s="113">
        <v>0</v>
      </c>
      <c r="ED190" s="166">
        <v>0</v>
      </c>
      <c r="EE190" s="166">
        <v>0</v>
      </c>
      <c r="EF190" s="166"/>
      <c r="EG190" s="166"/>
      <c r="EH190" s="166"/>
      <c r="EI190" s="114"/>
      <c r="EJ190" s="114"/>
      <c r="EK190" s="114"/>
      <c r="EL190" s="114">
        <f t="shared" si="307"/>
        <v>0</v>
      </c>
      <c r="EM190" s="114">
        <f t="shared" si="307"/>
        <v>0</v>
      </c>
      <c r="EN190" s="114">
        <f t="shared" si="307"/>
        <v>0</v>
      </c>
      <c r="EO190" s="114">
        <f t="shared" si="307"/>
        <v>0</v>
      </c>
      <c r="EP190" s="114">
        <f t="shared" si="343"/>
        <v>0</v>
      </c>
      <c r="EQ190" s="114">
        <f t="shared" si="344"/>
        <v>0</v>
      </c>
      <c r="ER190" s="114">
        <f t="shared" si="345"/>
        <v>0</v>
      </c>
      <c r="ES190" s="116">
        <f t="shared" si="310"/>
        <v>0</v>
      </c>
      <c r="ET190" s="126">
        <f t="shared" ca="1" si="311"/>
        <v>0</v>
      </c>
      <c r="EU190" s="115">
        <f t="shared" ca="1" si="216"/>
        <v>0</v>
      </c>
      <c r="EV190" s="118" t="str">
        <f t="shared" si="217"/>
        <v>Uncapped</v>
      </c>
      <c r="EW190" s="115">
        <f t="shared" ca="1" si="218"/>
        <v>0</v>
      </c>
      <c r="EX190" s="112">
        <f t="shared" ca="1" si="219"/>
        <v>0</v>
      </c>
      <c r="EY190" s="114">
        <f t="shared" ca="1" si="312"/>
        <v>0</v>
      </c>
      <c r="EZ190" s="115">
        <v>0</v>
      </c>
      <c r="FA190" s="115"/>
      <c r="FB190" s="114"/>
      <c r="FC190" s="115">
        <v>0</v>
      </c>
      <c r="FD190" s="115">
        <f t="shared" si="252"/>
        <v>0</v>
      </c>
      <c r="FE190" s="114">
        <f t="shared" si="298"/>
        <v>0</v>
      </c>
      <c r="FF190" s="115">
        <v>0</v>
      </c>
      <c r="FG190" s="115">
        <v>0</v>
      </c>
      <c r="FH190" s="114">
        <v>0</v>
      </c>
      <c r="FI190" s="113">
        <v>0</v>
      </c>
      <c r="FJ190" s="115">
        <f t="shared" si="346"/>
        <v>0</v>
      </c>
      <c r="FK190" s="114">
        <f t="shared" si="300"/>
        <v>0</v>
      </c>
      <c r="FL190" s="111"/>
      <c r="FM190" s="115"/>
      <c r="FN190" s="115"/>
      <c r="FO190" s="115"/>
      <c r="FP190" s="115">
        <f t="shared" si="347"/>
        <v>0</v>
      </c>
      <c r="FQ190" s="114"/>
      <c r="FR190" s="366"/>
      <c r="FS190" s="121"/>
      <c r="FT190" s="114">
        <f t="shared" si="314"/>
        <v>0</v>
      </c>
      <c r="FU190" s="366">
        <f t="shared" ca="1" si="315"/>
        <v>0</v>
      </c>
      <c r="FV190" s="121">
        <f t="shared" ca="1" si="316"/>
        <v>0</v>
      </c>
      <c r="FW190" s="114">
        <f t="shared" si="317"/>
        <v>0</v>
      </c>
      <c r="FX190" s="114">
        <f t="shared" si="317"/>
        <v>0</v>
      </c>
      <c r="FY190" s="114">
        <f t="shared" si="317"/>
        <v>0</v>
      </c>
      <c r="FZ190" s="114">
        <f t="shared" si="317"/>
        <v>0</v>
      </c>
      <c r="GA190" s="114">
        <f t="shared" si="348"/>
        <v>0</v>
      </c>
      <c r="GB190" s="114">
        <f t="shared" si="318"/>
        <v>0</v>
      </c>
      <c r="GC190" s="114">
        <f t="shared" si="318"/>
        <v>0</v>
      </c>
      <c r="GD190" s="114">
        <f t="shared" si="318"/>
        <v>0</v>
      </c>
      <c r="GE190" s="114">
        <f t="shared" si="318"/>
        <v>0</v>
      </c>
      <c r="GF190" s="114">
        <f t="shared" si="353"/>
        <v>0</v>
      </c>
      <c r="GG190" s="114">
        <f t="shared" si="353"/>
        <v>0</v>
      </c>
      <c r="GH190" s="114">
        <f t="shared" si="353"/>
        <v>0</v>
      </c>
      <c r="GI190" s="114">
        <f t="shared" si="353"/>
        <v>0</v>
      </c>
      <c r="GJ190" s="115">
        <f t="shared" si="319"/>
        <v>0</v>
      </c>
      <c r="GK190" s="114">
        <f t="shared" si="349"/>
        <v>0</v>
      </c>
      <c r="GL190" s="114">
        <f t="shared" si="221"/>
        <v>0</v>
      </c>
      <c r="GM190" s="114">
        <f t="shared" si="222"/>
        <v>0</v>
      </c>
      <c r="GN190" s="114">
        <f t="shared" si="223"/>
        <v>0</v>
      </c>
      <c r="GO190" s="114">
        <f t="shared" si="224"/>
        <v>0</v>
      </c>
      <c r="GP190" s="114">
        <f t="shared" si="354"/>
        <v>0</v>
      </c>
      <c r="GQ190" s="114">
        <f t="shared" si="350"/>
        <v>0</v>
      </c>
      <c r="GR190" s="123"/>
      <c r="GS190" s="122">
        <f t="shared" si="352"/>
        <v>0</v>
      </c>
      <c r="GT190" s="122">
        <f t="shared" si="352"/>
        <v>0</v>
      </c>
      <c r="GU190" s="123" t="str">
        <f t="shared" si="351"/>
        <v/>
      </c>
      <c r="GV190" s="124">
        <f t="shared" ca="1" si="227"/>
        <v>0</v>
      </c>
      <c r="GW190" s="124">
        <v>0</v>
      </c>
      <c r="GX190" s="32">
        <f t="shared" ca="1" si="228"/>
        <v>0</v>
      </c>
    </row>
    <row r="191" spans="1:207" s="125" customFormat="1" ht="15" customHeight="1">
      <c r="A191" s="102"/>
      <c r="B191" s="103"/>
      <c r="C191" s="103"/>
      <c r="D191" s="104"/>
      <c r="E191" s="104"/>
      <c r="F191" s="104" t="s">
        <v>821</v>
      </c>
      <c r="G191" s="104" t="s">
        <v>226</v>
      </c>
      <c r="H191" s="127" t="s">
        <v>807</v>
      </c>
      <c r="I191" s="585" t="s">
        <v>818</v>
      </c>
      <c r="J191" s="104"/>
      <c r="K191" s="586" t="s">
        <v>832</v>
      </c>
      <c r="L191" s="537"/>
      <c r="M191" s="359"/>
      <c r="N191" s="322"/>
      <c r="O191" s="549">
        <v>43800</v>
      </c>
      <c r="P191" s="359">
        <v>43800</v>
      </c>
      <c r="Q191" s="322">
        <f t="shared" si="302"/>
        <v>12</v>
      </c>
      <c r="R191" s="109">
        <f>IF((P191-VLOOKUP(Q191,month!$A$1:$C$13,3,0))&lt;0,Q191,Q191+1)</f>
        <v>12</v>
      </c>
      <c r="S191" s="320"/>
      <c r="T191" s="320" t="str">
        <f t="shared" si="320"/>
        <v/>
      </c>
      <c r="U191" s="107"/>
      <c r="V191" s="386"/>
      <c r="W191" s="386"/>
      <c r="X191" s="387"/>
      <c r="Y191" s="387"/>
      <c r="Z191" s="387" t="s">
        <v>545</v>
      </c>
      <c r="AA191" s="387">
        <v>1000</v>
      </c>
      <c r="AB191" s="387">
        <v>1000</v>
      </c>
      <c r="AC191" s="387">
        <v>1000</v>
      </c>
      <c r="AD191" s="387">
        <v>1000</v>
      </c>
      <c r="AE191" s="387">
        <v>1000</v>
      </c>
      <c r="AF191" s="387">
        <v>1000</v>
      </c>
      <c r="AG191" s="387">
        <v>1000</v>
      </c>
      <c r="AH191" s="387">
        <v>1000</v>
      </c>
      <c r="AI191" s="387">
        <v>1000</v>
      </c>
      <c r="AJ191" s="388">
        <v>1000</v>
      </c>
      <c r="AK191" s="388">
        <v>1000</v>
      </c>
      <c r="AL191" s="390">
        <v>1000</v>
      </c>
      <c r="AM191" s="498">
        <f t="shared" si="321"/>
        <v>12000</v>
      </c>
      <c r="AN191" s="159">
        <f t="shared" si="322"/>
        <v>12000</v>
      </c>
      <c r="AO191" s="160"/>
      <c r="AP191" s="498"/>
      <c r="AQ191" s="159"/>
      <c r="AR191" s="160"/>
      <c r="AS191" s="119" t="s">
        <v>210</v>
      </c>
      <c r="AT191" s="111"/>
      <c r="AU191" s="113"/>
      <c r="AV191" s="111"/>
      <c r="AW191" s="111"/>
      <c r="AX191" s="581"/>
      <c r="AY191" s="113"/>
      <c r="AZ191" s="113"/>
      <c r="BA191" s="113"/>
      <c r="BB191" s="113"/>
      <c r="BC191" s="114"/>
      <c r="BD191" s="114"/>
      <c r="BE191" s="114"/>
      <c r="BF191" s="114">
        <f t="shared" si="323"/>
        <v>0</v>
      </c>
      <c r="BG191" s="114">
        <f t="shared" si="323"/>
        <v>0</v>
      </c>
      <c r="BH191" s="115">
        <f t="shared" si="323"/>
        <v>0</v>
      </c>
      <c r="BI191" s="115">
        <f t="shared" si="323"/>
        <v>0</v>
      </c>
      <c r="BJ191" s="116">
        <f t="shared" si="324"/>
        <v>0</v>
      </c>
      <c r="BK191" s="126">
        <f t="shared" si="325"/>
        <v>0</v>
      </c>
      <c r="BL191" s="117">
        <f t="shared" si="326"/>
        <v>0</v>
      </c>
      <c r="BM191" s="118">
        <f t="shared" si="327"/>
        <v>0</v>
      </c>
      <c r="BN191" s="115">
        <f t="shared" ca="1" si="328"/>
        <v>0</v>
      </c>
      <c r="BO191" s="113">
        <f t="shared" ca="1" si="329"/>
        <v>0</v>
      </c>
      <c r="BP191" s="161" t="str">
        <f t="shared" si="330"/>
        <v>Uncapped</v>
      </c>
      <c r="BQ191" s="113">
        <f t="shared" ca="1" si="331"/>
        <v>0</v>
      </c>
      <c r="BR191" s="160"/>
      <c r="BS191" s="113"/>
      <c r="BT191" s="113"/>
      <c r="BU191" s="113" t="s">
        <v>809</v>
      </c>
      <c r="BV191" s="113"/>
      <c r="BW191" s="113"/>
      <c r="BX191" s="113"/>
      <c r="BY191" s="113"/>
      <c r="BZ191" s="581"/>
      <c r="CA191" s="113"/>
      <c r="CB191" s="113"/>
      <c r="CC191" s="113"/>
      <c r="CD191" s="113"/>
      <c r="CE191" s="114"/>
      <c r="CF191" s="114"/>
      <c r="CG191" s="120"/>
      <c r="CH191" s="114">
        <f t="shared" si="332"/>
        <v>0</v>
      </c>
      <c r="CI191" s="114">
        <f t="shared" si="332"/>
        <v>0</v>
      </c>
      <c r="CJ191" s="114">
        <f t="shared" si="332"/>
        <v>0</v>
      </c>
      <c r="CK191" s="114">
        <f t="shared" si="332"/>
        <v>0</v>
      </c>
      <c r="CL191" s="116">
        <f t="shared" si="333"/>
        <v>0</v>
      </c>
      <c r="CM191" s="126">
        <f t="shared" si="334"/>
        <v>0</v>
      </c>
      <c r="CN191" s="115">
        <f t="shared" si="335"/>
        <v>0</v>
      </c>
      <c r="CO191" s="118">
        <f t="shared" si="336"/>
        <v>0</v>
      </c>
      <c r="CP191" s="115">
        <f t="shared" ca="1" si="337"/>
        <v>0</v>
      </c>
      <c r="CQ191" s="113">
        <f t="shared" ca="1" si="338"/>
        <v>0</v>
      </c>
      <c r="CR191" s="119" t="str">
        <f t="shared" si="339"/>
        <v>Uncapped</v>
      </c>
      <c r="CS191" s="113">
        <f t="shared" ca="1" si="340"/>
        <v>0</v>
      </c>
      <c r="CT191" s="113"/>
      <c r="CU191" s="161"/>
      <c r="CV191" s="113"/>
      <c r="CW191" s="113" t="s">
        <v>210</v>
      </c>
      <c r="CX191" s="113"/>
      <c r="CY191" s="113"/>
      <c r="CZ191" s="113"/>
      <c r="DA191" s="113"/>
      <c r="DB191" s="166"/>
      <c r="DC191" s="166"/>
      <c r="DD191" s="166"/>
      <c r="DE191" s="166"/>
      <c r="DF191" s="166"/>
      <c r="DG191" s="114"/>
      <c r="DH191" s="114"/>
      <c r="DI191" s="114"/>
      <c r="DJ191" s="114">
        <f t="shared" si="303"/>
        <v>0</v>
      </c>
      <c r="DK191" s="114">
        <f t="shared" si="303"/>
        <v>0</v>
      </c>
      <c r="DL191" s="114">
        <f t="shared" si="303"/>
        <v>0</v>
      </c>
      <c r="DM191" s="114">
        <f t="shared" si="303"/>
        <v>0</v>
      </c>
      <c r="DN191" s="114">
        <f t="shared" si="341"/>
        <v>0</v>
      </c>
      <c r="DO191" s="114">
        <f t="shared" si="342"/>
        <v>0</v>
      </c>
      <c r="DP191" s="114">
        <f t="shared" si="305"/>
        <v>0</v>
      </c>
      <c r="DQ191" s="116">
        <f t="shared" si="306"/>
        <v>0</v>
      </c>
      <c r="DR191" s="126">
        <f t="shared" ca="1" si="212"/>
        <v>0</v>
      </c>
      <c r="DS191" s="115">
        <f t="shared" ca="1" si="213"/>
        <v>0</v>
      </c>
      <c r="DT191" s="118" t="str">
        <f t="shared" si="236"/>
        <v>Uncapped</v>
      </c>
      <c r="DU191" s="115">
        <f t="shared" ca="1" si="214"/>
        <v>0</v>
      </c>
      <c r="DV191" s="113"/>
      <c r="DW191" s="113">
        <v>0</v>
      </c>
      <c r="DX191" s="113"/>
      <c r="DY191" s="113"/>
      <c r="DZ191" s="113">
        <v>0</v>
      </c>
      <c r="EA191" s="113">
        <v>0</v>
      </c>
      <c r="EB191" s="113">
        <v>0</v>
      </c>
      <c r="EC191" s="113">
        <v>0</v>
      </c>
      <c r="ED191" s="166">
        <v>0</v>
      </c>
      <c r="EE191" s="166">
        <v>0</v>
      </c>
      <c r="EF191" s="166"/>
      <c r="EG191" s="166"/>
      <c r="EH191" s="166"/>
      <c r="EI191" s="114"/>
      <c r="EJ191" s="114"/>
      <c r="EK191" s="114"/>
      <c r="EL191" s="114">
        <f t="shared" si="307"/>
        <v>0</v>
      </c>
      <c r="EM191" s="114">
        <f t="shared" si="307"/>
        <v>0</v>
      </c>
      <c r="EN191" s="114">
        <f t="shared" si="307"/>
        <v>0</v>
      </c>
      <c r="EO191" s="114">
        <f t="shared" si="307"/>
        <v>0</v>
      </c>
      <c r="EP191" s="114">
        <f t="shared" si="343"/>
        <v>0</v>
      </c>
      <c r="EQ191" s="114">
        <f t="shared" si="344"/>
        <v>0</v>
      </c>
      <c r="ER191" s="114">
        <f t="shared" si="345"/>
        <v>0</v>
      </c>
      <c r="ES191" s="116">
        <f t="shared" si="310"/>
        <v>0</v>
      </c>
      <c r="ET191" s="126">
        <f t="shared" ca="1" si="311"/>
        <v>0</v>
      </c>
      <c r="EU191" s="115">
        <f t="shared" ca="1" si="216"/>
        <v>0</v>
      </c>
      <c r="EV191" s="118" t="str">
        <f t="shared" si="217"/>
        <v>Uncapped</v>
      </c>
      <c r="EW191" s="115">
        <f t="shared" ca="1" si="218"/>
        <v>0</v>
      </c>
      <c r="EX191" s="112">
        <f t="shared" ca="1" si="219"/>
        <v>0</v>
      </c>
      <c r="EY191" s="114">
        <f t="shared" ca="1" si="312"/>
        <v>0</v>
      </c>
      <c r="EZ191" s="115">
        <v>0</v>
      </c>
      <c r="FA191" s="115"/>
      <c r="FB191" s="114"/>
      <c r="FC191" s="115">
        <v>0</v>
      </c>
      <c r="FD191" s="115">
        <f t="shared" si="252"/>
        <v>0</v>
      </c>
      <c r="FE191" s="114">
        <f t="shared" si="298"/>
        <v>0</v>
      </c>
      <c r="FF191" s="115">
        <v>0</v>
      </c>
      <c r="FG191" s="115">
        <v>0</v>
      </c>
      <c r="FH191" s="114">
        <v>0</v>
      </c>
      <c r="FI191" s="113">
        <v>0</v>
      </c>
      <c r="FJ191" s="115">
        <f t="shared" si="346"/>
        <v>0</v>
      </c>
      <c r="FK191" s="114">
        <f t="shared" si="300"/>
        <v>0</v>
      </c>
      <c r="FL191" s="111"/>
      <c r="FM191" s="115"/>
      <c r="FN191" s="115"/>
      <c r="FO191" s="115"/>
      <c r="FP191" s="115">
        <f t="shared" si="347"/>
        <v>0</v>
      </c>
      <c r="FQ191" s="114"/>
      <c r="FR191" s="366"/>
      <c r="FS191" s="121"/>
      <c r="FT191" s="114">
        <f t="shared" si="314"/>
        <v>0</v>
      </c>
      <c r="FU191" s="366">
        <f t="shared" ca="1" si="315"/>
        <v>0</v>
      </c>
      <c r="FV191" s="121">
        <f t="shared" ca="1" si="316"/>
        <v>0</v>
      </c>
      <c r="FW191" s="114">
        <f t="shared" si="317"/>
        <v>0</v>
      </c>
      <c r="FX191" s="114">
        <f t="shared" si="317"/>
        <v>0</v>
      </c>
      <c r="FY191" s="114">
        <f t="shared" si="317"/>
        <v>0</v>
      </c>
      <c r="FZ191" s="114">
        <f t="shared" si="317"/>
        <v>0</v>
      </c>
      <c r="GA191" s="114">
        <f t="shared" si="348"/>
        <v>0</v>
      </c>
      <c r="GB191" s="114">
        <f t="shared" si="318"/>
        <v>0</v>
      </c>
      <c r="GC191" s="114">
        <f t="shared" si="318"/>
        <v>0</v>
      </c>
      <c r="GD191" s="114">
        <f t="shared" si="318"/>
        <v>0</v>
      </c>
      <c r="GE191" s="114">
        <f t="shared" si="318"/>
        <v>0</v>
      </c>
      <c r="GF191" s="114">
        <f t="shared" si="353"/>
        <v>0</v>
      </c>
      <c r="GG191" s="114">
        <f t="shared" si="353"/>
        <v>0</v>
      </c>
      <c r="GH191" s="114">
        <f t="shared" si="353"/>
        <v>0</v>
      </c>
      <c r="GI191" s="114">
        <f t="shared" si="353"/>
        <v>0</v>
      </c>
      <c r="GJ191" s="115">
        <f t="shared" si="319"/>
        <v>0</v>
      </c>
      <c r="GK191" s="114">
        <f t="shared" si="349"/>
        <v>0</v>
      </c>
      <c r="GL191" s="114">
        <f t="shared" si="221"/>
        <v>0</v>
      </c>
      <c r="GM191" s="114">
        <f t="shared" si="222"/>
        <v>0</v>
      </c>
      <c r="GN191" s="114">
        <f t="shared" si="223"/>
        <v>0</v>
      </c>
      <c r="GO191" s="114">
        <f t="shared" si="224"/>
        <v>0</v>
      </c>
      <c r="GP191" s="114">
        <f t="shared" si="354"/>
        <v>0</v>
      </c>
      <c r="GQ191" s="114">
        <f t="shared" si="350"/>
        <v>0</v>
      </c>
      <c r="GR191" s="123"/>
      <c r="GS191" s="122">
        <f t="shared" si="352"/>
        <v>0</v>
      </c>
      <c r="GT191" s="122">
        <f t="shared" si="352"/>
        <v>0</v>
      </c>
      <c r="GU191" s="123" t="str">
        <f t="shared" si="351"/>
        <v/>
      </c>
      <c r="GV191" s="124">
        <f t="shared" ca="1" si="227"/>
        <v>0</v>
      </c>
      <c r="GW191" s="124">
        <v>0</v>
      </c>
      <c r="GX191" s="32">
        <f t="shared" ca="1" si="228"/>
        <v>0</v>
      </c>
    </row>
    <row r="192" spans="1:207" s="125" customFormat="1" ht="15" customHeight="1">
      <c r="A192" s="102"/>
      <c r="B192" s="103"/>
      <c r="C192" s="103"/>
      <c r="D192" s="104"/>
      <c r="E192" s="104"/>
      <c r="F192" s="104" t="s">
        <v>823</v>
      </c>
      <c r="G192" s="104" t="s">
        <v>226</v>
      </c>
      <c r="H192" s="127" t="s">
        <v>808</v>
      </c>
      <c r="I192" s="585" t="s">
        <v>819</v>
      </c>
      <c r="J192" s="104"/>
      <c r="K192" s="586" t="s">
        <v>832</v>
      </c>
      <c r="L192" s="537"/>
      <c r="M192" s="359"/>
      <c r="N192" s="322"/>
      <c r="O192" s="549">
        <v>43800</v>
      </c>
      <c r="P192" s="359">
        <v>43800</v>
      </c>
      <c r="Q192" s="322">
        <f t="shared" si="302"/>
        <v>12</v>
      </c>
      <c r="R192" s="109">
        <f>IF((P192-VLOOKUP(Q192,month!$A$1:$C$13,3,0))&lt;0,Q192,Q192+1)</f>
        <v>12</v>
      </c>
      <c r="S192" s="320"/>
      <c r="T192" s="320" t="str">
        <f t="shared" si="320"/>
        <v/>
      </c>
      <c r="U192" s="107"/>
      <c r="V192" s="386"/>
      <c r="W192" s="386"/>
      <c r="X192" s="387"/>
      <c r="Y192" s="387"/>
      <c r="Z192" s="387" t="s">
        <v>545</v>
      </c>
      <c r="AA192" s="387">
        <v>1000</v>
      </c>
      <c r="AB192" s="387">
        <v>1000</v>
      </c>
      <c r="AC192" s="387">
        <v>1000</v>
      </c>
      <c r="AD192" s="387">
        <v>1000</v>
      </c>
      <c r="AE192" s="387">
        <v>1000</v>
      </c>
      <c r="AF192" s="387">
        <v>1000</v>
      </c>
      <c r="AG192" s="387">
        <v>1000</v>
      </c>
      <c r="AH192" s="387">
        <v>1000</v>
      </c>
      <c r="AI192" s="387">
        <v>1000</v>
      </c>
      <c r="AJ192" s="388">
        <v>1000</v>
      </c>
      <c r="AK192" s="388">
        <v>1000</v>
      </c>
      <c r="AL192" s="390">
        <v>1000</v>
      </c>
      <c r="AM192" s="498">
        <f t="shared" si="321"/>
        <v>12000</v>
      </c>
      <c r="AN192" s="159">
        <f t="shared" si="322"/>
        <v>12000</v>
      </c>
      <c r="AO192" s="160"/>
      <c r="AP192" s="498"/>
      <c r="AQ192" s="159"/>
      <c r="AR192" s="160"/>
      <c r="AS192" s="119" t="s">
        <v>210</v>
      </c>
      <c r="AT192" s="111"/>
      <c r="AU192" s="113"/>
      <c r="AV192" s="111"/>
      <c r="AW192" s="111"/>
      <c r="AX192" s="581"/>
      <c r="AY192" s="113"/>
      <c r="AZ192" s="113"/>
      <c r="BA192" s="113"/>
      <c r="BB192" s="113"/>
      <c r="BC192" s="114"/>
      <c r="BD192" s="114"/>
      <c r="BE192" s="114"/>
      <c r="BF192" s="114">
        <f t="shared" si="323"/>
        <v>0</v>
      </c>
      <c r="BG192" s="114">
        <f t="shared" si="323"/>
        <v>0</v>
      </c>
      <c r="BH192" s="115">
        <f t="shared" si="323"/>
        <v>0</v>
      </c>
      <c r="BI192" s="115">
        <f t="shared" si="323"/>
        <v>0</v>
      </c>
      <c r="BJ192" s="116">
        <f t="shared" si="324"/>
        <v>0</v>
      </c>
      <c r="BK192" s="126">
        <f t="shared" si="325"/>
        <v>0</v>
      </c>
      <c r="BL192" s="117">
        <f t="shared" si="326"/>
        <v>0</v>
      </c>
      <c r="BM192" s="118">
        <f t="shared" si="327"/>
        <v>0</v>
      </c>
      <c r="BN192" s="115">
        <f t="shared" ca="1" si="328"/>
        <v>0</v>
      </c>
      <c r="BO192" s="113">
        <f t="shared" ca="1" si="329"/>
        <v>0</v>
      </c>
      <c r="BP192" s="161" t="str">
        <f t="shared" si="330"/>
        <v>Uncapped</v>
      </c>
      <c r="BQ192" s="113">
        <f t="shared" ca="1" si="331"/>
        <v>0</v>
      </c>
      <c r="BR192" s="160"/>
      <c r="BS192" s="113"/>
      <c r="BT192" s="113"/>
      <c r="BU192" s="113" t="s">
        <v>809</v>
      </c>
      <c r="BV192" s="113"/>
      <c r="BW192" s="113"/>
      <c r="BX192" s="113"/>
      <c r="BY192" s="113"/>
      <c r="BZ192" s="581"/>
      <c r="CA192" s="113"/>
      <c r="CB192" s="113"/>
      <c r="CC192" s="113"/>
      <c r="CD192" s="113"/>
      <c r="CE192" s="114"/>
      <c r="CF192" s="114"/>
      <c r="CG192" s="120"/>
      <c r="CH192" s="114">
        <f t="shared" si="332"/>
        <v>0</v>
      </c>
      <c r="CI192" s="114">
        <f t="shared" si="332"/>
        <v>0</v>
      </c>
      <c r="CJ192" s="114">
        <f t="shared" si="332"/>
        <v>0</v>
      </c>
      <c r="CK192" s="114">
        <f t="shared" si="332"/>
        <v>0</v>
      </c>
      <c r="CL192" s="116">
        <f t="shared" si="333"/>
        <v>0</v>
      </c>
      <c r="CM192" s="126">
        <f t="shared" si="334"/>
        <v>0</v>
      </c>
      <c r="CN192" s="115">
        <f t="shared" si="335"/>
        <v>0</v>
      </c>
      <c r="CO192" s="118">
        <f t="shared" si="336"/>
        <v>0</v>
      </c>
      <c r="CP192" s="115">
        <f t="shared" ca="1" si="337"/>
        <v>0</v>
      </c>
      <c r="CQ192" s="113">
        <f t="shared" ca="1" si="338"/>
        <v>0</v>
      </c>
      <c r="CR192" s="119" t="str">
        <f t="shared" si="339"/>
        <v>Uncapped</v>
      </c>
      <c r="CS192" s="113">
        <f t="shared" ca="1" si="340"/>
        <v>0</v>
      </c>
      <c r="CT192" s="113"/>
      <c r="CU192" s="161"/>
      <c r="CV192" s="113"/>
      <c r="CW192" s="113" t="s">
        <v>210</v>
      </c>
      <c r="CX192" s="113"/>
      <c r="CY192" s="113"/>
      <c r="CZ192" s="113"/>
      <c r="DA192" s="113"/>
      <c r="DB192" s="166"/>
      <c r="DC192" s="166"/>
      <c r="DD192" s="166"/>
      <c r="DE192" s="166"/>
      <c r="DF192" s="166"/>
      <c r="DG192" s="114"/>
      <c r="DH192" s="114"/>
      <c r="DI192" s="114"/>
      <c r="DJ192" s="114">
        <f t="shared" si="303"/>
        <v>0</v>
      </c>
      <c r="DK192" s="114">
        <f t="shared" si="303"/>
        <v>0</v>
      </c>
      <c r="DL192" s="114">
        <f t="shared" si="303"/>
        <v>0</v>
      </c>
      <c r="DM192" s="114">
        <f t="shared" si="303"/>
        <v>0</v>
      </c>
      <c r="DN192" s="114">
        <f t="shared" si="341"/>
        <v>0</v>
      </c>
      <c r="DO192" s="114">
        <f t="shared" si="342"/>
        <v>0</v>
      </c>
      <c r="DP192" s="114">
        <f t="shared" si="305"/>
        <v>0</v>
      </c>
      <c r="DQ192" s="116">
        <f t="shared" si="306"/>
        <v>0</v>
      </c>
      <c r="DR192" s="126">
        <f t="shared" ca="1" si="212"/>
        <v>0</v>
      </c>
      <c r="DS192" s="115">
        <f t="shared" ca="1" si="213"/>
        <v>0</v>
      </c>
      <c r="DT192" s="118" t="str">
        <f t="shared" si="236"/>
        <v>Uncapped</v>
      </c>
      <c r="DU192" s="115">
        <f t="shared" ca="1" si="214"/>
        <v>0</v>
      </c>
      <c r="DV192" s="113"/>
      <c r="DW192" s="113">
        <v>0</v>
      </c>
      <c r="DX192" s="113"/>
      <c r="DY192" s="113"/>
      <c r="DZ192" s="113">
        <v>0</v>
      </c>
      <c r="EA192" s="113">
        <v>0</v>
      </c>
      <c r="EB192" s="113">
        <v>0</v>
      </c>
      <c r="EC192" s="113">
        <v>0</v>
      </c>
      <c r="ED192" s="166">
        <v>0</v>
      </c>
      <c r="EE192" s="166">
        <v>0</v>
      </c>
      <c r="EF192" s="166"/>
      <c r="EG192" s="166"/>
      <c r="EH192" s="166"/>
      <c r="EI192" s="114"/>
      <c r="EJ192" s="114"/>
      <c r="EK192" s="114"/>
      <c r="EL192" s="114">
        <f t="shared" si="307"/>
        <v>0</v>
      </c>
      <c r="EM192" s="114">
        <f t="shared" si="307"/>
        <v>0</v>
      </c>
      <c r="EN192" s="114">
        <f t="shared" si="307"/>
        <v>0</v>
      </c>
      <c r="EO192" s="114">
        <f t="shared" si="307"/>
        <v>0</v>
      </c>
      <c r="EP192" s="114">
        <f t="shared" si="343"/>
        <v>0</v>
      </c>
      <c r="EQ192" s="114">
        <f t="shared" si="344"/>
        <v>0</v>
      </c>
      <c r="ER192" s="114">
        <f t="shared" si="345"/>
        <v>0</v>
      </c>
      <c r="ES192" s="116">
        <f t="shared" si="310"/>
        <v>0</v>
      </c>
      <c r="ET192" s="126">
        <f t="shared" ca="1" si="311"/>
        <v>0</v>
      </c>
      <c r="EU192" s="115">
        <f t="shared" ca="1" si="216"/>
        <v>0</v>
      </c>
      <c r="EV192" s="118" t="str">
        <f t="shared" si="217"/>
        <v>Uncapped</v>
      </c>
      <c r="EW192" s="115">
        <f t="shared" ca="1" si="218"/>
        <v>0</v>
      </c>
      <c r="EX192" s="112">
        <f t="shared" ca="1" si="219"/>
        <v>0</v>
      </c>
      <c r="EY192" s="114">
        <f t="shared" ca="1" si="312"/>
        <v>0</v>
      </c>
      <c r="EZ192" s="115">
        <v>0</v>
      </c>
      <c r="FA192" s="115"/>
      <c r="FB192" s="114"/>
      <c r="FC192" s="115">
        <v>0</v>
      </c>
      <c r="FD192" s="115">
        <f t="shared" si="252"/>
        <v>0</v>
      </c>
      <c r="FE192" s="114">
        <f t="shared" si="298"/>
        <v>0</v>
      </c>
      <c r="FF192" s="115">
        <v>0</v>
      </c>
      <c r="FG192" s="115">
        <v>0</v>
      </c>
      <c r="FH192" s="114">
        <v>0</v>
      </c>
      <c r="FI192" s="113">
        <v>0</v>
      </c>
      <c r="FJ192" s="115">
        <f t="shared" si="346"/>
        <v>0</v>
      </c>
      <c r="FK192" s="114">
        <f t="shared" si="300"/>
        <v>0</v>
      </c>
      <c r="FL192" s="111"/>
      <c r="FM192" s="115"/>
      <c r="FN192" s="115"/>
      <c r="FO192" s="115"/>
      <c r="FP192" s="115">
        <f t="shared" si="347"/>
        <v>0</v>
      </c>
      <c r="FQ192" s="114"/>
      <c r="FR192" s="366"/>
      <c r="FS192" s="121"/>
      <c r="FT192" s="114">
        <f t="shared" si="314"/>
        <v>0</v>
      </c>
      <c r="FU192" s="366">
        <f t="shared" ca="1" si="315"/>
        <v>0</v>
      </c>
      <c r="FV192" s="121">
        <f t="shared" ca="1" si="316"/>
        <v>0</v>
      </c>
      <c r="FW192" s="114">
        <f t="shared" si="317"/>
        <v>0</v>
      </c>
      <c r="FX192" s="114">
        <f t="shared" si="317"/>
        <v>0</v>
      </c>
      <c r="FY192" s="114">
        <f t="shared" si="317"/>
        <v>0</v>
      </c>
      <c r="FZ192" s="114">
        <f t="shared" si="317"/>
        <v>0</v>
      </c>
      <c r="GA192" s="114">
        <f t="shared" si="348"/>
        <v>0</v>
      </c>
      <c r="GB192" s="114">
        <f t="shared" si="318"/>
        <v>0</v>
      </c>
      <c r="GC192" s="114">
        <f t="shared" si="318"/>
        <v>0</v>
      </c>
      <c r="GD192" s="114">
        <f t="shared" si="318"/>
        <v>0</v>
      </c>
      <c r="GE192" s="114">
        <f t="shared" si="318"/>
        <v>0</v>
      </c>
      <c r="GF192" s="114">
        <f t="shared" si="353"/>
        <v>0</v>
      </c>
      <c r="GG192" s="114">
        <f t="shared" si="353"/>
        <v>0</v>
      </c>
      <c r="GH192" s="114">
        <f t="shared" si="353"/>
        <v>0</v>
      </c>
      <c r="GI192" s="114">
        <f t="shared" si="353"/>
        <v>0</v>
      </c>
      <c r="GJ192" s="115">
        <f t="shared" si="319"/>
        <v>0</v>
      </c>
      <c r="GK192" s="114">
        <f t="shared" si="349"/>
        <v>0</v>
      </c>
      <c r="GL192" s="114">
        <f t="shared" si="221"/>
        <v>0</v>
      </c>
      <c r="GM192" s="114">
        <f t="shared" si="222"/>
        <v>0</v>
      </c>
      <c r="GN192" s="114">
        <f t="shared" si="223"/>
        <v>0</v>
      </c>
      <c r="GO192" s="114">
        <f t="shared" si="224"/>
        <v>0</v>
      </c>
      <c r="GP192" s="114">
        <f t="shared" si="354"/>
        <v>0</v>
      </c>
      <c r="GQ192" s="114">
        <f t="shared" si="350"/>
        <v>0</v>
      </c>
      <c r="GR192" s="123"/>
      <c r="GS192" s="122">
        <f t="shared" si="352"/>
        <v>0</v>
      </c>
      <c r="GT192" s="122">
        <f t="shared" si="352"/>
        <v>0</v>
      </c>
      <c r="GU192" s="123" t="str">
        <f t="shared" si="351"/>
        <v/>
      </c>
      <c r="GV192" s="124">
        <f t="shared" ca="1" si="227"/>
        <v>0</v>
      </c>
      <c r="GW192" s="124">
        <v>0</v>
      </c>
      <c r="GX192" s="32">
        <f t="shared" ca="1" si="228"/>
        <v>0</v>
      </c>
    </row>
    <row r="193" spans="1:206" s="125" customFormat="1" ht="15" hidden="1" customHeight="1">
      <c r="A193" s="102"/>
      <c r="B193" s="103"/>
      <c r="C193" s="103"/>
      <c r="D193" s="104"/>
      <c r="E193" s="104"/>
      <c r="F193" s="104" t="s">
        <v>831</v>
      </c>
      <c r="G193" s="104"/>
      <c r="H193" s="105" t="s">
        <v>828</v>
      </c>
      <c r="I193" s="585" t="s">
        <v>829</v>
      </c>
      <c r="J193" s="104" t="s">
        <v>212</v>
      </c>
      <c r="K193" s="586" t="s">
        <v>830</v>
      </c>
      <c r="L193" s="537"/>
      <c r="M193" s="359"/>
      <c r="N193" s="322"/>
      <c r="O193" s="549">
        <v>43542</v>
      </c>
      <c r="P193" s="359">
        <v>43542</v>
      </c>
      <c r="Q193" s="322">
        <f t="shared" si="302"/>
        <v>3</v>
      </c>
      <c r="R193" s="109">
        <f>IF((P193-VLOOKUP(Q193,month!$A$1:$C$13,3,0))&lt;0,Q193,Q193+1)</f>
        <v>3</v>
      </c>
      <c r="S193" s="320"/>
      <c r="T193" s="320" t="str">
        <f t="shared" si="320"/>
        <v/>
      </c>
      <c r="U193" s="107"/>
      <c r="V193" s="386"/>
      <c r="W193" s="386"/>
      <c r="X193" s="387"/>
      <c r="Y193" s="387"/>
      <c r="Z193" s="387" t="s">
        <v>545</v>
      </c>
      <c r="AA193" s="387">
        <v>1000</v>
      </c>
      <c r="AB193" s="387">
        <v>1000</v>
      </c>
      <c r="AC193" s="387">
        <v>1000</v>
      </c>
      <c r="AD193" s="387">
        <v>1000</v>
      </c>
      <c r="AE193" s="387">
        <v>1000</v>
      </c>
      <c r="AF193" s="387">
        <v>1000</v>
      </c>
      <c r="AG193" s="387">
        <v>1000</v>
      </c>
      <c r="AH193" s="387">
        <v>1000</v>
      </c>
      <c r="AI193" s="387">
        <v>1000</v>
      </c>
      <c r="AJ193" s="388">
        <v>1000</v>
      </c>
      <c r="AK193" s="388">
        <v>1000</v>
      </c>
      <c r="AL193" s="390">
        <v>1000</v>
      </c>
      <c r="AM193" s="498">
        <f t="shared" si="321"/>
        <v>12000</v>
      </c>
      <c r="AN193" s="159">
        <f t="shared" si="322"/>
        <v>12000</v>
      </c>
      <c r="AO193" s="160"/>
      <c r="AP193" s="498"/>
      <c r="AQ193" s="159"/>
      <c r="AR193" s="160"/>
      <c r="AS193" s="119" t="s">
        <v>210</v>
      </c>
      <c r="AT193" s="111"/>
      <c r="AU193" s="113"/>
      <c r="AV193" s="111"/>
      <c r="AW193" s="111"/>
      <c r="AX193" s="581"/>
      <c r="AY193" s="113"/>
      <c r="AZ193" s="113"/>
      <c r="BA193" s="113"/>
      <c r="BB193" s="113"/>
      <c r="BC193" s="114"/>
      <c r="BD193" s="114"/>
      <c r="BE193" s="114"/>
      <c r="BF193" s="114">
        <f t="shared" si="323"/>
        <v>0</v>
      </c>
      <c r="BG193" s="114">
        <f t="shared" si="323"/>
        <v>0</v>
      </c>
      <c r="BH193" s="115">
        <f t="shared" si="323"/>
        <v>0</v>
      </c>
      <c r="BI193" s="115">
        <f t="shared" si="323"/>
        <v>0</v>
      </c>
      <c r="BJ193" s="116">
        <f t="shared" si="324"/>
        <v>0</v>
      </c>
      <c r="BK193" s="126">
        <f t="shared" si="325"/>
        <v>0</v>
      </c>
      <c r="BL193" s="117">
        <f t="shared" si="326"/>
        <v>0</v>
      </c>
      <c r="BM193" s="118">
        <f t="shared" si="327"/>
        <v>0</v>
      </c>
      <c r="BN193" s="115">
        <f t="shared" ca="1" si="328"/>
        <v>0</v>
      </c>
      <c r="BO193" s="113">
        <f t="shared" ca="1" si="329"/>
        <v>0</v>
      </c>
      <c r="BP193" s="161" t="str">
        <f t="shared" si="330"/>
        <v>Uncapped</v>
      </c>
      <c r="BQ193" s="113">
        <f t="shared" ca="1" si="331"/>
        <v>0</v>
      </c>
      <c r="BR193" s="160"/>
      <c r="BS193" s="113"/>
      <c r="BT193" s="113"/>
      <c r="BU193" s="113" t="s">
        <v>809</v>
      </c>
      <c r="BV193" s="113"/>
      <c r="BW193" s="113"/>
      <c r="BX193" s="113"/>
      <c r="BY193" s="113"/>
      <c r="BZ193" s="581"/>
      <c r="CA193" s="113"/>
      <c r="CB193" s="113"/>
      <c r="CC193" s="113"/>
      <c r="CD193" s="113"/>
      <c r="CE193" s="114"/>
      <c r="CF193" s="114"/>
      <c r="CG193" s="120"/>
      <c r="CH193" s="114">
        <f t="shared" si="332"/>
        <v>0</v>
      </c>
      <c r="CI193" s="114">
        <f t="shared" si="332"/>
        <v>0</v>
      </c>
      <c r="CJ193" s="114">
        <f t="shared" si="332"/>
        <v>0</v>
      </c>
      <c r="CK193" s="114">
        <f t="shared" si="332"/>
        <v>0</v>
      </c>
      <c r="CL193" s="116">
        <f t="shared" si="333"/>
        <v>0</v>
      </c>
      <c r="CM193" s="126">
        <f t="shared" si="334"/>
        <v>0</v>
      </c>
      <c r="CN193" s="115">
        <f t="shared" si="335"/>
        <v>0</v>
      </c>
      <c r="CO193" s="118">
        <f t="shared" si="336"/>
        <v>0</v>
      </c>
      <c r="CP193" s="115">
        <f t="shared" ca="1" si="337"/>
        <v>0</v>
      </c>
      <c r="CQ193" s="113">
        <f t="shared" ca="1" si="338"/>
        <v>0</v>
      </c>
      <c r="CR193" s="119" t="str">
        <f t="shared" si="339"/>
        <v>Uncapped</v>
      </c>
      <c r="CS193" s="113">
        <f t="shared" ca="1" si="340"/>
        <v>0</v>
      </c>
      <c r="CT193" s="113"/>
      <c r="CU193" s="161"/>
      <c r="CV193" s="113"/>
      <c r="CW193" s="113" t="s">
        <v>210</v>
      </c>
      <c r="CX193" s="113"/>
      <c r="CY193" s="113"/>
      <c r="CZ193" s="113"/>
      <c r="DA193" s="113"/>
      <c r="DB193" s="166"/>
      <c r="DC193" s="166"/>
      <c r="DD193" s="166"/>
      <c r="DE193" s="166"/>
      <c r="DF193" s="166"/>
      <c r="DG193" s="114"/>
      <c r="DH193" s="114"/>
      <c r="DI193" s="114"/>
      <c r="DJ193" s="114">
        <f t="shared" si="303"/>
        <v>0</v>
      </c>
      <c r="DK193" s="114">
        <f t="shared" si="303"/>
        <v>0</v>
      </c>
      <c r="DL193" s="114">
        <f t="shared" si="303"/>
        <v>0</v>
      </c>
      <c r="DM193" s="114">
        <f t="shared" si="303"/>
        <v>0</v>
      </c>
      <c r="DN193" s="114">
        <f t="shared" si="341"/>
        <v>0</v>
      </c>
      <c r="DO193" s="114">
        <f t="shared" si="342"/>
        <v>0</v>
      </c>
      <c r="DP193" s="114">
        <f t="shared" si="305"/>
        <v>0</v>
      </c>
      <c r="DQ193" s="116">
        <f t="shared" si="306"/>
        <v>0</v>
      </c>
      <c r="DR193" s="126">
        <f t="shared" ca="1" si="212"/>
        <v>0</v>
      </c>
      <c r="DS193" s="115">
        <f t="shared" ca="1" si="213"/>
        <v>0</v>
      </c>
      <c r="DT193" s="118" t="str">
        <f t="shared" si="236"/>
        <v>Uncapped</v>
      </c>
      <c r="DU193" s="115">
        <f t="shared" ca="1" si="214"/>
        <v>0</v>
      </c>
      <c r="DV193" s="113"/>
      <c r="DW193" s="113">
        <v>0</v>
      </c>
      <c r="DX193" s="113"/>
      <c r="DY193" s="113"/>
      <c r="DZ193" s="113">
        <v>0</v>
      </c>
      <c r="EA193" s="113">
        <v>0</v>
      </c>
      <c r="EB193" s="113">
        <v>0</v>
      </c>
      <c r="EC193" s="113">
        <v>0</v>
      </c>
      <c r="ED193" s="166">
        <v>0</v>
      </c>
      <c r="EE193" s="166">
        <v>0</v>
      </c>
      <c r="EF193" s="166"/>
      <c r="EG193" s="166"/>
      <c r="EH193" s="166"/>
      <c r="EI193" s="114"/>
      <c r="EJ193" s="114"/>
      <c r="EK193" s="114"/>
      <c r="EL193" s="114">
        <f t="shared" si="307"/>
        <v>0</v>
      </c>
      <c r="EM193" s="114">
        <f t="shared" si="307"/>
        <v>0</v>
      </c>
      <c r="EN193" s="114">
        <f t="shared" si="307"/>
        <v>0</v>
      </c>
      <c r="EO193" s="114">
        <f t="shared" si="307"/>
        <v>0</v>
      </c>
      <c r="EP193" s="114">
        <f t="shared" si="343"/>
        <v>0</v>
      </c>
      <c r="EQ193" s="114">
        <f t="shared" si="344"/>
        <v>0</v>
      </c>
      <c r="ER193" s="114">
        <f t="shared" si="345"/>
        <v>0</v>
      </c>
      <c r="ES193" s="116">
        <f t="shared" si="310"/>
        <v>0</v>
      </c>
      <c r="ET193" s="126">
        <f t="shared" ca="1" si="311"/>
        <v>0</v>
      </c>
      <c r="EU193" s="115">
        <f t="shared" ca="1" si="216"/>
        <v>0</v>
      </c>
      <c r="EV193" s="118" t="str">
        <f t="shared" si="217"/>
        <v>Uncapped</v>
      </c>
      <c r="EW193" s="115">
        <f t="shared" ca="1" si="218"/>
        <v>0</v>
      </c>
      <c r="EX193" s="112">
        <f t="shared" ca="1" si="219"/>
        <v>0</v>
      </c>
      <c r="EY193" s="114">
        <f t="shared" ca="1" si="312"/>
        <v>0</v>
      </c>
      <c r="EZ193" s="115">
        <v>0</v>
      </c>
      <c r="FA193" s="115"/>
      <c r="FB193" s="114"/>
      <c r="FC193" s="115">
        <v>0</v>
      </c>
      <c r="FD193" s="115">
        <f t="shared" si="252"/>
        <v>0</v>
      </c>
      <c r="FE193" s="114">
        <f t="shared" si="298"/>
        <v>0</v>
      </c>
      <c r="FF193" s="115">
        <v>0</v>
      </c>
      <c r="FG193" s="115">
        <v>0</v>
      </c>
      <c r="FH193" s="114">
        <v>0</v>
      </c>
      <c r="FI193" s="113">
        <v>0</v>
      </c>
      <c r="FJ193" s="115">
        <f t="shared" si="346"/>
        <v>0</v>
      </c>
      <c r="FK193" s="114">
        <f t="shared" si="300"/>
        <v>0</v>
      </c>
      <c r="FL193" s="111"/>
      <c r="FM193" s="115"/>
      <c r="FN193" s="115"/>
      <c r="FO193" s="115"/>
      <c r="FP193" s="115">
        <f t="shared" si="347"/>
        <v>0</v>
      </c>
      <c r="FQ193" s="114"/>
      <c r="FR193" s="366"/>
      <c r="FS193" s="121"/>
      <c r="FT193" s="114">
        <f t="shared" si="314"/>
        <v>0</v>
      </c>
      <c r="FU193" s="366">
        <f t="shared" ca="1" si="315"/>
        <v>0</v>
      </c>
      <c r="FV193" s="121">
        <f t="shared" ca="1" si="316"/>
        <v>0</v>
      </c>
      <c r="FW193" s="114">
        <f t="shared" si="317"/>
        <v>0</v>
      </c>
      <c r="FX193" s="114">
        <f t="shared" si="317"/>
        <v>0</v>
      </c>
      <c r="FY193" s="114">
        <f t="shared" si="317"/>
        <v>0</v>
      </c>
      <c r="FZ193" s="114">
        <f t="shared" si="317"/>
        <v>0</v>
      </c>
      <c r="GA193" s="114">
        <f t="shared" si="348"/>
        <v>0</v>
      </c>
      <c r="GB193" s="114">
        <f t="shared" si="318"/>
        <v>0</v>
      </c>
      <c r="GC193" s="114">
        <f t="shared" si="318"/>
        <v>0</v>
      </c>
      <c r="GD193" s="114">
        <f t="shared" si="318"/>
        <v>0</v>
      </c>
      <c r="GE193" s="114">
        <f t="shared" si="318"/>
        <v>0</v>
      </c>
      <c r="GF193" s="114">
        <f t="shared" si="353"/>
        <v>0</v>
      </c>
      <c r="GG193" s="114">
        <f t="shared" si="353"/>
        <v>0</v>
      </c>
      <c r="GH193" s="114">
        <f t="shared" si="353"/>
        <v>0</v>
      </c>
      <c r="GI193" s="114">
        <f t="shared" si="353"/>
        <v>0</v>
      </c>
      <c r="GJ193" s="115">
        <f t="shared" si="319"/>
        <v>0</v>
      </c>
      <c r="GK193" s="114">
        <f t="shared" si="349"/>
        <v>0</v>
      </c>
      <c r="GL193" s="114">
        <f t="shared" si="221"/>
        <v>0</v>
      </c>
      <c r="GM193" s="114">
        <f t="shared" si="222"/>
        <v>0</v>
      </c>
      <c r="GN193" s="114">
        <f t="shared" si="223"/>
        <v>0</v>
      </c>
      <c r="GO193" s="114">
        <f t="shared" si="224"/>
        <v>0</v>
      </c>
      <c r="GP193" s="114">
        <f t="shared" si="354"/>
        <v>0</v>
      </c>
      <c r="GQ193" s="114">
        <f t="shared" si="350"/>
        <v>0</v>
      </c>
      <c r="GR193" s="123"/>
      <c r="GS193" s="122">
        <f t="shared" si="352"/>
        <v>0</v>
      </c>
      <c r="GT193" s="122">
        <f t="shared" si="352"/>
        <v>0</v>
      </c>
      <c r="GU193" s="123" t="str">
        <f t="shared" si="351"/>
        <v/>
      </c>
      <c r="GV193" s="124">
        <f t="shared" ca="1" si="227"/>
        <v>0</v>
      </c>
      <c r="GW193" s="124">
        <v>0</v>
      </c>
      <c r="GX193" s="32">
        <f t="shared" ca="1" si="228"/>
        <v>0</v>
      </c>
    </row>
    <row r="256" spans="1:206" s="15" customFormat="1">
      <c r="A256" s="16"/>
      <c r="B256" s="16"/>
      <c r="C256" s="17"/>
      <c r="D256" s="17"/>
      <c r="E256" s="17"/>
      <c r="F256" s="17"/>
      <c r="G256" s="17"/>
      <c r="H256" s="16"/>
      <c r="I256" s="22"/>
      <c r="J256" s="17"/>
      <c r="K256" s="17"/>
      <c r="L256" s="17"/>
      <c r="M256" s="17"/>
      <c r="N256" s="16"/>
      <c r="O256" s="16"/>
      <c r="P256" s="16"/>
      <c r="Q256" s="23"/>
      <c r="R256" s="23"/>
      <c r="S256" s="23"/>
      <c r="T256" s="177"/>
      <c r="U256" s="22"/>
      <c r="V256" s="22"/>
      <c r="W256" s="16"/>
      <c r="X256" s="16"/>
      <c r="Y256" s="372"/>
      <c r="Z256" s="370"/>
      <c r="AA256" s="372"/>
      <c r="AB256" s="372"/>
      <c r="AC256" s="372"/>
      <c r="AD256" s="372"/>
      <c r="AE256" s="372"/>
      <c r="AF256" s="372"/>
      <c r="AG256" s="372"/>
      <c r="AH256" s="372"/>
      <c r="AI256" s="372"/>
      <c r="AJ256" s="372"/>
      <c r="AK256" s="372"/>
      <c r="AL256" s="372"/>
      <c r="AM256" s="372"/>
      <c r="AN256" s="372"/>
      <c r="AO256" s="372"/>
      <c r="AP256" s="372"/>
      <c r="AQ256" s="26"/>
      <c r="AR256" s="16"/>
      <c r="AS256" s="16"/>
      <c r="AT256" s="25"/>
      <c r="AU256" s="25"/>
      <c r="AV256" s="25"/>
      <c r="AW256" s="25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27"/>
      <c r="BT256" s="16"/>
      <c r="BU256" s="16"/>
      <c r="BV256" s="16"/>
      <c r="BW256" s="16"/>
      <c r="BX256" s="16"/>
      <c r="BY256" s="16"/>
      <c r="BZ256" s="16"/>
      <c r="CA256" s="16"/>
      <c r="CB256" s="25"/>
      <c r="CC256" s="16"/>
      <c r="CD256" s="16"/>
      <c r="CE256" s="16"/>
      <c r="CF256" s="16"/>
      <c r="CG256" s="16"/>
      <c r="CH256" s="25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25"/>
      <c r="EY256" s="16"/>
      <c r="EZ256" s="16"/>
      <c r="FA256" s="16"/>
      <c r="FB256" s="16"/>
      <c r="FC256" s="16"/>
      <c r="FD256" s="16"/>
      <c r="FE256" s="16"/>
      <c r="FK256" s="16"/>
      <c r="FQ256" s="16"/>
      <c r="FR256" s="16"/>
      <c r="FS256" s="16"/>
      <c r="FT256" s="33"/>
      <c r="FU256" s="361"/>
      <c r="FV256" s="33"/>
      <c r="FW256" s="16"/>
      <c r="FX256" s="16"/>
      <c r="FY256" s="16"/>
      <c r="FZ256" s="16"/>
      <c r="GA256" s="33"/>
      <c r="GB256" s="16"/>
      <c r="GC256" s="16"/>
      <c r="GD256" s="16"/>
      <c r="GE256" s="16"/>
      <c r="GF256" s="33"/>
      <c r="GG256" s="33"/>
      <c r="GH256" s="33"/>
      <c r="GI256" s="33"/>
      <c r="GJ256" s="33"/>
      <c r="GK256" s="33"/>
      <c r="GL256" s="33"/>
      <c r="GM256" s="33"/>
      <c r="GN256" s="33"/>
      <c r="GO256" s="33"/>
      <c r="GP256" s="33"/>
      <c r="GQ256" s="33"/>
      <c r="GR256"/>
      <c r="GS256" s="16"/>
      <c r="GT256" s="16"/>
      <c r="GU256" s="16"/>
      <c r="GV256" s="16"/>
      <c r="GW256" s="16"/>
      <c r="GX256" s="178"/>
    </row>
    <row r="257" spans="1:206" s="15" customFormat="1">
      <c r="A257" s="16"/>
      <c r="B257" s="16"/>
      <c r="C257" s="17"/>
      <c r="D257" s="17"/>
      <c r="E257" s="17"/>
      <c r="F257" s="17"/>
      <c r="G257" s="17"/>
      <c r="H257" s="16"/>
      <c r="I257" s="22"/>
      <c r="J257" s="17"/>
      <c r="K257" s="17"/>
      <c r="L257" s="17"/>
      <c r="M257" s="17"/>
      <c r="N257" s="16"/>
      <c r="O257" s="16"/>
      <c r="P257" s="16"/>
      <c r="Q257" s="23"/>
      <c r="R257" s="23"/>
      <c r="S257" s="23"/>
      <c r="T257" s="177"/>
      <c r="U257" s="22"/>
      <c r="V257" s="22"/>
      <c r="W257" s="16"/>
      <c r="X257" s="16"/>
      <c r="Y257" s="372"/>
      <c r="Z257" s="370"/>
      <c r="AA257" s="372"/>
      <c r="AB257" s="372"/>
      <c r="AC257" s="372"/>
      <c r="AD257" s="372"/>
      <c r="AE257" s="372"/>
      <c r="AF257" s="372"/>
      <c r="AG257" s="372"/>
      <c r="AH257" s="372"/>
      <c r="AI257" s="372"/>
      <c r="AJ257" s="372"/>
      <c r="AK257" s="372"/>
      <c r="AL257" s="372"/>
      <c r="AM257" s="372"/>
      <c r="AN257" s="372"/>
      <c r="AO257" s="372"/>
      <c r="AP257" s="372"/>
      <c r="AQ257" s="26"/>
      <c r="AR257" s="16"/>
      <c r="AS257" s="16"/>
      <c r="AT257" s="25"/>
      <c r="AU257" s="25"/>
      <c r="AV257" s="25"/>
      <c r="AW257" s="25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27"/>
      <c r="BT257" s="16"/>
      <c r="BU257" s="16"/>
      <c r="BV257" s="16"/>
      <c r="BW257" s="16"/>
      <c r="BX257" s="16"/>
      <c r="BY257" s="16"/>
      <c r="BZ257" s="16"/>
      <c r="CA257" s="16"/>
      <c r="CB257" s="25"/>
      <c r="CC257" s="16"/>
      <c r="CD257" s="16"/>
      <c r="CE257" s="16"/>
      <c r="CF257" s="16"/>
      <c r="CG257" s="16"/>
      <c r="CH257" s="25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16"/>
      <c r="EJ257" s="16"/>
      <c r="EK257" s="16"/>
      <c r="EL257" s="16"/>
      <c r="EM257" s="16"/>
      <c r="EN257" s="16"/>
      <c r="EO257" s="16"/>
      <c r="EP257" s="16"/>
      <c r="EQ257" s="16"/>
      <c r="ER257" s="16"/>
      <c r="ES257" s="16"/>
      <c r="ET257" s="16"/>
      <c r="EU257" s="16"/>
      <c r="EV257" s="16"/>
      <c r="EW257" s="16"/>
      <c r="EX257" s="25"/>
      <c r="EY257" s="16"/>
      <c r="EZ257" s="16"/>
      <c r="FA257" s="16"/>
      <c r="FB257" s="16"/>
      <c r="FC257" s="16"/>
      <c r="FD257" s="16"/>
      <c r="FE257" s="16"/>
      <c r="FK257" s="16"/>
      <c r="FQ257" s="16"/>
      <c r="FR257" s="16"/>
      <c r="FS257" s="16"/>
      <c r="FT257" s="33"/>
      <c r="FU257" s="361"/>
      <c r="FV257" s="33"/>
      <c r="FW257" s="16"/>
      <c r="FX257" s="16"/>
      <c r="FY257" s="16"/>
      <c r="FZ257" s="16"/>
      <c r="GA257" s="33"/>
      <c r="GB257" s="16"/>
      <c r="GC257" s="16"/>
      <c r="GD257" s="16"/>
      <c r="GE257" s="16"/>
      <c r="GF257" s="33"/>
      <c r="GG257" s="33"/>
      <c r="GH257" s="33"/>
      <c r="GI257" s="33"/>
      <c r="GJ257" s="33"/>
      <c r="GK257" s="33"/>
      <c r="GL257" s="33"/>
      <c r="GM257" s="33"/>
      <c r="GN257" s="33"/>
      <c r="GO257" s="33"/>
      <c r="GP257" s="33"/>
      <c r="GQ257" s="33"/>
      <c r="GR257"/>
      <c r="GS257" s="16"/>
      <c r="GT257" s="16"/>
      <c r="GU257" s="16"/>
      <c r="GV257" s="16"/>
      <c r="GW257" s="16"/>
      <c r="GX257" s="178"/>
    </row>
    <row r="258" spans="1:206" s="15" customFormat="1">
      <c r="A258" s="16"/>
      <c r="B258" s="16"/>
      <c r="C258" s="17"/>
      <c r="D258" s="17"/>
      <c r="E258" s="17"/>
      <c r="F258" s="17"/>
      <c r="G258" s="17"/>
      <c r="H258" s="16"/>
      <c r="I258" s="22"/>
      <c r="J258" s="17"/>
      <c r="K258" s="17"/>
      <c r="L258" s="17"/>
      <c r="M258" s="17"/>
      <c r="N258" s="16"/>
      <c r="O258" s="16"/>
      <c r="P258" s="16"/>
      <c r="Q258" s="23"/>
      <c r="R258" s="23"/>
      <c r="S258" s="23"/>
      <c r="T258" s="177"/>
      <c r="U258" s="22"/>
      <c r="V258" s="22"/>
      <c r="W258" s="16"/>
      <c r="X258" s="16"/>
      <c r="Y258" s="372"/>
      <c r="Z258" s="370"/>
      <c r="AA258" s="372"/>
      <c r="AB258" s="372"/>
      <c r="AC258" s="372"/>
      <c r="AD258" s="372"/>
      <c r="AE258" s="372"/>
      <c r="AF258" s="372"/>
      <c r="AG258" s="372"/>
      <c r="AH258" s="372"/>
      <c r="AI258" s="372"/>
      <c r="AJ258" s="372"/>
      <c r="AK258" s="372"/>
      <c r="AL258" s="372"/>
      <c r="AM258" s="372"/>
      <c r="AN258" s="372"/>
      <c r="AO258" s="372"/>
      <c r="AP258" s="372"/>
      <c r="AQ258" s="26"/>
      <c r="AR258" s="16"/>
      <c r="AS258" s="16"/>
      <c r="AT258" s="25"/>
      <c r="AU258" s="25"/>
      <c r="AV258" s="25"/>
      <c r="AW258" s="25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27"/>
      <c r="BT258" s="16"/>
      <c r="BU258" s="16"/>
      <c r="BV258" s="16"/>
      <c r="BW258" s="16"/>
      <c r="BX258" s="16"/>
      <c r="BY258" s="16"/>
      <c r="BZ258" s="16"/>
      <c r="CA258" s="16"/>
      <c r="CB258" s="25"/>
      <c r="CC258" s="16"/>
      <c r="CD258" s="16"/>
      <c r="CE258" s="16"/>
      <c r="CF258" s="16"/>
      <c r="CG258" s="16"/>
      <c r="CH258" s="25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  <c r="EC258" s="16"/>
      <c r="ED258" s="16"/>
      <c r="EE258" s="16"/>
      <c r="EF258" s="16"/>
      <c r="EG258" s="16"/>
      <c r="EH258" s="16"/>
      <c r="EI258" s="16"/>
      <c r="EJ258" s="16"/>
      <c r="EK258" s="16"/>
      <c r="EL258" s="16"/>
      <c r="EM258" s="16"/>
      <c r="EN258" s="16"/>
      <c r="EO258" s="16"/>
      <c r="EP258" s="16"/>
      <c r="EQ258" s="16"/>
      <c r="ER258" s="16"/>
      <c r="ES258" s="16"/>
      <c r="ET258" s="16"/>
      <c r="EU258" s="16"/>
      <c r="EV258" s="16"/>
      <c r="EW258" s="16"/>
      <c r="EX258" s="25"/>
      <c r="EY258" s="16"/>
      <c r="EZ258" s="16"/>
      <c r="FA258" s="16"/>
      <c r="FB258" s="16"/>
      <c r="FC258" s="16"/>
      <c r="FD258" s="16"/>
      <c r="FE258" s="16"/>
      <c r="FK258" s="16"/>
      <c r="FQ258" s="16"/>
      <c r="FR258" s="16"/>
      <c r="FS258" s="16"/>
      <c r="FT258" s="33"/>
      <c r="FU258" s="361"/>
      <c r="FV258" s="33"/>
      <c r="FW258" s="16"/>
      <c r="FX258" s="16"/>
      <c r="FY258" s="16"/>
      <c r="FZ258" s="16"/>
      <c r="GA258" s="33"/>
      <c r="GB258" s="16"/>
      <c r="GC258" s="16"/>
      <c r="GD258" s="16"/>
      <c r="GE258" s="16"/>
      <c r="GF258" s="33"/>
      <c r="GG258" s="33"/>
      <c r="GH258" s="33"/>
      <c r="GI258" s="33"/>
      <c r="GJ258" s="33"/>
      <c r="GK258" s="33"/>
      <c r="GL258" s="33"/>
      <c r="GM258" s="33"/>
      <c r="GN258" s="33"/>
      <c r="GO258" s="33"/>
      <c r="GP258" s="33"/>
      <c r="GQ258" s="33"/>
      <c r="GR258"/>
      <c r="GS258" s="16"/>
      <c r="GT258" s="16"/>
      <c r="GU258" s="16"/>
      <c r="GV258" s="16"/>
      <c r="GW258" s="16"/>
      <c r="GX258" s="178"/>
    </row>
    <row r="259" spans="1:206" s="15" customFormat="1">
      <c r="A259" s="16"/>
      <c r="B259" s="16"/>
      <c r="C259" s="17"/>
      <c r="D259" s="17"/>
      <c r="E259" s="17"/>
      <c r="F259" s="17"/>
      <c r="G259" s="17"/>
      <c r="H259" s="16"/>
      <c r="I259" s="22"/>
      <c r="J259" s="17"/>
      <c r="K259" s="17"/>
      <c r="L259" s="17"/>
      <c r="M259" s="17"/>
      <c r="N259" s="16"/>
      <c r="O259" s="16"/>
      <c r="P259" s="16"/>
      <c r="Q259" s="23"/>
      <c r="R259" s="23"/>
      <c r="S259" s="23"/>
      <c r="T259" s="177"/>
      <c r="U259" s="22"/>
      <c r="V259" s="22"/>
      <c r="W259" s="16"/>
      <c r="X259" s="16"/>
      <c r="Y259" s="372"/>
      <c r="Z259" s="370"/>
      <c r="AA259" s="372"/>
      <c r="AB259" s="372"/>
      <c r="AC259" s="372"/>
      <c r="AD259" s="372"/>
      <c r="AE259" s="372"/>
      <c r="AF259" s="372"/>
      <c r="AG259" s="372"/>
      <c r="AH259" s="372"/>
      <c r="AI259" s="372"/>
      <c r="AJ259" s="372"/>
      <c r="AK259" s="372"/>
      <c r="AL259" s="372"/>
      <c r="AM259" s="372"/>
      <c r="AN259" s="372"/>
      <c r="AO259" s="372"/>
      <c r="AP259" s="372"/>
      <c r="AQ259" s="26"/>
      <c r="AR259" s="16"/>
      <c r="AS259" s="16"/>
      <c r="AT259" s="25"/>
      <c r="AU259" s="25"/>
      <c r="AV259" s="25"/>
      <c r="AW259" s="25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27"/>
      <c r="BT259" s="16"/>
      <c r="BU259" s="16"/>
      <c r="BV259" s="16"/>
      <c r="BW259" s="16"/>
      <c r="BX259" s="16"/>
      <c r="BY259" s="16"/>
      <c r="BZ259" s="16"/>
      <c r="CA259" s="16"/>
      <c r="CB259" s="25"/>
      <c r="CC259" s="16"/>
      <c r="CD259" s="16"/>
      <c r="CE259" s="16"/>
      <c r="CF259" s="16"/>
      <c r="CG259" s="16"/>
      <c r="CH259" s="25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25"/>
      <c r="EY259" s="16"/>
      <c r="EZ259" s="16"/>
      <c r="FA259" s="16"/>
      <c r="FB259" s="16"/>
      <c r="FC259" s="16"/>
      <c r="FD259" s="16"/>
      <c r="FE259" s="16"/>
      <c r="FK259" s="16"/>
      <c r="FQ259" s="16"/>
      <c r="FR259" s="16"/>
      <c r="FS259" s="16"/>
      <c r="FT259" s="33"/>
      <c r="FU259" s="361"/>
      <c r="FV259" s="33"/>
      <c r="FW259" s="16"/>
      <c r="FX259" s="16"/>
      <c r="FY259" s="16"/>
      <c r="FZ259" s="16"/>
      <c r="GA259" s="33"/>
      <c r="GB259" s="16"/>
      <c r="GC259" s="16"/>
      <c r="GD259" s="16"/>
      <c r="GE259" s="16"/>
      <c r="GF259" s="33"/>
      <c r="GG259" s="33"/>
      <c r="GH259" s="33"/>
      <c r="GI259" s="33"/>
      <c r="GJ259" s="33"/>
      <c r="GK259" s="33"/>
      <c r="GL259" s="33"/>
      <c r="GM259" s="33"/>
      <c r="GN259" s="33"/>
      <c r="GO259" s="33"/>
      <c r="GP259" s="33"/>
      <c r="GQ259" s="33"/>
      <c r="GR259"/>
      <c r="GS259" s="16"/>
      <c r="GT259" s="16"/>
      <c r="GU259" s="16"/>
      <c r="GV259" s="16"/>
      <c r="GW259" s="16"/>
      <c r="GX259" s="178"/>
    </row>
    <row r="260" spans="1:206" s="15" customFormat="1">
      <c r="A260" s="16"/>
      <c r="B260" s="16"/>
      <c r="C260" s="17"/>
      <c r="D260" s="17"/>
      <c r="E260" s="17"/>
      <c r="F260" s="17"/>
      <c r="G260" s="17"/>
      <c r="H260" s="16"/>
      <c r="I260" s="22"/>
      <c r="J260" s="17"/>
      <c r="K260" s="17"/>
      <c r="L260" s="17"/>
      <c r="M260" s="17"/>
      <c r="N260" s="16"/>
      <c r="O260" s="16"/>
      <c r="P260" s="16"/>
      <c r="Q260" s="23"/>
      <c r="R260" s="23"/>
      <c r="S260" s="23"/>
      <c r="T260" s="177"/>
      <c r="U260" s="22"/>
      <c r="V260" s="22"/>
      <c r="W260" s="16"/>
      <c r="X260" s="16"/>
      <c r="Y260" s="372"/>
      <c r="Z260" s="370"/>
      <c r="AA260" s="372"/>
      <c r="AB260" s="372"/>
      <c r="AC260" s="372"/>
      <c r="AD260" s="372"/>
      <c r="AE260" s="372"/>
      <c r="AF260" s="372"/>
      <c r="AG260" s="372"/>
      <c r="AH260" s="372"/>
      <c r="AI260" s="372"/>
      <c r="AJ260" s="372"/>
      <c r="AK260" s="372"/>
      <c r="AL260" s="372"/>
      <c r="AM260" s="372"/>
      <c r="AN260" s="372"/>
      <c r="AO260" s="372"/>
      <c r="AP260" s="372"/>
      <c r="AQ260" s="26"/>
      <c r="AR260" s="16"/>
      <c r="AS260" s="16"/>
      <c r="AT260" s="25"/>
      <c r="AU260" s="25"/>
      <c r="AV260" s="25"/>
      <c r="AW260" s="25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27"/>
      <c r="BT260" s="16"/>
      <c r="BU260" s="16"/>
      <c r="BV260" s="16"/>
      <c r="BW260" s="16"/>
      <c r="BX260" s="16"/>
      <c r="BY260" s="16"/>
      <c r="BZ260" s="16"/>
      <c r="CA260" s="16"/>
      <c r="CB260" s="25"/>
      <c r="CC260" s="16"/>
      <c r="CD260" s="16"/>
      <c r="CE260" s="16"/>
      <c r="CF260" s="16"/>
      <c r="CG260" s="16"/>
      <c r="CH260" s="25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16"/>
      <c r="EJ260" s="16"/>
      <c r="EK260" s="16"/>
      <c r="EL260" s="16"/>
      <c r="EM260" s="16"/>
      <c r="EN260" s="16"/>
      <c r="EO260" s="16"/>
      <c r="EP260" s="16"/>
      <c r="EQ260" s="16"/>
      <c r="ER260" s="16"/>
      <c r="ES260" s="16"/>
      <c r="ET260" s="16"/>
      <c r="EU260" s="16"/>
      <c r="EV260" s="16"/>
      <c r="EW260" s="16"/>
      <c r="EX260" s="25"/>
      <c r="EY260" s="16"/>
      <c r="EZ260" s="16"/>
      <c r="FA260" s="16"/>
      <c r="FB260" s="16"/>
      <c r="FC260" s="16"/>
      <c r="FD260" s="16"/>
      <c r="FE260" s="16"/>
      <c r="FK260" s="16"/>
      <c r="FQ260" s="16"/>
      <c r="FR260" s="16"/>
      <c r="FS260" s="16"/>
      <c r="FT260" s="33"/>
      <c r="FU260" s="361"/>
      <c r="FV260" s="33"/>
      <c r="FW260" s="16"/>
      <c r="FX260" s="16"/>
      <c r="FY260" s="16"/>
      <c r="FZ260" s="16"/>
      <c r="GA260" s="33"/>
      <c r="GB260" s="16"/>
      <c r="GC260" s="16"/>
      <c r="GD260" s="16"/>
      <c r="GE260" s="16"/>
      <c r="GF260" s="33"/>
      <c r="GG260" s="33"/>
      <c r="GH260" s="33"/>
      <c r="GI260" s="33"/>
      <c r="GJ260" s="33"/>
      <c r="GK260" s="33"/>
      <c r="GL260" s="33"/>
      <c r="GM260" s="33"/>
      <c r="GN260" s="33"/>
      <c r="GO260" s="33"/>
      <c r="GP260" s="33"/>
      <c r="GQ260" s="33"/>
      <c r="GR260"/>
      <c r="GS260" s="16"/>
      <c r="GT260" s="16"/>
      <c r="GU260" s="16"/>
      <c r="GV260" s="16"/>
      <c r="GW260" s="16"/>
      <c r="GX260" s="178"/>
    </row>
    <row r="261" spans="1:206" s="15" customFormat="1">
      <c r="A261" s="16"/>
      <c r="B261" s="16"/>
      <c r="C261" s="17"/>
      <c r="D261" s="17"/>
      <c r="E261" s="17"/>
      <c r="F261" s="17"/>
      <c r="G261" s="17"/>
      <c r="H261" s="16"/>
      <c r="I261" s="22"/>
      <c r="J261" s="17"/>
      <c r="K261" s="17"/>
      <c r="L261" s="17"/>
      <c r="M261" s="17"/>
      <c r="N261" s="16"/>
      <c r="O261" s="16"/>
      <c r="P261" s="16"/>
      <c r="Q261" s="23"/>
      <c r="R261" s="23"/>
      <c r="S261" s="23"/>
      <c r="T261" s="177"/>
      <c r="U261" s="22"/>
      <c r="V261" s="22"/>
      <c r="W261" s="16"/>
      <c r="X261" s="16"/>
      <c r="Y261" s="372"/>
      <c r="Z261" s="370"/>
      <c r="AA261" s="372"/>
      <c r="AB261" s="372"/>
      <c r="AC261" s="372"/>
      <c r="AD261" s="372"/>
      <c r="AE261" s="372"/>
      <c r="AF261" s="372"/>
      <c r="AG261" s="372"/>
      <c r="AH261" s="372"/>
      <c r="AI261" s="372"/>
      <c r="AJ261" s="372"/>
      <c r="AK261" s="372"/>
      <c r="AL261" s="372"/>
      <c r="AM261" s="372"/>
      <c r="AN261" s="372"/>
      <c r="AO261" s="372"/>
      <c r="AP261" s="372"/>
      <c r="AQ261" s="26"/>
      <c r="AR261" s="16"/>
      <c r="AS261" s="16"/>
      <c r="AT261" s="25"/>
      <c r="AU261" s="25"/>
      <c r="AV261" s="25"/>
      <c r="AW261" s="25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27"/>
      <c r="BT261" s="16"/>
      <c r="BU261" s="16"/>
      <c r="BV261" s="16"/>
      <c r="BW261" s="16"/>
      <c r="BX261" s="16"/>
      <c r="BY261" s="16"/>
      <c r="BZ261" s="16"/>
      <c r="CA261" s="16"/>
      <c r="CB261" s="25"/>
      <c r="CC261" s="16"/>
      <c r="CD261" s="16"/>
      <c r="CE261" s="16"/>
      <c r="CF261" s="16"/>
      <c r="CG261" s="16"/>
      <c r="CH261" s="25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25"/>
      <c r="EY261" s="16"/>
      <c r="EZ261" s="16"/>
      <c r="FA261" s="16"/>
      <c r="FB261" s="16"/>
      <c r="FC261" s="16"/>
      <c r="FD261" s="16"/>
      <c r="FE261" s="16"/>
      <c r="FK261" s="16"/>
      <c r="FQ261" s="16"/>
      <c r="FR261" s="16"/>
      <c r="FS261" s="16"/>
      <c r="FT261" s="33"/>
      <c r="FU261" s="361"/>
      <c r="FV261" s="33"/>
      <c r="FW261" s="16"/>
      <c r="FX261" s="16"/>
      <c r="FY261" s="16"/>
      <c r="FZ261" s="16"/>
      <c r="GA261" s="33"/>
      <c r="GB261" s="16"/>
      <c r="GC261" s="16"/>
      <c r="GD261" s="16"/>
      <c r="GE261" s="16"/>
      <c r="GF261" s="33"/>
      <c r="GG261" s="33"/>
      <c r="GH261" s="33"/>
      <c r="GI261" s="33"/>
      <c r="GJ261" s="33"/>
      <c r="GK261" s="33"/>
      <c r="GL261" s="33"/>
      <c r="GM261" s="33"/>
      <c r="GN261" s="33"/>
      <c r="GO261" s="33"/>
      <c r="GP261" s="33"/>
      <c r="GQ261" s="33"/>
      <c r="GR261"/>
      <c r="GS261" s="16"/>
      <c r="GT261" s="16"/>
      <c r="GU261" s="16"/>
      <c r="GV261" s="16"/>
      <c r="GW261" s="16"/>
      <c r="GX261" s="178"/>
    </row>
    <row r="262" spans="1:206" s="15" customFormat="1">
      <c r="A262" s="16"/>
      <c r="B262" s="16"/>
      <c r="C262" s="17"/>
      <c r="D262" s="17"/>
      <c r="E262" s="17"/>
      <c r="F262" s="17"/>
      <c r="G262" s="17"/>
      <c r="H262" s="16"/>
      <c r="I262" s="22"/>
      <c r="J262" s="17"/>
      <c r="K262" s="17"/>
      <c r="L262" s="17"/>
      <c r="M262" s="17"/>
      <c r="N262" s="16"/>
      <c r="O262" s="16"/>
      <c r="P262" s="16"/>
      <c r="Q262" s="23"/>
      <c r="R262" s="23"/>
      <c r="S262" s="23"/>
      <c r="T262" s="177"/>
      <c r="U262" s="22"/>
      <c r="V262" s="22"/>
      <c r="W262" s="16"/>
      <c r="X262" s="16"/>
      <c r="Y262" s="372"/>
      <c r="Z262" s="370"/>
      <c r="AA262" s="372"/>
      <c r="AB262" s="372"/>
      <c r="AC262" s="372"/>
      <c r="AD262" s="372"/>
      <c r="AE262" s="372"/>
      <c r="AF262" s="372"/>
      <c r="AG262" s="372"/>
      <c r="AH262" s="372"/>
      <c r="AI262" s="372"/>
      <c r="AJ262" s="372"/>
      <c r="AK262" s="372"/>
      <c r="AL262" s="372"/>
      <c r="AM262" s="372"/>
      <c r="AN262" s="372"/>
      <c r="AO262" s="372"/>
      <c r="AP262" s="372"/>
      <c r="AQ262" s="26"/>
      <c r="AR262" s="16"/>
      <c r="AS262" s="16"/>
      <c r="AT262" s="25"/>
      <c r="AU262" s="25"/>
      <c r="AV262" s="25"/>
      <c r="AW262" s="25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27"/>
      <c r="BT262" s="16"/>
      <c r="BU262" s="16"/>
      <c r="BV262" s="16"/>
      <c r="BW262" s="16"/>
      <c r="BX262" s="16"/>
      <c r="BY262" s="16"/>
      <c r="BZ262" s="16"/>
      <c r="CA262" s="16"/>
      <c r="CB262" s="25"/>
      <c r="CC262" s="16"/>
      <c r="CD262" s="16"/>
      <c r="CE262" s="16"/>
      <c r="CF262" s="16"/>
      <c r="CG262" s="16"/>
      <c r="CH262" s="25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16"/>
      <c r="EJ262" s="16"/>
      <c r="EK262" s="16"/>
      <c r="EL262" s="16"/>
      <c r="EM262" s="16"/>
      <c r="EN262" s="16"/>
      <c r="EO262" s="16"/>
      <c r="EP262" s="16"/>
      <c r="EQ262" s="16"/>
      <c r="ER262" s="16"/>
      <c r="ES262" s="16"/>
      <c r="ET262" s="16"/>
      <c r="EU262" s="16"/>
      <c r="EV262" s="16"/>
      <c r="EW262" s="16"/>
      <c r="EX262" s="25"/>
      <c r="EY262" s="16"/>
      <c r="EZ262" s="16"/>
      <c r="FA262" s="16"/>
      <c r="FB262" s="16"/>
      <c r="FC262" s="16"/>
      <c r="FD262" s="16"/>
      <c r="FE262" s="16"/>
      <c r="FK262" s="16"/>
      <c r="FQ262" s="16"/>
      <c r="FR262" s="16"/>
      <c r="FS262" s="16"/>
      <c r="FT262" s="33"/>
      <c r="FU262" s="361"/>
      <c r="FV262" s="33"/>
      <c r="FW262" s="16"/>
      <c r="FX262" s="16"/>
      <c r="FY262" s="16"/>
      <c r="FZ262" s="16"/>
      <c r="GA262" s="33"/>
      <c r="GB262" s="16"/>
      <c r="GC262" s="16"/>
      <c r="GD262" s="16"/>
      <c r="GE262" s="16"/>
      <c r="GF262" s="33"/>
      <c r="GG262" s="33"/>
      <c r="GH262" s="33"/>
      <c r="GI262" s="33"/>
      <c r="GJ262" s="33"/>
      <c r="GK262" s="33"/>
      <c r="GL262" s="33"/>
      <c r="GM262" s="33"/>
      <c r="GN262" s="33"/>
      <c r="GO262" s="33"/>
      <c r="GP262" s="33"/>
      <c r="GQ262" s="33"/>
      <c r="GR262"/>
      <c r="GS262" s="16"/>
      <c r="GT262" s="16"/>
      <c r="GU262" s="16"/>
      <c r="GV262" s="16"/>
      <c r="GW262" s="16"/>
      <c r="GX262" s="178"/>
    </row>
    <row r="263" spans="1:206" s="15" customFormat="1">
      <c r="A263" s="16"/>
      <c r="B263" s="16"/>
      <c r="C263" s="17"/>
      <c r="D263" s="17"/>
      <c r="E263" s="17"/>
      <c r="F263" s="17"/>
      <c r="G263" s="17"/>
      <c r="H263" s="16"/>
      <c r="I263" s="22"/>
      <c r="J263" s="17"/>
      <c r="K263" s="17"/>
      <c r="L263" s="17"/>
      <c r="M263" s="17"/>
      <c r="N263" s="16"/>
      <c r="O263" s="16"/>
      <c r="P263" s="16"/>
      <c r="Q263" s="23"/>
      <c r="R263" s="23"/>
      <c r="S263" s="23"/>
      <c r="T263" s="177"/>
      <c r="U263" s="22"/>
      <c r="V263" s="22"/>
      <c r="W263" s="16"/>
      <c r="X263" s="16"/>
      <c r="Y263" s="372"/>
      <c r="Z263" s="370"/>
      <c r="AA263" s="372"/>
      <c r="AB263" s="372"/>
      <c r="AC263" s="372"/>
      <c r="AD263" s="372"/>
      <c r="AE263" s="372"/>
      <c r="AF263" s="372"/>
      <c r="AG263" s="372"/>
      <c r="AH263" s="372"/>
      <c r="AI263" s="372"/>
      <c r="AJ263" s="372"/>
      <c r="AK263" s="372"/>
      <c r="AL263" s="372"/>
      <c r="AM263" s="372"/>
      <c r="AN263" s="372"/>
      <c r="AO263" s="372"/>
      <c r="AP263" s="372"/>
      <c r="AQ263" s="26"/>
      <c r="AR263" s="16"/>
      <c r="AS263" s="16"/>
      <c r="AT263" s="25"/>
      <c r="AU263" s="25"/>
      <c r="AV263" s="25"/>
      <c r="AW263" s="25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27"/>
      <c r="BT263" s="16"/>
      <c r="BU263" s="16"/>
      <c r="BV263" s="16"/>
      <c r="BW263" s="16"/>
      <c r="BX263" s="16"/>
      <c r="BY263" s="16"/>
      <c r="BZ263" s="16"/>
      <c r="CA263" s="16"/>
      <c r="CB263" s="25"/>
      <c r="CC263" s="16"/>
      <c r="CD263" s="16"/>
      <c r="CE263" s="16"/>
      <c r="CF263" s="16"/>
      <c r="CG263" s="16"/>
      <c r="CH263" s="25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25"/>
      <c r="EY263" s="16"/>
      <c r="EZ263" s="16"/>
      <c r="FA263" s="16"/>
      <c r="FB263" s="16"/>
      <c r="FC263" s="16"/>
      <c r="FD263" s="16"/>
      <c r="FE263" s="16"/>
      <c r="FK263" s="16"/>
      <c r="FQ263" s="16"/>
      <c r="FR263" s="16"/>
      <c r="FS263" s="16"/>
      <c r="FT263" s="33"/>
      <c r="FU263" s="361"/>
      <c r="FV263" s="33"/>
      <c r="FW263" s="16"/>
      <c r="FX263" s="16"/>
      <c r="FY263" s="16"/>
      <c r="FZ263" s="16"/>
      <c r="GA263" s="33"/>
      <c r="GB263" s="16"/>
      <c r="GC263" s="16"/>
      <c r="GD263" s="16"/>
      <c r="GE263" s="16"/>
      <c r="GF263" s="33"/>
      <c r="GG263" s="33"/>
      <c r="GH263" s="33"/>
      <c r="GI263" s="33"/>
      <c r="GJ263" s="33"/>
      <c r="GK263" s="33"/>
      <c r="GL263" s="33"/>
      <c r="GM263" s="33"/>
      <c r="GN263" s="33"/>
      <c r="GO263" s="33"/>
      <c r="GP263" s="33"/>
      <c r="GQ263" s="33"/>
      <c r="GR263"/>
      <c r="GS263" s="16"/>
      <c r="GT263" s="16"/>
      <c r="GU263" s="16"/>
      <c r="GV263" s="16"/>
      <c r="GW263" s="16"/>
      <c r="GX263" s="178"/>
    </row>
    <row r="264" spans="1:206" s="15" customFormat="1">
      <c r="A264" s="16"/>
      <c r="B264" s="16"/>
      <c r="C264" s="17"/>
      <c r="D264" s="17"/>
      <c r="E264" s="17"/>
      <c r="F264" s="17"/>
      <c r="G264" s="17"/>
      <c r="H264" s="16"/>
      <c r="I264" s="22"/>
      <c r="J264" s="17"/>
      <c r="K264" s="17"/>
      <c r="L264" s="17"/>
      <c r="M264" s="17"/>
      <c r="N264" s="16"/>
      <c r="O264" s="16"/>
      <c r="P264" s="16"/>
      <c r="Q264" s="23"/>
      <c r="R264" s="23"/>
      <c r="S264" s="23"/>
      <c r="T264" s="177"/>
      <c r="U264" s="22"/>
      <c r="V264" s="22"/>
      <c r="W264" s="16"/>
      <c r="X264" s="16"/>
      <c r="Y264" s="372"/>
      <c r="Z264" s="370"/>
      <c r="AA264" s="372"/>
      <c r="AB264" s="372"/>
      <c r="AC264" s="372"/>
      <c r="AD264" s="372"/>
      <c r="AE264" s="372"/>
      <c r="AF264" s="372"/>
      <c r="AG264" s="372"/>
      <c r="AH264" s="372"/>
      <c r="AI264" s="372"/>
      <c r="AJ264" s="372"/>
      <c r="AK264" s="372"/>
      <c r="AL264" s="372"/>
      <c r="AM264" s="372"/>
      <c r="AN264" s="372"/>
      <c r="AO264" s="372"/>
      <c r="AP264" s="372"/>
      <c r="AQ264" s="26"/>
      <c r="AR264" s="16"/>
      <c r="AS264" s="16"/>
      <c r="AT264" s="25"/>
      <c r="AU264" s="25"/>
      <c r="AV264" s="25"/>
      <c r="AW264" s="25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27"/>
      <c r="BT264" s="16"/>
      <c r="BU264" s="16"/>
      <c r="BV264" s="16"/>
      <c r="BW264" s="16"/>
      <c r="BX264" s="16"/>
      <c r="BY264" s="16"/>
      <c r="BZ264" s="16"/>
      <c r="CA264" s="16"/>
      <c r="CB264" s="25"/>
      <c r="CC264" s="16"/>
      <c r="CD264" s="16"/>
      <c r="CE264" s="16"/>
      <c r="CF264" s="16"/>
      <c r="CG264" s="16"/>
      <c r="CH264" s="25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16"/>
      <c r="EJ264" s="16"/>
      <c r="EK264" s="16"/>
      <c r="EL264" s="16"/>
      <c r="EM264" s="16"/>
      <c r="EN264" s="16"/>
      <c r="EO264" s="16"/>
      <c r="EP264" s="16"/>
      <c r="EQ264" s="16"/>
      <c r="ER264" s="16"/>
      <c r="ES264" s="16"/>
      <c r="ET264" s="16"/>
      <c r="EU264" s="16"/>
      <c r="EV264" s="16"/>
      <c r="EW264" s="16"/>
      <c r="EX264" s="25"/>
      <c r="EY264" s="16"/>
      <c r="EZ264" s="16"/>
      <c r="FA264" s="16"/>
      <c r="FB264" s="16"/>
      <c r="FC264" s="16"/>
      <c r="FD264" s="16"/>
      <c r="FE264" s="16"/>
      <c r="FK264" s="16"/>
      <c r="FQ264" s="16"/>
      <c r="FR264" s="16"/>
      <c r="FS264" s="16"/>
      <c r="FT264" s="33"/>
      <c r="FU264" s="361"/>
      <c r="FV264" s="33"/>
      <c r="FW264" s="16"/>
      <c r="FX264" s="16"/>
      <c r="FY264" s="16"/>
      <c r="FZ264" s="16"/>
      <c r="GA264" s="33"/>
      <c r="GB264" s="16"/>
      <c r="GC264" s="16"/>
      <c r="GD264" s="16"/>
      <c r="GE264" s="16"/>
      <c r="GF264" s="33"/>
      <c r="GG264" s="33"/>
      <c r="GH264" s="33"/>
      <c r="GI264" s="33"/>
      <c r="GJ264" s="33"/>
      <c r="GK264" s="33"/>
      <c r="GL264" s="33"/>
      <c r="GM264" s="33"/>
      <c r="GN264" s="33"/>
      <c r="GO264" s="33"/>
      <c r="GP264" s="33"/>
      <c r="GQ264" s="33"/>
      <c r="GR264"/>
      <c r="GS264" s="16"/>
      <c r="GT264" s="16"/>
      <c r="GU264" s="16"/>
      <c r="GV264" s="16"/>
      <c r="GW264" s="16"/>
      <c r="GX264" s="178"/>
    </row>
    <row r="265" spans="1:206" s="15" customFormat="1">
      <c r="A265" s="16"/>
      <c r="B265" s="16"/>
      <c r="C265" s="17"/>
      <c r="D265" s="17"/>
      <c r="E265" s="17"/>
      <c r="F265" s="17"/>
      <c r="G265" s="17"/>
      <c r="H265" s="16"/>
      <c r="I265" s="22"/>
      <c r="J265" s="17"/>
      <c r="K265" s="17"/>
      <c r="L265" s="17"/>
      <c r="M265" s="17"/>
      <c r="N265" s="16"/>
      <c r="O265" s="16"/>
      <c r="P265" s="16"/>
      <c r="Q265" s="23"/>
      <c r="R265" s="23"/>
      <c r="S265" s="23"/>
      <c r="T265" s="177"/>
      <c r="U265" s="22"/>
      <c r="V265" s="22"/>
      <c r="W265" s="16"/>
      <c r="X265" s="16"/>
      <c r="Y265" s="372"/>
      <c r="Z265" s="370"/>
      <c r="AA265" s="372"/>
      <c r="AB265" s="372"/>
      <c r="AC265" s="372"/>
      <c r="AD265" s="372"/>
      <c r="AE265" s="372"/>
      <c r="AF265" s="372"/>
      <c r="AG265" s="372"/>
      <c r="AH265" s="372"/>
      <c r="AI265" s="372"/>
      <c r="AJ265" s="372"/>
      <c r="AK265" s="372"/>
      <c r="AL265" s="372"/>
      <c r="AM265" s="372"/>
      <c r="AN265" s="372"/>
      <c r="AO265" s="372"/>
      <c r="AP265" s="372"/>
      <c r="AQ265" s="26"/>
      <c r="AR265" s="16"/>
      <c r="AS265" s="16"/>
      <c r="AT265" s="25"/>
      <c r="AU265" s="25"/>
      <c r="AV265" s="25"/>
      <c r="AW265" s="25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27"/>
      <c r="BT265" s="16"/>
      <c r="BU265" s="16"/>
      <c r="BV265" s="16"/>
      <c r="BW265" s="16"/>
      <c r="BX265" s="16"/>
      <c r="BY265" s="16"/>
      <c r="BZ265" s="16"/>
      <c r="CA265" s="16"/>
      <c r="CB265" s="25"/>
      <c r="CC265" s="16"/>
      <c r="CD265" s="16"/>
      <c r="CE265" s="16"/>
      <c r="CF265" s="16"/>
      <c r="CG265" s="16"/>
      <c r="CH265" s="25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25"/>
      <c r="EY265" s="16"/>
      <c r="EZ265" s="16"/>
      <c r="FA265" s="16"/>
      <c r="FB265" s="16"/>
      <c r="FC265" s="16"/>
      <c r="FD265" s="16"/>
      <c r="FE265" s="16"/>
      <c r="FK265" s="16"/>
      <c r="FQ265" s="16"/>
      <c r="FR265" s="16"/>
      <c r="FS265" s="16"/>
      <c r="FT265" s="33"/>
      <c r="FU265" s="361"/>
      <c r="FV265" s="33"/>
      <c r="FW265" s="16"/>
      <c r="FX265" s="16"/>
      <c r="FY265" s="16"/>
      <c r="FZ265" s="16"/>
      <c r="GA265" s="33"/>
      <c r="GB265" s="16"/>
      <c r="GC265" s="16"/>
      <c r="GD265" s="16"/>
      <c r="GE265" s="16"/>
      <c r="GF265" s="33"/>
      <c r="GG265" s="33"/>
      <c r="GH265" s="33"/>
      <c r="GI265" s="33"/>
      <c r="GJ265" s="33"/>
      <c r="GK265" s="33"/>
      <c r="GL265" s="33"/>
      <c r="GM265" s="33"/>
      <c r="GN265" s="33"/>
      <c r="GO265" s="33"/>
      <c r="GP265" s="33"/>
      <c r="GQ265" s="33"/>
      <c r="GR265"/>
      <c r="GS265" s="16"/>
      <c r="GT265" s="16"/>
      <c r="GU265" s="16"/>
      <c r="GV265" s="16"/>
      <c r="GW265" s="16"/>
      <c r="GX265" s="178"/>
    </row>
    <row r="266" spans="1:206" s="15" customFormat="1">
      <c r="A266" s="16"/>
      <c r="B266" s="16"/>
      <c r="C266" s="17"/>
      <c r="D266" s="17"/>
      <c r="E266" s="17"/>
      <c r="F266" s="17"/>
      <c r="G266" s="17"/>
      <c r="H266" s="16"/>
      <c r="I266" s="22"/>
      <c r="J266" s="17"/>
      <c r="K266" s="17"/>
      <c r="L266" s="17"/>
      <c r="M266" s="17"/>
      <c r="N266" s="16"/>
      <c r="O266" s="16"/>
      <c r="P266" s="16"/>
      <c r="Q266" s="23"/>
      <c r="R266" s="23"/>
      <c r="S266" s="23"/>
      <c r="T266" s="177"/>
      <c r="U266" s="22"/>
      <c r="V266" s="22"/>
      <c r="W266" s="16"/>
      <c r="X266" s="16"/>
      <c r="Y266" s="372"/>
      <c r="Z266" s="370"/>
      <c r="AA266" s="372"/>
      <c r="AB266" s="372"/>
      <c r="AC266" s="372"/>
      <c r="AD266" s="372"/>
      <c r="AE266" s="372"/>
      <c r="AF266" s="372"/>
      <c r="AG266" s="372"/>
      <c r="AH266" s="372"/>
      <c r="AI266" s="372"/>
      <c r="AJ266" s="372"/>
      <c r="AK266" s="372"/>
      <c r="AL266" s="372"/>
      <c r="AM266" s="372"/>
      <c r="AN266" s="372"/>
      <c r="AO266" s="372"/>
      <c r="AP266" s="372"/>
      <c r="AQ266" s="26"/>
      <c r="AR266" s="16"/>
      <c r="AS266" s="16"/>
      <c r="AT266" s="25"/>
      <c r="AU266" s="25"/>
      <c r="AV266" s="25"/>
      <c r="AW266" s="25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27"/>
      <c r="BT266" s="16"/>
      <c r="BU266" s="16"/>
      <c r="BV266" s="16"/>
      <c r="BW266" s="16"/>
      <c r="BX266" s="16"/>
      <c r="BY266" s="16"/>
      <c r="BZ266" s="16"/>
      <c r="CA266" s="16"/>
      <c r="CB266" s="25"/>
      <c r="CC266" s="16"/>
      <c r="CD266" s="16"/>
      <c r="CE266" s="16"/>
      <c r="CF266" s="16"/>
      <c r="CG266" s="16"/>
      <c r="CH266" s="25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16"/>
      <c r="EJ266" s="16"/>
      <c r="EK266" s="16"/>
      <c r="EL266" s="16"/>
      <c r="EM266" s="16"/>
      <c r="EN266" s="16"/>
      <c r="EO266" s="16"/>
      <c r="EP266" s="16"/>
      <c r="EQ266" s="16"/>
      <c r="ER266" s="16"/>
      <c r="ES266" s="16"/>
      <c r="ET266" s="16"/>
      <c r="EU266" s="16"/>
      <c r="EV266" s="16"/>
      <c r="EW266" s="16"/>
      <c r="EX266" s="25"/>
      <c r="EY266" s="16"/>
      <c r="EZ266" s="16"/>
      <c r="FA266" s="16"/>
      <c r="FB266" s="16"/>
      <c r="FC266" s="16"/>
      <c r="FD266" s="16"/>
      <c r="FE266" s="16"/>
      <c r="FK266" s="16"/>
      <c r="FQ266" s="16"/>
      <c r="FR266" s="16"/>
      <c r="FS266" s="16"/>
      <c r="FT266" s="33"/>
      <c r="FU266" s="361"/>
      <c r="FV266" s="33"/>
      <c r="FW266" s="16"/>
      <c r="FX266" s="16"/>
      <c r="FY266" s="16"/>
      <c r="FZ266" s="16"/>
      <c r="GA266" s="33"/>
      <c r="GB266" s="16"/>
      <c r="GC266" s="16"/>
      <c r="GD266" s="16"/>
      <c r="GE266" s="16"/>
      <c r="GF266" s="33"/>
      <c r="GG266" s="33"/>
      <c r="GH266" s="33"/>
      <c r="GI266" s="33"/>
      <c r="GJ266" s="33"/>
      <c r="GK266" s="33"/>
      <c r="GL266" s="33"/>
      <c r="GM266" s="33"/>
      <c r="GN266" s="33"/>
      <c r="GO266" s="33"/>
      <c r="GP266" s="33"/>
      <c r="GQ266" s="33"/>
      <c r="GR266"/>
      <c r="GS266" s="16"/>
      <c r="GT266" s="16"/>
      <c r="GU266" s="16"/>
      <c r="GV266" s="16"/>
      <c r="GW266" s="16"/>
      <c r="GX266" s="178"/>
    </row>
    <row r="267" spans="1:206" s="15" customFormat="1">
      <c r="A267" s="16"/>
      <c r="B267" s="16"/>
      <c r="C267" s="17"/>
      <c r="D267" s="17"/>
      <c r="E267" s="17"/>
      <c r="F267" s="17"/>
      <c r="G267" s="17"/>
      <c r="H267" s="16"/>
      <c r="I267" s="22"/>
      <c r="J267" s="17"/>
      <c r="K267" s="17"/>
      <c r="L267" s="17"/>
      <c r="M267" s="17"/>
      <c r="N267" s="16"/>
      <c r="O267" s="16"/>
      <c r="P267" s="16"/>
      <c r="Q267" s="23"/>
      <c r="R267" s="23"/>
      <c r="S267" s="23"/>
      <c r="T267" s="177"/>
      <c r="U267" s="22"/>
      <c r="V267" s="22"/>
      <c r="W267" s="16"/>
      <c r="X267" s="16"/>
      <c r="Y267" s="372"/>
      <c r="Z267" s="370"/>
      <c r="AA267" s="372"/>
      <c r="AB267" s="372"/>
      <c r="AC267" s="372"/>
      <c r="AD267" s="372"/>
      <c r="AE267" s="372"/>
      <c r="AF267" s="372"/>
      <c r="AG267" s="372"/>
      <c r="AH267" s="372"/>
      <c r="AI267" s="372"/>
      <c r="AJ267" s="372"/>
      <c r="AK267" s="372"/>
      <c r="AL267" s="372"/>
      <c r="AM267" s="372"/>
      <c r="AN267" s="372"/>
      <c r="AO267" s="372"/>
      <c r="AP267" s="372"/>
      <c r="AQ267" s="26"/>
      <c r="AR267" s="16"/>
      <c r="AS267" s="16"/>
      <c r="AT267" s="25"/>
      <c r="AU267" s="25"/>
      <c r="AV267" s="25"/>
      <c r="AW267" s="25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27"/>
      <c r="BT267" s="16"/>
      <c r="BU267" s="16"/>
      <c r="BV267" s="16"/>
      <c r="BW267" s="16"/>
      <c r="BX267" s="16"/>
      <c r="BY267" s="16"/>
      <c r="BZ267" s="16"/>
      <c r="CA267" s="16"/>
      <c r="CB267" s="25"/>
      <c r="CC267" s="16"/>
      <c r="CD267" s="16"/>
      <c r="CE267" s="16"/>
      <c r="CF267" s="16"/>
      <c r="CG267" s="16"/>
      <c r="CH267" s="25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25"/>
      <c r="EY267" s="16"/>
      <c r="EZ267" s="16"/>
      <c r="FA267" s="16"/>
      <c r="FB267" s="16"/>
      <c r="FC267" s="16"/>
      <c r="FD267" s="16"/>
      <c r="FE267" s="16"/>
      <c r="FK267" s="16"/>
      <c r="FQ267" s="16"/>
      <c r="FR267" s="16"/>
      <c r="FS267" s="16"/>
      <c r="FT267" s="33"/>
      <c r="FU267" s="361"/>
      <c r="FV267" s="33"/>
      <c r="FW267" s="16"/>
      <c r="FX267" s="16"/>
      <c r="FY267" s="16"/>
      <c r="FZ267" s="16"/>
      <c r="GA267" s="33"/>
      <c r="GB267" s="16"/>
      <c r="GC267" s="16"/>
      <c r="GD267" s="16"/>
      <c r="GE267" s="16"/>
      <c r="GF267" s="33"/>
      <c r="GG267" s="33"/>
      <c r="GH267" s="33"/>
      <c r="GI267" s="33"/>
      <c r="GJ267" s="33"/>
      <c r="GK267" s="33"/>
      <c r="GL267" s="33"/>
      <c r="GM267" s="33"/>
      <c r="GN267" s="33"/>
      <c r="GO267" s="33"/>
      <c r="GP267" s="33"/>
      <c r="GQ267" s="33"/>
      <c r="GR267"/>
      <c r="GS267" s="16"/>
      <c r="GT267" s="16"/>
      <c r="GU267" s="16"/>
      <c r="GV267" s="16"/>
      <c r="GW267" s="16"/>
      <c r="GX267" s="178"/>
    </row>
    <row r="268" spans="1:206" s="15" customFormat="1">
      <c r="A268" s="16"/>
      <c r="B268" s="16"/>
      <c r="C268" s="17"/>
      <c r="D268" s="17"/>
      <c r="E268" s="17"/>
      <c r="F268" s="17"/>
      <c r="G268" s="17"/>
      <c r="H268" s="16"/>
      <c r="I268" s="22"/>
      <c r="J268" s="17"/>
      <c r="K268" s="17"/>
      <c r="L268" s="17"/>
      <c r="M268" s="17"/>
      <c r="N268" s="16"/>
      <c r="O268" s="16"/>
      <c r="P268" s="16"/>
      <c r="Q268" s="23"/>
      <c r="R268" s="23"/>
      <c r="S268" s="23"/>
      <c r="T268" s="177"/>
      <c r="U268" s="22"/>
      <c r="V268" s="22"/>
      <c r="W268" s="16"/>
      <c r="X268" s="16"/>
      <c r="Y268" s="372"/>
      <c r="Z268" s="370"/>
      <c r="AA268" s="372"/>
      <c r="AB268" s="372"/>
      <c r="AC268" s="372"/>
      <c r="AD268" s="372"/>
      <c r="AE268" s="372"/>
      <c r="AF268" s="372"/>
      <c r="AG268" s="372"/>
      <c r="AH268" s="372"/>
      <c r="AI268" s="372"/>
      <c r="AJ268" s="372"/>
      <c r="AK268" s="372"/>
      <c r="AL268" s="372"/>
      <c r="AM268" s="372"/>
      <c r="AN268" s="372"/>
      <c r="AO268" s="372"/>
      <c r="AP268" s="372"/>
      <c r="AQ268" s="26"/>
      <c r="AR268" s="16"/>
      <c r="AS268" s="16"/>
      <c r="AT268" s="25"/>
      <c r="AU268" s="25"/>
      <c r="AV268" s="25"/>
      <c r="AW268" s="25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27"/>
      <c r="BT268" s="16"/>
      <c r="BU268" s="16"/>
      <c r="BV268" s="16"/>
      <c r="BW268" s="16"/>
      <c r="BX268" s="16"/>
      <c r="BY268" s="16"/>
      <c r="BZ268" s="16"/>
      <c r="CA268" s="16"/>
      <c r="CB268" s="25"/>
      <c r="CC268" s="16"/>
      <c r="CD268" s="16"/>
      <c r="CE268" s="16"/>
      <c r="CF268" s="16"/>
      <c r="CG268" s="16"/>
      <c r="CH268" s="25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  <c r="EC268" s="16"/>
      <c r="ED268" s="16"/>
      <c r="EE268" s="16"/>
      <c r="EF268" s="16"/>
      <c r="EG268" s="16"/>
      <c r="EH268" s="16"/>
      <c r="EI268" s="16"/>
      <c r="EJ268" s="16"/>
      <c r="EK268" s="16"/>
      <c r="EL268" s="16"/>
      <c r="EM268" s="16"/>
      <c r="EN268" s="16"/>
      <c r="EO268" s="16"/>
      <c r="EP268" s="16"/>
      <c r="EQ268" s="16"/>
      <c r="ER268" s="16"/>
      <c r="ES268" s="16"/>
      <c r="ET268" s="16"/>
      <c r="EU268" s="16"/>
      <c r="EV268" s="16"/>
      <c r="EW268" s="16"/>
      <c r="EX268" s="25"/>
      <c r="EY268" s="16"/>
      <c r="EZ268" s="16"/>
      <c r="FA268" s="16"/>
      <c r="FB268" s="16"/>
      <c r="FC268" s="16"/>
      <c r="FD268" s="16"/>
      <c r="FE268" s="16"/>
      <c r="FK268" s="16"/>
      <c r="FQ268" s="16"/>
      <c r="FR268" s="16"/>
      <c r="FS268" s="16"/>
      <c r="FT268" s="33"/>
      <c r="FU268" s="361"/>
      <c r="FV268" s="33"/>
      <c r="FW268" s="16"/>
      <c r="FX268" s="16"/>
      <c r="FY268" s="16"/>
      <c r="FZ268" s="16"/>
      <c r="GA268" s="33"/>
      <c r="GB268" s="16"/>
      <c r="GC268" s="16"/>
      <c r="GD268" s="16"/>
      <c r="GE268" s="16"/>
      <c r="GF268" s="33"/>
      <c r="GG268" s="33"/>
      <c r="GH268" s="33"/>
      <c r="GI268" s="33"/>
      <c r="GJ268" s="33"/>
      <c r="GK268" s="33"/>
      <c r="GL268" s="33"/>
      <c r="GM268" s="33"/>
      <c r="GN268" s="33"/>
      <c r="GO268" s="33"/>
      <c r="GP268" s="33"/>
      <c r="GQ268" s="33"/>
      <c r="GR268"/>
      <c r="GS268" s="16"/>
      <c r="GT268" s="16"/>
      <c r="GU268" s="16"/>
      <c r="GV268" s="16"/>
      <c r="GW268" s="16"/>
      <c r="GX268" s="178"/>
    </row>
  </sheetData>
  <sheetProtection formatCells="0" formatColumns="0" formatRows="0" insertColumns="0" insertRows="0" insertHyperlinks="0" deleteColumns="0" deleteRows="0" sort="0" autoFilter="0" pivotTables="0"/>
  <autoFilter ref="A5:GY193" xr:uid="{D09901FE-E1F8-49E0-A869-F67E1CCE025C}">
    <filterColumn colId="8">
      <filters>
        <filter val="Cho, Seunghee"/>
        <filter val="Choi, Hee Whan （최희환）"/>
        <filter val="Choi, Hyunil"/>
        <filter val="Choi, HyunYoung"/>
        <filter val="Choi, Seul Gi （최슬기）"/>
        <filter val="Jeon, Youngchul （전영철）"/>
        <filter val="Kang, Minbum （강민범 - 姜敃範）"/>
        <filter val="Kang, Yang Mo （강양모）"/>
        <filter val="Kim, HyoungYoon （김형윤）"/>
        <filter val="Kim, Jinhong"/>
        <filter val="Kim, Juhyun"/>
        <filter val="Kim, Kapjin （김갑진）"/>
        <filter val="Kim, Pyung Hee （김평희）"/>
        <filter val="Kim, Seonah （김선아）"/>
        <filter val="Kim, Taekhoon"/>
        <filter val="Kim, Wooyoung"/>
        <filter val="Koo, TaeWan （구태완）"/>
        <filter val="Kwon, Jihyun"/>
        <filter val="Lee, Chang Hyeon （이창현）"/>
        <filter val="Lee, Jehyun （이제현）"/>
        <filter val="Lee, Jihyun"/>
        <filter val="Lee, Uimin"/>
        <filter val="Lim, Chang Yong （임창용 - 林昌龍）"/>
        <filter val="Lim, Sanghun （임상훈）"/>
        <filter val="Maeng, Sohyun"/>
        <filter val="Min, Seonhu"/>
        <filter val="Park, Gunhee （박건희 - 朴建熙）"/>
        <filter val="Park, Keun-Joon （박근준）"/>
        <filter val="Park, Mikyung"/>
        <filter val="Roh, Suheun （노수흔）"/>
        <filter val="Seo, Kyoung-Hee （서경희）"/>
        <filter val="Shin, Donghwa （신동화 - 申東禾）"/>
        <filter val="Shin, Hanil （신한일）"/>
        <filter val="Shin, Hyun Young （신현영）"/>
        <filter val="Shin, Jiwoo （신지우）"/>
        <filter val="Shon, Heesoo （손희수）"/>
        <filter val="Sim, Kyungseok （심경석 - 沈涇錫）"/>
        <filter val="Sohn, Seungghyu （손승규）"/>
        <filter val="You, Hoesuk （유회숙）"/>
      </filters>
    </filterColumn>
    <filterColumn colId="10">
      <filters>
        <filter val="GSDCSD"/>
      </filters>
    </filterColumn>
  </autoFilter>
  <dataConsolidate/>
  <mergeCells count="19">
    <mergeCell ref="DF4:DI4"/>
    <mergeCell ref="I2:I3"/>
    <mergeCell ref="AT4:AW4"/>
    <mergeCell ref="AX4:BA4"/>
    <mergeCell ref="BB4:BE4"/>
    <mergeCell ref="BF4:BI4"/>
    <mergeCell ref="BV4:BY4"/>
    <mergeCell ref="BZ4:CC4"/>
    <mergeCell ref="CD4:CG4"/>
    <mergeCell ref="CH4:CK4"/>
    <mergeCell ref="CX4:DA4"/>
    <mergeCell ref="DB4:DE4"/>
    <mergeCell ref="GS4:GX4"/>
    <mergeCell ref="DJ4:DM4"/>
    <mergeCell ref="DZ4:EC4"/>
    <mergeCell ref="ED4:EG4"/>
    <mergeCell ref="EH4:EK4"/>
    <mergeCell ref="EL4:EO4"/>
    <mergeCell ref="FQ4:FS4"/>
  </mergeCells>
  <phoneticPr fontId="37" type="noConversion"/>
  <conditionalFormatting sqref="BM81:BM83 BM97:BM98 CO97:CO98 BM22:BM25 CO22:CO25 CO81:CO83 CO27:CO28 BM27:BM28 CO16:CO17 BM16:BM17 CO41:CO42 BM41:BM42 BM32:BM35 CO32:CO35 BM57:BM59 CO57:CO59 CO91:CO95 BM91:BM95 BM62 CO62 BM37:BM39 CO37:CO39 CO6:CO13 BM6:BM13 BM69:BM70 CO69:CO70 CO64:CO66 BM64:BM66 BM47:BM50 CO47:CO50 BM54:BM55 CO54:CO55 BM88 CO88 BM105:BM111 BM113:BM148 CO113:CO148 BM103 CO103:CO111 BM72:BM79 CO72:CO79 CO85:CO86 CO150:CO152 BM150:BM152 BM154:BM180 CO154:CO180">
    <cfRule type="expression" dxfId="332" priority="171">
      <formula>AS6="Annual"</formula>
    </cfRule>
  </conditionalFormatting>
  <conditionalFormatting sqref="P148 P75 P151:P152 P154:P165">
    <cfRule type="cellIs" dxfId="331" priority="170" operator="notEqual">
      <formula>O75</formula>
    </cfRule>
  </conditionalFormatting>
  <conditionalFormatting sqref="DQ97:DQ98 DQ81:DQ83 DQ22:DQ28 DQ16:DQ17 DQ41:DQ42 DQ32:DQ35 DQ57:DQ59 DQ91:DQ95 DQ62 DQ37:DQ39 DQ6:DQ13 DQ69:DQ70 DQ64:DQ66 DQ47:DQ50 DQ54:DQ55 DQ88 DQ113:DQ148 DQ101:DQ111 DQ72:DQ79 DQ85:DQ86 DQ150:DQ152 DQ154:DQ180">
    <cfRule type="expression" dxfId="330" priority="169">
      <formula>CC6="Annual"</formula>
    </cfRule>
  </conditionalFormatting>
  <conditionalFormatting sqref="ES97:ES98 ES19 ES22:ES25 ES27:ES28 ES16:ES17 ES41:ES42 ES32:ES35 ES57:ES59 ES91:ES95 ES62 ES37:ES39 ES6:ES13 ES69:ES70 ES64:ES66 ES47:ES50 ES54:ES55 ES88 ES113:ES148 ES103:ES111 ES72:ES83 ES150:ES152 ES154:ES180">
    <cfRule type="expression" dxfId="329" priority="168">
      <formula>CW6="Annual"</formula>
    </cfRule>
  </conditionalFormatting>
  <conditionalFormatting sqref="CO80 BM80">
    <cfRule type="expression" dxfId="328" priority="167">
      <formula>AS80="Annual"</formula>
    </cfRule>
  </conditionalFormatting>
  <conditionalFormatting sqref="DQ80">
    <cfRule type="expression" dxfId="327" priority="166">
      <formula>CC80="Annual"</formula>
    </cfRule>
  </conditionalFormatting>
  <conditionalFormatting sqref="CO19 BM19">
    <cfRule type="expression" dxfId="326" priority="165">
      <formula>AS19="Annual"</formula>
    </cfRule>
  </conditionalFormatting>
  <conditionalFormatting sqref="DQ19">
    <cfRule type="expression" dxfId="325" priority="164">
      <formula>CC19="Annual"</formula>
    </cfRule>
  </conditionalFormatting>
  <conditionalFormatting sqref="ES18">
    <cfRule type="expression" dxfId="324" priority="163">
      <formula>CW18="Annual"</formula>
    </cfRule>
  </conditionalFormatting>
  <conditionalFormatting sqref="CO18 BM18">
    <cfRule type="expression" dxfId="323" priority="162">
      <formula>AS18="Annual"</formula>
    </cfRule>
  </conditionalFormatting>
  <conditionalFormatting sqref="DQ18">
    <cfRule type="expression" dxfId="322" priority="161">
      <formula>CC18="Annual"</formula>
    </cfRule>
  </conditionalFormatting>
  <conditionalFormatting sqref="ES89">
    <cfRule type="expression" dxfId="321" priority="160">
      <formula>CW89="Annual"</formula>
    </cfRule>
  </conditionalFormatting>
  <conditionalFormatting sqref="CO89 BM89">
    <cfRule type="expression" dxfId="320" priority="159">
      <formula>AS89="Annual"</formula>
    </cfRule>
  </conditionalFormatting>
  <conditionalFormatting sqref="DQ89">
    <cfRule type="expression" dxfId="319" priority="158">
      <formula>CC89="Annual"</formula>
    </cfRule>
  </conditionalFormatting>
  <conditionalFormatting sqref="BM99 CO99">
    <cfRule type="expression" dxfId="318" priority="157">
      <formula>AS99="Annual"</formula>
    </cfRule>
  </conditionalFormatting>
  <conditionalFormatting sqref="DQ99">
    <cfRule type="expression" dxfId="317" priority="156">
      <formula>CC99="Annual"</formula>
    </cfRule>
  </conditionalFormatting>
  <conditionalFormatting sqref="ES99">
    <cfRule type="expression" dxfId="316" priority="155">
      <formula>CW99="Annual"</formula>
    </cfRule>
  </conditionalFormatting>
  <conditionalFormatting sqref="ES96">
    <cfRule type="expression" dxfId="315" priority="154">
      <formula>CW96="Annual"</formula>
    </cfRule>
  </conditionalFormatting>
  <conditionalFormatting sqref="CO96 BM96">
    <cfRule type="expression" dxfId="314" priority="153">
      <formula>AS96="Annual"</formula>
    </cfRule>
  </conditionalFormatting>
  <conditionalFormatting sqref="DQ96">
    <cfRule type="expression" dxfId="313" priority="152">
      <formula>CC96="Annual"</formula>
    </cfRule>
  </conditionalFormatting>
  <conditionalFormatting sqref="ES46">
    <cfRule type="expression" dxfId="312" priority="151">
      <formula>CW46="Annual"</formula>
    </cfRule>
  </conditionalFormatting>
  <conditionalFormatting sqref="CO46 BM46">
    <cfRule type="expression" dxfId="311" priority="150">
      <formula>AS46="Annual"</formula>
    </cfRule>
  </conditionalFormatting>
  <conditionalFormatting sqref="DQ46">
    <cfRule type="expression" dxfId="310" priority="149">
      <formula>CC46="Annual"</formula>
    </cfRule>
  </conditionalFormatting>
  <conditionalFormatting sqref="BM51 CO51">
    <cfRule type="expression" dxfId="309" priority="148">
      <formula>AS51="Annual"</formula>
    </cfRule>
  </conditionalFormatting>
  <conditionalFormatting sqref="DQ51">
    <cfRule type="expression" dxfId="308" priority="147">
      <formula>CC51="Annual"</formula>
    </cfRule>
  </conditionalFormatting>
  <conditionalFormatting sqref="ES51">
    <cfRule type="expression" dxfId="307" priority="146">
      <formula>CW51="Annual"</formula>
    </cfRule>
  </conditionalFormatting>
  <conditionalFormatting sqref="ES90">
    <cfRule type="expression" dxfId="306" priority="145">
      <formula>CW90="Annual"</formula>
    </cfRule>
  </conditionalFormatting>
  <conditionalFormatting sqref="CO90 BM90">
    <cfRule type="expression" dxfId="305" priority="144">
      <formula>AS90="Annual"</formula>
    </cfRule>
  </conditionalFormatting>
  <conditionalFormatting sqref="DQ90">
    <cfRule type="expression" dxfId="304" priority="143">
      <formula>CC90="Annual"</formula>
    </cfRule>
  </conditionalFormatting>
  <conditionalFormatting sqref="ES29">
    <cfRule type="expression" dxfId="303" priority="142">
      <formula>CW29="Annual"</formula>
    </cfRule>
  </conditionalFormatting>
  <conditionalFormatting sqref="CO29 BM29">
    <cfRule type="expression" dxfId="302" priority="141">
      <formula>AS29="Annual"</formula>
    </cfRule>
  </conditionalFormatting>
  <conditionalFormatting sqref="DQ29">
    <cfRule type="expression" dxfId="301" priority="140">
      <formula>CC29="Annual"</formula>
    </cfRule>
  </conditionalFormatting>
  <conditionalFormatting sqref="BM71 CO71">
    <cfRule type="expression" dxfId="300" priority="139">
      <formula>AS71="Annual"</formula>
    </cfRule>
  </conditionalFormatting>
  <conditionalFormatting sqref="DQ71">
    <cfRule type="expression" dxfId="299" priority="138">
      <formula>CC71="Annual"</formula>
    </cfRule>
  </conditionalFormatting>
  <conditionalFormatting sqref="ES71">
    <cfRule type="expression" dxfId="298" priority="137">
      <formula>CW71="Annual"</formula>
    </cfRule>
  </conditionalFormatting>
  <conditionalFormatting sqref="ES85">
    <cfRule type="expression" dxfId="297" priority="136">
      <formula>CW85="Annual"</formula>
    </cfRule>
  </conditionalFormatting>
  <conditionalFormatting sqref="CO85 BM85">
    <cfRule type="expression" dxfId="296" priority="135">
      <formula>AS85="Annual"</formula>
    </cfRule>
  </conditionalFormatting>
  <conditionalFormatting sqref="BM26">
    <cfRule type="expression" dxfId="295" priority="134">
      <formula>AS26="Annual"</formula>
    </cfRule>
  </conditionalFormatting>
  <conditionalFormatting sqref="CO26">
    <cfRule type="expression" dxfId="294" priority="133">
      <formula>BU26="Annual"</formula>
    </cfRule>
  </conditionalFormatting>
  <conditionalFormatting sqref="ES26">
    <cfRule type="expression" dxfId="293" priority="132">
      <formula>CW26="Annual"</formula>
    </cfRule>
  </conditionalFormatting>
  <conditionalFormatting sqref="DQ43">
    <cfRule type="expression" dxfId="292" priority="131">
      <formula>CC43="Annual"</formula>
    </cfRule>
  </conditionalFormatting>
  <conditionalFormatting sqref="BM43">
    <cfRule type="expression" dxfId="291" priority="130">
      <formula>AS43="Annual"</formula>
    </cfRule>
  </conditionalFormatting>
  <conditionalFormatting sqref="CO43">
    <cfRule type="expression" dxfId="290" priority="129">
      <formula>BU43="Annual"</formula>
    </cfRule>
  </conditionalFormatting>
  <conditionalFormatting sqref="ES43">
    <cfRule type="expression" dxfId="289" priority="128">
      <formula>CW43="Annual"</formula>
    </cfRule>
  </conditionalFormatting>
  <conditionalFormatting sqref="DQ20">
    <cfRule type="expression" dxfId="288" priority="127">
      <formula>CC20="Annual"</formula>
    </cfRule>
  </conditionalFormatting>
  <conditionalFormatting sqref="BM20">
    <cfRule type="expression" dxfId="287" priority="126">
      <formula>AS20="Annual"</formula>
    </cfRule>
  </conditionalFormatting>
  <conditionalFormatting sqref="CO20">
    <cfRule type="expression" dxfId="286" priority="125">
      <formula>BU20="Annual"</formula>
    </cfRule>
  </conditionalFormatting>
  <conditionalFormatting sqref="ES20">
    <cfRule type="expression" dxfId="285" priority="124">
      <formula>CW20="Annual"</formula>
    </cfRule>
  </conditionalFormatting>
  <conditionalFormatting sqref="BM61 CO61">
    <cfRule type="expression" dxfId="284" priority="123">
      <formula>AS61="Annual"</formula>
    </cfRule>
  </conditionalFormatting>
  <conditionalFormatting sqref="DQ61">
    <cfRule type="expression" dxfId="283" priority="122">
      <formula>CC61="Annual"</formula>
    </cfRule>
  </conditionalFormatting>
  <conditionalFormatting sqref="ES61">
    <cfRule type="expression" dxfId="282" priority="121">
      <formula>CW61="Annual"</formula>
    </cfRule>
  </conditionalFormatting>
  <conditionalFormatting sqref="BM44 CO44">
    <cfRule type="expression" dxfId="281" priority="120">
      <formula>AS44="Annual"</formula>
    </cfRule>
  </conditionalFormatting>
  <conditionalFormatting sqref="DQ44">
    <cfRule type="expression" dxfId="280" priority="119">
      <formula>CC44="Annual"</formula>
    </cfRule>
  </conditionalFormatting>
  <conditionalFormatting sqref="ES44">
    <cfRule type="expression" dxfId="279" priority="118">
      <formula>CW44="Annual"</formula>
    </cfRule>
  </conditionalFormatting>
  <conditionalFormatting sqref="CO14 BM14">
    <cfRule type="expression" dxfId="278" priority="117">
      <formula>AS14="Annual"</formula>
    </cfRule>
  </conditionalFormatting>
  <conditionalFormatting sqref="DQ14">
    <cfRule type="expression" dxfId="277" priority="116">
      <formula>CC14="Annual"</formula>
    </cfRule>
  </conditionalFormatting>
  <conditionalFormatting sqref="ES14">
    <cfRule type="expression" dxfId="276" priority="115">
      <formula>CW14="Annual"</formula>
    </cfRule>
  </conditionalFormatting>
  <conditionalFormatting sqref="BM45 CO45">
    <cfRule type="expression" dxfId="275" priority="114">
      <formula>AS45="Annual"</formula>
    </cfRule>
  </conditionalFormatting>
  <conditionalFormatting sqref="DQ45">
    <cfRule type="expression" dxfId="274" priority="113">
      <formula>CC45="Annual"</formula>
    </cfRule>
  </conditionalFormatting>
  <conditionalFormatting sqref="ES45">
    <cfRule type="expression" dxfId="273" priority="112">
      <formula>CW45="Annual"</formula>
    </cfRule>
  </conditionalFormatting>
  <conditionalFormatting sqref="CO101 BM101">
    <cfRule type="expression" dxfId="272" priority="111">
      <formula>AS101="Annual"</formula>
    </cfRule>
  </conditionalFormatting>
  <conditionalFormatting sqref="ES101">
    <cfRule type="expression" dxfId="271" priority="110">
      <formula>CW101="Annual"</formula>
    </cfRule>
  </conditionalFormatting>
  <conditionalFormatting sqref="ES102">
    <cfRule type="expression" dxfId="270" priority="109">
      <formula>CW102="Annual"</formula>
    </cfRule>
  </conditionalFormatting>
  <conditionalFormatting sqref="BM102">
    <cfRule type="expression" dxfId="269" priority="108">
      <formula>AS102="Annual"</formula>
    </cfRule>
  </conditionalFormatting>
  <conditionalFormatting sqref="BM30">
    <cfRule type="expression" dxfId="268" priority="107">
      <formula>AS30="Annual"</formula>
    </cfRule>
  </conditionalFormatting>
  <conditionalFormatting sqref="CO30">
    <cfRule type="expression" dxfId="267" priority="106">
      <formula>BU30="Annual"</formula>
    </cfRule>
  </conditionalFormatting>
  <conditionalFormatting sqref="DQ30">
    <cfRule type="expression" dxfId="266" priority="105">
      <formula>CC30="Annual"</formula>
    </cfRule>
  </conditionalFormatting>
  <conditionalFormatting sqref="ES30">
    <cfRule type="expression" dxfId="265" priority="104">
      <formula>CW30="Annual"</formula>
    </cfRule>
  </conditionalFormatting>
  <conditionalFormatting sqref="CO102">
    <cfRule type="expression" dxfId="264" priority="103">
      <formula>BU102="Annual"</formula>
    </cfRule>
  </conditionalFormatting>
  <conditionalFormatting sqref="BM86">
    <cfRule type="expression" dxfId="263" priority="102">
      <formula>AS86="Annual"</formula>
    </cfRule>
  </conditionalFormatting>
  <conditionalFormatting sqref="CO86">
    <cfRule type="expression" dxfId="262" priority="101">
      <formula>BU86="Annual"</formula>
    </cfRule>
  </conditionalFormatting>
  <conditionalFormatting sqref="ES86">
    <cfRule type="expression" dxfId="261" priority="100">
      <formula>CW86="Annual"</formula>
    </cfRule>
  </conditionalFormatting>
  <conditionalFormatting sqref="BM87">
    <cfRule type="expression" dxfId="260" priority="99">
      <formula>AS87="Annual"</formula>
    </cfRule>
  </conditionalFormatting>
  <conditionalFormatting sqref="CO87">
    <cfRule type="expression" dxfId="259" priority="98">
      <formula>BU87="Annual"</formula>
    </cfRule>
  </conditionalFormatting>
  <conditionalFormatting sqref="CO87">
    <cfRule type="expression" dxfId="258" priority="97">
      <formula>BU87="Annual"</formula>
    </cfRule>
  </conditionalFormatting>
  <conditionalFormatting sqref="DQ87">
    <cfRule type="expression" dxfId="257" priority="96">
      <formula>CC87="Annual"</formula>
    </cfRule>
  </conditionalFormatting>
  <conditionalFormatting sqref="ES87">
    <cfRule type="expression" dxfId="256" priority="95">
      <formula>CW87="Annual"</formula>
    </cfRule>
  </conditionalFormatting>
  <conditionalFormatting sqref="BM21">
    <cfRule type="expression" dxfId="255" priority="94">
      <formula>AS21="Annual"</formula>
    </cfRule>
  </conditionalFormatting>
  <conditionalFormatting sqref="CO21">
    <cfRule type="expression" dxfId="254" priority="93">
      <formula>BU21="Annual"</formula>
    </cfRule>
  </conditionalFormatting>
  <conditionalFormatting sqref="DQ21">
    <cfRule type="expression" dxfId="253" priority="92">
      <formula>CC21="Annual"</formula>
    </cfRule>
  </conditionalFormatting>
  <conditionalFormatting sqref="ES21">
    <cfRule type="expression" dxfId="252" priority="91">
      <formula>CW21="Annual"</formula>
    </cfRule>
  </conditionalFormatting>
  <conditionalFormatting sqref="BM31">
    <cfRule type="expression" dxfId="251" priority="90">
      <formula>AS31="Annual"</formula>
    </cfRule>
  </conditionalFormatting>
  <conditionalFormatting sqref="CO31">
    <cfRule type="expression" dxfId="250" priority="89">
      <formula>BU31="Annual"</formula>
    </cfRule>
  </conditionalFormatting>
  <conditionalFormatting sqref="DQ31">
    <cfRule type="expression" dxfId="249" priority="88">
      <formula>CC31="Annual"</formula>
    </cfRule>
  </conditionalFormatting>
  <conditionalFormatting sqref="ES31">
    <cfRule type="expression" dxfId="248" priority="87">
      <formula>CW31="Annual"</formula>
    </cfRule>
  </conditionalFormatting>
  <conditionalFormatting sqref="BM67">
    <cfRule type="expression" dxfId="247" priority="86">
      <formula>AS67="Annual"</formula>
    </cfRule>
  </conditionalFormatting>
  <conditionalFormatting sqref="CO67">
    <cfRule type="expression" dxfId="246" priority="85">
      <formula>BU67="Annual"</formula>
    </cfRule>
  </conditionalFormatting>
  <conditionalFormatting sqref="DQ67">
    <cfRule type="expression" dxfId="245" priority="84">
      <formula>CC67="Annual"</formula>
    </cfRule>
  </conditionalFormatting>
  <conditionalFormatting sqref="ES67">
    <cfRule type="expression" dxfId="244" priority="83">
      <formula>CW67="Annual"</formula>
    </cfRule>
  </conditionalFormatting>
  <conditionalFormatting sqref="BM15">
    <cfRule type="expression" dxfId="243" priority="82">
      <formula>AS15="Annual"</formula>
    </cfRule>
  </conditionalFormatting>
  <conditionalFormatting sqref="CO15">
    <cfRule type="expression" dxfId="242" priority="81">
      <formula>BU15="Annual"</formula>
    </cfRule>
  </conditionalFormatting>
  <conditionalFormatting sqref="DQ15">
    <cfRule type="expression" dxfId="241" priority="80">
      <formula>CC15="Annual"</formula>
    </cfRule>
  </conditionalFormatting>
  <conditionalFormatting sqref="ES15">
    <cfRule type="expression" dxfId="240" priority="79">
      <formula>CW15="Annual"</formula>
    </cfRule>
  </conditionalFormatting>
  <conditionalFormatting sqref="BM40">
    <cfRule type="expression" dxfId="239" priority="78">
      <formula>AS40="Annual"</formula>
    </cfRule>
  </conditionalFormatting>
  <conditionalFormatting sqref="CO40">
    <cfRule type="expression" dxfId="238" priority="77">
      <formula>BU40="Annual"</formula>
    </cfRule>
  </conditionalFormatting>
  <conditionalFormatting sqref="DQ40">
    <cfRule type="expression" dxfId="237" priority="76">
      <formula>CC40="Annual"</formula>
    </cfRule>
  </conditionalFormatting>
  <conditionalFormatting sqref="ES40">
    <cfRule type="expression" dxfId="236" priority="75">
      <formula>CW40="Annual"</formula>
    </cfRule>
  </conditionalFormatting>
  <conditionalFormatting sqref="BM52">
    <cfRule type="expression" dxfId="235" priority="74">
      <formula>AS52="Annual"</formula>
    </cfRule>
  </conditionalFormatting>
  <conditionalFormatting sqref="CO52">
    <cfRule type="expression" dxfId="234" priority="73">
      <formula>BU52="Annual"</formula>
    </cfRule>
  </conditionalFormatting>
  <conditionalFormatting sqref="DQ52">
    <cfRule type="expression" dxfId="233" priority="72">
      <formula>CC52="Annual"</formula>
    </cfRule>
  </conditionalFormatting>
  <conditionalFormatting sqref="ES52">
    <cfRule type="expression" dxfId="232" priority="71">
      <formula>CW52="Annual"</formula>
    </cfRule>
  </conditionalFormatting>
  <conditionalFormatting sqref="BM53">
    <cfRule type="expression" dxfId="231" priority="70">
      <formula>AS53="Annual"</formula>
    </cfRule>
  </conditionalFormatting>
  <conditionalFormatting sqref="CO53">
    <cfRule type="expression" dxfId="230" priority="69">
      <formula>BU53="Annual"</formula>
    </cfRule>
  </conditionalFormatting>
  <conditionalFormatting sqref="DQ53">
    <cfRule type="expression" dxfId="229" priority="68">
      <formula>CC53="Annual"</formula>
    </cfRule>
  </conditionalFormatting>
  <conditionalFormatting sqref="ES53">
    <cfRule type="expression" dxfId="228" priority="67">
      <formula>CW53="Annual"</formula>
    </cfRule>
  </conditionalFormatting>
  <conditionalFormatting sqref="BM112">
    <cfRule type="expression" dxfId="227" priority="66">
      <formula>AS112="Annual"</formula>
    </cfRule>
  </conditionalFormatting>
  <conditionalFormatting sqref="CO112">
    <cfRule type="expression" dxfId="226" priority="65">
      <formula>BU112="Annual"</formula>
    </cfRule>
  </conditionalFormatting>
  <conditionalFormatting sqref="DQ112">
    <cfRule type="expression" dxfId="225" priority="64">
      <formula>CC112="Annual"</formula>
    </cfRule>
  </conditionalFormatting>
  <conditionalFormatting sqref="ES112">
    <cfRule type="expression" dxfId="224" priority="63">
      <formula>CW112="Annual"</formula>
    </cfRule>
  </conditionalFormatting>
  <conditionalFormatting sqref="BM100">
    <cfRule type="expression" dxfId="223" priority="62">
      <formula>AS100="Annual"</formula>
    </cfRule>
  </conditionalFormatting>
  <conditionalFormatting sqref="CO100">
    <cfRule type="expression" dxfId="222" priority="61">
      <formula>BU100="Annual"</formula>
    </cfRule>
  </conditionalFormatting>
  <conditionalFormatting sqref="DQ100">
    <cfRule type="expression" dxfId="221" priority="60">
      <formula>CC100="Annual"</formula>
    </cfRule>
  </conditionalFormatting>
  <conditionalFormatting sqref="ES100">
    <cfRule type="expression" dxfId="220" priority="59">
      <formula>CW100="Annual"</formula>
    </cfRule>
  </conditionalFormatting>
  <conditionalFormatting sqref="BM56">
    <cfRule type="expression" dxfId="219" priority="58">
      <formula>AS56="Annual"</formula>
    </cfRule>
  </conditionalFormatting>
  <conditionalFormatting sqref="CO56">
    <cfRule type="expression" dxfId="218" priority="57">
      <formula>BU56="Annual"</formula>
    </cfRule>
  </conditionalFormatting>
  <conditionalFormatting sqref="DQ56">
    <cfRule type="expression" dxfId="217" priority="56">
      <formula>CC56="Annual"</formula>
    </cfRule>
  </conditionalFormatting>
  <conditionalFormatting sqref="ES56">
    <cfRule type="expression" dxfId="216" priority="55">
      <formula>CW56="Annual"</formula>
    </cfRule>
  </conditionalFormatting>
  <conditionalFormatting sqref="FL64:FO67 FL61:FO62 FL69:FO83 FL85:FO148 FL6:FO59 FL150:FO152 FL154:FO165">
    <cfRule type="cellIs" dxfId="215" priority="54" operator="lessThan">
      <formula>0</formula>
    </cfRule>
  </conditionalFormatting>
  <conditionalFormatting sqref="BM36">
    <cfRule type="expression" dxfId="214" priority="53">
      <formula>AS36="Annual"</formula>
    </cfRule>
  </conditionalFormatting>
  <conditionalFormatting sqref="CO36">
    <cfRule type="expression" dxfId="213" priority="52">
      <formula>BU36="Annual"</formula>
    </cfRule>
  </conditionalFormatting>
  <conditionalFormatting sqref="DQ36">
    <cfRule type="expression" dxfId="212" priority="51">
      <formula>CC36="Annual"</formula>
    </cfRule>
  </conditionalFormatting>
  <conditionalFormatting sqref="ES36">
    <cfRule type="expression" dxfId="211" priority="50">
      <formula>CW36="Annual"</formula>
    </cfRule>
  </conditionalFormatting>
  <conditionalFormatting sqref="BM68">
    <cfRule type="expression" dxfId="210" priority="49">
      <formula>AS68="Annual"</formula>
    </cfRule>
  </conditionalFormatting>
  <conditionalFormatting sqref="CO68">
    <cfRule type="expression" dxfId="209" priority="48">
      <formula>BU68="Annual"</formula>
    </cfRule>
  </conditionalFormatting>
  <conditionalFormatting sqref="DQ68">
    <cfRule type="expression" dxfId="208" priority="47">
      <formula>CC68="Annual"</formula>
    </cfRule>
  </conditionalFormatting>
  <conditionalFormatting sqref="ES68">
    <cfRule type="expression" dxfId="207" priority="46">
      <formula>CW68="Annual"</formula>
    </cfRule>
  </conditionalFormatting>
  <conditionalFormatting sqref="FL68:FO68">
    <cfRule type="cellIs" dxfId="206" priority="45" operator="lessThan">
      <formula>0</formula>
    </cfRule>
  </conditionalFormatting>
  <conditionalFormatting sqref="CO153 BM153">
    <cfRule type="expression" dxfId="205" priority="44">
      <formula>AS153="Annual"</formula>
    </cfRule>
  </conditionalFormatting>
  <conditionalFormatting sqref="P153">
    <cfRule type="cellIs" dxfId="204" priority="43" operator="notEqual">
      <formula>O153</formula>
    </cfRule>
  </conditionalFormatting>
  <conditionalFormatting sqref="DQ153">
    <cfRule type="expression" dxfId="203" priority="42">
      <formula>CC153="Annual"</formula>
    </cfRule>
  </conditionalFormatting>
  <conditionalFormatting sqref="ES153">
    <cfRule type="expression" dxfId="202" priority="41">
      <formula>CW153="Annual"</formula>
    </cfRule>
  </conditionalFormatting>
  <conditionalFormatting sqref="FL153:FO153">
    <cfRule type="cellIs" dxfId="201" priority="40" operator="lessThan">
      <formula>0</formula>
    </cfRule>
  </conditionalFormatting>
  <conditionalFormatting sqref="BM63 CO63">
    <cfRule type="expression" dxfId="200" priority="39">
      <formula>AS63="Annual"</formula>
    </cfRule>
  </conditionalFormatting>
  <conditionalFormatting sqref="DQ63">
    <cfRule type="expression" dxfId="199" priority="38">
      <formula>CC63="Annual"</formula>
    </cfRule>
  </conditionalFormatting>
  <conditionalFormatting sqref="ES63">
    <cfRule type="expression" dxfId="198" priority="37">
      <formula>CW63="Annual"</formula>
    </cfRule>
  </conditionalFormatting>
  <conditionalFormatting sqref="FL63:FO63">
    <cfRule type="cellIs" dxfId="197" priority="36" operator="lessThan">
      <formula>0</formula>
    </cfRule>
  </conditionalFormatting>
  <conditionalFormatting sqref="CO149 BM149">
    <cfRule type="expression" dxfId="196" priority="35">
      <formula>AS149="Annual"</formula>
    </cfRule>
  </conditionalFormatting>
  <conditionalFormatting sqref="DQ149">
    <cfRule type="expression" dxfId="195" priority="34">
      <formula>CC149="Annual"</formula>
    </cfRule>
  </conditionalFormatting>
  <conditionalFormatting sqref="ES149">
    <cfRule type="expression" dxfId="194" priority="33">
      <formula>CW149="Annual"</formula>
    </cfRule>
  </conditionalFormatting>
  <conditionalFormatting sqref="FL149:FO149">
    <cfRule type="cellIs" dxfId="193" priority="32" operator="lessThan">
      <formula>0</formula>
    </cfRule>
  </conditionalFormatting>
  <conditionalFormatting sqref="BM104">
    <cfRule type="expression" dxfId="192" priority="31">
      <formula>AS104="Annual"</formula>
    </cfRule>
  </conditionalFormatting>
  <conditionalFormatting sqref="BM60 CO60">
    <cfRule type="expression" dxfId="191" priority="30">
      <formula>AS60="Annual"</formula>
    </cfRule>
  </conditionalFormatting>
  <conditionalFormatting sqref="DQ60">
    <cfRule type="expression" dxfId="190" priority="29">
      <formula>CC60="Annual"</formula>
    </cfRule>
  </conditionalFormatting>
  <conditionalFormatting sqref="ES60">
    <cfRule type="expression" dxfId="189" priority="28">
      <formula>CW60="Annual"</formula>
    </cfRule>
  </conditionalFormatting>
  <conditionalFormatting sqref="FL60:FO60">
    <cfRule type="cellIs" dxfId="188" priority="27" operator="lessThan">
      <formula>0</formula>
    </cfRule>
  </conditionalFormatting>
  <conditionalFormatting sqref="BM84 CO84">
    <cfRule type="expression" dxfId="187" priority="26">
      <formula>AS84="Annual"</formula>
    </cfRule>
  </conditionalFormatting>
  <conditionalFormatting sqref="DQ84">
    <cfRule type="expression" dxfId="186" priority="25">
      <formula>CC84="Annual"</formula>
    </cfRule>
  </conditionalFormatting>
  <conditionalFormatting sqref="ES84">
    <cfRule type="expression" dxfId="185" priority="24">
      <formula>CW84="Annual"</formula>
    </cfRule>
  </conditionalFormatting>
  <conditionalFormatting sqref="FL84:FO84">
    <cfRule type="cellIs" dxfId="184" priority="23" operator="lessThan">
      <formula>0</formula>
    </cfRule>
  </conditionalFormatting>
  <conditionalFormatting sqref="P84">
    <cfRule type="cellIs" dxfId="183" priority="22" operator="notEqual">
      <formula>O84</formula>
    </cfRule>
  </conditionalFormatting>
  <conditionalFormatting sqref="P166">
    <cfRule type="cellIs" dxfId="182" priority="21" operator="notEqual">
      <formula>O166</formula>
    </cfRule>
  </conditionalFormatting>
  <conditionalFormatting sqref="P167">
    <cfRule type="cellIs" dxfId="181" priority="20" operator="notEqual">
      <formula>O167</formula>
    </cfRule>
  </conditionalFormatting>
  <conditionalFormatting sqref="CO181 BM181">
    <cfRule type="expression" dxfId="180" priority="19">
      <formula>AS181="Annual"</formula>
    </cfRule>
  </conditionalFormatting>
  <conditionalFormatting sqref="DQ181">
    <cfRule type="expression" dxfId="179" priority="18">
      <formula>CC181="Annual"</formula>
    </cfRule>
  </conditionalFormatting>
  <conditionalFormatting sqref="ES181">
    <cfRule type="expression" dxfId="178" priority="17">
      <formula>CW181="Annual"</formula>
    </cfRule>
  </conditionalFormatting>
  <conditionalFormatting sqref="FL181:FO181">
    <cfRule type="cellIs" dxfId="177" priority="16" operator="lessThan">
      <formula>0</formula>
    </cfRule>
  </conditionalFormatting>
  <conditionalFormatting sqref="FI182:FI183 FL182:FL183">
    <cfRule type="cellIs" dxfId="176" priority="15" operator="lessThan">
      <formula>0</formula>
    </cfRule>
  </conditionalFormatting>
  <conditionalFormatting sqref="BJ182:BJ183">
    <cfRule type="expression" dxfId="175" priority="14">
      <formula>AP182="Annual"</formula>
    </cfRule>
  </conditionalFormatting>
  <conditionalFormatting sqref="CL182:CL183">
    <cfRule type="expression" dxfId="174" priority="13">
      <formula>BR182="Annual"</formula>
    </cfRule>
  </conditionalFormatting>
  <conditionalFormatting sqref="DQ182:DQ183">
    <cfRule type="expression" dxfId="173" priority="12">
      <formula>CC182="Annual"</formula>
    </cfRule>
  </conditionalFormatting>
  <conditionalFormatting sqref="ES182:ES183">
    <cfRule type="expression" dxfId="172" priority="11">
      <formula>CW182="Annual"</formula>
    </cfRule>
  </conditionalFormatting>
  <conditionalFormatting sqref="FI184:FI192 FL184:FL192">
    <cfRule type="cellIs" dxfId="171" priority="10" operator="lessThan">
      <formula>0</formula>
    </cfRule>
  </conditionalFormatting>
  <conditionalFormatting sqref="BJ184:BJ192">
    <cfRule type="expression" dxfId="170" priority="9">
      <formula>AP184="Annual"</formula>
    </cfRule>
  </conditionalFormatting>
  <conditionalFormatting sqref="CL184:CL192">
    <cfRule type="expression" dxfId="169" priority="8">
      <formula>BR184="Annual"</formula>
    </cfRule>
  </conditionalFormatting>
  <conditionalFormatting sqref="DQ184:DQ192">
    <cfRule type="expression" dxfId="168" priority="7">
      <formula>CC184="Annual"</formula>
    </cfRule>
  </conditionalFormatting>
  <conditionalFormatting sqref="ES184:ES192">
    <cfRule type="expression" dxfId="167" priority="6">
      <formula>CW184="Annual"</formula>
    </cfRule>
  </conditionalFormatting>
  <conditionalFormatting sqref="FI193 FL193">
    <cfRule type="cellIs" dxfId="166" priority="5" operator="lessThan">
      <formula>0</formula>
    </cfRule>
  </conditionalFormatting>
  <conditionalFormatting sqref="BJ193">
    <cfRule type="expression" dxfId="165" priority="4">
      <formula>AP193="Annual"</formula>
    </cfRule>
  </conditionalFormatting>
  <conditionalFormatting sqref="CL193">
    <cfRule type="expression" dxfId="164" priority="3">
      <formula>BR193="Annual"</formula>
    </cfRule>
  </conditionalFormatting>
  <conditionalFormatting sqref="DQ193">
    <cfRule type="expression" dxfId="163" priority="2">
      <formula>CC193="Annual"</formula>
    </cfRule>
  </conditionalFormatting>
  <conditionalFormatting sqref="ES193">
    <cfRule type="expression" dxfId="162" priority="1">
      <formula>CW193="Annual"</formula>
    </cfRule>
  </conditionalFormatting>
  <dataValidations count="7">
    <dataValidation type="list" allowBlank="1" showInputMessage="1" showErrorMessage="1" sqref="H3" xr:uid="{21E5665E-E248-48CC-931C-1B6B6B4CC66B}">
      <formula1>$AA$5:$AL$5</formula1>
    </dataValidation>
    <dataValidation type="list" allowBlank="1" showInputMessage="1" showErrorMessage="1" sqref="H2" xr:uid="{480B1640-9B7E-4408-9C00-C6650094BF6E}">
      <formula1>"1,2,3,4"</formula1>
    </dataValidation>
    <dataValidation type="list" allowBlank="1" showInputMessage="1" showErrorMessage="1" sqref="BB3" xr:uid="{6E931DB5-C1EA-410C-BFB4-4CA862A2FFE6}">
      <formula1>"Before AR Adjustment,After AR Adjustment"</formula1>
    </dataValidation>
    <dataValidation type="list" allowBlank="1" showInputMessage="1" showErrorMessage="1" sqref="O255:O266 O148 O75 O184:O253" xr:uid="{20573B36-0FAC-4E51-B0EC-B58F784A9C60}">
      <formula1>$O$255:$O$266</formula1>
    </dataValidation>
    <dataValidation showDropDown="1" showInputMessage="1" showErrorMessage="1" sqref="O160:O165" xr:uid="{A1AF15C9-EF1B-41BF-A258-4CF68087D99F}"/>
    <dataValidation type="whole" allowBlank="1" showInputMessage="1" showErrorMessage="1" sqref="V6:Y165 V181:Y181 S182:V183" xr:uid="{7B7AC363-E78D-4BD4-8990-2094DF4CFDE6}">
      <formula1>0</formula1>
      <formula2>3</formula2>
    </dataValidation>
    <dataValidation type="list" allowBlank="1" showInputMessage="1" showErrorMessage="1" sqref="V166:Y180 V184:Y1048576" xr:uid="{556B6BBD-962D-4529-9606-3CF5D2D3C2B5}">
      <formula1>$V$2:$X$2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82BE-4DBD-446A-A247-B6E60BD1C4B4}">
  <sheetPr codeName="Sheet33">
    <tabColor rgb="FFFFFF00"/>
    <pageSetUpPr autoPageBreaks="0"/>
  </sheetPr>
  <dimension ref="A1:GT77"/>
  <sheetViews>
    <sheetView showGridLines="0" tabSelected="1" zoomScale="90" zoomScaleNormal="90" workbookViewId="0">
      <pane xSplit="7" ySplit="6" topLeftCell="H7" activePane="bottomRight" state="frozen"/>
      <selection activeCell="AC3" sqref="AC3"/>
      <selection pane="topRight" activeCell="AC3" sqref="AC3"/>
      <selection pane="bottomLeft" activeCell="AC3" sqref="AC3"/>
      <selection pane="bottomRight"/>
    </sheetView>
  </sheetViews>
  <sheetFormatPr defaultColWidth="9.109375" defaultRowHeight="14.4" outlineLevelCol="1"/>
  <cols>
    <col min="1" max="1" width="6.44140625" style="510" customWidth="1"/>
    <col min="2" max="2" width="10" style="646" customWidth="1"/>
    <col min="3" max="3" width="32" style="638" customWidth="1" collapsed="1"/>
    <col min="4" max="4" width="6.77734375" style="510" customWidth="1"/>
    <col min="5" max="5" width="10.21875" style="510" bestFit="1" customWidth="1"/>
    <col min="6" max="6" width="16.21875" style="510" customWidth="1"/>
    <col min="7" max="7" width="10.44140625" style="510" customWidth="1"/>
    <col min="8" max="8" width="16" style="646" bestFit="1" customWidth="1"/>
    <col min="9" max="9" width="11.33203125" style="646" customWidth="1"/>
    <col min="10" max="10" width="11.109375" style="649" customWidth="1"/>
    <col min="11" max="11" width="7.21875" style="649" customWidth="1"/>
    <col min="12" max="12" width="10.6640625" style="649" customWidth="1"/>
    <col min="13" max="13" width="8.77734375" style="639" customWidth="1"/>
    <col min="14" max="14" width="10" style="638" customWidth="1"/>
    <col min="15" max="15" width="9.44140625" style="638" customWidth="1"/>
    <col min="16" max="17" width="9.44140625" style="646" customWidth="1"/>
    <col min="18" max="18" width="11.21875" style="647" customWidth="1"/>
    <col min="19" max="19" width="11.33203125" style="640" customWidth="1"/>
    <col min="20" max="20" width="13" style="647" customWidth="1" outlineLevel="1"/>
    <col min="21" max="22" width="12.77734375" style="647" customWidth="1" outlineLevel="1"/>
    <col min="23" max="23" width="13.33203125" style="647" customWidth="1" outlineLevel="1"/>
    <col min="24" max="25" width="12.77734375" style="647" customWidth="1" outlineLevel="1"/>
    <col min="26" max="26" width="15.88671875" style="647" customWidth="1" outlineLevel="1"/>
    <col min="27" max="31" width="12.77734375" style="647" customWidth="1" outlineLevel="1"/>
    <col min="32" max="32" width="15.77734375" style="645" customWidth="1" outlineLevel="1"/>
    <col min="33" max="33" width="20.44140625" style="645" customWidth="1" outlineLevel="1" collapsed="1"/>
    <col min="34" max="34" width="21.88671875" style="647" customWidth="1" outlineLevel="1" collapsed="1"/>
    <col min="35" max="35" width="17.88671875" style="683" customWidth="1"/>
    <col min="36" max="36" width="10.109375" style="651" customWidth="1"/>
    <col min="37" max="37" width="11.6640625" style="646" customWidth="1"/>
    <col min="38" max="38" width="12" style="646" customWidth="1"/>
    <col min="39" max="39" width="13" style="648" customWidth="1"/>
    <col min="40" max="40" width="13.33203125" style="648" customWidth="1"/>
    <col min="41" max="42" width="13.77734375" style="648" customWidth="1"/>
    <col min="43" max="43" width="13.33203125" style="648" customWidth="1"/>
    <col min="44" max="44" width="12.77734375" style="646" customWidth="1"/>
    <col min="45" max="45" width="13.44140625" style="646" customWidth="1"/>
    <col min="46" max="46" width="17.88671875" style="608" bestFit="1" customWidth="1"/>
    <col min="47" max="47" width="30.21875" style="646" hidden="1" customWidth="1" outlineLevel="1"/>
    <col min="48" max="50" width="19.33203125" style="646" hidden="1" customWidth="1" outlineLevel="1"/>
    <col min="51" max="51" width="19.33203125" style="646" bestFit="1" customWidth="1" outlineLevel="1"/>
    <col min="52" max="52" width="19.33203125" style="646" customWidth="1" outlineLevel="1"/>
    <col min="53" max="53" width="16.77734375" style="650" customWidth="1" outlineLevel="1"/>
    <col min="54" max="54" width="16.77734375" style="652" customWidth="1" outlineLevel="1"/>
    <col min="55" max="55" width="24.109375" style="646" customWidth="1" outlineLevel="1"/>
    <col min="56" max="56" width="20.109375" style="646" customWidth="1" outlineLevel="1"/>
    <col min="57" max="57" width="21.77734375" style="646" customWidth="1" outlineLevel="1"/>
    <col min="58" max="58" width="21.33203125" style="646" customWidth="1" outlineLevel="1"/>
    <col min="59" max="59" width="22.109375" style="646" customWidth="1" outlineLevel="1"/>
    <col min="60" max="60" width="21.77734375" style="646" customWidth="1" outlineLevel="1"/>
    <col min="61" max="61" width="22.109375" style="646" customWidth="1" outlineLevel="1"/>
    <col min="62" max="62" width="22.33203125" style="646" customWidth="1" outlineLevel="1"/>
    <col min="63" max="63" width="13.44140625" style="676" customWidth="1"/>
    <col min="64" max="64" width="12" style="650" customWidth="1"/>
    <col min="65" max="65" width="13.109375" style="646" customWidth="1"/>
    <col min="66" max="66" width="11.109375" style="646" customWidth="1"/>
    <col min="67" max="67" width="11.77734375" style="646" customWidth="1"/>
    <col min="68" max="68" width="14.44140625" style="646" customWidth="1"/>
    <col min="69" max="69" width="12.21875" style="646" customWidth="1"/>
    <col min="70" max="70" width="14.6640625" style="646" customWidth="1"/>
    <col min="71" max="71" width="15" style="608" customWidth="1"/>
    <col min="72" max="72" width="15" style="646" customWidth="1"/>
    <col min="73" max="73" width="15" style="648" customWidth="1"/>
    <col min="74" max="74" width="17.21875" style="646" customWidth="1"/>
    <col min="75" max="75" width="16.77734375" style="646" customWidth="1" outlineLevel="1"/>
    <col min="76" max="78" width="17.21875" style="646" customWidth="1" outlineLevel="1"/>
    <col min="79" max="79" width="16.77734375" style="648" customWidth="1" outlineLevel="1"/>
    <col min="80" max="80" width="17.21875" style="646" customWidth="1" outlineLevel="1"/>
    <col min="81" max="82" width="14.44140625" style="646" customWidth="1" outlineLevel="1"/>
    <col min="83" max="83" width="17.88671875" style="646" customWidth="1" outlineLevel="1"/>
    <col min="84" max="84" width="18" style="646" customWidth="1" outlineLevel="1"/>
    <col min="85" max="85" width="20.44140625" style="646" customWidth="1" outlineLevel="1"/>
    <col min="86" max="86" width="19.44140625" style="646" customWidth="1" outlineLevel="1"/>
    <col min="87" max="87" width="20.44140625" style="646" customWidth="1" outlineLevel="1"/>
    <col min="88" max="88" width="20" style="646" customWidth="1" outlineLevel="1"/>
    <col min="89" max="89" width="18.33203125" style="646" customWidth="1" outlineLevel="1"/>
    <col min="90" max="90" width="20.44140625" style="646" customWidth="1" outlineLevel="1"/>
    <col min="91" max="91" width="16.33203125" style="676" customWidth="1"/>
    <col min="92" max="92" width="8.6640625" style="646" customWidth="1"/>
    <col min="93" max="93" width="9.109375" style="646" customWidth="1"/>
    <col min="94" max="94" width="9.6640625" style="646" customWidth="1"/>
    <col min="95" max="95" width="14.33203125" style="646" customWidth="1"/>
    <col min="96" max="98" width="12.6640625" style="646" customWidth="1"/>
    <col min="99" max="99" width="16.77734375" style="608" customWidth="1"/>
    <col min="100" max="100" width="14" style="646" customWidth="1"/>
    <col min="101" max="101" width="12.88671875" style="646" customWidth="1"/>
    <col min="102" max="102" width="17.21875" style="646" customWidth="1"/>
    <col min="103" max="103" width="16.77734375" style="646" customWidth="1" outlineLevel="1"/>
    <col min="104" max="106" width="17.21875" style="646" customWidth="1" outlineLevel="1"/>
    <col min="107" max="107" width="16.77734375" style="646" customWidth="1" outlineLevel="1" collapsed="1"/>
    <col min="108" max="110" width="17.21875" style="646" customWidth="1" outlineLevel="1"/>
    <col min="111" max="112" width="22.21875" style="646" customWidth="1" outlineLevel="1"/>
    <col min="113" max="113" width="20.44140625" style="646" customWidth="1" outlineLevel="1"/>
    <col min="114" max="114" width="19.44140625" style="646" customWidth="1" outlineLevel="1"/>
    <col min="115" max="115" width="20.44140625" style="646" customWidth="1" outlineLevel="1"/>
    <col min="116" max="116" width="20" style="646" customWidth="1" outlineLevel="1"/>
    <col min="117" max="117" width="18.33203125" style="646" customWidth="1" outlineLevel="1"/>
    <col min="118" max="118" width="20.44140625" style="646" customWidth="1" outlineLevel="1"/>
    <col min="119" max="119" width="25.6640625" style="676" bestFit="1" customWidth="1"/>
    <col min="120" max="120" width="8.6640625" style="646" customWidth="1"/>
    <col min="121" max="121" width="9.109375" style="646" customWidth="1"/>
    <col min="122" max="122" width="15.109375" style="646" customWidth="1"/>
    <col min="123" max="123" width="16.6640625" style="646" bestFit="1" customWidth="1"/>
    <col min="124" max="126" width="16.88671875" style="646" bestFit="1" customWidth="1"/>
    <col min="127" max="127" width="16.77734375" style="646" bestFit="1" customWidth="1"/>
    <col min="128" max="129" width="17.21875" style="646" bestFit="1" customWidth="1"/>
    <col min="130" max="130" width="19.33203125" style="646" bestFit="1" customWidth="1"/>
    <col min="131" max="134" width="19.33203125" style="646" customWidth="1" outlineLevel="1"/>
    <col min="135" max="135" width="19.33203125" style="16" customWidth="1" outlineLevel="1" collapsed="1"/>
    <col min="136" max="138" width="12.21875" style="16" customWidth="1" outlineLevel="1"/>
    <col min="139" max="140" width="17.77734375" style="16" customWidth="1" outlineLevel="1"/>
    <col min="141" max="141" width="17.6640625" style="16" customWidth="1" outlineLevel="1"/>
    <col min="142" max="142" width="16.6640625" style="16" customWidth="1" outlineLevel="1"/>
    <col min="143" max="143" width="14.6640625" style="16" customWidth="1" outlineLevel="1"/>
    <col min="144" max="144" width="19.77734375" style="16" customWidth="1" outlineLevel="1"/>
    <col min="145" max="145" width="12.6640625" style="16" customWidth="1" outlineLevel="1"/>
    <col min="146" max="146" width="18.33203125" style="16" customWidth="1" outlineLevel="1"/>
    <col min="147" max="147" width="22" style="25" customWidth="1" outlineLevel="1"/>
    <col min="148" max="148" width="22" style="16" customWidth="1" outlineLevel="1"/>
    <col min="149" max="149" width="9.33203125" style="16" customWidth="1" outlineLevel="1"/>
    <col min="150" max="151" width="14.109375" style="25" customWidth="1"/>
    <col min="152" max="152" width="15.109375" style="16" customWidth="1"/>
    <col min="153" max="153" width="15.109375" style="25" customWidth="1"/>
    <col min="154" max="155" width="17.6640625" style="16" customWidth="1"/>
    <col min="156" max="160" width="16.6640625" style="15" customWidth="1" outlineLevel="1"/>
    <col min="161" max="161" width="21.6640625" style="16" customWidth="1" outlineLevel="1"/>
    <col min="162" max="166" width="16.6640625" style="15" customWidth="1" outlineLevel="1"/>
    <col min="167" max="167" width="20.6640625" style="25" customWidth="1"/>
    <col min="168" max="168" width="22.77734375" style="25" customWidth="1"/>
    <col min="169" max="169" width="20.6640625" style="25" customWidth="1"/>
    <col min="170" max="170" width="22.6640625" style="615" customWidth="1" outlineLevel="1"/>
    <col min="171" max="171" width="18.77734375" style="25" customWidth="1"/>
    <col min="172" max="172" width="19.6640625" style="615" customWidth="1"/>
    <col min="173" max="176" width="11.6640625" style="33" customWidth="1" outlineLevel="1"/>
    <col min="177" max="177" width="14.33203125" style="33" customWidth="1" outlineLevel="1"/>
    <col min="178" max="178" width="11.33203125" style="33" customWidth="1" outlineLevel="1"/>
    <col min="179" max="179" width="11.21875" style="33" customWidth="1" outlineLevel="1"/>
    <col min="180" max="180" width="11" style="33" customWidth="1" outlineLevel="1"/>
    <col min="181" max="181" width="10" style="33" customWidth="1" outlineLevel="1"/>
    <col min="182" max="182" width="13.33203125" style="33" customWidth="1" outlineLevel="1"/>
    <col min="183" max="183" width="14.33203125" style="33" customWidth="1" outlineLevel="1"/>
    <col min="184" max="187" width="14.6640625" style="33" customWidth="1" outlineLevel="1"/>
    <col min="188" max="188" width="12.77734375" style="33" customWidth="1" outlineLevel="1"/>
    <col min="189" max="193" width="11.6640625" style="33" customWidth="1" outlineLevel="1"/>
    <col min="194" max="194" width="10.6640625" style="607" customWidth="1"/>
    <col min="195" max="195" width="14.33203125" style="30" customWidth="1"/>
    <col min="196" max="196" width="14.44140625" style="30" customWidth="1"/>
    <col min="197" max="197" width="16.6640625" style="31" customWidth="1"/>
    <col min="198" max="199" width="21.109375" style="31" customWidth="1"/>
    <col min="200" max="200" width="17" style="179" customWidth="1"/>
    <col min="201" max="201" width="9.109375" style="15"/>
    <col min="202" max="16384" width="9.109375" style="16"/>
  </cols>
  <sheetData>
    <row r="1" spans="1:202">
      <c r="A1" s="17"/>
      <c r="B1" s="16"/>
      <c r="C1" s="22"/>
      <c r="D1" s="17"/>
      <c r="E1" s="17"/>
      <c r="F1" s="17"/>
      <c r="G1" s="17"/>
      <c r="H1" s="16"/>
      <c r="I1" s="16"/>
      <c r="J1" s="23"/>
      <c r="K1" s="23"/>
      <c r="L1" s="23"/>
      <c r="M1" s="177"/>
      <c r="N1" s="22"/>
      <c r="O1" s="22"/>
      <c r="P1" s="16"/>
      <c r="Q1" s="16"/>
      <c r="R1" s="372"/>
      <c r="S1" s="370"/>
      <c r="T1" s="372">
        <v>20</v>
      </c>
      <c r="U1" s="372">
        <f>T1+1</f>
        <v>21</v>
      </c>
      <c r="V1" s="372">
        <f t="shared" ref="V1:AE1" si="0">U1+1</f>
        <v>22</v>
      </c>
      <c r="W1" s="372">
        <f t="shared" si="0"/>
        <v>23</v>
      </c>
      <c r="X1" s="372">
        <f t="shared" si="0"/>
        <v>24</v>
      </c>
      <c r="Y1" s="372">
        <f t="shared" si="0"/>
        <v>25</v>
      </c>
      <c r="Z1" s="372">
        <f t="shared" si="0"/>
        <v>26</v>
      </c>
      <c r="AA1" s="372">
        <f t="shared" si="0"/>
        <v>27</v>
      </c>
      <c r="AB1" s="372">
        <f t="shared" si="0"/>
        <v>28</v>
      </c>
      <c r="AC1" s="372">
        <f t="shared" si="0"/>
        <v>29</v>
      </c>
      <c r="AD1" s="372">
        <f t="shared" si="0"/>
        <v>30</v>
      </c>
      <c r="AE1" s="372">
        <f t="shared" si="0"/>
        <v>31</v>
      </c>
      <c r="AF1" s="373"/>
      <c r="AG1" s="373"/>
      <c r="AH1" s="372"/>
      <c r="AI1" s="677"/>
      <c r="AJ1" s="26"/>
      <c r="AK1" s="16"/>
      <c r="AL1" s="16"/>
      <c r="AM1" s="25"/>
      <c r="AN1" s="25"/>
      <c r="AO1" s="25"/>
      <c r="AP1" s="25"/>
      <c r="AQ1" s="25"/>
      <c r="AR1" s="16"/>
      <c r="AS1" s="16"/>
      <c r="AT1" s="361"/>
      <c r="AU1" s="16"/>
      <c r="AV1" s="16"/>
      <c r="AW1" s="16"/>
      <c r="AX1" s="16"/>
      <c r="AY1" s="16"/>
      <c r="AZ1" s="15"/>
      <c r="BA1" s="27"/>
      <c r="BB1" s="28"/>
      <c r="BC1" s="16"/>
      <c r="BD1" s="16"/>
      <c r="BE1" s="16"/>
      <c r="BF1" s="16"/>
      <c r="BG1" s="16"/>
      <c r="BH1" s="16"/>
      <c r="BI1" s="16"/>
      <c r="BJ1" s="16"/>
      <c r="BK1" s="605"/>
      <c r="BL1" s="27"/>
      <c r="BM1" s="16"/>
      <c r="BN1" s="16"/>
      <c r="BO1" s="16"/>
      <c r="BP1" s="16"/>
      <c r="BQ1" s="16"/>
      <c r="BR1" s="16"/>
      <c r="BS1" s="361"/>
      <c r="BT1" s="16"/>
      <c r="BU1" s="25"/>
      <c r="BV1" s="16"/>
      <c r="BW1" s="16"/>
      <c r="BX1" s="16"/>
      <c r="BY1" s="16"/>
      <c r="BZ1" s="16"/>
      <c r="CA1" s="25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605"/>
      <c r="CN1" s="16"/>
      <c r="CO1" s="16"/>
      <c r="CP1" s="16"/>
      <c r="CQ1" s="16"/>
      <c r="CR1" s="16"/>
      <c r="CS1" s="16"/>
      <c r="CT1" s="16"/>
      <c r="CU1" s="361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605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GL1"/>
    </row>
    <row r="2" spans="1:202" s="1" customForma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738" t="s">
        <v>887</v>
      </c>
      <c r="U2" s="738"/>
      <c r="V2" s="738"/>
      <c r="W2" s="738"/>
      <c r="X2" s="738"/>
      <c r="Y2" s="738"/>
      <c r="Z2" s="738"/>
      <c r="AA2" s="738"/>
      <c r="AB2" s="738"/>
      <c r="AC2" s="738"/>
      <c r="AD2" s="738"/>
      <c r="AE2" s="738"/>
      <c r="AF2" s="611"/>
      <c r="AG2" s="611"/>
      <c r="AH2" s="368" t="s">
        <v>888</v>
      </c>
      <c r="AI2" s="678"/>
      <c r="AJ2" s="7"/>
      <c r="AK2" s="8"/>
      <c r="AL2" s="8"/>
      <c r="AM2" s="9"/>
      <c r="AN2" s="9"/>
      <c r="AO2" s="9"/>
      <c r="AP2" s="9"/>
      <c r="AQ2" s="704" t="s">
        <v>2</v>
      </c>
      <c r="AR2" s="5" t="s">
        <v>2</v>
      </c>
      <c r="AS2" s="5" t="s">
        <v>768</v>
      </c>
      <c r="AT2" s="610" t="s">
        <v>2</v>
      </c>
      <c r="AU2" s="5" t="s">
        <v>2</v>
      </c>
      <c r="AV2" s="5" t="s">
        <v>2</v>
      </c>
      <c r="AW2" s="5" t="s">
        <v>2</v>
      </c>
      <c r="AX2" s="5" t="s">
        <v>2</v>
      </c>
      <c r="BA2" s="10"/>
      <c r="BB2" s="11"/>
      <c r="BK2" s="601"/>
      <c r="BL2" s="10"/>
      <c r="BS2" s="610" t="s">
        <v>2</v>
      </c>
      <c r="BT2" s="5" t="s">
        <v>2</v>
      </c>
      <c r="BU2" s="5" t="s">
        <v>2</v>
      </c>
      <c r="BV2" s="5" t="s">
        <v>2</v>
      </c>
      <c r="BW2" s="5" t="s">
        <v>2</v>
      </c>
      <c r="BX2" s="5" t="s">
        <v>2</v>
      </c>
      <c r="BY2" s="5" t="s">
        <v>2</v>
      </c>
      <c r="BZ2" s="5" t="s">
        <v>2</v>
      </c>
      <c r="CA2" s="9"/>
      <c r="CM2" s="601"/>
      <c r="CU2" s="610" t="s">
        <v>2</v>
      </c>
      <c r="CV2" s="5" t="s">
        <v>2</v>
      </c>
      <c r="CW2" s="5" t="s">
        <v>2</v>
      </c>
      <c r="CX2" s="5" t="s">
        <v>2</v>
      </c>
      <c r="CY2" s="5" t="s">
        <v>2</v>
      </c>
      <c r="CZ2" s="5" t="s">
        <v>2</v>
      </c>
      <c r="DA2" s="5" t="s">
        <v>2</v>
      </c>
      <c r="DB2" s="5" t="s">
        <v>2</v>
      </c>
      <c r="DO2" s="601"/>
      <c r="DW2" s="5" t="s">
        <v>2</v>
      </c>
      <c r="DX2" s="5" t="s">
        <v>2</v>
      </c>
      <c r="DY2" s="5" t="s">
        <v>2</v>
      </c>
      <c r="DZ2" s="5" t="s">
        <v>2</v>
      </c>
      <c r="EA2" s="5" t="s">
        <v>2</v>
      </c>
      <c r="EB2" s="5" t="s">
        <v>2</v>
      </c>
      <c r="EC2" s="5" t="s">
        <v>2</v>
      </c>
      <c r="ED2" s="5" t="s">
        <v>2</v>
      </c>
      <c r="EQ2" s="9"/>
      <c r="ET2" s="9" t="s">
        <v>3</v>
      </c>
      <c r="EU2" s="9" t="s">
        <v>4</v>
      </c>
      <c r="EV2" s="1" t="s">
        <v>5</v>
      </c>
      <c r="EW2" s="9" t="s">
        <v>6</v>
      </c>
      <c r="EZ2" s="1" t="s">
        <v>3</v>
      </c>
      <c r="FA2" s="1" t="s">
        <v>4</v>
      </c>
      <c r="FB2" s="1" t="s">
        <v>5</v>
      </c>
      <c r="FC2" s="1" t="s">
        <v>6</v>
      </c>
      <c r="FF2" s="1" t="s">
        <v>3</v>
      </c>
      <c r="FG2" s="1" t="s">
        <v>4</v>
      </c>
      <c r="FH2" s="1" t="s">
        <v>5</v>
      </c>
      <c r="FI2" s="1" t="s">
        <v>6</v>
      </c>
      <c r="FK2" s="9" t="s">
        <v>4</v>
      </c>
      <c r="FL2" s="9" t="s">
        <v>5</v>
      </c>
      <c r="FM2" s="9" t="s">
        <v>6</v>
      </c>
      <c r="FN2" s="9"/>
      <c r="FO2" s="9"/>
      <c r="FP2" s="9"/>
      <c r="GL2"/>
      <c r="GM2" s="12"/>
      <c r="GN2" s="12"/>
      <c r="GO2" s="13"/>
      <c r="GP2" s="13"/>
      <c r="GQ2" s="13"/>
      <c r="GR2" s="14" t="s">
        <v>7</v>
      </c>
      <c r="GS2" s="15"/>
    </row>
    <row r="3" spans="1:202" ht="19.5" customHeight="1">
      <c r="A3" s="18" t="s">
        <v>884</v>
      </c>
      <c r="B3" s="19">
        <v>3</v>
      </c>
      <c r="C3" s="736" t="s">
        <v>886</v>
      </c>
      <c r="D3" s="20"/>
      <c r="E3" s="20"/>
      <c r="F3" s="21"/>
      <c r="G3" s="21"/>
      <c r="H3" s="16"/>
      <c r="I3" s="16"/>
      <c r="J3" s="155">
        <v>43831</v>
      </c>
      <c r="K3" s="23"/>
      <c r="L3" s="23"/>
      <c r="M3" s="22"/>
      <c r="N3" s="22"/>
      <c r="O3" s="24">
        <v>1</v>
      </c>
      <c r="P3" s="24">
        <v>2</v>
      </c>
      <c r="Q3" s="24">
        <v>3</v>
      </c>
      <c r="R3" s="372"/>
      <c r="S3" s="370"/>
      <c r="T3" s="371">
        <v>22</v>
      </c>
      <c r="U3" s="371">
        <v>17</v>
      </c>
      <c r="V3" s="371">
        <v>20</v>
      </c>
      <c r="W3" s="371">
        <v>22</v>
      </c>
      <c r="X3" s="371">
        <v>22</v>
      </c>
      <c r="Y3" s="371">
        <v>19</v>
      </c>
      <c r="Z3" s="371">
        <v>23</v>
      </c>
      <c r="AA3" s="371">
        <v>21</v>
      </c>
      <c r="AB3" s="371">
        <v>19</v>
      </c>
      <c r="AC3" s="371"/>
      <c r="AD3" s="371">
        <v>21</v>
      </c>
      <c r="AE3" s="371">
        <v>21</v>
      </c>
      <c r="AF3" s="373"/>
      <c r="AG3" s="373"/>
      <c r="AH3" s="373"/>
      <c r="AI3" s="677"/>
      <c r="AJ3" s="26"/>
      <c r="AK3" s="16"/>
      <c r="AL3" s="16"/>
      <c r="AM3" s="398">
        <v>3</v>
      </c>
      <c r="AN3" s="398">
        <v>4</v>
      </c>
      <c r="AO3" s="401">
        <v>5</v>
      </c>
      <c r="AP3" s="401">
        <v>6</v>
      </c>
      <c r="AQ3" s="398">
        <v>3</v>
      </c>
      <c r="AR3" s="400">
        <v>3</v>
      </c>
      <c r="AS3" s="400">
        <v>3</v>
      </c>
      <c r="AT3" s="361">
        <v>3</v>
      </c>
      <c r="AU3" s="16"/>
      <c r="AV3" s="16"/>
      <c r="AW3" s="16"/>
      <c r="AX3" s="16"/>
      <c r="AY3" s="16"/>
      <c r="AZ3" s="15"/>
      <c r="BA3" s="27"/>
      <c r="BB3" s="28"/>
      <c r="BC3" s="16"/>
      <c r="BD3" s="16"/>
      <c r="BE3" s="16"/>
      <c r="BF3" s="16"/>
      <c r="BG3" s="16"/>
      <c r="BH3" s="16"/>
      <c r="BI3" s="16"/>
      <c r="BJ3" s="16"/>
      <c r="BK3" s="602">
        <v>465002</v>
      </c>
      <c r="BL3" s="27"/>
      <c r="BM3" s="16"/>
      <c r="BN3" s="16"/>
      <c r="BO3" s="400">
        <v>3</v>
      </c>
      <c r="BP3" s="400">
        <v>4</v>
      </c>
      <c r="BQ3" s="399">
        <v>5</v>
      </c>
      <c r="BR3" s="399">
        <v>6</v>
      </c>
      <c r="BS3" s="694">
        <v>4</v>
      </c>
      <c r="BT3" s="400">
        <v>4</v>
      </c>
      <c r="BU3" s="398">
        <v>4</v>
      </c>
      <c r="BV3" s="16">
        <v>4</v>
      </c>
      <c r="BW3" s="16"/>
      <c r="BX3" s="16"/>
      <c r="BY3" s="16"/>
      <c r="BZ3" s="16"/>
      <c r="CA3" s="25"/>
      <c r="CB3" s="29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605"/>
      <c r="CN3" s="16"/>
      <c r="CO3" s="16"/>
      <c r="CP3" s="16"/>
      <c r="CQ3" s="400">
        <v>3</v>
      </c>
      <c r="CR3" s="400">
        <v>4</v>
      </c>
      <c r="CS3" s="400">
        <v>5</v>
      </c>
      <c r="CT3" s="400">
        <v>6</v>
      </c>
      <c r="CU3" s="694">
        <v>5</v>
      </c>
      <c r="CV3" s="400">
        <v>5</v>
      </c>
      <c r="CW3" s="400">
        <v>5</v>
      </c>
      <c r="CX3" s="16">
        <v>5</v>
      </c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605"/>
      <c r="DP3" s="16"/>
      <c r="DQ3" s="16"/>
      <c r="DR3" s="16"/>
      <c r="DS3" s="400">
        <v>3</v>
      </c>
      <c r="DT3" s="400">
        <v>4</v>
      </c>
      <c r="DU3" s="400">
        <v>5</v>
      </c>
      <c r="DV3" s="400">
        <v>6</v>
      </c>
      <c r="DW3" s="400">
        <v>6</v>
      </c>
      <c r="DX3" s="400">
        <v>6</v>
      </c>
      <c r="DY3" s="400">
        <v>6</v>
      </c>
      <c r="DZ3" s="16">
        <v>6</v>
      </c>
      <c r="EA3" s="16"/>
      <c r="EB3" s="16"/>
      <c r="EC3" s="16"/>
      <c r="ED3" s="16"/>
      <c r="EN3" s="715"/>
      <c r="ER3" s="715"/>
      <c r="EZ3" s="16"/>
      <c r="FA3" s="16"/>
      <c r="FB3" s="16"/>
      <c r="FC3" s="16"/>
      <c r="FD3" s="16"/>
      <c r="FF3" s="16"/>
      <c r="FG3" s="16"/>
      <c r="FH3" s="16"/>
      <c r="FI3" s="16"/>
      <c r="FJ3" s="16"/>
      <c r="FK3" s="616">
        <f>SUBTOTAL(9,FK6:FK9)</f>
        <v>0</v>
      </c>
      <c r="FL3" s="25">
        <f>SUBTOTAL(9,FL6:FL9)</f>
        <v>0</v>
      </c>
      <c r="FM3" s="25">
        <f>SUBTOTAL(9,FM6:FM9)</f>
        <v>0</v>
      </c>
      <c r="FN3" s="25"/>
      <c r="FO3" s="716"/>
      <c r="FP3" s="25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/>
      <c r="GR3" s="32"/>
    </row>
    <row r="4" spans="1:202" ht="18" customHeight="1">
      <c r="A4" s="18" t="s">
        <v>885</v>
      </c>
      <c r="B4" s="34" t="s">
        <v>81</v>
      </c>
      <c r="C4" s="736"/>
      <c r="D4" s="35"/>
      <c r="E4" s="35"/>
      <c r="F4" s="36"/>
      <c r="G4" s="36"/>
      <c r="H4" s="37"/>
      <c r="I4" s="37"/>
      <c r="J4" s="38"/>
      <c r="K4" s="38"/>
      <c r="L4" s="38"/>
      <c r="M4" s="39"/>
      <c r="N4" s="39"/>
      <c r="O4" s="39"/>
      <c r="P4" s="37"/>
      <c r="Q4" s="37"/>
      <c r="R4" s="378"/>
      <c r="S4" s="374"/>
      <c r="T4" s="375">
        <f>month!C2</f>
        <v>43845</v>
      </c>
      <c r="U4" s="375">
        <f>month!C3</f>
        <v>43875</v>
      </c>
      <c r="V4" s="375">
        <f>month!C4</f>
        <v>43903</v>
      </c>
      <c r="W4" s="375">
        <f>month!C5</f>
        <v>43935</v>
      </c>
      <c r="X4" s="375">
        <f>month!C6</f>
        <v>43969</v>
      </c>
      <c r="Y4" s="375">
        <f>month!C7</f>
        <v>43994</v>
      </c>
      <c r="Z4" s="375">
        <f>month!C8</f>
        <v>44026</v>
      </c>
      <c r="AA4" s="375">
        <f>month!C9</f>
        <v>44057</v>
      </c>
      <c r="AB4" s="375">
        <f>month!C10</f>
        <v>44088</v>
      </c>
      <c r="AC4" s="375">
        <f>month!C11</f>
        <v>44123</v>
      </c>
      <c r="AD4" s="375">
        <f>month!C12</f>
        <v>44148</v>
      </c>
      <c r="AE4" s="375">
        <f>month!C13</f>
        <v>44179</v>
      </c>
      <c r="AF4" s="612"/>
      <c r="AG4" s="377"/>
      <c r="AH4" s="378"/>
      <c r="AI4" s="679" t="s">
        <v>15</v>
      </c>
      <c r="AJ4" s="660"/>
      <c r="AK4" s="661"/>
      <c r="AL4" s="661"/>
      <c r="AM4" s="662"/>
      <c r="AN4" s="662"/>
      <c r="AO4" s="662"/>
      <c r="AP4" s="662"/>
      <c r="AQ4" s="662"/>
      <c r="AR4" s="662"/>
      <c r="AS4" s="661"/>
      <c r="AT4" s="663"/>
      <c r="AU4" s="664" t="s">
        <v>16</v>
      </c>
      <c r="AV4" s="661"/>
      <c r="AW4" s="661"/>
      <c r="AX4" s="661"/>
      <c r="AY4" s="662"/>
      <c r="AZ4" s="662"/>
      <c r="BA4" s="665"/>
      <c r="BB4" s="666"/>
      <c r="BC4" s="661"/>
      <c r="BD4" s="661"/>
      <c r="BE4" s="661"/>
      <c r="BF4" s="665"/>
      <c r="BG4" s="667"/>
      <c r="BH4" s="667"/>
      <c r="BI4" s="661"/>
      <c r="BJ4" s="661"/>
      <c r="BK4" s="609" t="s">
        <v>17</v>
      </c>
      <c r="BL4" s="46"/>
      <c r="BM4" s="37"/>
      <c r="BN4" s="37"/>
      <c r="BO4" s="37"/>
      <c r="BP4" s="37"/>
      <c r="BQ4" s="43"/>
      <c r="BR4" s="43"/>
      <c r="BS4" s="362"/>
      <c r="BT4" s="37"/>
      <c r="BU4" s="43"/>
      <c r="BV4" s="37"/>
      <c r="BW4" s="37"/>
      <c r="BX4" s="37"/>
      <c r="BY4" s="37"/>
      <c r="BZ4" s="37"/>
      <c r="CA4" s="43"/>
      <c r="CB4" s="37"/>
      <c r="CC4" s="37"/>
      <c r="CD4" s="37"/>
      <c r="CE4" s="37"/>
      <c r="CF4" s="37"/>
      <c r="CG4" s="37"/>
      <c r="CH4" s="37"/>
      <c r="CI4" s="40"/>
      <c r="CJ4" s="40"/>
      <c r="CK4" s="37"/>
      <c r="CL4" s="40"/>
      <c r="CM4" s="668" t="s">
        <v>18</v>
      </c>
      <c r="CN4" s="669"/>
      <c r="CO4" s="669"/>
      <c r="CP4" s="669"/>
      <c r="CQ4" s="669"/>
      <c r="CR4" s="669"/>
      <c r="CS4" s="669"/>
      <c r="CT4" s="669"/>
      <c r="CU4" s="697"/>
      <c r="CV4" s="669"/>
      <c r="CW4" s="669"/>
      <c r="CX4" s="669"/>
      <c r="CY4" s="669"/>
      <c r="CZ4" s="669"/>
      <c r="DA4" s="669"/>
      <c r="DB4" s="669"/>
      <c r="DC4" s="669"/>
      <c r="DD4" s="669"/>
      <c r="DE4" s="669"/>
      <c r="DF4" s="669"/>
      <c r="DG4" s="669"/>
      <c r="DH4" s="669"/>
      <c r="DI4" s="669"/>
      <c r="DJ4" s="669"/>
      <c r="DK4" s="669"/>
      <c r="DL4" s="669"/>
      <c r="DM4" s="669"/>
      <c r="DN4" s="669"/>
      <c r="DO4" s="674" t="s">
        <v>19</v>
      </c>
      <c r="DP4" s="659"/>
      <c r="DQ4" s="659"/>
      <c r="DR4" s="659"/>
      <c r="DS4" s="659"/>
      <c r="DT4" s="659"/>
      <c r="DU4" s="659"/>
      <c r="DV4" s="659"/>
      <c r="DW4" s="659"/>
      <c r="DX4" s="659"/>
      <c r="DY4" s="659"/>
      <c r="DZ4" s="659"/>
      <c r="EA4" s="659"/>
      <c r="EB4" s="659"/>
      <c r="EC4" s="659"/>
      <c r="ED4" s="659"/>
      <c r="EE4" s="659"/>
      <c r="EF4" s="659"/>
      <c r="EG4" s="659"/>
      <c r="EH4" s="659"/>
      <c r="EI4" s="659"/>
      <c r="EJ4" s="659"/>
      <c r="EK4" s="659"/>
      <c r="EL4" s="659"/>
      <c r="EM4" s="659"/>
      <c r="EN4" s="659"/>
      <c r="EO4" s="659"/>
      <c r="EP4" s="659"/>
      <c r="EQ4" s="48" t="s">
        <v>20</v>
      </c>
      <c r="ER4" s="37"/>
      <c r="ES4" s="37"/>
      <c r="ET4" s="617" t="s">
        <v>21</v>
      </c>
      <c r="EU4" s="43"/>
      <c r="EV4" s="37"/>
      <c r="EW4" s="43"/>
      <c r="EX4" s="37"/>
      <c r="EY4" s="37"/>
      <c r="EZ4" s="48" t="s">
        <v>22</v>
      </c>
      <c r="FA4" s="49"/>
      <c r="FB4" s="49"/>
      <c r="FC4" s="49"/>
      <c r="FD4" s="49"/>
      <c r="FE4" s="37"/>
      <c r="FF4" s="48" t="s">
        <v>23</v>
      </c>
      <c r="FG4" s="49"/>
      <c r="FH4" s="49"/>
      <c r="FI4" s="49"/>
      <c r="FJ4" s="49"/>
      <c r="FK4" s="617" t="s">
        <v>24</v>
      </c>
      <c r="FL4" s="43"/>
      <c r="FM4" s="43"/>
      <c r="FN4" s="43"/>
      <c r="FO4" s="43"/>
      <c r="FP4" s="43"/>
      <c r="FQ4" s="49" t="s">
        <v>25</v>
      </c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/>
      <c r="GM4" s="51" t="s">
        <v>26</v>
      </c>
      <c r="GN4" s="51"/>
      <c r="GO4" s="52"/>
      <c r="GP4" s="52"/>
      <c r="GQ4" s="52"/>
      <c r="GR4" s="53"/>
    </row>
    <row r="5" spans="1:202" s="55" customFormat="1" ht="58.65" customHeight="1">
      <c r="A5" s="57"/>
      <c r="B5" s="58"/>
      <c r="C5" s="535"/>
      <c r="D5" s="60"/>
      <c r="E5" s="60"/>
      <c r="F5" s="60"/>
      <c r="G5" s="60"/>
      <c r="H5" s="535"/>
      <c r="I5" s="535"/>
      <c r="J5" s="61"/>
      <c r="K5" s="61"/>
      <c r="L5" s="61"/>
      <c r="M5" s="535"/>
      <c r="N5" s="535"/>
      <c r="O5" s="489"/>
      <c r="P5" s="489"/>
      <c r="Q5" s="489"/>
      <c r="R5" s="490"/>
      <c r="S5" s="722" t="s">
        <v>889</v>
      </c>
      <c r="T5" s="379"/>
      <c r="U5" s="379"/>
      <c r="V5" s="379"/>
      <c r="W5" s="379"/>
      <c r="X5" s="379"/>
      <c r="Y5" s="379"/>
      <c r="Z5" s="379"/>
      <c r="AA5" s="379"/>
      <c r="AB5" s="379"/>
      <c r="AC5" s="379"/>
      <c r="AD5" s="379"/>
      <c r="AE5" s="379"/>
      <c r="AF5" s="613"/>
      <c r="AG5" s="613"/>
      <c r="AH5" s="380"/>
      <c r="AI5" s="680"/>
      <c r="AJ5" s="62"/>
      <c r="AK5" s="535"/>
      <c r="AL5" s="535"/>
      <c r="AM5" s="732" t="s">
        <v>30</v>
      </c>
      <c r="AN5" s="732"/>
      <c r="AO5" s="732"/>
      <c r="AP5" s="732"/>
      <c r="AQ5" s="733" t="s">
        <v>31</v>
      </c>
      <c r="AR5" s="733"/>
      <c r="AS5" s="733"/>
      <c r="AT5" s="737"/>
      <c r="AU5" s="734" t="s">
        <v>32</v>
      </c>
      <c r="AV5" s="734"/>
      <c r="AW5" s="734"/>
      <c r="AX5" s="734"/>
      <c r="AY5" s="728" t="s">
        <v>33</v>
      </c>
      <c r="AZ5" s="729"/>
      <c r="BA5" s="730"/>
      <c r="BB5" s="731"/>
      <c r="BC5" s="535"/>
      <c r="BD5" s="535"/>
      <c r="BE5" s="535"/>
      <c r="BF5" s="535"/>
      <c r="BG5" s="535"/>
      <c r="BH5" s="63"/>
      <c r="BI5" s="535"/>
      <c r="BJ5" s="63"/>
      <c r="BK5" s="603"/>
      <c r="BL5" s="535"/>
      <c r="BM5" s="535"/>
      <c r="BN5" s="535"/>
      <c r="BO5" s="732" t="s">
        <v>34</v>
      </c>
      <c r="BP5" s="732"/>
      <c r="BQ5" s="732"/>
      <c r="BR5" s="732"/>
      <c r="BS5" s="733" t="s">
        <v>35</v>
      </c>
      <c r="BT5" s="733"/>
      <c r="BU5" s="733"/>
      <c r="BV5" s="733"/>
      <c r="BW5" s="734" t="s">
        <v>32</v>
      </c>
      <c r="BX5" s="734"/>
      <c r="BY5" s="734"/>
      <c r="BZ5" s="734"/>
      <c r="CA5" s="728" t="s">
        <v>33</v>
      </c>
      <c r="CB5" s="729"/>
      <c r="CC5" s="730"/>
      <c r="CD5" s="731"/>
      <c r="CE5" s="535"/>
      <c r="CF5" s="535"/>
      <c r="CG5" s="535"/>
      <c r="CH5" s="535"/>
      <c r="CI5" s="535"/>
      <c r="CJ5" s="63"/>
      <c r="CK5" s="535"/>
      <c r="CL5" s="63"/>
      <c r="CM5" s="603"/>
      <c r="CN5" s="535"/>
      <c r="CO5" s="535"/>
      <c r="CP5" s="535"/>
      <c r="CQ5" s="732" t="s">
        <v>36</v>
      </c>
      <c r="CR5" s="732"/>
      <c r="CS5" s="732"/>
      <c r="CT5" s="732"/>
      <c r="CU5" s="733" t="s">
        <v>37</v>
      </c>
      <c r="CV5" s="733"/>
      <c r="CW5" s="733"/>
      <c r="CX5" s="733"/>
      <c r="CY5" s="734" t="s">
        <v>32</v>
      </c>
      <c r="CZ5" s="734"/>
      <c r="DA5" s="734"/>
      <c r="DB5" s="734"/>
      <c r="DC5" s="728" t="s">
        <v>33</v>
      </c>
      <c r="DD5" s="729"/>
      <c r="DE5" s="730"/>
      <c r="DF5" s="731"/>
      <c r="DG5" s="535"/>
      <c r="DH5" s="535"/>
      <c r="DI5" s="535"/>
      <c r="DJ5" s="535"/>
      <c r="DK5" s="535"/>
      <c r="DL5" s="63"/>
      <c r="DM5" s="535"/>
      <c r="DN5" s="63"/>
      <c r="DO5" s="603"/>
      <c r="DP5" s="535"/>
      <c r="DQ5" s="535"/>
      <c r="DR5" s="535"/>
      <c r="DS5" s="732" t="s">
        <v>38</v>
      </c>
      <c r="DT5" s="732"/>
      <c r="DU5" s="732"/>
      <c r="DV5" s="732"/>
      <c r="DW5" s="733" t="s">
        <v>39</v>
      </c>
      <c r="DX5" s="733"/>
      <c r="DY5" s="733"/>
      <c r="DZ5" s="733"/>
      <c r="EA5" s="734" t="s">
        <v>32</v>
      </c>
      <c r="EB5" s="734"/>
      <c r="EC5" s="734"/>
      <c r="ED5" s="734"/>
      <c r="EE5" s="728" t="s">
        <v>33</v>
      </c>
      <c r="EF5" s="729"/>
      <c r="EG5" s="730"/>
      <c r="EH5" s="731"/>
      <c r="EI5" s="535"/>
      <c r="EJ5" s="535"/>
      <c r="EK5" s="535"/>
      <c r="EL5" s="535"/>
      <c r="EM5" s="535"/>
      <c r="EN5" s="63"/>
      <c r="EO5" s="535"/>
      <c r="EP5" s="63"/>
      <c r="EQ5" s="64" t="s">
        <v>40</v>
      </c>
      <c r="ER5" s="65" t="s">
        <v>41</v>
      </c>
      <c r="ES5" s="65" t="s">
        <v>844</v>
      </c>
      <c r="ET5" s="66" t="s">
        <v>42</v>
      </c>
      <c r="EU5" s="66" t="s">
        <v>43</v>
      </c>
      <c r="EV5" s="66" t="s">
        <v>44</v>
      </c>
      <c r="EW5" s="66" t="s">
        <v>45</v>
      </c>
      <c r="EX5" s="67"/>
      <c r="EY5" s="67"/>
      <c r="EZ5" s="68" t="s">
        <v>42</v>
      </c>
      <c r="FA5" s="68" t="s">
        <v>43</v>
      </c>
      <c r="FB5" s="68" t="s">
        <v>44</v>
      </c>
      <c r="FC5" s="68" t="s">
        <v>45</v>
      </c>
      <c r="FD5" s="68"/>
      <c r="FE5" s="69"/>
      <c r="FF5" s="70" t="s">
        <v>42</v>
      </c>
      <c r="FG5" s="71" t="s">
        <v>43</v>
      </c>
      <c r="FH5" s="71" t="s">
        <v>44</v>
      </c>
      <c r="FI5" s="71" t="s">
        <v>45</v>
      </c>
      <c r="FJ5" s="71"/>
      <c r="FK5" s="739" t="s">
        <v>46</v>
      </c>
      <c r="FL5" s="739"/>
      <c r="FM5" s="739"/>
      <c r="FN5" s="618"/>
      <c r="FO5" s="619"/>
      <c r="FP5" s="619"/>
      <c r="FQ5" s="74" t="s">
        <v>47</v>
      </c>
      <c r="FR5" s="75"/>
      <c r="FS5" s="75"/>
      <c r="FT5" s="75"/>
      <c r="FU5" s="75"/>
      <c r="FV5" s="75"/>
      <c r="FW5" s="76"/>
      <c r="FX5" s="75"/>
      <c r="FY5" s="75"/>
      <c r="FZ5" s="74"/>
      <c r="GA5" s="74"/>
      <c r="GB5" s="74"/>
      <c r="GC5" s="74"/>
      <c r="GD5" s="74"/>
      <c r="GE5" s="74"/>
      <c r="GF5" s="75"/>
      <c r="GG5" s="75"/>
      <c r="GH5" s="75"/>
      <c r="GI5" s="75"/>
      <c r="GJ5" s="75"/>
      <c r="GK5" s="75"/>
      <c r="GL5"/>
      <c r="GM5" s="727" t="s">
        <v>48</v>
      </c>
      <c r="GN5" s="727"/>
      <c r="GO5" s="727"/>
      <c r="GP5" s="727"/>
      <c r="GQ5" s="727"/>
      <c r="GR5" s="727"/>
      <c r="GS5" s="77"/>
    </row>
    <row r="6" spans="1:202" s="101" customFormat="1" ht="86.4">
      <c r="A6" s="81" t="s">
        <v>873</v>
      </c>
      <c r="B6" s="82" t="s">
        <v>874</v>
      </c>
      <c r="C6" s="83" t="s">
        <v>875</v>
      </c>
      <c r="D6" s="81" t="s">
        <v>58</v>
      </c>
      <c r="E6" s="81" t="s">
        <v>876</v>
      </c>
      <c r="F6" s="81" t="s">
        <v>60</v>
      </c>
      <c r="G6" s="81" t="s">
        <v>877</v>
      </c>
      <c r="H6" s="84" t="s">
        <v>878</v>
      </c>
      <c r="I6" s="84" t="s">
        <v>879</v>
      </c>
      <c r="J6" s="85" t="s">
        <v>880</v>
      </c>
      <c r="K6" s="85" t="s">
        <v>881</v>
      </c>
      <c r="L6" s="85" t="s">
        <v>882</v>
      </c>
      <c r="M6" s="84" t="s">
        <v>883</v>
      </c>
      <c r="N6" s="84" t="s">
        <v>841</v>
      </c>
      <c r="O6" s="84" t="s">
        <v>68</v>
      </c>
      <c r="P6" s="84" t="s">
        <v>69</v>
      </c>
      <c r="Q6" s="84" t="s">
        <v>70</v>
      </c>
      <c r="R6" s="491" t="s">
        <v>71</v>
      </c>
      <c r="S6" s="381" t="s">
        <v>547</v>
      </c>
      <c r="T6" s="382" t="s">
        <v>12</v>
      </c>
      <c r="U6" s="382" t="s">
        <v>73</v>
      </c>
      <c r="V6" s="382" t="s">
        <v>74</v>
      </c>
      <c r="W6" s="382" t="s">
        <v>75</v>
      </c>
      <c r="X6" s="382" t="s">
        <v>76</v>
      </c>
      <c r="Y6" s="382" t="s">
        <v>77</v>
      </c>
      <c r="Z6" s="382" t="s">
        <v>78</v>
      </c>
      <c r="AA6" s="382" t="s">
        <v>79</v>
      </c>
      <c r="AB6" s="382" t="s">
        <v>80</v>
      </c>
      <c r="AC6" s="382" t="s">
        <v>81</v>
      </c>
      <c r="AD6" s="382" t="s">
        <v>82</v>
      </c>
      <c r="AE6" s="382" t="s">
        <v>83</v>
      </c>
      <c r="AF6" s="614" t="s">
        <v>84</v>
      </c>
      <c r="AG6" s="614" t="s">
        <v>85</v>
      </c>
      <c r="AH6" s="381" t="s">
        <v>86</v>
      </c>
      <c r="AI6" s="681" t="s">
        <v>87</v>
      </c>
      <c r="AJ6" s="348" t="s">
        <v>88</v>
      </c>
      <c r="AK6" s="353" t="s">
        <v>89</v>
      </c>
      <c r="AL6" s="84" t="s">
        <v>90</v>
      </c>
      <c r="AM6" s="670" t="s">
        <v>91</v>
      </c>
      <c r="AN6" s="670" t="s">
        <v>92</v>
      </c>
      <c r="AO6" s="670" t="s">
        <v>93</v>
      </c>
      <c r="AP6" s="670" t="s">
        <v>94</v>
      </c>
      <c r="AQ6" s="705" t="s">
        <v>95</v>
      </c>
      <c r="AR6" s="702" t="s">
        <v>96</v>
      </c>
      <c r="AS6" s="702" t="s">
        <v>843</v>
      </c>
      <c r="AT6" s="703" t="s">
        <v>98</v>
      </c>
      <c r="AU6" s="86" t="s">
        <v>95</v>
      </c>
      <c r="AV6" s="86" t="s">
        <v>96</v>
      </c>
      <c r="AW6" s="86" t="s">
        <v>97</v>
      </c>
      <c r="AX6" s="86" t="s">
        <v>98</v>
      </c>
      <c r="AY6" s="84" t="s">
        <v>95</v>
      </c>
      <c r="AZ6" s="84" t="s">
        <v>96</v>
      </c>
      <c r="BA6" s="84" t="s">
        <v>97</v>
      </c>
      <c r="BB6" s="84" t="s">
        <v>98</v>
      </c>
      <c r="BC6" s="84" t="s">
        <v>99</v>
      </c>
      <c r="BD6" s="84" t="s">
        <v>100</v>
      </c>
      <c r="BE6" s="84" t="s">
        <v>101</v>
      </c>
      <c r="BF6" s="84" t="s">
        <v>102</v>
      </c>
      <c r="BG6" s="84" t="s">
        <v>103</v>
      </c>
      <c r="BH6" s="84" t="s">
        <v>104</v>
      </c>
      <c r="BI6" s="84" t="s">
        <v>105</v>
      </c>
      <c r="BJ6" s="84" t="s">
        <v>106</v>
      </c>
      <c r="BK6" s="604" t="s">
        <v>107</v>
      </c>
      <c r="BL6" s="350" t="s">
        <v>108</v>
      </c>
      <c r="BM6" s="353" t="s">
        <v>109</v>
      </c>
      <c r="BN6" s="84" t="s">
        <v>110</v>
      </c>
      <c r="BO6" s="671" t="s">
        <v>111</v>
      </c>
      <c r="BP6" s="671" t="s">
        <v>112</v>
      </c>
      <c r="BQ6" s="671" t="s">
        <v>113</v>
      </c>
      <c r="BR6" s="671" t="s">
        <v>114</v>
      </c>
      <c r="BS6" s="693" t="s">
        <v>842</v>
      </c>
      <c r="BT6" s="672" t="s">
        <v>116</v>
      </c>
      <c r="BU6" s="672" t="s">
        <v>117</v>
      </c>
      <c r="BV6" s="672" t="s">
        <v>118</v>
      </c>
      <c r="BW6" s="86" t="s">
        <v>115</v>
      </c>
      <c r="BX6" s="86" t="s">
        <v>116</v>
      </c>
      <c r="BY6" s="86" t="s">
        <v>117</v>
      </c>
      <c r="BZ6" s="86" t="s">
        <v>118</v>
      </c>
      <c r="CA6" s="84" t="s">
        <v>115</v>
      </c>
      <c r="CB6" s="84" t="s">
        <v>116</v>
      </c>
      <c r="CC6" s="84" t="s">
        <v>117</v>
      </c>
      <c r="CD6" s="84" t="s">
        <v>118</v>
      </c>
      <c r="CE6" s="84" t="s">
        <v>119</v>
      </c>
      <c r="CF6" s="84" t="s">
        <v>120</v>
      </c>
      <c r="CG6" s="84" t="s">
        <v>121</v>
      </c>
      <c r="CH6" s="84" t="s">
        <v>122</v>
      </c>
      <c r="CI6" s="84" t="s">
        <v>123</v>
      </c>
      <c r="CJ6" s="84" t="s">
        <v>124</v>
      </c>
      <c r="CK6" s="84" t="s">
        <v>105</v>
      </c>
      <c r="CL6" s="84" t="s">
        <v>125</v>
      </c>
      <c r="CM6" s="606" t="s">
        <v>126</v>
      </c>
      <c r="CN6" s="351" t="s">
        <v>127</v>
      </c>
      <c r="CO6" s="354" t="s">
        <v>128</v>
      </c>
      <c r="CP6" s="535" t="s">
        <v>129</v>
      </c>
      <c r="CQ6" s="352" t="s">
        <v>130</v>
      </c>
      <c r="CR6" s="352" t="s">
        <v>131</v>
      </c>
      <c r="CS6" s="352" t="s">
        <v>132</v>
      </c>
      <c r="CT6" s="352" t="s">
        <v>133</v>
      </c>
      <c r="CU6" s="695" t="s">
        <v>134</v>
      </c>
      <c r="CV6" s="696" t="s">
        <v>135</v>
      </c>
      <c r="CW6" s="696" t="s">
        <v>136</v>
      </c>
      <c r="CX6" s="696" t="s">
        <v>137</v>
      </c>
      <c r="CY6" s="87" t="s">
        <v>134</v>
      </c>
      <c r="CZ6" s="87" t="s">
        <v>135</v>
      </c>
      <c r="DA6" s="87" t="s">
        <v>136</v>
      </c>
      <c r="DB6" s="87" t="s">
        <v>137</v>
      </c>
      <c r="DC6" s="535" t="s">
        <v>134</v>
      </c>
      <c r="DD6" s="535" t="s">
        <v>135</v>
      </c>
      <c r="DE6" s="535" t="s">
        <v>136</v>
      </c>
      <c r="DF6" s="535" t="s">
        <v>137</v>
      </c>
      <c r="DG6" s="535" t="s">
        <v>138</v>
      </c>
      <c r="DH6" s="535" t="s">
        <v>139</v>
      </c>
      <c r="DI6" s="535" t="s">
        <v>140</v>
      </c>
      <c r="DJ6" s="535" t="s">
        <v>141</v>
      </c>
      <c r="DK6" s="535" t="s">
        <v>142</v>
      </c>
      <c r="DL6" s="535" t="s">
        <v>143</v>
      </c>
      <c r="DM6" s="535" t="s">
        <v>105</v>
      </c>
      <c r="DN6" s="535" t="s">
        <v>144</v>
      </c>
      <c r="DO6" s="603" t="s">
        <v>145</v>
      </c>
      <c r="DP6" s="351" t="s">
        <v>146</v>
      </c>
      <c r="DQ6" s="354" t="s">
        <v>147</v>
      </c>
      <c r="DR6" s="535" t="s">
        <v>148</v>
      </c>
      <c r="DS6" s="673" t="s">
        <v>149</v>
      </c>
      <c r="DT6" s="673" t="s">
        <v>150</v>
      </c>
      <c r="DU6" s="673" t="s">
        <v>151</v>
      </c>
      <c r="DV6" s="673" t="s">
        <v>152</v>
      </c>
      <c r="DW6" s="698" t="s">
        <v>153</v>
      </c>
      <c r="DX6" s="699" t="s">
        <v>154</v>
      </c>
      <c r="DY6" s="699" t="s">
        <v>155</v>
      </c>
      <c r="DZ6" s="699" t="s">
        <v>156</v>
      </c>
      <c r="EA6" s="87" t="s">
        <v>153</v>
      </c>
      <c r="EB6" s="87" t="s">
        <v>154</v>
      </c>
      <c r="EC6" s="87" t="s">
        <v>155</v>
      </c>
      <c r="ED6" s="87" t="s">
        <v>156</v>
      </c>
      <c r="EE6" s="535" t="s">
        <v>153</v>
      </c>
      <c r="EF6" s="535" t="s">
        <v>154</v>
      </c>
      <c r="EG6" s="535" t="s">
        <v>155</v>
      </c>
      <c r="EH6" s="535" t="s">
        <v>156</v>
      </c>
      <c r="EI6" s="535" t="s">
        <v>157</v>
      </c>
      <c r="EJ6" s="535" t="s">
        <v>158</v>
      </c>
      <c r="EK6" s="535" t="s">
        <v>159</v>
      </c>
      <c r="EL6" s="535" t="s">
        <v>160</v>
      </c>
      <c r="EM6" s="535" t="s">
        <v>161</v>
      </c>
      <c r="EN6" s="535" t="s">
        <v>162</v>
      </c>
      <c r="EO6" s="535" t="s">
        <v>105</v>
      </c>
      <c r="EP6" s="535" t="s">
        <v>163</v>
      </c>
      <c r="EQ6" s="88" t="s">
        <v>164</v>
      </c>
      <c r="ER6" s="89" t="s">
        <v>165</v>
      </c>
      <c r="ES6" s="89"/>
      <c r="ET6" s="90" t="s">
        <v>166</v>
      </c>
      <c r="EU6" s="90" t="s">
        <v>166</v>
      </c>
      <c r="EV6" s="90" t="s">
        <v>166</v>
      </c>
      <c r="EW6" s="90" t="s">
        <v>166</v>
      </c>
      <c r="EX6" s="90" t="s">
        <v>167</v>
      </c>
      <c r="EY6" s="90" t="s">
        <v>168</v>
      </c>
      <c r="EZ6" s="91" t="s">
        <v>169</v>
      </c>
      <c r="FA6" s="91" t="s">
        <v>169</v>
      </c>
      <c r="FB6" s="91" t="s">
        <v>169</v>
      </c>
      <c r="FC6" s="91" t="s">
        <v>169</v>
      </c>
      <c r="FD6" s="91" t="s">
        <v>170</v>
      </c>
      <c r="FE6" s="91" t="s">
        <v>171</v>
      </c>
      <c r="FF6" s="92" t="s">
        <v>172</v>
      </c>
      <c r="FG6" s="92" t="s">
        <v>172</v>
      </c>
      <c r="FH6" s="92" t="s">
        <v>172</v>
      </c>
      <c r="FI6" s="92" t="s">
        <v>172</v>
      </c>
      <c r="FJ6" s="92" t="s">
        <v>743</v>
      </c>
      <c r="FK6" s="620" t="s">
        <v>173</v>
      </c>
      <c r="FL6" s="620" t="s">
        <v>174</v>
      </c>
      <c r="FM6" s="620" t="s">
        <v>175</v>
      </c>
      <c r="FN6" s="620" t="s">
        <v>176</v>
      </c>
      <c r="FO6" s="621" t="s">
        <v>177</v>
      </c>
      <c r="FP6" s="622" t="s">
        <v>178</v>
      </c>
      <c r="FQ6" s="95" t="s">
        <v>179</v>
      </c>
      <c r="FR6" s="95" t="s">
        <v>180</v>
      </c>
      <c r="FS6" s="95" t="s">
        <v>181</v>
      </c>
      <c r="FT6" s="95" t="s">
        <v>182</v>
      </c>
      <c r="FU6" s="95" t="s">
        <v>183</v>
      </c>
      <c r="FV6" s="95" t="s">
        <v>184</v>
      </c>
      <c r="FW6" s="95" t="s">
        <v>185</v>
      </c>
      <c r="FX6" s="95" t="s">
        <v>186</v>
      </c>
      <c r="FY6" s="95" t="s">
        <v>187</v>
      </c>
      <c r="FZ6" s="95" t="s">
        <v>188</v>
      </c>
      <c r="GA6" s="95" t="s">
        <v>189</v>
      </c>
      <c r="GB6" s="95" t="s">
        <v>190</v>
      </c>
      <c r="GC6" s="95" t="s">
        <v>191</v>
      </c>
      <c r="GD6" s="95" t="s">
        <v>192</v>
      </c>
      <c r="GE6" s="95" t="s">
        <v>193</v>
      </c>
      <c r="GF6" s="95" t="s">
        <v>194</v>
      </c>
      <c r="GG6" s="95" t="s">
        <v>195</v>
      </c>
      <c r="GH6" s="95" t="s">
        <v>196</v>
      </c>
      <c r="GI6" s="95" t="s">
        <v>197</v>
      </c>
      <c r="GJ6" s="95" t="s">
        <v>198</v>
      </c>
      <c r="GK6" s="95" t="s">
        <v>199</v>
      </c>
      <c r="GL6" s="96" t="s">
        <v>200</v>
      </c>
      <c r="GM6" s="97" t="s">
        <v>201</v>
      </c>
      <c r="GN6" s="97" t="s">
        <v>202</v>
      </c>
      <c r="GO6" s="98" t="s">
        <v>203</v>
      </c>
      <c r="GP6" s="98" t="s">
        <v>204</v>
      </c>
      <c r="GQ6" s="98" t="s">
        <v>205</v>
      </c>
      <c r="GR6" s="99" t="s">
        <v>206</v>
      </c>
      <c r="GS6" s="100"/>
      <c r="GT6" s="101" t="s">
        <v>833</v>
      </c>
    </row>
    <row r="7" spans="1:202" s="152" customFormat="1" ht="16.95" customHeight="1">
      <c r="A7" s="223" t="s">
        <v>796</v>
      </c>
      <c r="B7" s="223" t="s">
        <v>846</v>
      </c>
      <c r="C7" s="223" t="s">
        <v>847</v>
      </c>
      <c r="D7" s="684" t="s">
        <v>854</v>
      </c>
      <c r="E7" s="684" t="s">
        <v>856</v>
      </c>
      <c r="F7" s="684" t="s">
        <v>209</v>
      </c>
      <c r="G7" s="223" t="s">
        <v>856</v>
      </c>
      <c r="H7" s="685">
        <v>41279</v>
      </c>
      <c r="I7" s="685">
        <v>41275</v>
      </c>
      <c r="J7" s="700">
        <f>IF(I7&gt;$J$3,MONTH(I7),0)</f>
        <v>0</v>
      </c>
      <c r="K7" s="701">
        <f>IF((I7-VLOOKUP(J7,month!$A$1:$C$13,3,0))&lt;0,J7,J7+1)</f>
        <v>0</v>
      </c>
      <c r="L7" s="637"/>
      <c r="M7" s="653" t="str">
        <f>IF(L7&gt;0,"Y","")</f>
        <v/>
      </c>
      <c r="N7" s="638"/>
      <c r="O7" s="638"/>
      <c r="P7" s="638"/>
      <c r="Q7" s="638"/>
      <c r="R7" s="640"/>
      <c r="S7" s="640" t="s">
        <v>545</v>
      </c>
      <c r="T7" s="645">
        <v>3000000</v>
      </c>
      <c r="U7" s="645">
        <v>3000000</v>
      </c>
      <c r="V7" s="645">
        <v>3150000</v>
      </c>
      <c r="W7" s="645">
        <v>3150000</v>
      </c>
      <c r="X7" s="645">
        <v>3150000</v>
      </c>
      <c r="Y7" s="645">
        <v>3150000</v>
      </c>
      <c r="Z7" s="645">
        <v>3150000</v>
      </c>
      <c r="AA7" s="645">
        <v>3150000</v>
      </c>
      <c r="AB7" s="645">
        <v>3150000</v>
      </c>
      <c r="AC7" s="645">
        <v>3150000</v>
      </c>
      <c r="AD7" s="641">
        <v>3150000</v>
      </c>
      <c r="AE7" s="641">
        <v>3150000</v>
      </c>
      <c r="AF7" s="654">
        <f>IF($B$3=1,SUM(T7:V7),IF($B$3=2,SUM(T7:Y7),IF($B$3=3,SUM(T7:AB7),SUM(T7:AE7))))</f>
        <v>28050000</v>
      </c>
      <c r="AG7" s="654">
        <f>SUM(T7:AE7)+INDEX(T7:AE7,,MATCH($B$4,$T$6:$AE$6,0))*(12-COUNTA(T7:AE7))</f>
        <v>37500000</v>
      </c>
      <c r="AH7" s="654">
        <f>AB7</f>
        <v>3150000</v>
      </c>
      <c r="AI7" s="682" t="s">
        <v>858</v>
      </c>
      <c r="AJ7" s="642">
        <v>0.4</v>
      </c>
      <c r="AK7" s="642" t="s">
        <v>859</v>
      </c>
      <c r="AL7" s="126"/>
      <c r="AM7" s="112">
        <v>10000000</v>
      </c>
      <c r="AN7" s="112">
        <v>13000000</v>
      </c>
      <c r="AO7" s="112">
        <v>12000000</v>
      </c>
      <c r="AP7" s="112">
        <v>15000000</v>
      </c>
      <c r="AQ7" s="114">
        <v>11000000</v>
      </c>
      <c r="AR7" s="114">
        <v>13500000</v>
      </c>
      <c r="AS7" s="114">
        <v>12500000</v>
      </c>
      <c r="AT7" s="608">
        <v>1600000</v>
      </c>
      <c r="AU7" s="114"/>
      <c r="AV7" s="114"/>
      <c r="AW7" s="114"/>
      <c r="AX7" s="114"/>
      <c r="AY7" s="596">
        <f>AQ7+AU7</f>
        <v>11000000</v>
      </c>
      <c r="AZ7" s="596">
        <f>AR7+AV7</f>
        <v>13500000</v>
      </c>
      <c r="BA7" s="596">
        <f>AS7+AW7</f>
        <v>12500000</v>
      </c>
      <c r="BB7" s="596">
        <f>AT7+AX7</f>
        <v>1600000</v>
      </c>
      <c r="BC7" s="596">
        <f>IF($AU$4="After AR Adjustment",IF($B$3=1,AY7,IF($B$3=2,SUM(AY7:AZ7),IF($B$3=3,SUM(AY7:BA7),SUM(AY7:BB7)))),IF($B$3=1,AQ7,IF($B$3=2,SUM(AQ7:AR7),IF($B$3=3,SUM(AQ7:AS7),SUM(AQ7:AT7)))))</f>
        <v>37000000</v>
      </c>
      <c r="BD7" s="655">
        <f>IF($B$3=1,AM7,IF($B$3=2,SUM(AM7:AN7),IF($B$3=3,SUM(AM7:AO7),SUM(AM7:AP7))))</f>
        <v>35000000</v>
      </c>
      <c r="BE7" s="655">
        <f t="shared" ref="BE7" si="1">SUM(AM7:AP7)</f>
        <v>50000000</v>
      </c>
      <c r="BF7" s="656">
        <f t="shared" ref="BF7" si="2">IFERROR(ROUND(BC7/BD7,4),0)</f>
        <v>1.0570999999999999</v>
      </c>
      <c r="BG7" s="657">
        <f t="shared" ref="BG7" ca="1" si="3">IF(OR(AI7="MBO",AI7="10% Realized Price"),BF7,SUMPRODUCT(Lower_Payout*(Curve=AK7)*(Lower_Attain&lt;=BF7)*(Upper_Attain&gt;BF7))+(BF7-SUMPRODUCT(Lower_Attain*(Curve=AK7)*(Lower_Attain&lt;=BF7)*(Upper_Attain&gt;BF7)))*SUMPRODUCT(Slope*(Curve=AK7)*(Lower_Attain&lt;=BF7)*(Upper_Attain&gt;BF7)))</f>
        <v>1.2854999999999996</v>
      </c>
      <c r="BH7" s="655">
        <f t="shared" ref="BH7" ca="1" si="4">IFERROR(AF7*AJ7*BG7,0)</f>
        <v>14423309.999999996</v>
      </c>
      <c r="BI7" s="658">
        <f>IF($M7="Y","100%",IF($B$3=4,"Uncapped",IF($A7="AA","50%",IF($A7="SA","90%",IF($A7="APJ Regional-AA","50%",IF($A7="APJ Regional-SA","90%",75%))))))</f>
        <v>0.75</v>
      </c>
      <c r="BJ7" s="655">
        <f t="shared" ref="BJ7" si="5">IF(BI7="Uncapped",BH7,IFERROR(AF7*AJ7*BI7,0))</f>
        <v>8415000</v>
      </c>
      <c r="BK7" s="675" t="s">
        <v>869</v>
      </c>
      <c r="BL7" s="644">
        <v>0.3</v>
      </c>
      <c r="BM7" s="644" t="s">
        <v>861</v>
      </c>
      <c r="BN7" s="643"/>
      <c r="BO7" s="114">
        <v>1000000</v>
      </c>
      <c r="BP7" s="114">
        <v>1300000</v>
      </c>
      <c r="BQ7" s="114">
        <v>1200000</v>
      </c>
      <c r="BR7" s="114">
        <v>1500000</v>
      </c>
      <c r="BS7" s="114">
        <v>1100000</v>
      </c>
      <c r="BT7" s="114">
        <v>1350000</v>
      </c>
      <c r="BU7" s="114">
        <v>1250000</v>
      </c>
      <c r="BV7" s="114">
        <v>160000</v>
      </c>
      <c r="BW7" s="114"/>
      <c r="BX7" s="114"/>
      <c r="BY7" s="114"/>
      <c r="BZ7" s="114"/>
      <c r="CA7" s="596">
        <f t="shared" ref="CA7:CA9" si="6">BS7+BW7</f>
        <v>1100000</v>
      </c>
      <c r="CB7" s="596">
        <f t="shared" ref="CB7:CB9" si="7">BT7+BX7</f>
        <v>1350000</v>
      </c>
      <c r="CC7" s="596">
        <f t="shared" ref="CC7:CC9" si="8">BU7+BY7</f>
        <v>1250000</v>
      </c>
      <c r="CD7" s="596">
        <f t="shared" ref="CD7:CD9" si="9">BV7+BZ7</f>
        <v>160000</v>
      </c>
      <c r="CE7" s="596">
        <f>IF($AU$4="After AR Adjustment",IF($B$3=1,CA7,IF($B$3=2,SUM(CA7:CB7),IF($B$3=3,SUM(CA7:CC7),SUM(CA7:CD7)))),IF($B$3=1,BS7,IF($B$3=2,SUM(BS7:BT7),IF($B$3=3,SUM(BS7:BU7),SUM(BS7:BV7)))))</f>
        <v>3700000</v>
      </c>
      <c r="CF7" s="596">
        <f>IF($B$3=1,BO7,IF($B$3=2,SUM(BO7:BP7),IF($B$3=3,SUM(BO7:BQ7),SUM(BO7:BR7))))</f>
        <v>3500000</v>
      </c>
      <c r="CG7" s="596">
        <f t="shared" ref="CG7:CG9" si="10">SUM(BO7:BR7)</f>
        <v>5000000</v>
      </c>
      <c r="CH7" s="656">
        <f t="shared" ref="CH7:CH9" si="11">IFERROR(ROUND(CE7/CF7,4),0)</f>
        <v>1.0570999999999999</v>
      </c>
      <c r="CI7" s="657">
        <f t="shared" ref="CI7:CI9" ca="1" si="12">IF(OR(BK7="MBO",BK7="10% Realized Price"),CH7,SUMPRODUCT(Lower_Payout*(Curve=BM7)*(Lower_Attain&lt;=CH7)*(Upper_Attain&gt;CH7))+(CH7-SUMPRODUCT(Lower_Attain*(Curve=BM7)*(Lower_Attain&lt;=CH7)*(Upper_Attain&gt;CH7)))*SUMPRODUCT(Slope*(Curve=BM7)*(Lower_Attain&lt;=CH7)*(Upper_Attain&gt;CH7)))</f>
        <v>1.1712999999999998</v>
      </c>
      <c r="CJ7" s="655">
        <f t="shared" ref="CJ7:CJ9" ca="1" si="13">AF7*BL7*CI7</f>
        <v>9856489.4999999981</v>
      </c>
      <c r="CK7" s="658">
        <f>IF($M7="Y","100%",IF($B$3=4,"Uncapped",IF($A7="AA","50%",IF($A7="SA","90%",IF($A7="APJ Regional-AA","50%",IF($A7="APJ Regional-SA","90%",75%))))))</f>
        <v>0.75</v>
      </c>
      <c r="CL7" s="655">
        <f t="shared" ref="CL7:CL9" si="14">IF(CK7="Uncapped",CJ7,IFERROR(AF7*BL7*CK7,0))</f>
        <v>6311250</v>
      </c>
      <c r="CM7" s="675" t="s">
        <v>872</v>
      </c>
      <c r="CN7" s="126">
        <v>0.2</v>
      </c>
      <c r="CO7" s="126" t="s">
        <v>864</v>
      </c>
      <c r="CP7" s="114"/>
      <c r="CQ7" s="114">
        <v>50000000</v>
      </c>
      <c r="CR7" s="114">
        <v>65000000</v>
      </c>
      <c r="CS7" s="114">
        <v>60000000</v>
      </c>
      <c r="CT7" s="114">
        <v>75000000</v>
      </c>
      <c r="CU7" s="114">
        <v>55000000</v>
      </c>
      <c r="CV7" s="114">
        <v>67500000</v>
      </c>
      <c r="CW7" s="114">
        <v>62500000</v>
      </c>
      <c r="CX7" s="114">
        <v>8000000</v>
      </c>
      <c r="CY7" s="114"/>
      <c r="CZ7" s="114"/>
      <c r="DA7" s="114"/>
      <c r="DB7" s="114"/>
      <c r="DC7" s="596">
        <f t="shared" ref="DC7:DC9" si="15">CU7+CY7</f>
        <v>55000000</v>
      </c>
      <c r="DD7" s="596">
        <f t="shared" ref="DD7:DD9" si="16">CV7+CZ7</f>
        <v>67500000</v>
      </c>
      <c r="DE7" s="596">
        <f t="shared" ref="DE7:DE9" si="17">CW7+DA7</f>
        <v>62500000</v>
      </c>
      <c r="DF7" s="596">
        <f t="shared" ref="DF7:DF9" si="18">CX7+DB7</f>
        <v>8000000</v>
      </c>
      <c r="DG7" s="596">
        <f>IF($AU$4="After AR Adjustment",IF($B$3=1,DC7,IF($B$3=2,SUM(DC7:DD7),IF($B$3=3,SUM(DC7:DE7),SUM(DC7:DF7)))),IF($B$3=1,CU7,IF($B$3=2,SUM(CU7:CV7),IF($B$3=3,SUM(CU7:CW7),SUM(CU7:CX7)))))</f>
        <v>185000000</v>
      </c>
      <c r="DH7" s="596">
        <f>IF($B$3=1,CQ7,IF($B$3=2,SUM(CQ7:CR7),IF($B$3=3,SUM(CQ7:CS7),SUM(CQ7:CT7))))</f>
        <v>175000000</v>
      </c>
      <c r="DI7" s="596">
        <f t="shared" ref="DI7:DI9" si="19">SUM(CQ7:CT7)</f>
        <v>250000000</v>
      </c>
      <c r="DJ7" s="656">
        <f t="shared" ref="DJ7:DJ9" si="20">IFERROR(ROUND(DG7/DH7,4),0)</f>
        <v>1.0570999999999999</v>
      </c>
      <c r="DK7" s="657" cm="1">
        <f t="array" aca="1" ref="DK7" ca="1">IF(OR(CM7="MBO",CM7="10% Realized Price"),DJ7,SUMPRODUCT(Lower_Payout*(Curve=CO7)*(Lower_Attain&lt;=DJ7)*(Upper_Attain&gt;DJ7))+(DJ7-SUMPRODUCT(Lower_Attain*(Curve=CO7)*(Lower_Attain&lt;=DJ7)*(Upper_Attain&gt;DJ7)))*SUMPRODUCT(Slope*(Curve=CO7)*(Lower_Attain&lt;=DJ7)*(Upper_Attain&gt;DJ7)))</f>
        <v>1.5709999999999993</v>
      </c>
      <c r="DL7" s="655">
        <f t="shared" ref="DL7:DL9" ca="1" si="21">AF7*CN7*DK7</f>
        <v>8813309.9999999963</v>
      </c>
      <c r="DM7" s="658">
        <f>IF($M7="Y","100%",IF($B$3=4,"Uncapped",IF($A7="AA","50%",IF($A7="SA","90%",IF($A7="APJ Regional-AA","50%",IF($A7="APJ Regional-SA","90%",75%))))))</f>
        <v>0.75</v>
      </c>
      <c r="DN7" s="655">
        <f t="shared" ref="DN7:DN9" si="22">IF(DM7="Uncapped",DL7,IFERROR(AF7*CN7*DM7,0))</f>
        <v>4207500</v>
      </c>
      <c r="DO7" s="675" t="s">
        <v>869</v>
      </c>
      <c r="DP7" s="126">
        <v>0.1</v>
      </c>
      <c r="DQ7" s="126" t="s">
        <v>859</v>
      </c>
      <c r="DR7" s="114"/>
      <c r="DS7" s="114">
        <v>5000000</v>
      </c>
      <c r="DT7" s="114">
        <v>6500000</v>
      </c>
      <c r="DU7" s="114">
        <v>6000000</v>
      </c>
      <c r="DV7" s="114">
        <v>7500000</v>
      </c>
      <c r="DW7" s="114">
        <v>5500000</v>
      </c>
      <c r="DX7" s="114">
        <v>6750000</v>
      </c>
      <c r="DY7" s="114">
        <v>6250000</v>
      </c>
      <c r="DZ7" s="114">
        <v>800000</v>
      </c>
      <c r="EA7" s="114"/>
      <c r="EB7" s="114"/>
      <c r="EC7" s="114"/>
      <c r="ED7" s="114"/>
      <c r="EE7" s="596">
        <f t="shared" ref="EE7" si="23">DW7+EA7</f>
        <v>5500000</v>
      </c>
      <c r="EF7" s="596">
        <f t="shared" ref="EF7" si="24">DX7+EB7</f>
        <v>6750000</v>
      </c>
      <c r="EG7" s="596">
        <f t="shared" ref="EG7" si="25">DY7+EC7</f>
        <v>6250000</v>
      </c>
      <c r="EH7" s="596">
        <f t="shared" ref="EH7" si="26">DZ7+ED7</f>
        <v>800000</v>
      </c>
      <c r="EI7" s="596">
        <f>IF($AU$4="After AR Adjustment",IF($B$3=1,EE7,IF($B$3=2,SUM(EE7:EF7),IF($B$3=3,SUM(EE7:EG7),SUM(EE7:EH7)))),IF($B$3=1,DW7,IF($B$3=2,SUM(DW7:DX7),IF($B$3=3,SUM(DW7:DY7),SUM(DW7:DZ7)))))</f>
        <v>18500000</v>
      </c>
      <c r="EJ7" s="596">
        <f>IF($B$3=1,DS7,IF($B$3=2,SUM(DS7:DT7),IF($B$3=3,SUM(DS7:DU7),SUM(DS7:DV7))))</f>
        <v>17500000</v>
      </c>
      <c r="EK7" s="596">
        <f t="shared" ref="EK7" si="27">SUM(DS7:DV7)</f>
        <v>25000000</v>
      </c>
      <c r="EL7" s="656">
        <f t="shared" ref="EL7" si="28">IFERROR(ROUND(EI7/EJ7,4),0)</f>
        <v>1.0570999999999999</v>
      </c>
      <c r="EM7" s="657" cm="1">
        <f t="array" aca="1" ref="EM7" ca="1">IF(OR(DO7="MBO",DO7="10% Realized Price"),EL7,SUMPRODUCT(Lower_Payout*(Curve=DQ7)*(Lower_Attain&lt;=EL7)*(Upper_Attain&gt;EL7))+(EL7-SUMPRODUCT(Lower_Attain*(Curve=DQ7)*(Lower_Attain&lt;=EL7)*(Upper_Attain&gt;EL7)))*SUMPRODUCT(Slope*(Curve=DQ7)*(Lower_Attain&lt;=EL7)*(Upper_Attain&gt;EL7)))</f>
        <v>1.2854999999999996</v>
      </c>
      <c r="EN7" s="655">
        <f t="shared" ref="EN7" ca="1" si="29">BH7*DP7*EM7</f>
        <v>1854116.5004999992</v>
      </c>
      <c r="EO7" s="658">
        <f>IF($M7="Y","100%",IF($B$3=4,"Uncapped",IF($A7="AA","50%",IF($A7="SA","90%",IF($A7="APJ Regional-AA","50%",IF($A7="APJ Regional-SA","90%",75%))))))</f>
        <v>0.75</v>
      </c>
      <c r="EP7" s="655">
        <f t="shared" ref="EP7" ca="1" si="30">IF(EO7="Uncapped",EN7,IFERROR(BH7*DP7*EO7,0))</f>
        <v>1081748.2499999998</v>
      </c>
      <c r="EQ7" s="583">
        <f t="shared" ref="EQ7" ca="1" si="31">MIN(BH7,BJ7)+MIN(CJ7,CL7)+MIN(DL7,DN7)+MIN(EN7,EP7)</f>
        <v>20015498.25</v>
      </c>
      <c r="ER7" s="596">
        <f ca="1">MAX(EQ7,GJ7)</f>
        <v>20015498.25</v>
      </c>
      <c r="ES7" s="709">
        <f>IF(AI7="MBO",0,AJ7)+IF(BK7="MBO",0,BL7)+IF(CM7="MBO",0,CN7)+IF(DO7="MBO",0,DP7)</f>
        <v>0.99999999999999989</v>
      </c>
      <c r="ET7" s="115"/>
      <c r="EU7" s="115"/>
      <c r="EV7" s="115"/>
      <c r="EW7" s="112"/>
      <c r="EX7" s="583">
        <f>IF($B$3=1,ET7,IF($B$3=2,SUM(ET7:EU7),IF($B$3=3,SUM(ET7:EV7),SUM(ET7:EW7))))</f>
        <v>0</v>
      </c>
      <c r="EY7" s="596">
        <f>SUMIFS(7:7,$6:$6,"SPIFF payout $ (Local CCY)",$5:$5,CONCATENATE("Q",$B$3))</f>
        <v>0</v>
      </c>
      <c r="EZ7" s="140">
        <v>0</v>
      </c>
      <c r="FA7" s="140">
        <v>0</v>
      </c>
      <c r="FB7" s="115">
        <v>0</v>
      </c>
      <c r="FC7" s="115">
        <v>0</v>
      </c>
      <c r="FD7" s="140">
        <f>IF($B$3=1,EZ7,IF($B$3=2,SUM(EZ7:FA7),IF($B$3=3,SUM(EZ7:FB7),SUM(EZ7:FC7))))</f>
        <v>0</v>
      </c>
      <c r="FE7" s="139">
        <f>SUMIFS(7:7,$6:$6,"Other payout $ (Local CCY)",$5:$5,CONCATENATE("Q",$B$3))</f>
        <v>0</v>
      </c>
      <c r="FF7" s="113"/>
      <c r="FG7" s="111"/>
      <c r="FH7" s="111"/>
      <c r="FI7" s="111" t="str">
        <f t="shared" ref="FI7:FI9" ca="1" si="32">IF(AND($B$3=4,FO7&lt;0),FO7,"")</f>
        <v/>
      </c>
      <c r="FJ7" s="140">
        <f t="shared" ref="FJ7:FJ9" ca="1" si="33">SUM(FF7:FI7)</f>
        <v>0</v>
      </c>
      <c r="FK7" s="112"/>
      <c r="FL7" s="112"/>
      <c r="FM7" s="112"/>
      <c r="FN7" s="583">
        <f t="shared" ref="FN7:FN9" si="34">SUM(FK7:FM7)</f>
        <v>0</v>
      </c>
      <c r="FO7" s="686">
        <f ca="1">IF($B$3=4,ROUND(MAX(FP7-FN7),0),ROUND(MAX(FP7-FN7,0),2))</f>
        <v>20015498.25</v>
      </c>
      <c r="FP7" s="687">
        <f t="shared" ref="FP7:FP9" ca="1" si="35">SUM(ER7,EX7,FD7)</f>
        <v>20015498.25</v>
      </c>
      <c r="FQ7" s="137">
        <f t="shared" ref="FQ7" si="36">EZ7</f>
        <v>0</v>
      </c>
      <c r="FR7" s="137">
        <f t="shared" ref="FR7" si="37">FA7</f>
        <v>0</v>
      </c>
      <c r="FS7" s="137">
        <f t="shared" ref="FS7" si="38">FB7</f>
        <v>0</v>
      </c>
      <c r="FT7" s="137">
        <f t="shared" ref="FT7" si="39">FC7</f>
        <v>0</v>
      </c>
      <c r="FU7" s="137">
        <f t="shared" ref="FU7" si="40">SUM(FQ7:FT7)</f>
        <v>0</v>
      </c>
      <c r="FV7" s="137">
        <f t="shared" ref="FV7" si="41">ET7</f>
        <v>0</v>
      </c>
      <c r="FW7" s="137">
        <f t="shared" ref="FW7" si="42">EU7</f>
        <v>0</v>
      </c>
      <c r="FX7" s="137">
        <f t="shared" ref="FX7" si="43">EV7</f>
        <v>0</v>
      </c>
      <c r="FY7" s="137">
        <f t="shared" ref="FY7" si="44">EW7</f>
        <v>0</v>
      </c>
      <c r="FZ7" s="137">
        <f t="shared" ref="FZ7" si="45">FV7+FQ7</f>
        <v>0</v>
      </c>
      <c r="GA7" s="137">
        <f t="shared" ref="GA7" si="46">FW7+FR7</f>
        <v>0</v>
      </c>
      <c r="GB7" s="137">
        <f t="shared" ref="GB7" si="47">FX7+FS7</f>
        <v>0</v>
      </c>
      <c r="GC7" s="137">
        <f t="shared" ref="GC7" si="48">FY7+FT7</f>
        <v>0</v>
      </c>
      <c r="GD7" s="137">
        <f t="shared" ref="GD7" si="49">IF($B$3=1,FZ7,IF($B$3=2,SUM(FZ7:GA7),IF($B$3=3,SUM(FZ7:GB7),SUM(FZ7:GC7))))</f>
        <v>0</v>
      </c>
      <c r="GE7" s="137">
        <f t="shared" ref="GE7" si="50">SUM(FZ7:GC7)</f>
        <v>0</v>
      </c>
      <c r="GF7" s="137">
        <f t="shared" ref="GF7:GF9" si="51">IF(N7="Y",O7*AH7,0)</f>
        <v>0</v>
      </c>
      <c r="GG7" s="137">
        <f t="shared" ref="GG7:GG9" si="52">IF(N7="Y",P7*AH7,0)</f>
        <v>0</v>
      </c>
      <c r="GH7" s="137">
        <f t="shared" ref="GH7:GH9" si="53">IF(N7="Y",Q7*AH7,0)</f>
        <v>0</v>
      </c>
      <c r="GI7" s="137">
        <f t="shared" ref="GI7:GI9" si="54">IF(N7="Y",R7*AH7,0)</f>
        <v>0</v>
      </c>
      <c r="GJ7" s="137">
        <f t="shared" ref="GJ7" si="55">IF($B$3=1,GF7,IF($B$3=2,SUM(GF7:GG7),IF($B$3=3,SUM(GF7:GH7),IF($B$3=4,SUM(GF7:GI7)))))</f>
        <v>0</v>
      </c>
      <c r="GK7" s="137">
        <f t="shared" ref="GK7" si="56">SUM(GF7:GI7)</f>
        <v>0</v>
      </c>
      <c r="GL7" s="713"/>
      <c r="GM7" s="688">
        <f t="shared" ref="GM7:GM9" si="57">IFERROR(BC7+CE7+DG7+EI7,0)</f>
        <v>244200000</v>
      </c>
      <c r="GN7" s="688">
        <f t="shared" ref="GN7:GN9" si="58">IFERROR(BD7+CF7+DH7+EJ7,0)</f>
        <v>231000000</v>
      </c>
      <c r="GO7" s="689">
        <f t="shared" ref="GO7:GO9" si="59">IFERROR(GM7/GN7,"")</f>
        <v>1.0571428571428572</v>
      </c>
      <c r="GP7" s="690">
        <f t="shared" ref="GP7:GP9" ca="1" si="60">BH7+CJ7+DL7+EN7</f>
        <v>34947226.000499986</v>
      </c>
      <c r="GQ7" s="124"/>
      <c r="GR7" s="691">
        <f t="shared" ref="GR7:GR9" ca="1" si="61">IFERROR(GP7/AF7,0)</f>
        <v>1.2458904099999994</v>
      </c>
      <c r="GS7" s="100"/>
      <c r="GT7" s="692">
        <f t="shared" ref="GT7:GT9" si="62">AJ7+BL7+CN7+DP7</f>
        <v>0.99999999999999989</v>
      </c>
    </row>
    <row r="8" spans="1:202" s="125" customFormat="1" ht="16.95" customHeight="1">
      <c r="A8" s="717" t="s">
        <v>796</v>
      </c>
      <c r="B8" s="717" t="s">
        <v>848</v>
      </c>
      <c r="C8" s="717" t="s">
        <v>849</v>
      </c>
      <c r="D8" s="718" t="s">
        <v>853</v>
      </c>
      <c r="E8" s="718" t="s">
        <v>856</v>
      </c>
      <c r="F8" s="718" t="s">
        <v>412</v>
      </c>
      <c r="G8" s="717" t="s">
        <v>857</v>
      </c>
      <c r="H8" s="719">
        <v>42472</v>
      </c>
      <c r="I8" s="719">
        <v>42461</v>
      </c>
      <c r="J8" s="700">
        <f>IF(I8&gt;$J$3,MONTH(I8),0)</f>
        <v>0</v>
      </c>
      <c r="K8" s="701">
        <f>IF((I8-VLOOKUP(J8,month!$A$1:$C$13,3,0))&lt;0,J8,J8+1)</f>
        <v>0</v>
      </c>
      <c r="L8" s="637"/>
      <c r="M8" s="653" t="str">
        <f t="shared" ref="M8:M9" si="63">IF(L8&gt;0,"Y","")</f>
        <v/>
      </c>
      <c r="N8" s="638"/>
      <c r="O8" s="638"/>
      <c r="P8" s="638"/>
      <c r="Q8" s="638"/>
      <c r="R8" s="640"/>
      <c r="S8" s="640" t="s">
        <v>545</v>
      </c>
      <c r="T8" s="645">
        <v>2000000</v>
      </c>
      <c r="U8" s="645">
        <v>2000000</v>
      </c>
      <c r="V8" s="645">
        <v>2200000</v>
      </c>
      <c r="W8" s="645">
        <v>2200000</v>
      </c>
      <c r="X8" s="641">
        <v>2200000</v>
      </c>
      <c r="Y8" s="641">
        <v>2200000</v>
      </c>
      <c r="Z8" s="645">
        <v>2200000</v>
      </c>
      <c r="AA8" s="641">
        <v>2200000</v>
      </c>
      <c r="AB8" s="641">
        <v>2200000</v>
      </c>
      <c r="AC8" s="641">
        <v>2200000</v>
      </c>
      <c r="AD8" s="641">
        <v>2200000</v>
      </c>
      <c r="AE8" s="641">
        <v>2200000</v>
      </c>
      <c r="AF8" s="654">
        <f t="shared" ref="AF8:AF9" si="64">IF($B$3=1,SUM(T8:V8),IF($B$3=2,SUM(T8:Y8),IF($B$3=3,SUM(T8:AB8),SUM(T8:AE8))))</f>
        <v>19400000</v>
      </c>
      <c r="AG8" s="654">
        <f t="shared" ref="AG8:AG9" si="65">SUM(T8:AE8)+INDEX(T8:AE8,,MATCH($B$4,$T$6:$AE$6,0))*(12-COUNTA(T8:AE8))</f>
        <v>26000000</v>
      </c>
      <c r="AH8" s="654">
        <f t="shared" ref="AH8:AH9" si="66">AB8</f>
        <v>2200000</v>
      </c>
      <c r="AI8" s="682" t="s">
        <v>860</v>
      </c>
      <c r="AJ8" s="642">
        <v>0.4</v>
      </c>
      <c r="AK8" s="642" t="s">
        <v>861</v>
      </c>
      <c r="AL8" s="126"/>
      <c r="AM8" s="112">
        <v>2000000</v>
      </c>
      <c r="AN8" s="112">
        <v>2600000</v>
      </c>
      <c r="AO8" s="112">
        <v>2400000</v>
      </c>
      <c r="AP8" s="112">
        <v>3000000</v>
      </c>
      <c r="AQ8" s="114">
        <v>2200000</v>
      </c>
      <c r="AR8" s="114">
        <v>2700000</v>
      </c>
      <c r="AS8" s="114">
        <v>2500000</v>
      </c>
      <c r="AT8" s="608">
        <v>320000</v>
      </c>
      <c r="AU8" s="114"/>
      <c r="AV8" s="114"/>
      <c r="AW8" s="114"/>
      <c r="AX8" s="114"/>
      <c r="AY8" s="596">
        <f t="shared" ref="AY8:AY9" si="67">AQ8+AU8</f>
        <v>2200000</v>
      </c>
      <c r="AZ8" s="596">
        <f t="shared" ref="AZ8:AZ9" si="68">AR8+AV8</f>
        <v>2700000</v>
      </c>
      <c r="BA8" s="596">
        <f t="shared" ref="BA8:BA9" si="69">AS8+AW8</f>
        <v>2500000</v>
      </c>
      <c r="BB8" s="596">
        <f t="shared" ref="BB8:BB9" si="70">AT8+AX8</f>
        <v>320000</v>
      </c>
      <c r="BC8" s="596">
        <f>IF($AU$4="After AR Adjustment",IF($B$3=1,AY8,IF($B$3=2,SUM(AY8:AZ8),IF($B$3=3,SUM(AY8:BA8),SUM(AY8:BB8)))),IF($B$3=1,AQ8,IF($B$3=2,SUM(AQ8:AR8),IF($B$3=3,SUM(AQ8:AS8),SUM(AQ8:AT8)))))</f>
        <v>7400000</v>
      </c>
      <c r="BD8" s="655">
        <f t="shared" ref="BD8:BD9" si="71">IF($B$3=1,AM8,IF($B$3=2,SUM(AM8:AN8),IF($B$3=3,SUM(AM8:AO8),SUM(AM8:AP8))))</f>
        <v>7000000</v>
      </c>
      <c r="BE8" s="655">
        <f t="shared" ref="BE8:BE9" si="72">SUM(AM8:AP8)</f>
        <v>10000000</v>
      </c>
      <c r="BF8" s="656">
        <f t="shared" ref="BF8:BF9" si="73">IFERROR(ROUND(BC8/BD8,4),0)</f>
        <v>1.0570999999999999</v>
      </c>
      <c r="BG8" s="657">
        <f t="shared" ref="BG8:BG9" ca="1" si="74">IF(OR(AI8="MBO",AI8="10% Realized Price"),BF8,SUMPRODUCT(Lower_Payout*(Curve=AK8)*(Lower_Attain&lt;=BF8)*(Upper_Attain&gt;BF8))+(BF8-SUMPRODUCT(Lower_Attain*(Curve=AK8)*(Lower_Attain&lt;=BF8)*(Upper_Attain&gt;BF8)))*SUMPRODUCT(Slope*(Curve=AK8)*(Lower_Attain&lt;=BF8)*(Upper_Attain&gt;BF8)))</f>
        <v>1.1712999999999998</v>
      </c>
      <c r="BH8" s="655">
        <f ca="1">IFERROR(AF8*AJ8*BG8,0)</f>
        <v>9089287.9999999981</v>
      </c>
      <c r="BI8" s="658">
        <f t="shared" ref="BI8:BI9" si="75">IF($M8="Y","100%",IF($B$3=4,"Uncapped",IF($A8="AA","50%",IF($A8="SA","90%",IF($A8="APJ Regional-AA","50%",IF($A8="APJ Regional-SA","90%",75%))))))</f>
        <v>0.75</v>
      </c>
      <c r="BJ8" s="655">
        <f>IF(BI8="Uncapped",BH8,IFERROR(AF8*AJ8*BI8,0))</f>
        <v>5820000</v>
      </c>
      <c r="BK8" s="675" t="s">
        <v>870</v>
      </c>
      <c r="BL8" s="644">
        <v>0.3</v>
      </c>
      <c r="BM8" s="644" t="s">
        <v>863</v>
      </c>
      <c r="BN8" s="643"/>
      <c r="BO8" s="114">
        <v>200000</v>
      </c>
      <c r="BP8" s="114">
        <v>260000</v>
      </c>
      <c r="BQ8" s="114">
        <v>240000</v>
      </c>
      <c r="BR8" s="114">
        <v>300000</v>
      </c>
      <c r="BS8" s="114">
        <v>220000</v>
      </c>
      <c r="BT8" s="114">
        <v>270000</v>
      </c>
      <c r="BU8" s="114">
        <v>250000</v>
      </c>
      <c r="BV8" s="114">
        <v>32000</v>
      </c>
      <c r="BW8" s="114"/>
      <c r="BX8" s="114"/>
      <c r="BY8" s="114"/>
      <c r="BZ8" s="114"/>
      <c r="CA8" s="596">
        <f t="shared" si="6"/>
        <v>220000</v>
      </c>
      <c r="CB8" s="596">
        <f t="shared" si="7"/>
        <v>270000</v>
      </c>
      <c r="CC8" s="596">
        <f t="shared" si="8"/>
        <v>250000</v>
      </c>
      <c r="CD8" s="596">
        <f t="shared" si="9"/>
        <v>32000</v>
      </c>
      <c r="CE8" s="596">
        <f>IF($AU$4="After AR Adjustment",IF($B$3=1,CA8,IF($B$3=2,SUM(CA8:CB8),IF($B$3=3,SUM(CA8:CC8),SUM(CA8:CD8)))),IF($B$3=1,BS8,IF($B$3=2,SUM(BS8:BT8),IF($B$3=3,SUM(BS8:BU8),SUM(BS8:BV8)))))</f>
        <v>740000</v>
      </c>
      <c r="CF8" s="596">
        <f>IF($B$3=1,BO8,IF($B$3=2,SUM(BO8:BP8),IF($B$3=3,SUM(BO8:BQ8),SUM(BO8:BR8))))</f>
        <v>700000</v>
      </c>
      <c r="CG8" s="596">
        <f t="shared" si="10"/>
        <v>1000000</v>
      </c>
      <c r="CH8" s="656">
        <f t="shared" si="11"/>
        <v>1.0570999999999999</v>
      </c>
      <c r="CI8" s="657">
        <f t="shared" ca="1" si="12"/>
        <v>1.1903333333314299</v>
      </c>
      <c r="CJ8" s="655">
        <f ca="1">AF8*BL8*CI8</f>
        <v>6927739.9999889219</v>
      </c>
      <c r="CK8" s="658">
        <f t="shared" ref="CK8:CK9" si="76">IF($M8="Y","100%",IF($B$3=4,"Uncapped",IF($A8="AA","50%",IF($A8="SA","90%",IF($A8="APJ Regional-AA","50%",IF($A8="APJ Regional-SA","90%",75%))))))</f>
        <v>0.75</v>
      </c>
      <c r="CL8" s="655">
        <f>IF(CK8="Uncapped",CJ8,IFERROR(AF8*BL8*CK8,0))</f>
        <v>4365000</v>
      </c>
      <c r="CM8" s="675" t="s">
        <v>858</v>
      </c>
      <c r="CN8" s="126">
        <v>0.3</v>
      </c>
      <c r="CO8" s="126" t="s">
        <v>859</v>
      </c>
      <c r="CP8" s="114"/>
      <c r="CQ8" s="114">
        <v>10000000</v>
      </c>
      <c r="CR8" s="114">
        <v>13000000</v>
      </c>
      <c r="CS8" s="114">
        <v>12000000</v>
      </c>
      <c r="CT8" s="114">
        <v>15000000</v>
      </c>
      <c r="CU8" s="114">
        <v>11000000</v>
      </c>
      <c r="CV8" s="114">
        <v>13500000</v>
      </c>
      <c r="CW8" s="114">
        <v>12500000</v>
      </c>
      <c r="CX8" s="114">
        <v>1600000</v>
      </c>
      <c r="CY8" s="114"/>
      <c r="CZ8" s="114"/>
      <c r="DA8" s="114"/>
      <c r="DB8" s="114"/>
      <c r="DC8" s="596">
        <f t="shared" si="15"/>
        <v>11000000</v>
      </c>
      <c r="DD8" s="596">
        <f t="shared" si="16"/>
        <v>13500000</v>
      </c>
      <c r="DE8" s="596">
        <f t="shared" si="17"/>
        <v>12500000</v>
      </c>
      <c r="DF8" s="596">
        <f t="shared" si="18"/>
        <v>1600000</v>
      </c>
      <c r="DG8" s="596">
        <f>IF($AU$4="After AR Adjustment",IF($B$3=1,DC8,IF($B$3=2,SUM(DC8:DD8),IF($B$3=3,SUM(DC8:DE8),SUM(DC8:DF8)))),IF($B$3=1,CU8,IF($B$3=2,SUM(CU8:CV8),IF($B$3=3,SUM(CU8:CW8),SUM(CU8:CX8)))))</f>
        <v>37000000</v>
      </c>
      <c r="DH8" s="596">
        <f>IF($B$3=1,CQ8,IF($B$3=2,SUM(CQ8:CR8),IF($B$3=3,SUM(CQ8:CS8),SUM(CQ8:CT8))))</f>
        <v>35000000</v>
      </c>
      <c r="DI8" s="596">
        <f t="shared" si="19"/>
        <v>50000000</v>
      </c>
      <c r="DJ8" s="656">
        <f t="shared" si="20"/>
        <v>1.0570999999999999</v>
      </c>
      <c r="DK8" s="657">
        <f t="shared" ref="DK8:DK9" ca="1" si="77">IF(OR(CM8="MBO",CM8="10% Realized Price"),DJ8,SUMPRODUCT(Lower_Payout*(Curve=CO8)*(Lower_Attain&lt;=DJ8)*(Upper_Attain&gt;DJ8))+(DJ8-SUMPRODUCT(Lower_Attain*(Curve=CO8)*(Lower_Attain&lt;=DJ8)*(Upper_Attain&gt;DJ8)))*SUMPRODUCT(Slope*(Curve=CO8)*(Lower_Attain&lt;=DJ8)*(Upper_Attain&gt;DJ8)))</f>
        <v>1.2854999999999996</v>
      </c>
      <c r="DL8" s="655">
        <f t="shared" ca="1" si="21"/>
        <v>7481609.9999999981</v>
      </c>
      <c r="DM8" s="658">
        <f t="shared" ref="DM8:DM9" si="78">IF($M8="Y","100%",IF($B$3=4,"Uncapped",IF($A8="AA","50%",IF($A8="SA","90%",IF($A8="APJ Regional-AA","50%",IF($A8="APJ Regional-SA","90%",75%))))))</f>
        <v>0.75</v>
      </c>
      <c r="DN8" s="655">
        <f t="shared" si="22"/>
        <v>4365000</v>
      </c>
      <c r="DO8" s="675">
        <v>0</v>
      </c>
      <c r="DP8" s="126"/>
      <c r="DQ8" s="126" t="s">
        <v>845</v>
      </c>
      <c r="DR8" s="114"/>
      <c r="DS8" s="114"/>
      <c r="DT8" s="114"/>
      <c r="DU8" s="114">
        <v>0</v>
      </c>
      <c r="DV8" s="114"/>
      <c r="DW8" s="114"/>
      <c r="DX8" s="114"/>
      <c r="DY8" s="114">
        <v>0</v>
      </c>
      <c r="DZ8" s="114"/>
      <c r="EA8" s="114"/>
      <c r="EB8" s="114"/>
      <c r="EC8" s="114"/>
      <c r="ED8" s="114"/>
      <c r="EE8" s="596">
        <f t="shared" ref="EE8:EE9" si="79">DW8+EA8</f>
        <v>0</v>
      </c>
      <c r="EF8" s="596">
        <f t="shared" ref="EF8:EF9" si="80">DX8+EB8</f>
        <v>0</v>
      </c>
      <c r="EG8" s="596">
        <f t="shared" ref="EG8:EG9" si="81">DY8+EC8</f>
        <v>0</v>
      </c>
      <c r="EH8" s="596">
        <f t="shared" ref="EH8:EH9" si="82">DZ8+ED8</f>
        <v>0</v>
      </c>
      <c r="EI8" s="596">
        <f>IF($AU$4="After AR Adjustment",IF($B$3=1,EE8,IF($B$3=2,SUM(EE8:EF8),IF($B$3=3,SUM(EE8:EG8),SUM(EE8:EH8)))),IF($B$3=1,DW8,IF($B$3=2,SUM(DW8:DX8),IF($B$3=3,SUM(DW8:DY8),SUM(DW8:DZ8)))))</f>
        <v>0</v>
      </c>
      <c r="EJ8" s="596">
        <f t="shared" ref="EJ8:EJ9" si="83">IF($B$3=1,DS8,IF($B$3=2,SUM(DS8:DT8),IF($B$3=3,SUM(DS8:DU8),SUM(DS8:DV8))))</f>
        <v>0</v>
      </c>
      <c r="EK8" s="596">
        <f t="shared" ref="EK8:EK9" si="84">SUM(DS8:DV8)</f>
        <v>0</v>
      </c>
      <c r="EL8" s="656">
        <f t="shared" ref="EL8:EL9" si="85">IFERROR(ROUND(EI8/EJ8,4),0)</f>
        <v>0</v>
      </c>
      <c r="EM8" s="657" cm="1">
        <f t="array" aca="1" ref="EM8" ca="1">IF(OR(DO8="MBO",DO8="10% Realized Price"),EL8,SUMPRODUCT(Lower_Payout*(Curve=DQ8)*(Lower_Attain&lt;=EL8)*(Upper_Attain&gt;EL8))+(EL8-SUMPRODUCT(Lower_Attain*(Curve=DQ8)*(Lower_Attain&lt;=EL8)*(Upper_Attain&gt;EL8)))*SUMPRODUCT(Slope*(Curve=DQ8)*(Lower_Attain&lt;=EL8)*(Upper_Attain&gt;EL8)))</f>
        <v>0</v>
      </c>
      <c r="EN8" s="655">
        <f t="shared" ref="EN8:EN9" ca="1" si="86">BH8*DP8*EM8</f>
        <v>0</v>
      </c>
      <c r="EO8" s="658">
        <f t="shared" ref="EO8:EO9" si="87">IF($M8="Y","100%",IF($B$3=4,"Uncapped",IF($A8="AA","50%",IF($A8="SA","90%",IF($A8="APJ Regional-AA","50%",IF($A8="APJ Regional-SA","90%",75%))))))</f>
        <v>0.75</v>
      </c>
      <c r="EP8" s="655">
        <f t="shared" ref="EP8:EP9" ca="1" si="88">IF(EO8="Uncapped",EN8,IFERROR(BH8*DP8*EO8,0))</f>
        <v>0</v>
      </c>
      <c r="EQ8" s="583">
        <f t="shared" ref="EQ8:EQ9" ca="1" si="89">MIN(BH8,BJ8)+MIN(CJ8,CL8)+MIN(DL8,DN8)+MIN(EN8,EP8)</f>
        <v>14550000</v>
      </c>
      <c r="ER8" s="596">
        <f t="shared" ref="ER8:ER9" ca="1" si="90">MAX(EQ8,GJ8)</f>
        <v>14550000</v>
      </c>
      <c r="ES8" s="709">
        <f t="shared" ref="ES8:ES9" si="91">IF(AI8="MBO",0,AJ8)+IF(BK8="MBO",0,BL8)+IF(CM8="MBO",0,CN8)+IF(DO8="MBO",0,DP8)</f>
        <v>1</v>
      </c>
      <c r="ET8" s="115"/>
      <c r="EU8" s="115"/>
      <c r="EV8" s="115"/>
      <c r="EW8" s="112"/>
      <c r="EX8" s="583">
        <f t="shared" ref="EX8:EX9" si="92">IF($B$3=1,ET8,IF($B$3=2,SUM(ET8:EU8),IF($B$3=3,SUM(ET8:EV8),SUM(ET8:EW8))))</f>
        <v>0</v>
      </c>
      <c r="EY8" s="596">
        <f>SUMIFS(8:8,$6:$6,"SPIFF payout $ (Local CCY)",$5:$5,CONCATENATE("Q",$B$3))</f>
        <v>0</v>
      </c>
      <c r="EZ8" s="115">
        <v>0</v>
      </c>
      <c r="FA8" s="115">
        <v>0</v>
      </c>
      <c r="FB8" s="115">
        <v>0</v>
      </c>
      <c r="FC8" s="115">
        <v>0</v>
      </c>
      <c r="FD8" s="115">
        <f>IF($B$3=1,EZ8,IF($B$3=2,SUM(EZ8:FA8),IF($B$3=3,SUM(EZ8:FB8),SUM(EZ8:FC8))))</f>
        <v>0</v>
      </c>
      <c r="FE8" s="114">
        <f>SUMIFS(8:8,$6:$6,"Other payout $ (Local CCY)",$5:$5,CONCATENATE("Q",$B$3))</f>
        <v>0</v>
      </c>
      <c r="FF8" s="113"/>
      <c r="FG8" s="111"/>
      <c r="FH8" s="111"/>
      <c r="FI8" s="111" t="str">
        <f t="shared" ca="1" si="32"/>
        <v/>
      </c>
      <c r="FJ8" s="115">
        <f t="shared" ca="1" si="33"/>
        <v>0</v>
      </c>
      <c r="FK8" s="112"/>
      <c r="FL8" s="112"/>
      <c r="FM8" s="112"/>
      <c r="FN8" s="583">
        <f t="shared" si="34"/>
        <v>0</v>
      </c>
      <c r="FO8" s="686">
        <f t="shared" ref="FO8:FO9" ca="1" si="93">IF($B$3=4,ROUND(MAX(FP8-FN8),0),ROUND(MAX(FP8-FN8,0),2))</f>
        <v>14550000</v>
      </c>
      <c r="FP8" s="687">
        <f t="shared" ca="1" si="35"/>
        <v>14550000</v>
      </c>
      <c r="FQ8" s="112">
        <f t="shared" ref="FQ8:FQ9" si="94">EZ8</f>
        <v>0</v>
      </c>
      <c r="FR8" s="112">
        <f t="shared" ref="FR8:FR9" si="95">FA8</f>
        <v>0</v>
      </c>
      <c r="FS8" s="112">
        <f t="shared" ref="FS8:FS9" si="96">FB8</f>
        <v>0</v>
      </c>
      <c r="FT8" s="112">
        <f t="shared" ref="FT8:FT9" si="97">FC8</f>
        <v>0</v>
      </c>
      <c r="FU8" s="112">
        <f t="shared" ref="FU8:FU9" si="98">SUM(FQ8:FT8)</f>
        <v>0</v>
      </c>
      <c r="FV8" s="112">
        <f t="shared" ref="FV8:FV9" si="99">ET8</f>
        <v>0</v>
      </c>
      <c r="FW8" s="112">
        <f t="shared" ref="FW8:FW9" si="100">EU8</f>
        <v>0</v>
      </c>
      <c r="FX8" s="112">
        <f t="shared" ref="FX8:FX9" si="101">EV8</f>
        <v>0</v>
      </c>
      <c r="FY8" s="112">
        <f t="shared" ref="FY8:FY9" si="102">EW8</f>
        <v>0</v>
      </c>
      <c r="FZ8" s="112">
        <f t="shared" ref="FZ8:FZ9" si="103">FV8+FQ8</f>
        <v>0</v>
      </c>
      <c r="GA8" s="112">
        <f t="shared" ref="GA8:GA9" si="104">FW8+FR8</f>
        <v>0</v>
      </c>
      <c r="GB8" s="112">
        <f t="shared" ref="GB8:GB9" si="105">FX8+FS8</f>
        <v>0</v>
      </c>
      <c r="GC8" s="112">
        <f t="shared" ref="GC8:GC9" si="106">FY8+FT8</f>
        <v>0</v>
      </c>
      <c r="GD8" s="112">
        <f t="shared" ref="GD8:GD9" si="107">IF($B$3=1,FZ8,IF($B$3=2,SUM(FZ8:GA8),IF($B$3=3,SUM(FZ8:GB8),SUM(FZ8:GC8))))</f>
        <v>0</v>
      </c>
      <c r="GE8" s="112">
        <f t="shared" ref="GE8:GE9" si="108">SUM(FZ8:GC8)</f>
        <v>0</v>
      </c>
      <c r="GF8" s="112">
        <f t="shared" si="51"/>
        <v>0</v>
      </c>
      <c r="GG8" s="112">
        <f t="shared" si="52"/>
        <v>0</v>
      </c>
      <c r="GH8" s="112">
        <f t="shared" si="53"/>
        <v>0</v>
      </c>
      <c r="GI8" s="112">
        <f t="shared" si="54"/>
        <v>0</v>
      </c>
      <c r="GJ8" s="112">
        <f t="shared" ref="GJ8:GJ9" si="109">IF($B$3=1,GF8,IF($B$3=2,SUM(GF8:GG8),IF($B$3=3,SUM(GF8:GH8),IF($B$3=4,SUM(GF8:GI8)))))</f>
        <v>0</v>
      </c>
      <c r="GK8" s="112">
        <f t="shared" ref="GK8:GK9" si="110">SUM(GF8:GI8)</f>
        <v>0</v>
      </c>
      <c r="GL8" s="714"/>
      <c r="GM8" s="688">
        <f t="shared" si="57"/>
        <v>45140000</v>
      </c>
      <c r="GN8" s="688">
        <f t="shared" si="58"/>
        <v>42700000</v>
      </c>
      <c r="GO8" s="689">
        <f t="shared" si="59"/>
        <v>1.0571428571428572</v>
      </c>
      <c r="GP8" s="690">
        <f t="shared" ca="1" si="60"/>
        <v>23498637.999988921</v>
      </c>
      <c r="GQ8" s="124"/>
      <c r="GR8" s="691">
        <f t="shared" ca="1" si="61"/>
        <v>1.211269999999429</v>
      </c>
      <c r="GS8" s="100"/>
      <c r="GT8" s="692">
        <f t="shared" si="62"/>
        <v>1</v>
      </c>
    </row>
    <row r="9" spans="1:202" ht="16.95" customHeight="1">
      <c r="A9" s="223" t="s">
        <v>796</v>
      </c>
      <c r="B9" s="223" t="s">
        <v>850</v>
      </c>
      <c r="C9" s="223" t="s">
        <v>851</v>
      </c>
      <c r="D9" s="684" t="s">
        <v>852</v>
      </c>
      <c r="E9" s="684" t="s">
        <v>856</v>
      </c>
      <c r="F9" s="684" t="s">
        <v>855</v>
      </c>
      <c r="G9" s="717" t="s">
        <v>857</v>
      </c>
      <c r="H9" s="685">
        <v>43922</v>
      </c>
      <c r="I9" s="685">
        <v>43922</v>
      </c>
      <c r="J9" s="700">
        <f>IF(I9&gt;$J$3,MONTH(I9),0)</f>
        <v>4</v>
      </c>
      <c r="K9" s="701">
        <f>IF((I9-VLOOKUP(J9,month!$A$1:$C$13,3,0))&lt;0,J9,J9+1)</f>
        <v>4</v>
      </c>
      <c r="L9" s="637"/>
      <c r="M9" s="653" t="str">
        <f t="shared" si="63"/>
        <v/>
      </c>
      <c r="N9" s="638" t="s">
        <v>214</v>
      </c>
      <c r="P9" s="646">
        <v>3</v>
      </c>
      <c r="S9" s="640" t="s">
        <v>545</v>
      </c>
      <c r="T9" s="645"/>
      <c r="U9" s="645"/>
      <c r="V9" s="645"/>
      <c r="W9" s="645">
        <v>1000000</v>
      </c>
      <c r="X9" s="641">
        <v>1000000</v>
      </c>
      <c r="Y9" s="641">
        <v>1000000</v>
      </c>
      <c r="Z9" s="645">
        <v>1000000</v>
      </c>
      <c r="AA9" s="641">
        <v>1000000</v>
      </c>
      <c r="AB9" s="641">
        <v>1000000</v>
      </c>
      <c r="AC9" s="641">
        <v>1000000</v>
      </c>
      <c r="AD9" s="641">
        <v>1000000</v>
      </c>
      <c r="AE9" s="641">
        <v>1000000</v>
      </c>
      <c r="AF9" s="654">
        <f t="shared" si="64"/>
        <v>6000000</v>
      </c>
      <c r="AG9" s="654">
        <f t="shared" si="65"/>
        <v>12000000</v>
      </c>
      <c r="AH9" s="654">
        <f t="shared" si="66"/>
        <v>1000000</v>
      </c>
      <c r="AI9" s="682" t="s">
        <v>862</v>
      </c>
      <c r="AJ9" s="642">
        <v>0.5</v>
      </c>
      <c r="AK9" s="642" t="s">
        <v>861</v>
      </c>
      <c r="AL9" s="126"/>
      <c r="AM9" s="112"/>
      <c r="AN9" s="112">
        <v>520000</v>
      </c>
      <c r="AO9" s="112">
        <v>480000</v>
      </c>
      <c r="AP9" s="112">
        <v>600000</v>
      </c>
      <c r="AQ9" s="114"/>
      <c r="AR9" s="114">
        <v>540000</v>
      </c>
      <c r="AS9" s="114">
        <v>500000</v>
      </c>
      <c r="AT9" s="648">
        <v>64000</v>
      </c>
      <c r="AY9" s="596">
        <f t="shared" si="67"/>
        <v>0</v>
      </c>
      <c r="AZ9" s="596">
        <f t="shared" si="68"/>
        <v>540000</v>
      </c>
      <c r="BA9" s="596">
        <f t="shared" si="69"/>
        <v>500000</v>
      </c>
      <c r="BB9" s="596">
        <f t="shared" si="70"/>
        <v>64000</v>
      </c>
      <c r="BC9" s="596">
        <f>IF($AU$4="After AR Adjustment",IF($B$3=1,AY9,IF($B$3=2,SUM(AY9:AZ9),IF($B$3=3,SUM(AY9:BA9),SUM(AY9:BB9)))),IF($B$3=1,AQ9,IF($B$3=2,SUM(AQ9:AR9),IF($B$3=3,SUM(AQ9:AS9),SUM(AQ9:AT9)))))</f>
        <v>1040000</v>
      </c>
      <c r="BD9" s="655">
        <f t="shared" si="71"/>
        <v>1000000</v>
      </c>
      <c r="BE9" s="655">
        <f t="shared" si="72"/>
        <v>1600000</v>
      </c>
      <c r="BF9" s="656">
        <f t="shared" si="73"/>
        <v>1.04</v>
      </c>
      <c r="BG9" s="657">
        <f t="shared" ca="1" si="74"/>
        <v>1.1200000000000001</v>
      </c>
      <c r="BH9" s="655">
        <f t="shared" ref="BH9" ca="1" si="111">IFERROR(AF9*AJ9*BG9,0)</f>
        <v>3360000.0000000005</v>
      </c>
      <c r="BI9" s="658">
        <f t="shared" si="75"/>
        <v>0.75</v>
      </c>
      <c r="BJ9" s="655">
        <f t="shared" ref="BJ9" si="112">IF(BI9="Uncapped",BH9,IFERROR(AF9*AJ9*BI9,0))</f>
        <v>2250000</v>
      </c>
      <c r="BK9" s="675" t="s">
        <v>871</v>
      </c>
      <c r="BL9" s="644">
        <v>0.3</v>
      </c>
      <c r="BM9" s="644" t="s">
        <v>863</v>
      </c>
      <c r="BN9" s="643"/>
      <c r="BO9" s="114">
        <v>0</v>
      </c>
      <c r="BP9" s="114">
        <v>52000</v>
      </c>
      <c r="BQ9" s="114">
        <v>48000</v>
      </c>
      <c r="BR9" s="114">
        <v>60000</v>
      </c>
      <c r="BS9" s="114">
        <v>0</v>
      </c>
      <c r="BT9" s="114">
        <v>54000</v>
      </c>
      <c r="BU9" s="114">
        <v>50000</v>
      </c>
      <c r="BV9" s="648">
        <v>6400</v>
      </c>
      <c r="CA9" s="596">
        <f t="shared" si="6"/>
        <v>0</v>
      </c>
      <c r="CB9" s="596">
        <f t="shared" si="7"/>
        <v>54000</v>
      </c>
      <c r="CC9" s="596">
        <f t="shared" si="8"/>
        <v>50000</v>
      </c>
      <c r="CD9" s="596">
        <f t="shared" si="9"/>
        <v>6400</v>
      </c>
      <c r="CE9" s="596">
        <f>IF($AU$4="After AR Adjustment",IF($B$3=1,CA9,IF($B$3=2,SUM(CA9:CB9),IF($B$3=3,SUM(CA9:CC9),SUM(CA9:CD9)))),IF($B$3=1,BS9,IF($B$3=2,SUM(BS9:BT9),IF($B$3=3,SUM(BS9:BU9),SUM(BS9:BV9)))))</f>
        <v>104000</v>
      </c>
      <c r="CF9" s="596">
        <f>IF($B$3=1,BO9,IF($B$3=2,SUM(BO9:BP9),IF($B$3=3,SUM(BO9:BQ9),SUM(BO9:BR9))))</f>
        <v>100000</v>
      </c>
      <c r="CG9" s="596">
        <f t="shared" si="10"/>
        <v>160000</v>
      </c>
      <c r="CH9" s="656">
        <f t="shared" si="11"/>
        <v>1.04</v>
      </c>
      <c r="CI9" s="657">
        <f t="shared" ca="1" si="12"/>
        <v>1.1333333333320001</v>
      </c>
      <c r="CJ9" s="655">
        <f t="shared" ca="1" si="13"/>
        <v>2039999.9999976002</v>
      </c>
      <c r="CK9" s="658">
        <f t="shared" si="76"/>
        <v>0.75</v>
      </c>
      <c r="CL9" s="655">
        <f t="shared" si="14"/>
        <v>1350000</v>
      </c>
      <c r="CM9" s="675" t="s">
        <v>860</v>
      </c>
      <c r="CN9" s="126">
        <v>0.2</v>
      </c>
      <c r="CO9" s="126" t="s">
        <v>859</v>
      </c>
      <c r="CP9" s="114"/>
      <c r="CQ9" s="114"/>
      <c r="CR9" s="114">
        <v>2600000</v>
      </c>
      <c r="CS9" s="114">
        <v>2400000</v>
      </c>
      <c r="CT9" s="114">
        <v>3000000</v>
      </c>
      <c r="CU9" s="114"/>
      <c r="CV9" s="114">
        <v>2700000</v>
      </c>
      <c r="CW9" s="114">
        <v>2500000</v>
      </c>
      <c r="CX9" s="608">
        <v>320000</v>
      </c>
      <c r="DC9" s="596">
        <f t="shared" si="15"/>
        <v>0</v>
      </c>
      <c r="DD9" s="596">
        <f t="shared" si="16"/>
        <v>2700000</v>
      </c>
      <c r="DE9" s="596">
        <f t="shared" si="17"/>
        <v>2500000</v>
      </c>
      <c r="DF9" s="596">
        <f t="shared" si="18"/>
        <v>320000</v>
      </c>
      <c r="DG9" s="596">
        <f>IF($AU$4="After AR Adjustment",IF($B$3=1,DC9,IF($B$3=2,SUM(DC9:DD9),IF($B$3=3,SUM(DC9:DE9),SUM(DC9:DF9)))),IF($B$3=1,CU9,IF($B$3=2,SUM(CU9:CV9),IF($B$3=3,SUM(CU9:CW9),SUM(CU9:CX9)))))</f>
        <v>5200000</v>
      </c>
      <c r="DH9" s="596">
        <f>IF($B$3=1,CQ9,IF($B$3=2,SUM(CQ9:CR9),IF($B$3=3,SUM(CQ9:CS9),SUM(CQ9:CT9))))</f>
        <v>5000000</v>
      </c>
      <c r="DI9" s="596">
        <f t="shared" si="19"/>
        <v>8000000</v>
      </c>
      <c r="DJ9" s="656">
        <f t="shared" si="20"/>
        <v>1.04</v>
      </c>
      <c r="DK9" s="657">
        <f t="shared" ca="1" si="77"/>
        <v>1.2000000000000002</v>
      </c>
      <c r="DL9" s="655">
        <f t="shared" ca="1" si="21"/>
        <v>1440000.0000000002</v>
      </c>
      <c r="DM9" s="658">
        <f t="shared" si="78"/>
        <v>0.75</v>
      </c>
      <c r="DN9" s="655">
        <f t="shared" si="22"/>
        <v>900000</v>
      </c>
      <c r="DO9" s="675"/>
      <c r="DP9" s="126"/>
      <c r="DQ9" s="126"/>
      <c r="DS9" s="114"/>
      <c r="DT9" s="114"/>
      <c r="DU9" s="114">
        <v>0</v>
      </c>
      <c r="DV9" s="114"/>
      <c r="DW9" s="114"/>
      <c r="DX9" s="114"/>
      <c r="DY9" s="114">
        <v>0</v>
      </c>
      <c r="EE9" s="596">
        <f t="shared" si="79"/>
        <v>0</v>
      </c>
      <c r="EF9" s="596">
        <f t="shared" si="80"/>
        <v>0</v>
      </c>
      <c r="EG9" s="596">
        <f t="shared" si="81"/>
        <v>0</v>
      </c>
      <c r="EH9" s="596">
        <f t="shared" si="82"/>
        <v>0</v>
      </c>
      <c r="EI9" s="596">
        <f>IF($AU$4="After AR Adjustment",IF($B$3=1,EE9,IF($B$3=2,SUM(EE9:EF9),IF($B$3=3,SUM(EE9:EG9),SUM(EE9:EH9)))),IF($B$3=1,DW9,IF($B$3=2,SUM(DW9:DX9),IF($B$3=3,SUM(DW9:DY9),SUM(DW9:DZ9)))))</f>
        <v>0</v>
      </c>
      <c r="EJ9" s="596">
        <f t="shared" si="83"/>
        <v>0</v>
      </c>
      <c r="EK9" s="596">
        <f t="shared" si="84"/>
        <v>0</v>
      </c>
      <c r="EL9" s="656">
        <f t="shared" si="85"/>
        <v>0</v>
      </c>
      <c r="EM9" s="657" cm="1">
        <f t="array" aca="1" ref="EM9" ca="1">IF(OR(DO9="MBO",DO9="10% Realized Price"),EL9,SUMPRODUCT(Lower_Payout*(Curve=DQ9)*(Lower_Attain&lt;=EL9)*(Upper_Attain&gt;EL9))+(EL9-SUMPRODUCT(Lower_Attain*(Curve=DQ9)*(Lower_Attain&lt;=EL9)*(Upper_Attain&gt;EL9)))*SUMPRODUCT(Slope*(Curve=DQ9)*(Lower_Attain&lt;=EL9)*(Upper_Attain&gt;EL9)))</f>
        <v>0</v>
      </c>
      <c r="EN9" s="655">
        <f t="shared" ca="1" si="86"/>
        <v>0</v>
      </c>
      <c r="EO9" s="658">
        <f t="shared" si="87"/>
        <v>0.75</v>
      </c>
      <c r="EP9" s="655">
        <f t="shared" ca="1" si="88"/>
        <v>0</v>
      </c>
      <c r="EQ9" s="583">
        <f t="shared" ca="1" si="89"/>
        <v>4500000</v>
      </c>
      <c r="ER9" s="596">
        <f t="shared" ca="1" si="90"/>
        <v>4500000</v>
      </c>
      <c r="ES9" s="709">
        <f t="shared" si="91"/>
        <v>1</v>
      </c>
      <c r="ET9" s="16"/>
      <c r="EU9" s="16"/>
      <c r="EX9" s="583">
        <f t="shared" si="92"/>
        <v>0</v>
      </c>
      <c r="EY9" s="596">
        <f>SUMIFS(9:9,$6:$6,"SPIFF payout $ (Local CCY)",$5:$5,CONCATENATE("Q",$B$3))</f>
        <v>0</v>
      </c>
      <c r="FD9" s="115">
        <f>IF($B$3=1,EZ9,IF($B$3=2,SUM(EZ9:FA9),IF($B$3=3,SUM(EZ9:FB9),SUM(EZ9:FC9))))</f>
        <v>0</v>
      </c>
      <c r="FE9" s="114">
        <f>SUMIFS(9:9,$6:$6,"Other payout $ (Local CCY)",$5:$5,CONCATENATE("Q",$B$3))</f>
        <v>0</v>
      </c>
      <c r="FF9" s="514"/>
      <c r="FG9" s="514"/>
      <c r="FH9" s="514"/>
      <c r="FI9" s="514" t="str">
        <f t="shared" ca="1" si="32"/>
        <v/>
      </c>
      <c r="FJ9" s="115">
        <f t="shared" ca="1" si="33"/>
        <v>0</v>
      </c>
      <c r="FK9" s="615"/>
      <c r="FL9" s="615"/>
      <c r="FM9" s="615"/>
      <c r="FN9" s="583">
        <f t="shared" si="34"/>
        <v>0</v>
      </c>
      <c r="FO9" s="686">
        <f t="shared" ca="1" si="93"/>
        <v>4500000</v>
      </c>
      <c r="FP9" s="687">
        <f t="shared" ca="1" si="35"/>
        <v>4500000</v>
      </c>
      <c r="FQ9" s="615">
        <f t="shared" si="94"/>
        <v>0</v>
      </c>
      <c r="FR9" s="615">
        <f t="shared" si="95"/>
        <v>0</v>
      </c>
      <c r="FS9" s="615">
        <f t="shared" si="96"/>
        <v>0</v>
      </c>
      <c r="FT9" s="615">
        <f t="shared" si="97"/>
        <v>0</v>
      </c>
      <c r="FU9" s="615">
        <f t="shared" si="98"/>
        <v>0</v>
      </c>
      <c r="FV9" s="615">
        <f t="shared" si="99"/>
        <v>0</v>
      </c>
      <c r="FW9" s="615">
        <f t="shared" si="100"/>
        <v>0</v>
      </c>
      <c r="FX9" s="615">
        <f t="shared" si="101"/>
        <v>0</v>
      </c>
      <c r="FY9" s="615">
        <f t="shared" si="102"/>
        <v>0</v>
      </c>
      <c r="FZ9" s="615">
        <f t="shared" si="103"/>
        <v>0</v>
      </c>
      <c r="GA9" s="615">
        <f t="shared" si="104"/>
        <v>0</v>
      </c>
      <c r="GB9" s="615">
        <f t="shared" si="105"/>
        <v>0</v>
      </c>
      <c r="GC9" s="615">
        <f t="shared" si="106"/>
        <v>0</v>
      </c>
      <c r="GD9" s="615">
        <f t="shared" si="107"/>
        <v>0</v>
      </c>
      <c r="GE9" s="615">
        <f t="shared" si="108"/>
        <v>0</v>
      </c>
      <c r="GF9" s="615">
        <f t="shared" si="51"/>
        <v>0</v>
      </c>
      <c r="GG9" s="615">
        <f t="shared" si="52"/>
        <v>3000000</v>
      </c>
      <c r="GH9" s="615">
        <f t="shared" si="53"/>
        <v>0</v>
      </c>
      <c r="GI9" s="615">
        <f t="shared" si="54"/>
        <v>0</v>
      </c>
      <c r="GJ9" s="615">
        <f t="shared" si="109"/>
        <v>3000000</v>
      </c>
      <c r="GK9" s="112">
        <f t="shared" si="110"/>
        <v>3000000</v>
      </c>
      <c r="GL9" s="714"/>
      <c r="GM9" s="688">
        <f t="shared" si="57"/>
        <v>6344000</v>
      </c>
      <c r="GN9" s="688">
        <f t="shared" si="58"/>
        <v>6100000</v>
      </c>
      <c r="GO9" s="689">
        <f t="shared" si="59"/>
        <v>1.04</v>
      </c>
      <c r="GP9" s="690">
        <f t="shared" ca="1" si="60"/>
        <v>6839999.9999976009</v>
      </c>
      <c r="GQ9" s="124"/>
      <c r="GR9" s="691">
        <f t="shared" ca="1" si="61"/>
        <v>1.1399999999996002</v>
      </c>
      <c r="GT9" s="692">
        <f t="shared" si="62"/>
        <v>1</v>
      </c>
    </row>
    <row r="10" spans="1:202">
      <c r="AT10" s="646"/>
      <c r="ER10" s="707"/>
      <c r="ES10" s="707"/>
    </row>
    <row r="11" spans="1:202">
      <c r="AT11" s="646"/>
      <c r="ER11" s="707"/>
      <c r="ES11" s="707"/>
    </row>
    <row r="12" spans="1:202">
      <c r="AT12" s="646"/>
      <c r="ER12" s="707"/>
      <c r="ES12" s="707"/>
    </row>
    <row r="13" spans="1:202">
      <c r="AT13" s="646"/>
      <c r="ER13" s="708"/>
      <c r="ES13" s="708"/>
    </row>
    <row r="27" spans="119:119">
      <c r="DO27" s="25"/>
    </row>
    <row r="65" spans="1:200" s="15" customFormat="1">
      <c r="A65" s="510"/>
      <c r="B65" s="646"/>
      <c r="C65" s="638"/>
      <c r="D65" s="510"/>
      <c r="E65" s="510"/>
      <c r="F65" s="510"/>
      <c r="G65" s="510"/>
      <c r="H65" s="646"/>
      <c r="I65" s="646"/>
      <c r="J65" s="649"/>
      <c r="K65" s="649"/>
      <c r="L65" s="649"/>
      <c r="M65" s="639"/>
      <c r="N65" s="638"/>
      <c r="O65" s="638"/>
      <c r="P65" s="646"/>
      <c r="Q65" s="646"/>
      <c r="R65" s="647"/>
      <c r="S65" s="640"/>
      <c r="T65" s="647"/>
      <c r="U65" s="647"/>
      <c r="V65" s="647"/>
      <c r="W65" s="647"/>
      <c r="X65" s="647"/>
      <c r="Y65" s="647"/>
      <c r="Z65" s="647"/>
      <c r="AA65" s="647"/>
      <c r="AB65" s="647"/>
      <c r="AC65" s="647"/>
      <c r="AD65" s="647"/>
      <c r="AE65" s="647"/>
      <c r="AF65" s="645"/>
      <c r="AG65" s="645"/>
      <c r="AH65" s="647"/>
      <c r="AI65" s="683"/>
      <c r="AJ65" s="651"/>
      <c r="AK65" s="646"/>
      <c r="AL65" s="646"/>
      <c r="AM65" s="648"/>
      <c r="AN65" s="648"/>
      <c r="AO65" s="648"/>
      <c r="AP65" s="648"/>
      <c r="AQ65" s="648"/>
      <c r="AR65" s="646"/>
      <c r="AS65" s="646"/>
      <c r="AT65" s="608"/>
      <c r="AU65" s="646"/>
      <c r="AV65" s="646"/>
      <c r="AW65" s="646"/>
      <c r="AX65" s="646"/>
      <c r="AY65" s="646"/>
      <c r="AZ65" s="646"/>
      <c r="BA65" s="646"/>
      <c r="BB65" s="646"/>
      <c r="BC65" s="646"/>
      <c r="BD65" s="646"/>
      <c r="BE65" s="646"/>
      <c r="BF65" s="646"/>
      <c r="BG65" s="646"/>
      <c r="BH65" s="646"/>
      <c r="BI65" s="646"/>
      <c r="BJ65" s="646"/>
      <c r="BK65" s="676"/>
      <c r="BL65" s="650"/>
      <c r="BM65" s="646"/>
      <c r="BN65" s="646"/>
      <c r="BO65" s="646"/>
      <c r="BP65" s="646"/>
      <c r="BQ65" s="646"/>
      <c r="BR65" s="646"/>
      <c r="BS65" s="608"/>
      <c r="BT65" s="646"/>
      <c r="BU65" s="648"/>
      <c r="BV65" s="646"/>
      <c r="BW65" s="646"/>
      <c r="BX65" s="646"/>
      <c r="BY65" s="646"/>
      <c r="BZ65" s="646"/>
      <c r="CA65" s="648"/>
      <c r="CB65" s="646"/>
      <c r="CC65" s="646"/>
      <c r="CD65" s="646"/>
      <c r="CE65" s="646"/>
      <c r="CF65" s="646"/>
      <c r="CG65" s="646"/>
      <c r="CH65" s="646"/>
      <c r="CI65" s="646"/>
      <c r="CJ65" s="646"/>
      <c r="CK65" s="646"/>
      <c r="CL65" s="646"/>
      <c r="CM65" s="676"/>
      <c r="CN65" s="646"/>
      <c r="CO65" s="646"/>
      <c r="CP65" s="646"/>
      <c r="CQ65" s="646"/>
      <c r="CR65" s="646"/>
      <c r="CS65" s="646"/>
      <c r="CT65" s="646"/>
      <c r="CU65" s="608"/>
      <c r="CV65" s="646"/>
      <c r="CW65" s="646"/>
      <c r="CX65" s="646"/>
      <c r="CY65" s="646"/>
      <c r="CZ65" s="646"/>
      <c r="DA65" s="646"/>
      <c r="DB65" s="646"/>
      <c r="DC65" s="646"/>
      <c r="DD65" s="646"/>
      <c r="DE65" s="646"/>
      <c r="DF65" s="646"/>
      <c r="DG65" s="646"/>
      <c r="DH65" s="646"/>
      <c r="DI65" s="646"/>
      <c r="DJ65" s="646"/>
      <c r="DK65" s="646"/>
      <c r="DL65" s="646"/>
      <c r="DM65" s="646"/>
      <c r="DN65" s="646"/>
      <c r="DO65" s="676"/>
      <c r="DP65" s="646"/>
      <c r="DQ65" s="646"/>
      <c r="DR65" s="646"/>
      <c r="DS65" s="646"/>
      <c r="DT65" s="646"/>
      <c r="DU65" s="646"/>
      <c r="DV65" s="646"/>
      <c r="DW65" s="646"/>
      <c r="DX65" s="646"/>
      <c r="DY65" s="646"/>
      <c r="DZ65" s="646"/>
      <c r="EA65" s="646"/>
      <c r="EB65" s="646"/>
      <c r="EC65" s="646"/>
      <c r="ED65" s="64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25"/>
      <c r="ER65" s="16"/>
      <c r="ES65" s="16"/>
      <c r="ET65" s="25"/>
      <c r="EU65" s="25"/>
      <c r="EV65" s="16"/>
      <c r="EW65" s="25"/>
      <c r="EX65" s="16"/>
      <c r="EY65" s="16"/>
      <c r="FE65" s="16"/>
      <c r="FK65" s="25"/>
      <c r="FL65" s="25"/>
      <c r="FM65" s="25"/>
      <c r="FN65" s="615"/>
      <c r="FO65" s="25"/>
      <c r="FP65" s="615"/>
      <c r="FQ65" s="16"/>
      <c r="FR65" s="16"/>
      <c r="FS65" s="16"/>
      <c r="FT65" s="16"/>
      <c r="FU65" s="33"/>
      <c r="FV65" s="16"/>
      <c r="FW65" s="16"/>
      <c r="FX65" s="16"/>
      <c r="FY65" s="16"/>
      <c r="FZ65" s="33"/>
      <c r="GA65" s="33"/>
      <c r="GB65" s="33"/>
      <c r="GC65" s="33"/>
      <c r="GD65" s="33"/>
      <c r="GE65" s="33"/>
      <c r="GF65" s="33"/>
      <c r="GG65" s="33"/>
      <c r="GH65" s="33"/>
      <c r="GI65" s="33"/>
      <c r="GJ65" s="33"/>
      <c r="GK65" s="33"/>
      <c r="GL65" s="607"/>
      <c r="GM65" s="16"/>
      <c r="GN65" s="16"/>
      <c r="GO65" s="16"/>
      <c r="GP65" s="16"/>
      <c r="GQ65" s="16"/>
      <c r="GR65" s="178"/>
    </row>
    <row r="66" spans="1:200" s="15" customFormat="1">
      <c r="A66" s="510"/>
      <c r="B66" s="646"/>
      <c r="C66" s="638"/>
      <c r="D66" s="510"/>
      <c r="E66" s="510"/>
      <c r="F66" s="510"/>
      <c r="G66" s="510"/>
      <c r="H66" s="646"/>
      <c r="I66" s="646"/>
      <c r="J66" s="649"/>
      <c r="K66" s="649"/>
      <c r="L66" s="649"/>
      <c r="M66" s="639"/>
      <c r="N66" s="638"/>
      <c r="O66" s="638"/>
      <c r="P66" s="646"/>
      <c r="Q66" s="646"/>
      <c r="R66" s="647"/>
      <c r="S66" s="640"/>
      <c r="T66" s="647"/>
      <c r="U66" s="647"/>
      <c r="V66" s="647"/>
      <c r="W66" s="647"/>
      <c r="X66" s="647"/>
      <c r="Y66" s="647"/>
      <c r="Z66" s="647"/>
      <c r="AA66" s="647"/>
      <c r="AB66" s="647"/>
      <c r="AC66" s="647"/>
      <c r="AD66" s="647"/>
      <c r="AE66" s="647"/>
      <c r="AF66" s="645"/>
      <c r="AG66" s="645"/>
      <c r="AH66" s="647"/>
      <c r="AI66" s="683"/>
      <c r="AJ66" s="651"/>
      <c r="AK66" s="646"/>
      <c r="AL66" s="646"/>
      <c r="AM66" s="648"/>
      <c r="AN66" s="648"/>
      <c r="AO66" s="648"/>
      <c r="AP66" s="648"/>
      <c r="AQ66" s="648"/>
      <c r="AR66" s="646"/>
      <c r="AS66" s="646"/>
      <c r="AT66" s="608"/>
      <c r="AU66" s="646"/>
      <c r="AV66" s="646"/>
      <c r="AW66" s="646"/>
      <c r="AX66" s="646"/>
      <c r="AY66" s="646"/>
      <c r="AZ66" s="646"/>
      <c r="BA66" s="646"/>
      <c r="BB66" s="646"/>
      <c r="BC66" s="646"/>
      <c r="BD66" s="646"/>
      <c r="BE66" s="646"/>
      <c r="BF66" s="646"/>
      <c r="BG66" s="646"/>
      <c r="BH66" s="646"/>
      <c r="BI66" s="646"/>
      <c r="BJ66" s="646"/>
      <c r="BK66" s="676"/>
      <c r="BL66" s="650"/>
      <c r="BM66" s="646"/>
      <c r="BN66" s="646"/>
      <c r="BO66" s="646"/>
      <c r="BP66" s="646"/>
      <c r="BQ66" s="646"/>
      <c r="BR66" s="646"/>
      <c r="BS66" s="608"/>
      <c r="BT66" s="646"/>
      <c r="BU66" s="648"/>
      <c r="BV66" s="646"/>
      <c r="BW66" s="646"/>
      <c r="BX66" s="646"/>
      <c r="BY66" s="646"/>
      <c r="BZ66" s="646"/>
      <c r="CA66" s="648"/>
      <c r="CB66" s="646"/>
      <c r="CC66" s="646"/>
      <c r="CD66" s="646"/>
      <c r="CE66" s="646"/>
      <c r="CF66" s="646"/>
      <c r="CG66" s="646"/>
      <c r="CH66" s="646"/>
      <c r="CI66" s="646"/>
      <c r="CJ66" s="646"/>
      <c r="CK66" s="646"/>
      <c r="CL66" s="646"/>
      <c r="CM66" s="676"/>
      <c r="CN66" s="646"/>
      <c r="CO66" s="646"/>
      <c r="CP66" s="646"/>
      <c r="CQ66" s="646"/>
      <c r="CR66" s="646"/>
      <c r="CS66" s="646"/>
      <c r="CT66" s="646"/>
      <c r="CU66" s="608"/>
      <c r="CV66" s="646"/>
      <c r="CW66" s="646"/>
      <c r="CX66" s="646"/>
      <c r="CY66" s="646"/>
      <c r="CZ66" s="646"/>
      <c r="DA66" s="646"/>
      <c r="DB66" s="646"/>
      <c r="DC66" s="646"/>
      <c r="DD66" s="646"/>
      <c r="DE66" s="646"/>
      <c r="DF66" s="646"/>
      <c r="DG66" s="646"/>
      <c r="DH66" s="646"/>
      <c r="DI66" s="646"/>
      <c r="DJ66" s="646"/>
      <c r="DK66" s="646"/>
      <c r="DL66" s="646"/>
      <c r="DM66" s="646"/>
      <c r="DN66" s="646"/>
      <c r="DO66" s="676"/>
      <c r="DP66" s="646"/>
      <c r="DQ66" s="646"/>
      <c r="DR66" s="646"/>
      <c r="DS66" s="646"/>
      <c r="DT66" s="646"/>
      <c r="DU66" s="646"/>
      <c r="DV66" s="646"/>
      <c r="DW66" s="646"/>
      <c r="DX66" s="646"/>
      <c r="DY66" s="646"/>
      <c r="DZ66" s="646"/>
      <c r="EA66" s="646"/>
      <c r="EB66" s="646"/>
      <c r="EC66" s="646"/>
      <c r="ED66" s="64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25"/>
      <c r="ER66" s="16"/>
      <c r="ES66" s="16"/>
      <c r="ET66" s="25"/>
      <c r="EU66" s="25"/>
      <c r="EV66" s="16"/>
      <c r="EW66" s="25"/>
      <c r="EX66" s="16"/>
      <c r="EY66" s="16"/>
      <c r="FE66" s="16"/>
      <c r="FK66" s="25"/>
      <c r="FL66" s="25"/>
      <c r="FM66" s="25"/>
      <c r="FN66" s="615"/>
      <c r="FO66" s="25"/>
      <c r="FP66" s="615"/>
      <c r="FQ66" s="16"/>
      <c r="FR66" s="16"/>
      <c r="FS66" s="16"/>
      <c r="FT66" s="16"/>
      <c r="FU66" s="33"/>
      <c r="FV66" s="16"/>
      <c r="FW66" s="16"/>
      <c r="FX66" s="16"/>
      <c r="FY66" s="16"/>
      <c r="FZ66" s="33"/>
      <c r="GA66" s="33"/>
      <c r="GB66" s="33"/>
      <c r="GC66" s="33"/>
      <c r="GD66" s="33"/>
      <c r="GE66" s="33"/>
      <c r="GF66" s="33"/>
      <c r="GG66" s="33"/>
      <c r="GH66" s="33"/>
      <c r="GI66" s="33"/>
      <c r="GJ66" s="33"/>
      <c r="GK66" s="33"/>
      <c r="GL66" s="607"/>
      <c r="GM66" s="16"/>
      <c r="GN66" s="16"/>
      <c r="GO66" s="16"/>
      <c r="GP66" s="16"/>
      <c r="GQ66" s="16"/>
      <c r="GR66" s="178"/>
    </row>
    <row r="67" spans="1:200" s="15" customFormat="1">
      <c r="A67" s="510"/>
      <c r="B67" s="646"/>
      <c r="C67" s="638"/>
      <c r="D67" s="510"/>
      <c r="E67" s="510"/>
      <c r="F67" s="510"/>
      <c r="G67" s="510"/>
      <c r="H67" s="646"/>
      <c r="I67" s="646"/>
      <c r="J67" s="649"/>
      <c r="K67" s="649"/>
      <c r="L67" s="649"/>
      <c r="M67" s="639"/>
      <c r="N67" s="638"/>
      <c r="O67" s="638"/>
      <c r="P67" s="646"/>
      <c r="Q67" s="646"/>
      <c r="R67" s="647"/>
      <c r="S67" s="640"/>
      <c r="T67" s="647"/>
      <c r="U67" s="647"/>
      <c r="V67" s="647"/>
      <c r="W67" s="647"/>
      <c r="X67" s="647"/>
      <c r="Y67" s="647"/>
      <c r="Z67" s="647"/>
      <c r="AA67" s="647"/>
      <c r="AB67" s="647"/>
      <c r="AC67" s="647"/>
      <c r="AD67" s="647"/>
      <c r="AE67" s="647"/>
      <c r="AF67" s="645"/>
      <c r="AG67" s="645"/>
      <c r="AH67" s="647"/>
      <c r="AI67" s="683"/>
      <c r="AJ67" s="651"/>
      <c r="AK67" s="646"/>
      <c r="AL67" s="646"/>
      <c r="AM67" s="648"/>
      <c r="AN67" s="648"/>
      <c r="AO67" s="648"/>
      <c r="AP67" s="648"/>
      <c r="AQ67" s="648"/>
      <c r="AR67" s="646"/>
      <c r="AS67" s="646"/>
      <c r="AT67" s="608"/>
      <c r="AU67" s="646"/>
      <c r="AV67" s="646"/>
      <c r="AW67" s="646"/>
      <c r="AX67" s="646"/>
      <c r="AY67" s="646"/>
      <c r="AZ67" s="646"/>
      <c r="BA67" s="646"/>
      <c r="BB67" s="646"/>
      <c r="BC67" s="646"/>
      <c r="BD67" s="646"/>
      <c r="BE67" s="646"/>
      <c r="BF67" s="646"/>
      <c r="BG67" s="646"/>
      <c r="BH67" s="646"/>
      <c r="BI67" s="646"/>
      <c r="BJ67" s="646"/>
      <c r="BK67" s="676"/>
      <c r="BL67" s="650"/>
      <c r="BM67" s="646"/>
      <c r="BN67" s="646"/>
      <c r="BO67" s="646"/>
      <c r="BP67" s="646"/>
      <c r="BQ67" s="646"/>
      <c r="BR67" s="646"/>
      <c r="BS67" s="608"/>
      <c r="BT67" s="646"/>
      <c r="BU67" s="648"/>
      <c r="BV67" s="646"/>
      <c r="BW67" s="646"/>
      <c r="BX67" s="646"/>
      <c r="BY67" s="646"/>
      <c r="BZ67" s="646"/>
      <c r="CA67" s="648"/>
      <c r="CB67" s="646"/>
      <c r="CC67" s="646"/>
      <c r="CD67" s="646"/>
      <c r="CE67" s="646"/>
      <c r="CF67" s="646"/>
      <c r="CG67" s="646"/>
      <c r="CH67" s="646"/>
      <c r="CI67" s="646"/>
      <c r="CJ67" s="646"/>
      <c r="CK67" s="646"/>
      <c r="CL67" s="646"/>
      <c r="CM67" s="676"/>
      <c r="CN67" s="646"/>
      <c r="CO67" s="646"/>
      <c r="CP67" s="646"/>
      <c r="CQ67" s="646"/>
      <c r="CR67" s="646"/>
      <c r="CS67" s="646"/>
      <c r="CT67" s="646"/>
      <c r="CU67" s="608"/>
      <c r="CV67" s="646"/>
      <c r="CW67" s="646"/>
      <c r="CX67" s="646"/>
      <c r="CY67" s="646"/>
      <c r="CZ67" s="646"/>
      <c r="DA67" s="646"/>
      <c r="DB67" s="646"/>
      <c r="DC67" s="646"/>
      <c r="DD67" s="646"/>
      <c r="DE67" s="646"/>
      <c r="DF67" s="646"/>
      <c r="DG67" s="646"/>
      <c r="DH67" s="646"/>
      <c r="DI67" s="646"/>
      <c r="DJ67" s="646"/>
      <c r="DK67" s="646"/>
      <c r="DL67" s="646"/>
      <c r="DM67" s="646"/>
      <c r="DN67" s="646"/>
      <c r="DO67" s="676"/>
      <c r="DP67" s="646"/>
      <c r="DQ67" s="646"/>
      <c r="DR67" s="646"/>
      <c r="DS67" s="646"/>
      <c r="DT67" s="646"/>
      <c r="DU67" s="646"/>
      <c r="DV67" s="646"/>
      <c r="DW67" s="646"/>
      <c r="DX67" s="646"/>
      <c r="DY67" s="646"/>
      <c r="DZ67" s="646"/>
      <c r="EA67" s="646"/>
      <c r="EB67" s="646"/>
      <c r="EC67" s="646"/>
      <c r="ED67" s="64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25"/>
      <c r="ER67" s="16"/>
      <c r="ES67" s="16"/>
      <c r="ET67" s="25"/>
      <c r="EU67" s="25"/>
      <c r="EV67" s="16"/>
      <c r="EW67" s="25"/>
      <c r="EX67" s="16"/>
      <c r="EY67" s="16"/>
      <c r="FE67" s="16"/>
      <c r="FK67" s="25"/>
      <c r="FL67" s="25"/>
      <c r="FM67" s="25"/>
      <c r="FN67" s="615"/>
      <c r="FO67" s="25"/>
      <c r="FP67" s="615"/>
      <c r="FQ67" s="16"/>
      <c r="FR67" s="16"/>
      <c r="FS67" s="16"/>
      <c r="FT67" s="16"/>
      <c r="FU67" s="33"/>
      <c r="FV67" s="16"/>
      <c r="FW67" s="16"/>
      <c r="FX67" s="16"/>
      <c r="FY67" s="16"/>
      <c r="FZ67" s="33"/>
      <c r="GA67" s="33"/>
      <c r="GB67" s="33"/>
      <c r="GC67" s="33"/>
      <c r="GD67" s="33"/>
      <c r="GE67" s="33"/>
      <c r="GF67" s="33"/>
      <c r="GG67" s="33"/>
      <c r="GH67" s="33"/>
      <c r="GI67" s="33"/>
      <c r="GJ67" s="33"/>
      <c r="GK67" s="33"/>
      <c r="GL67" s="607"/>
      <c r="GM67" s="16"/>
      <c r="GN67" s="16"/>
      <c r="GO67" s="16"/>
      <c r="GP67" s="16"/>
      <c r="GQ67" s="16"/>
      <c r="GR67" s="178"/>
    </row>
    <row r="68" spans="1:200" s="15" customFormat="1">
      <c r="A68" s="510"/>
      <c r="B68" s="646"/>
      <c r="C68" s="638"/>
      <c r="D68" s="510"/>
      <c r="E68" s="510"/>
      <c r="F68" s="510"/>
      <c r="G68" s="510"/>
      <c r="H68" s="646"/>
      <c r="I68" s="646"/>
      <c r="J68" s="649"/>
      <c r="K68" s="649"/>
      <c r="L68" s="649"/>
      <c r="M68" s="639"/>
      <c r="N68" s="638"/>
      <c r="O68" s="638"/>
      <c r="P68" s="646"/>
      <c r="Q68" s="646"/>
      <c r="R68" s="647"/>
      <c r="S68" s="640"/>
      <c r="T68" s="647"/>
      <c r="U68" s="647"/>
      <c r="V68" s="647"/>
      <c r="W68" s="647"/>
      <c r="X68" s="647"/>
      <c r="Y68" s="647"/>
      <c r="Z68" s="647"/>
      <c r="AA68" s="647"/>
      <c r="AB68" s="647"/>
      <c r="AC68" s="647"/>
      <c r="AD68" s="647"/>
      <c r="AE68" s="647"/>
      <c r="AF68" s="645"/>
      <c r="AG68" s="645"/>
      <c r="AH68" s="647"/>
      <c r="AI68" s="683"/>
      <c r="AJ68" s="651"/>
      <c r="AK68" s="646"/>
      <c r="AL68" s="646"/>
      <c r="AM68" s="648"/>
      <c r="AN68" s="648"/>
      <c r="AO68" s="648"/>
      <c r="AP68" s="648"/>
      <c r="AQ68" s="648"/>
      <c r="AR68" s="646"/>
      <c r="AS68" s="646"/>
      <c r="AT68" s="608"/>
      <c r="AU68" s="646"/>
      <c r="AV68" s="646"/>
      <c r="AW68" s="646"/>
      <c r="AX68" s="646"/>
      <c r="AY68" s="646"/>
      <c r="AZ68" s="646"/>
      <c r="BA68" s="646"/>
      <c r="BB68" s="646"/>
      <c r="BC68" s="646"/>
      <c r="BD68" s="646"/>
      <c r="BE68" s="646"/>
      <c r="BF68" s="646"/>
      <c r="BG68" s="646"/>
      <c r="BH68" s="646"/>
      <c r="BI68" s="646"/>
      <c r="BJ68" s="646"/>
      <c r="BK68" s="676"/>
      <c r="BL68" s="650"/>
      <c r="BM68" s="646"/>
      <c r="BN68" s="646"/>
      <c r="BO68" s="646"/>
      <c r="BP68" s="646"/>
      <c r="BQ68" s="646"/>
      <c r="BR68" s="646"/>
      <c r="BS68" s="608"/>
      <c r="BT68" s="646"/>
      <c r="BU68" s="648"/>
      <c r="BV68" s="646"/>
      <c r="BW68" s="646"/>
      <c r="BX68" s="646"/>
      <c r="BY68" s="646"/>
      <c r="BZ68" s="646"/>
      <c r="CA68" s="648"/>
      <c r="CB68" s="646"/>
      <c r="CC68" s="646"/>
      <c r="CD68" s="646"/>
      <c r="CE68" s="646"/>
      <c r="CF68" s="646"/>
      <c r="CG68" s="646"/>
      <c r="CH68" s="646"/>
      <c r="CI68" s="646"/>
      <c r="CJ68" s="646"/>
      <c r="CK68" s="646"/>
      <c r="CL68" s="646"/>
      <c r="CM68" s="676"/>
      <c r="CN68" s="646"/>
      <c r="CO68" s="646"/>
      <c r="CP68" s="646"/>
      <c r="CQ68" s="646"/>
      <c r="CR68" s="646"/>
      <c r="CS68" s="646"/>
      <c r="CT68" s="646"/>
      <c r="CU68" s="608"/>
      <c r="CV68" s="646"/>
      <c r="CW68" s="646"/>
      <c r="CX68" s="646"/>
      <c r="CY68" s="646"/>
      <c r="CZ68" s="646"/>
      <c r="DA68" s="646"/>
      <c r="DB68" s="646"/>
      <c r="DC68" s="646"/>
      <c r="DD68" s="646"/>
      <c r="DE68" s="646"/>
      <c r="DF68" s="646"/>
      <c r="DG68" s="646"/>
      <c r="DH68" s="646"/>
      <c r="DI68" s="646"/>
      <c r="DJ68" s="646"/>
      <c r="DK68" s="646"/>
      <c r="DL68" s="646"/>
      <c r="DM68" s="646"/>
      <c r="DN68" s="646"/>
      <c r="DO68" s="676"/>
      <c r="DP68" s="646"/>
      <c r="DQ68" s="646"/>
      <c r="DR68" s="646"/>
      <c r="DS68" s="646"/>
      <c r="DT68" s="646"/>
      <c r="DU68" s="646"/>
      <c r="DV68" s="646"/>
      <c r="DW68" s="646"/>
      <c r="DX68" s="646"/>
      <c r="DY68" s="646"/>
      <c r="DZ68" s="646"/>
      <c r="EA68" s="646"/>
      <c r="EB68" s="646"/>
      <c r="EC68" s="646"/>
      <c r="ED68" s="64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25"/>
      <c r="ER68" s="16"/>
      <c r="ES68" s="16"/>
      <c r="ET68" s="25"/>
      <c r="EU68" s="25"/>
      <c r="EV68" s="16"/>
      <c r="EW68" s="25"/>
      <c r="EX68" s="16"/>
      <c r="EY68" s="16"/>
      <c r="FE68" s="16"/>
      <c r="FK68" s="25"/>
      <c r="FL68" s="25"/>
      <c r="FM68" s="25"/>
      <c r="FN68" s="615"/>
      <c r="FO68" s="25"/>
      <c r="FP68" s="615"/>
      <c r="FQ68" s="16"/>
      <c r="FR68" s="16"/>
      <c r="FS68" s="16"/>
      <c r="FT68" s="16"/>
      <c r="FU68" s="33"/>
      <c r="FV68" s="16"/>
      <c r="FW68" s="16"/>
      <c r="FX68" s="16"/>
      <c r="FY68" s="16"/>
      <c r="FZ68" s="33"/>
      <c r="GA68" s="33"/>
      <c r="GB68" s="33"/>
      <c r="GC68" s="33"/>
      <c r="GD68" s="33"/>
      <c r="GE68" s="33"/>
      <c r="GF68" s="33"/>
      <c r="GG68" s="33"/>
      <c r="GH68" s="33"/>
      <c r="GI68" s="33"/>
      <c r="GJ68" s="33"/>
      <c r="GK68" s="33"/>
      <c r="GL68" s="607"/>
      <c r="GM68" s="16"/>
      <c r="GN68" s="16"/>
      <c r="GO68" s="16"/>
      <c r="GP68" s="16"/>
      <c r="GQ68" s="16"/>
      <c r="GR68" s="178"/>
    </row>
    <row r="69" spans="1:200" s="15" customFormat="1">
      <c r="A69" s="510"/>
      <c r="B69" s="646"/>
      <c r="C69" s="638"/>
      <c r="D69" s="510"/>
      <c r="E69" s="510"/>
      <c r="F69" s="510"/>
      <c r="G69" s="510"/>
      <c r="H69" s="646"/>
      <c r="I69" s="646"/>
      <c r="J69" s="649"/>
      <c r="K69" s="649"/>
      <c r="L69" s="649"/>
      <c r="M69" s="639"/>
      <c r="N69" s="638"/>
      <c r="O69" s="638"/>
      <c r="P69" s="646"/>
      <c r="Q69" s="646"/>
      <c r="R69" s="647"/>
      <c r="S69" s="640"/>
      <c r="T69" s="647"/>
      <c r="U69" s="647"/>
      <c r="V69" s="647"/>
      <c r="W69" s="647"/>
      <c r="X69" s="647"/>
      <c r="Y69" s="647"/>
      <c r="Z69" s="647"/>
      <c r="AA69" s="647"/>
      <c r="AB69" s="647"/>
      <c r="AC69" s="647"/>
      <c r="AD69" s="647"/>
      <c r="AE69" s="647"/>
      <c r="AF69" s="645"/>
      <c r="AG69" s="645"/>
      <c r="AH69" s="647"/>
      <c r="AI69" s="683"/>
      <c r="AJ69" s="651"/>
      <c r="AK69" s="646"/>
      <c r="AL69" s="646"/>
      <c r="AM69" s="648"/>
      <c r="AN69" s="648"/>
      <c r="AO69" s="648"/>
      <c r="AP69" s="648"/>
      <c r="AQ69" s="648"/>
      <c r="AR69" s="646"/>
      <c r="AS69" s="646"/>
      <c r="AT69" s="608"/>
      <c r="AU69" s="646"/>
      <c r="AV69" s="646"/>
      <c r="AW69" s="646"/>
      <c r="AX69" s="646"/>
      <c r="AY69" s="646"/>
      <c r="AZ69" s="646"/>
      <c r="BA69" s="646"/>
      <c r="BB69" s="646"/>
      <c r="BC69" s="646"/>
      <c r="BD69" s="646"/>
      <c r="BE69" s="646"/>
      <c r="BF69" s="646"/>
      <c r="BG69" s="646"/>
      <c r="BH69" s="646"/>
      <c r="BI69" s="646"/>
      <c r="BJ69" s="646"/>
      <c r="BK69" s="676"/>
      <c r="BL69" s="650"/>
      <c r="BM69" s="646"/>
      <c r="BN69" s="646"/>
      <c r="BO69" s="646"/>
      <c r="BP69" s="646"/>
      <c r="BQ69" s="646"/>
      <c r="BR69" s="646"/>
      <c r="BS69" s="608"/>
      <c r="BT69" s="646"/>
      <c r="BU69" s="648"/>
      <c r="BV69" s="646"/>
      <c r="BW69" s="646"/>
      <c r="BX69" s="646"/>
      <c r="BY69" s="646"/>
      <c r="BZ69" s="646"/>
      <c r="CA69" s="648"/>
      <c r="CB69" s="646"/>
      <c r="CC69" s="646"/>
      <c r="CD69" s="646"/>
      <c r="CE69" s="646"/>
      <c r="CF69" s="646"/>
      <c r="CG69" s="646"/>
      <c r="CH69" s="646"/>
      <c r="CI69" s="646"/>
      <c r="CJ69" s="646"/>
      <c r="CK69" s="646"/>
      <c r="CL69" s="646"/>
      <c r="CM69" s="676"/>
      <c r="CN69" s="646"/>
      <c r="CO69" s="646"/>
      <c r="CP69" s="646"/>
      <c r="CQ69" s="646"/>
      <c r="CR69" s="646"/>
      <c r="CS69" s="646"/>
      <c r="CT69" s="646"/>
      <c r="CU69" s="608"/>
      <c r="CV69" s="646"/>
      <c r="CW69" s="646"/>
      <c r="CX69" s="646"/>
      <c r="CY69" s="646"/>
      <c r="CZ69" s="646"/>
      <c r="DA69" s="646"/>
      <c r="DB69" s="646"/>
      <c r="DC69" s="646"/>
      <c r="DD69" s="646"/>
      <c r="DE69" s="646"/>
      <c r="DF69" s="646"/>
      <c r="DG69" s="646"/>
      <c r="DH69" s="646"/>
      <c r="DI69" s="646"/>
      <c r="DJ69" s="646"/>
      <c r="DK69" s="646"/>
      <c r="DL69" s="646"/>
      <c r="DM69" s="646"/>
      <c r="DN69" s="646"/>
      <c r="DO69" s="676"/>
      <c r="DP69" s="646"/>
      <c r="DQ69" s="646"/>
      <c r="DR69" s="646"/>
      <c r="DS69" s="646"/>
      <c r="DT69" s="646"/>
      <c r="DU69" s="646"/>
      <c r="DV69" s="646"/>
      <c r="DW69" s="646"/>
      <c r="DX69" s="646"/>
      <c r="DY69" s="646"/>
      <c r="DZ69" s="646"/>
      <c r="EA69" s="646"/>
      <c r="EB69" s="646"/>
      <c r="EC69" s="646"/>
      <c r="ED69" s="64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25"/>
      <c r="ER69" s="16"/>
      <c r="ES69" s="16"/>
      <c r="ET69" s="25"/>
      <c r="EU69" s="25"/>
      <c r="EV69" s="16"/>
      <c r="EW69" s="25"/>
      <c r="EX69" s="16"/>
      <c r="EY69" s="16"/>
      <c r="FE69" s="16"/>
      <c r="FK69" s="25"/>
      <c r="FL69" s="25"/>
      <c r="FM69" s="25"/>
      <c r="FN69" s="615"/>
      <c r="FO69" s="25"/>
      <c r="FP69" s="615"/>
      <c r="FQ69" s="16"/>
      <c r="FR69" s="16"/>
      <c r="FS69" s="16"/>
      <c r="FT69" s="16"/>
      <c r="FU69" s="33"/>
      <c r="FV69" s="16"/>
      <c r="FW69" s="16"/>
      <c r="FX69" s="16"/>
      <c r="FY69" s="16"/>
      <c r="FZ69" s="33"/>
      <c r="GA69" s="33"/>
      <c r="GB69" s="33"/>
      <c r="GC69" s="33"/>
      <c r="GD69" s="33"/>
      <c r="GE69" s="33"/>
      <c r="GF69" s="33"/>
      <c r="GG69" s="33"/>
      <c r="GH69" s="33"/>
      <c r="GI69" s="33"/>
      <c r="GJ69" s="33"/>
      <c r="GK69" s="33"/>
      <c r="GL69" s="607"/>
      <c r="GM69" s="16"/>
      <c r="GN69" s="16"/>
      <c r="GO69" s="16"/>
      <c r="GP69" s="16"/>
      <c r="GQ69" s="16"/>
      <c r="GR69" s="178"/>
    </row>
    <row r="70" spans="1:200" s="15" customFormat="1">
      <c r="A70" s="510"/>
      <c r="B70" s="646"/>
      <c r="C70" s="638"/>
      <c r="D70" s="510"/>
      <c r="E70" s="510"/>
      <c r="F70" s="510"/>
      <c r="G70" s="510"/>
      <c r="H70" s="646"/>
      <c r="I70" s="646"/>
      <c r="J70" s="649"/>
      <c r="K70" s="649"/>
      <c r="L70" s="649"/>
      <c r="M70" s="639"/>
      <c r="N70" s="638"/>
      <c r="O70" s="638"/>
      <c r="P70" s="646"/>
      <c r="Q70" s="646"/>
      <c r="R70" s="647"/>
      <c r="S70" s="640"/>
      <c r="T70" s="647"/>
      <c r="U70" s="647"/>
      <c r="V70" s="647"/>
      <c r="W70" s="647"/>
      <c r="X70" s="647"/>
      <c r="Y70" s="647"/>
      <c r="Z70" s="647"/>
      <c r="AA70" s="647"/>
      <c r="AB70" s="647"/>
      <c r="AC70" s="647"/>
      <c r="AD70" s="647"/>
      <c r="AE70" s="647"/>
      <c r="AF70" s="645"/>
      <c r="AG70" s="645"/>
      <c r="AH70" s="647"/>
      <c r="AI70" s="683"/>
      <c r="AJ70" s="651"/>
      <c r="AK70" s="646"/>
      <c r="AL70" s="646"/>
      <c r="AM70" s="648"/>
      <c r="AN70" s="648"/>
      <c r="AO70" s="648"/>
      <c r="AP70" s="648"/>
      <c r="AQ70" s="648"/>
      <c r="AR70" s="646"/>
      <c r="AS70" s="646"/>
      <c r="AT70" s="608"/>
      <c r="AU70" s="646"/>
      <c r="AV70" s="646"/>
      <c r="AW70" s="646"/>
      <c r="AX70" s="646"/>
      <c r="AY70" s="646"/>
      <c r="AZ70" s="646"/>
      <c r="BA70" s="646"/>
      <c r="BB70" s="646"/>
      <c r="BC70" s="646"/>
      <c r="BD70" s="646"/>
      <c r="BE70" s="646"/>
      <c r="BF70" s="646"/>
      <c r="BG70" s="646"/>
      <c r="BH70" s="646"/>
      <c r="BI70" s="646"/>
      <c r="BJ70" s="646"/>
      <c r="BK70" s="676"/>
      <c r="BL70" s="650"/>
      <c r="BM70" s="646"/>
      <c r="BN70" s="646"/>
      <c r="BO70" s="646"/>
      <c r="BP70" s="646"/>
      <c r="BQ70" s="646"/>
      <c r="BR70" s="646"/>
      <c r="BS70" s="608"/>
      <c r="BT70" s="646"/>
      <c r="BU70" s="648"/>
      <c r="BV70" s="646"/>
      <c r="BW70" s="646"/>
      <c r="BX70" s="646"/>
      <c r="BY70" s="646"/>
      <c r="BZ70" s="646"/>
      <c r="CA70" s="648"/>
      <c r="CB70" s="646"/>
      <c r="CC70" s="646"/>
      <c r="CD70" s="646"/>
      <c r="CE70" s="646"/>
      <c r="CF70" s="646"/>
      <c r="CG70" s="646"/>
      <c r="CH70" s="646"/>
      <c r="CI70" s="646"/>
      <c r="CJ70" s="646"/>
      <c r="CK70" s="646"/>
      <c r="CL70" s="646"/>
      <c r="CM70" s="676"/>
      <c r="CN70" s="646"/>
      <c r="CO70" s="646"/>
      <c r="CP70" s="646"/>
      <c r="CQ70" s="646"/>
      <c r="CR70" s="646"/>
      <c r="CS70" s="646"/>
      <c r="CT70" s="646"/>
      <c r="CU70" s="608"/>
      <c r="CV70" s="646"/>
      <c r="CW70" s="646"/>
      <c r="CX70" s="646"/>
      <c r="CY70" s="646"/>
      <c r="CZ70" s="646"/>
      <c r="DA70" s="646"/>
      <c r="DB70" s="646"/>
      <c r="DC70" s="646"/>
      <c r="DD70" s="646"/>
      <c r="DE70" s="646"/>
      <c r="DF70" s="646"/>
      <c r="DG70" s="646"/>
      <c r="DH70" s="646"/>
      <c r="DI70" s="646"/>
      <c r="DJ70" s="646"/>
      <c r="DK70" s="646"/>
      <c r="DL70" s="646"/>
      <c r="DM70" s="646"/>
      <c r="DN70" s="646"/>
      <c r="DO70" s="676"/>
      <c r="DP70" s="646"/>
      <c r="DQ70" s="646"/>
      <c r="DR70" s="646"/>
      <c r="DS70" s="646"/>
      <c r="DT70" s="646"/>
      <c r="DU70" s="646"/>
      <c r="DV70" s="646"/>
      <c r="DW70" s="646"/>
      <c r="DX70" s="646"/>
      <c r="DY70" s="646"/>
      <c r="DZ70" s="646"/>
      <c r="EA70" s="646"/>
      <c r="EB70" s="646"/>
      <c r="EC70" s="646"/>
      <c r="ED70" s="64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25"/>
      <c r="ER70" s="16"/>
      <c r="ES70" s="16"/>
      <c r="ET70" s="25"/>
      <c r="EU70" s="25"/>
      <c r="EV70" s="16"/>
      <c r="EW70" s="25"/>
      <c r="EX70" s="16"/>
      <c r="EY70" s="16"/>
      <c r="FE70" s="16"/>
      <c r="FK70" s="25"/>
      <c r="FL70" s="25"/>
      <c r="FM70" s="25"/>
      <c r="FN70" s="615"/>
      <c r="FO70" s="25"/>
      <c r="FP70" s="615"/>
      <c r="FQ70" s="16"/>
      <c r="FR70" s="16"/>
      <c r="FS70" s="16"/>
      <c r="FT70" s="16"/>
      <c r="FU70" s="33"/>
      <c r="FV70" s="16"/>
      <c r="FW70" s="16"/>
      <c r="FX70" s="16"/>
      <c r="FY70" s="16"/>
      <c r="FZ70" s="33"/>
      <c r="GA70" s="33"/>
      <c r="GB70" s="33"/>
      <c r="GC70" s="33"/>
      <c r="GD70" s="33"/>
      <c r="GE70" s="33"/>
      <c r="GF70" s="33"/>
      <c r="GG70" s="33"/>
      <c r="GH70" s="33"/>
      <c r="GI70" s="33"/>
      <c r="GJ70" s="33"/>
      <c r="GK70" s="33"/>
      <c r="GL70" s="607"/>
      <c r="GM70" s="16"/>
      <c r="GN70" s="16"/>
      <c r="GO70" s="16"/>
      <c r="GP70" s="16"/>
      <c r="GQ70" s="16"/>
      <c r="GR70" s="178"/>
    </row>
    <row r="71" spans="1:200" s="15" customFormat="1">
      <c r="A71" s="510"/>
      <c r="B71" s="646"/>
      <c r="C71" s="638"/>
      <c r="D71" s="510"/>
      <c r="E71" s="510"/>
      <c r="F71" s="510"/>
      <c r="G71" s="510"/>
      <c r="H71" s="646"/>
      <c r="I71" s="646"/>
      <c r="J71" s="649"/>
      <c r="K71" s="649"/>
      <c r="L71" s="649"/>
      <c r="M71" s="639"/>
      <c r="N71" s="638"/>
      <c r="O71" s="638"/>
      <c r="P71" s="646"/>
      <c r="Q71" s="646"/>
      <c r="R71" s="647"/>
      <c r="S71" s="640"/>
      <c r="T71" s="647"/>
      <c r="U71" s="647"/>
      <c r="V71" s="647"/>
      <c r="W71" s="647"/>
      <c r="X71" s="647"/>
      <c r="Y71" s="647"/>
      <c r="Z71" s="647"/>
      <c r="AA71" s="647"/>
      <c r="AB71" s="647"/>
      <c r="AC71" s="647"/>
      <c r="AD71" s="647"/>
      <c r="AE71" s="647"/>
      <c r="AF71" s="645"/>
      <c r="AG71" s="645"/>
      <c r="AH71" s="647"/>
      <c r="AI71" s="683"/>
      <c r="AJ71" s="651"/>
      <c r="AK71" s="646"/>
      <c r="AL71" s="646"/>
      <c r="AM71" s="648"/>
      <c r="AN71" s="648"/>
      <c r="AO71" s="648"/>
      <c r="AP71" s="648"/>
      <c r="AQ71" s="648"/>
      <c r="AR71" s="646"/>
      <c r="AS71" s="646"/>
      <c r="AT71" s="608"/>
      <c r="AU71" s="646"/>
      <c r="AV71" s="646"/>
      <c r="AW71" s="646"/>
      <c r="AX71" s="646"/>
      <c r="AY71" s="646"/>
      <c r="AZ71" s="646"/>
      <c r="BA71" s="646"/>
      <c r="BB71" s="646"/>
      <c r="BC71" s="646"/>
      <c r="BD71" s="646"/>
      <c r="BE71" s="646"/>
      <c r="BF71" s="646"/>
      <c r="BG71" s="646"/>
      <c r="BH71" s="646"/>
      <c r="BI71" s="646"/>
      <c r="BJ71" s="646"/>
      <c r="BK71" s="676"/>
      <c r="BL71" s="650"/>
      <c r="BM71" s="646"/>
      <c r="BN71" s="646"/>
      <c r="BO71" s="646"/>
      <c r="BP71" s="646"/>
      <c r="BQ71" s="646"/>
      <c r="BR71" s="646"/>
      <c r="BS71" s="608"/>
      <c r="BT71" s="646"/>
      <c r="BU71" s="648"/>
      <c r="BV71" s="646"/>
      <c r="BW71" s="646"/>
      <c r="BX71" s="646"/>
      <c r="BY71" s="646"/>
      <c r="BZ71" s="646"/>
      <c r="CA71" s="648"/>
      <c r="CB71" s="646"/>
      <c r="CC71" s="646"/>
      <c r="CD71" s="646"/>
      <c r="CE71" s="646"/>
      <c r="CF71" s="646"/>
      <c r="CG71" s="646"/>
      <c r="CH71" s="646"/>
      <c r="CI71" s="646"/>
      <c r="CJ71" s="646"/>
      <c r="CK71" s="646"/>
      <c r="CL71" s="646"/>
      <c r="CM71" s="676"/>
      <c r="CN71" s="646"/>
      <c r="CO71" s="646"/>
      <c r="CP71" s="646"/>
      <c r="CQ71" s="646"/>
      <c r="CR71" s="646"/>
      <c r="CS71" s="646"/>
      <c r="CT71" s="646"/>
      <c r="CU71" s="608"/>
      <c r="CV71" s="646"/>
      <c r="CW71" s="646"/>
      <c r="CX71" s="646"/>
      <c r="CY71" s="646"/>
      <c r="CZ71" s="646"/>
      <c r="DA71" s="646"/>
      <c r="DB71" s="646"/>
      <c r="DC71" s="646"/>
      <c r="DD71" s="646"/>
      <c r="DE71" s="646"/>
      <c r="DF71" s="646"/>
      <c r="DG71" s="646"/>
      <c r="DH71" s="646"/>
      <c r="DI71" s="646"/>
      <c r="DJ71" s="646"/>
      <c r="DK71" s="646"/>
      <c r="DL71" s="646"/>
      <c r="DM71" s="646"/>
      <c r="DN71" s="646"/>
      <c r="DO71" s="676"/>
      <c r="DP71" s="646"/>
      <c r="DQ71" s="646"/>
      <c r="DR71" s="646"/>
      <c r="DS71" s="646"/>
      <c r="DT71" s="646"/>
      <c r="DU71" s="646"/>
      <c r="DV71" s="646"/>
      <c r="DW71" s="646"/>
      <c r="DX71" s="646"/>
      <c r="DY71" s="646"/>
      <c r="DZ71" s="646"/>
      <c r="EA71" s="646"/>
      <c r="EB71" s="646"/>
      <c r="EC71" s="646"/>
      <c r="ED71" s="64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25"/>
      <c r="ER71" s="16"/>
      <c r="ES71" s="16"/>
      <c r="ET71" s="25"/>
      <c r="EU71" s="25"/>
      <c r="EV71" s="16"/>
      <c r="EW71" s="25"/>
      <c r="EX71" s="16"/>
      <c r="EY71" s="16"/>
      <c r="FE71" s="16"/>
      <c r="FK71" s="25"/>
      <c r="FL71" s="25"/>
      <c r="FM71" s="25"/>
      <c r="FN71" s="615"/>
      <c r="FO71" s="25"/>
      <c r="FP71" s="615"/>
      <c r="FQ71" s="16"/>
      <c r="FR71" s="16"/>
      <c r="FS71" s="16"/>
      <c r="FT71" s="16"/>
      <c r="FU71" s="33"/>
      <c r="FV71" s="16"/>
      <c r="FW71" s="16"/>
      <c r="FX71" s="16"/>
      <c r="FY71" s="16"/>
      <c r="FZ71" s="33"/>
      <c r="GA71" s="33"/>
      <c r="GB71" s="33"/>
      <c r="GC71" s="33"/>
      <c r="GD71" s="33"/>
      <c r="GE71" s="33"/>
      <c r="GF71" s="33"/>
      <c r="GG71" s="33"/>
      <c r="GH71" s="33"/>
      <c r="GI71" s="33"/>
      <c r="GJ71" s="33"/>
      <c r="GK71" s="33"/>
      <c r="GL71" s="607"/>
      <c r="GM71" s="16"/>
      <c r="GN71" s="16"/>
      <c r="GO71" s="16"/>
      <c r="GP71" s="16"/>
      <c r="GQ71" s="16"/>
      <c r="GR71" s="178"/>
    </row>
    <row r="72" spans="1:200" s="15" customFormat="1">
      <c r="A72" s="510"/>
      <c r="B72" s="646"/>
      <c r="C72" s="638"/>
      <c r="D72" s="510"/>
      <c r="E72" s="510"/>
      <c r="F72" s="510"/>
      <c r="G72" s="510"/>
      <c r="H72" s="646"/>
      <c r="I72" s="646"/>
      <c r="J72" s="649"/>
      <c r="K72" s="649"/>
      <c r="L72" s="649"/>
      <c r="M72" s="639"/>
      <c r="N72" s="638"/>
      <c r="O72" s="638"/>
      <c r="P72" s="646"/>
      <c r="Q72" s="646"/>
      <c r="R72" s="647"/>
      <c r="S72" s="640"/>
      <c r="T72" s="647"/>
      <c r="U72" s="647"/>
      <c r="V72" s="647"/>
      <c r="W72" s="647"/>
      <c r="X72" s="647"/>
      <c r="Y72" s="647"/>
      <c r="Z72" s="647"/>
      <c r="AA72" s="647"/>
      <c r="AB72" s="647"/>
      <c r="AC72" s="647"/>
      <c r="AD72" s="647"/>
      <c r="AE72" s="647"/>
      <c r="AF72" s="645"/>
      <c r="AG72" s="645"/>
      <c r="AH72" s="647"/>
      <c r="AI72" s="683"/>
      <c r="AJ72" s="651"/>
      <c r="AK72" s="646"/>
      <c r="AL72" s="646"/>
      <c r="AM72" s="648"/>
      <c r="AN72" s="648"/>
      <c r="AO72" s="648"/>
      <c r="AP72" s="648"/>
      <c r="AQ72" s="648"/>
      <c r="AR72" s="646"/>
      <c r="AS72" s="646"/>
      <c r="AT72" s="608"/>
      <c r="AU72" s="646"/>
      <c r="AV72" s="646"/>
      <c r="AW72" s="646"/>
      <c r="AX72" s="646"/>
      <c r="AY72" s="646"/>
      <c r="AZ72" s="646"/>
      <c r="BA72" s="646"/>
      <c r="BB72" s="646"/>
      <c r="BC72" s="646"/>
      <c r="BD72" s="646"/>
      <c r="BE72" s="646"/>
      <c r="BF72" s="646"/>
      <c r="BG72" s="646"/>
      <c r="BH72" s="646"/>
      <c r="BI72" s="646"/>
      <c r="BJ72" s="646"/>
      <c r="BK72" s="676"/>
      <c r="BL72" s="650"/>
      <c r="BM72" s="646"/>
      <c r="BN72" s="646"/>
      <c r="BO72" s="646"/>
      <c r="BP72" s="646"/>
      <c r="BQ72" s="646"/>
      <c r="BR72" s="646"/>
      <c r="BS72" s="608"/>
      <c r="BT72" s="646"/>
      <c r="BU72" s="648"/>
      <c r="BV72" s="646"/>
      <c r="BW72" s="646"/>
      <c r="BX72" s="646"/>
      <c r="BY72" s="646"/>
      <c r="BZ72" s="646"/>
      <c r="CA72" s="648"/>
      <c r="CB72" s="646"/>
      <c r="CC72" s="646"/>
      <c r="CD72" s="646"/>
      <c r="CE72" s="646"/>
      <c r="CF72" s="646"/>
      <c r="CG72" s="646"/>
      <c r="CH72" s="646"/>
      <c r="CI72" s="646"/>
      <c r="CJ72" s="646"/>
      <c r="CK72" s="646"/>
      <c r="CL72" s="646"/>
      <c r="CM72" s="676"/>
      <c r="CN72" s="646"/>
      <c r="CO72" s="646"/>
      <c r="CP72" s="646"/>
      <c r="CQ72" s="646"/>
      <c r="CR72" s="646"/>
      <c r="CS72" s="646"/>
      <c r="CT72" s="646"/>
      <c r="CU72" s="608"/>
      <c r="CV72" s="646"/>
      <c r="CW72" s="646"/>
      <c r="CX72" s="646"/>
      <c r="CY72" s="646"/>
      <c r="CZ72" s="646"/>
      <c r="DA72" s="646"/>
      <c r="DB72" s="646"/>
      <c r="DC72" s="646"/>
      <c r="DD72" s="646"/>
      <c r="DE72" s="646"/>
      <c r="DF72" s="646"/>
      <c r="DG72" s="646"/>
      <c r="DH72" s="646"/>
      <c r="DI72" s="646"/>
      <c r="DJ72" s="646"/>
      <c r="DK72" s="646"/>
      <c r="DL72" s="646"/>
      <c r="DM72" s="646"/>
      <c r="DN72" s="646"/>
      <c r="DO72" s="676"/>
      <c r="DP72" s="646"/>
      <c r="DQ72" s="646"/>
      <c r="DR72" s="646"/>
      <c r="DS72" s="646"/>
      <c r="DT72" s="646"/>
      <c r="DU72" s="646"/>
      <c r="DV72" s="646"/>
      <c r="DW72" s="646"/>
      <c r="DX72" s="646"/>
      <c r="DY72" s="646"/>
      <c r="DZ72" s="646"/>
      <c r="EA72" s="646"/>
      <c r="EB72" s="646"/>
      <c r="EC72" s="646"/>
      <c r="ED72" s="64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25"/>
      <c r="ER72" s="16"/>
      <c r="ES72" s="16"/>
      <c r="ET72" s="25"/>
      <c r="EU72" s="25"/>
      <c r="EV72" s="16"/>
      <c r="EW72" s="25"/>
      <c r="EX72" s="16"/>
      <c r="EY72" s="16"/>
      <c r="FE72" s="16"/>
      <c r="FK72" s="25"/>
      <c r="FL72" s="25"/>
      <c r="FM72" s="25"/>
      <c r="FN72" s="615"/>
      <c r="FO72" s="25"/>
      <c r="FP72" s="615"/>
      <c r="FQ72" s="16"/>
      <c r="FR72" s="16"/>
      <c r="FS72" s="16"/>
      <c r="FT72" s="16"/>
      <c r="FU72" s="33"/>
      <c r="FV72" s="16"/>
      <c r="FW72" s="16"/>
      <c r="FX72" s="16"/>
      <c r="FY72" s="16"/>
      <c r="FZ72" s="33"/>
      <c r="GA72" s="33"/>
      <c r="GB72" s="33"/>
      <c r="GC72" s="33"/>
      <c r="GD72" s="33"/>
      <c r="GE72" s="33"/>
      <c r="GF72" s="33"/>
      <c r="GG72" s="33"/>
      <c r="GH72" s="33"/>
      <c r="GI72" s="33"/>
      <c r="GJ72" s="33"/>
      <c r="GK72" s="33"/>
      <c r="GL72" s="607"/>
      <c r="GM72" s="16"/>
      <c r="GN72" s="16"/>
      <c r="GO72" s="16"/>
      <c r="GP72" s="16"/>
      <c r="GQ72" s="16"/>
      <c r="GR72" s="178"/>
    </row>
    <row r="73" spans="1:200" s="15" customFormat="1">
      <c r="A73" s="510"/>
      <c r="B73" s="646"/>
      <c r="C73" s="638"/>
      <c r="D73" s="510"/>
      <c r="E73" s="510"/>
      <c r="F73" s="510"/>
      <c r="G73" s="510"/>
      <c r="H73" s="646"/>
      <c r="I73" s="646"/>
      <c r="J73" s="649"/>
      <c r="K73" s="649"/>
      <c r="L73" s="649"/>
      <c r="M73" s="639"/>
      <c r="N73" s="638"/>
      <c r="O73" s="638"/>
      <c r="P73" s="646"/>
      <c r="Q73" s="646"/>
      <c r="R73" s="647"/>
      <c r="S73" s="640"/>
      <c r="T73" s="647"/>
      <c r="U73" s="647"/>
      <c r="V73" s="647"/>
      <c r="W73" s="647"/>
      <c r="X73" s="647"/>
      <c r="Y73" s="647"/>
      <c r="Z73" s="647"/>
      <c r="AA73" s="647"/>
      <c r="AB73" s="647"/>
      <c r="AC73" s="647"/>
      <c r="AD73" s="647"/>
      <c r="AE73" s="647"/>
      <c r="AF73" s="645"/>
      <c r="AG73" s="645"/>
      <c r="AH73" s="647"/>
      <c r="AI73" s="683"/>
      <c r="AJ73" s="651"/>
      <c r="AK73" s="646"/>
      <c r="AL73" s="646"/>
      <c r="AM73" s="648"/>
      <c r="AN73" s="648"/>
      <c r="AO73" s="648"/>
      <c r="AP73" s="648"/>
      <c r="AQ73" s="648"/>
      <c r="AR73" s="646"/>
      <c r="AS73" s="646"/>
      <c r="AT73" s="608"/>
      <c r="AU73" s="646"/>
      <c r="AV73" s="646"/>
      <c r="AW73" s="646"/>
      <c r="AX73" s="646"/>
      <c r="AY73" s="646"/>
      <c r="AZ73" s="646"/>
      <c r="BA73" s="646"/>
      <c r="BB73" s="646"/>
      <c r="BC73" s="646"/>
      <c r="BD73" s="646"/>
      <c r="BE73" s="646"/>
      <c r="BF73" s="646"/>
      <c r="BG73" s="646"/>
      <c r="BH73" s="646"/>
      <c r="BI73" s="646"/>
      <c r="BJ73" s="646"/>
      <c r="BK73" s="676"/>
      <c r="BL73" s="650"/>
      <c r="BM73" s="646"/>
      <c r="BN73" s="646"/>
      <c r="BO73" s="646"/>
      <c r="BP73" s="646"/>
      <c r="BQ73" s="646"/>
      <c r="BR73" s="646"/>
      <c r="BS73" s="608"/>
      <c r="BT73" s="646"/>
      <c r="BU73" s="648"/>
      <c r="BV73" s="646"/>
      <c r="BW73" s="646"/>
      <c r="BX73" s="646"/>
      <c r="BY73" s="646"/>
      <c r="BZ73" s="646"/>
      <c r="CA73" s="648"/>
      <c r="CB73" s="646"/>
      <c r="CC73" s="646"/>
      <c r="CD73" s="646"/>
      <c r="CE73" s="646"/>
      <c r="CF73" s="646"/>
      <c r="CG73" s="646"/>
      <c r="CH73" s="646"/>
      <c r="CI73" s="646"/>
      <c r="CJ73" s="646"/>
      <c r="CK73" s="646"/>
      <c r="CL73" s="646"/>
      <c r="CM73" s="676"/>
      <c r="CN73" s="646"/>
      <c r="CO73" s="646"/>
      <c r="CP73" s="646"/>
      <c r="CQ73" s="646"/>
      <c r="CR73" s="646"/>
      <c r="CS73" s="646"/>
      <c r="CT73" s="646"/>
      <c r="CU73" s="608"/>
      <c r="CV73" s="646"/>
      <c r="CW73" s="646"/>
      <c r="CX73" s="646"/>
      <c r="CY73" s="646"/>
      <c r="CZ73" s="646"/>
      <c r="DA73" s="646"/>
      <c r="DB73" s="646"/>
      <c r="DC73" s="646"/>
      <c r="DD73" s="646"/>
      <c r="DE73" s="646"/>
      <c r="DF73" s="646"/>
      <c r="DG73" s="646"/>
      <c r="DH73" s="646"/>
      <c r="DI73" s="646"/>
      <c r="DJ73" s="646"/>
      <c r="DK73" s="646"/>
      <c r="DL73" s="646"/>
      <c r="DM73" s="646"/>
      <c r="DN73" s="646"/>
      <c r="DO73" s="676"/>
      <c r="DP73" s="646"/>
      <c r="DQ73" s="646"/>
      <c r="DR73" s="646"/>
      <c r="DS73" s="646"/>
      <c r="DT73" s="646"/>
      <c r="DU73" s="646"/>
      <c r="DV73" s="646"/>
      <c r="DW73" s="646"/>
      <c r="DX73" s="646"/>
      <c r="DY73" s="646"/>
      <c r="DZ73" s="646"/>
      <c r="EA73" s="646"/>
      <c r="EB73" s="646"/>
      <c r="EC73" s="646"/>
      <c r="ED73" s="64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25"/>
      <c r="ER73" s="16"/>
      <c r="ES73" s="16"/>
      <c r="ET73" s="25"/>
      <c r="EU73" s="25"/>
      <c r="EV73" s="16"/>
      <c r="EW73" s="25"/>
      <c r="EX73" s="16"/>
      <c r="EY73" s="16"/>
      <c r="FE73" s="16"/>
      <c r="FK73" s="25"/>
      <c r="FL73" s="25"/>
      <c r="FM73" s="25"/>
      <c r="FN73" s="615"/>
      <c r="FO73" s="25"/>
      <c r="FP73" s="615"/>
      <c r="FQ73" s="16"/>
      <c r="FR73" s="16"/>
      <c r="FS73" s="16"/>
      <c r="FT73" s="16"/>
      <c r="FU73" s="33"/>
      <c r="FV73" s="16"/>
      <c r="FW73" s="16"/>
      <c r="FX73" s="16"/>
      <c r="FY73" s="16"/>
      <c r="FZ73" s="33"/>
      <c r="GA73" s="33"/>
      <c r="GB73" s="33"/>
      <c r="GC73" s="33"/>
      <c r="GD73" s="33"/>
      <c r="GE73" s="33"/>
      <c r="GF73" s="33"/>
      <c r="GG73" s="33"/>
      <c r="GH73" s="33"/>
      <c r="GI73" s="33"/>
      <c r="GJ73" s="33"/>
      <c r="GK73" s="33"/>
      <c r="GL73" s="607"/>
      <c r="GM73" s="16"/>
      <c r="GN73" s="16"/>
      <c r="GO73" s="16"/>
      <c r="GP73" s="16"/>
      <c r="GQ73" s="16"/>
      <c r="GR73" s="178"/>
    </row>
    <row r="74" spans="1:200" s="15" customFormat="1">
      <c r="A74" s="510"/>
      <c r="B74" s="646"/>
      <c r="C74" s="638"/>
      <c r="D74" s="510"/>
      <c r="E74" s="510"/>
      <c r="F74" s="510"/>
      <c r="G74" s="510"/>
      <c r="H74" s="646"/>
      <c r="I74" s="646"/>
      <c r="J74" s="649"/>
      <c r="K74" s="649"/>
      <c r="L74" s="649"/>
      <c r="M74" s="639"/>
      <c r="N74" s="638"/>
      <c r="O74" s="638"/>
      <c r="P74" s="646"/>
      <c r="Q74" s="646"/>
      <c r="R74" s="647"/>
      <c r="S74" s="640"/>
      <c r="T74" s="647"/>
      <c r="U74" s="647"/>
      <c r="V74" s="647"/>
      <c r="W74" s="647"/>
      <c r="X74" s="647"/>
      <c r="Y74" s="647"/>
      <c r="Z74" s="647"/>
      <c r="AA74" s="647"/>
      <c r="AB74" s="647"/>
      <c r="AC74" s="647"/>
      <c r="AD74" s="647"/>
      <c r="AE74" s="647"/>
      <c r="AF74" s="645"/>
      <c r="AG74" s="645"/>
      <c r="AH74" s="647"/>
      <c r="AI74" s="683"/>
      <c r="AJ74" s="651"/>
      <c r="AK74" s="646"/>
      <c r="AL74" s="646"/>
      <c r="AM74" s="648"/>
      <c r="AN74" s="648"/>
      <c r="AO74" s="648"/>
      <c r="AP74" s="648"/>
      <c r="AQ74" s="648"/>
      <c r="AR74" s="646"/>
      <c r="AS74" s="646"/>
      <c r="AT74" s="608"/>
      <c r="AU74" s="646"/>
      <c r="AV74" s="646"/>
      <c r="AW74" s="646"/>
      <c r="AX74" s="646"/>
      <c r="AY74" s="646"/>
      <c r="AZ74" s="646"/>
      <c r="BA74" s="646"/>
      <c r="BB74" s="646"/>
      <c r="BC74" s="646"/>
      <c r="BD74" s="646"/>
      <c r="BE74" s="646"/>
      <c r="BF74" s="646"/>
      <c r="BG74" s="646"/>
      <c r="BH74" s="646"/>
      <c r="BI74" s="646"/>
      <c r="BJ74" s="646"/>
      <c r="BK74" s="676"/>
      <c r="BL74" s="650"/>
      <c r="BM74" s="646"/>
      <c r="BN74" s="646"/>
      <c r="BO74" s="646"/>
      <c r="BP74" s="646"/>
      <c r="BQ74" s="646"/>
      <c r="BR74" s="646"/>
      <c r="BS74" s="608"/>
      <c r="BT74" s="646"/>
      <c r="BU74" s="648"/>
      <c r="BV74" s="646"/>
      <c r="BW74" s="646"/>
      <c r="BX74" s="646"/>
      <c r="BY74" s="646"/>
      <c r="BZ74" s="646"/>
      <c r="CA74" s="648"/>
      <c r="CB74" s="646"/>
      <c r="CC74" s="646"/>
      <c r="CD74" s="646"/>
      <c r="CE74" s="646"/>
      <c r="CF74" s="646"/>
      <c r="CG74" s="646"/>
      <c r="CH74" s="646"/>
      <c r="CI74" s="646"/>
      <c r="CJ74" s="646"/>
      <c r="CK74" s="646"/>
      <c r="CL74" s="646"/>
      <c r="CM74" s="676"/>
      <c r="CN74" s="646"/>
      <c r="CO74" s="646"/>
      <c r="CP74" s="646"/>
      <c r="CQ74" s="646"/>
      <c r="CR74" s="646"/>
      <c r="CS74" s="646"/>
      <c r="CT74" s="646"/>
      <c r="CU74" s="608"/>
      <c r="CV74" s="646"/>
      <c r="CW74" s="646"/>
      <c r="CX74" s="646"/>
      <c r="CY74" s="646"/>
      <c r="CZ74" s="646"/>
      <c r="DA74" s="646"/>
      <c r="DB74" s="646"/>
      <c r="DC74" s="646"/>
      <c r="DD74" s="646"/>
      <c r="DE74" s="646"/>
      <c r="DF74" s="646"/>
      <c r="DG74" s="646"/>
      <c r="DH74" s="646"/>
      <c r="DI74" s="646"/>
      <c r="DJ74" s="646"/>
      <c r="DK74" s="646"/>
      <c r="DL74" s="646"/>
      <c r="DM74" s="646"/>
      <c r="DN74" s="646"/>
      <c r="DO74" s="676"/>
      <c r="DP74" s="646"/>
      <c r="DQ74" s="646"/>
      <c r="DR74" s="646"/>
      <c r="DS74" s="646"/>
      <c r="DT74" s="646"/>
      <c r="DU74" s="646"/>
      <c r="DV74" s="646"/>
      <c r="DW74" s="646"/>
      <c r="DX74" s="646"/>
      <c r="DY74" s="646"/>
      <c r="DZ74" s="646"/>
      <c r="EA74" s="646"/>
      <c r="EB74" s="646"/>
      <c r="EC74" s="646"/>
      <c r="ED74" s="64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25"/>
      <c r="ER74" s="16"/>
      <c r="ES74" s="16"/>
      <c r="ET74" s="25"/>
      <c r="EU74" s="25"/>
      <c r="EV74" s="16"/>
      <c r="EW74" s="25"/>
      <c r="EX74" s="16"/>
      <c r="EY74" s="16"/>
      <c r="FE74" s="16"/>
      <c r="FK74" s="25"/>
      <c r="FL74" s="25"/>
      <c r="FM74" s="25"/>
      <c r="FN74" s="615"/>
      <c r="FO74" s="25"/>
      <c r="FP74" s="615"/>
      <c r="FQ74" s="16"/>
      <c r="FR74" s="16"/>
      <c r="FS74" s="16"/>
      <c r="FT74" s="16"/>
      <c r="FU74" s="33"/>
      <c r="FV74" s="16"/>
      <c r="FW74" s="16"/>
      <c r="FX74" s="16"/>
      <c r="FY74" s="16"/>
      <c r="FZ74" s="33"/>
      <c r="GA74" s="33"/>
      <c r="GB74" s="33"/>
      <c r="GC74" s="33"/>
      <c r="GD74" s="33"/>
      <c r="GE74" s="33"/>
      <c r="GF74" s="33"/>
      <c r="GG74" s="33"/>
      <c r="GH74" s="33"/>
      <c r="GI74" s="33"/>
      <c r="GJ74" s="33"/>
      <c r="GK74" s="33"/>
      <c r="GL74" s="607"/>
      <c r="GM74" s="16"/>
      <c r="GN74" s="16"/>
      <c r="GO74" s="16"/>
      <c r="GP74" s="16"/>
      <c r="GQ74" s="16"/>
      <c r="GR74" s="178"/>
    </row>
    <row r="75" spans="1:200" s="15" customFormat="1">
      <c r="A75" s="510"/>
      <c r="B75" s="646"/>
      <c r="C75" s="638"/>
      <c r="D75" s="510"/>
      <c r="E75" s="510"/>
      <c r="F75" s="510"/>
      <c r="G75" s="510"/>
      <c r="H75" s="646"/>
      <c r="I75" s="646"/>
      <c r="J75" s="649"/>
      <c r="K75" s="649"/>
      <c r="L75" s="649"/>
      <c r="M75" s="639"/>
      <c r="N75" s="638"/>
      <c r="O75" s="638"/>
      <c r="P75" s="646"/>
      <c r="Q75" s="646"/>
      <c r="R75" s="647"/>
      <c r="S75" s="640"/>
      <c r="T75" s="647"/>
      <c r="U75" s="647"/>
      <c r="V75" s="647"/>
      <c r="W75" s="647"/>
      <c r="X75" s="647"/>
      <c r="Y75" s="647"/>
      <c r="Z75" s="647"/>
      <c r="AA75" s="647"/>
      <c r="AB75" s="647"/>
      <c r="AC75" s="647"/>
      <c r="AD75" s="647"/>
      <c r="AE75" s="647"/>
      <c r="AF75" s="645"/>
      <c r="AG75" s="645"/>
      <c r="AH75" s="647"/>
      <c r="AI75" s="683"/>
      <c r="AJ75" s="651"/>
      <c r="AK75" s="646"/>
      <c r="AL75" s="646"/>
      <c r="AM75" s="648"/>
      <c r="AN75" s="648"/>
      <c r="AO75" s="648"/>
      <c r="AP75" s="648"/>
      <c r="AQ75" s="648"/>
      <c r="AR75" s="646"/>
      <c r="AS75" s="646"/>
      <c r="AT75" s="608"/>
      <c r="AU75" s="646"/>
      <c r="AV75" s="646"/>
      <c r="AW75" s="646"/>
      <c r="AX75" s="646"/>
      <c r="AY75" s="646"/>
      <c r="AZ75" s="646"/>
      <c r="BA75" s="646"/>
      <c r="BB75" s="646"/>
      <c r="BC75" s="646"/>
      <c r="BD75" s="646"/>
      <c r="BE75" s="646"/>
      <c r="BF75" s="646"/>
      <c r="BG75" s="646"/>
      <c r="BH75" s="646"/>
      <c r="BI75" s="646"/>
      <c r="BJ75" s="646"/>
      <c r="BK75" s="676"/>
      <c r="BL75" s="650"/>
      <c r="BM75" s="646"/>
      <c r="BN75" s="646"/>
      <c r="BO75" s="646"/>
      <c r="BP75" s="646"/>
      <c r="BQ75" s="646"/>
      <c r="BR75" s="646"/>
      <c r="BS75" s="608"/>
      <c r="BT75" s="646"/>
      <c r="BU75" s="648"/>
      <c r="BV75" s="646"/>
      <c r="BW75" s="646"/>
      <c r="BX75" s="646"/>
      <c r="BY75" s="646"/>
      <c r="BZ75" s="646"/>
      <c r="CA75" s="648"/>
      <c r="CB75" s="646"/>
      <c r="CC75" s="646"/>
      <c r="CD75" s="646"/>
      <c r="CE75" s="646"/>
      <c r="CF75" s="646"/>
      <c r="CG75" s="646"/>
      <c r="CH75" s="646"/>
      <c r="CI75" s="646"/>
      <c r="CJ75" s="646"/>
      <c r="CK75" s="646"/>
      <c r="CL75" s="646"/>
      <c r="CM75" s="676"/>
      <c r="CN75" s="646"/>
      <c r="CO75" s="646"/>
      <c r="CP75" s="646"/>
      <c r="CQ75" s="646"/>
      <c r="CR75" s="646"/>
      <c r="CS75" s="646"/>
      <c r="CT75" s="646"/>
      <c r="CU75" s="608"/>
      <c r="CV75" s="646"/>
      <c r="CW75" s="646"/>
      <c r="CX75" s="646"/>
      <c r="CY75" s="646"/>
      <c r="CZ75" s="646"/>
      <c r="DA75" s="646"/>
      <c r="DB75" s="646"/>
      <c r="DC75" s="646"/>
      <c r="DD75" s="646"/>
      <c r="DE75" s="646"/>
      <c r="DF75" s="646"/>
      <c r="DG75" s="646"/>
      <c r="DH75" s="646"/>
      <c r="DI75" s="646"/>
      <c r="DJ75" s="646"/>
      <c r="DK75" s="646"/>
      <c r="DL75" s="646"/>
      <c r="DM75" s="646"/>
      <c r="DN75" s="646"/>
      <c r="DO75" s="676"/>
      <c r="DP75" s="646"/>
      <c r="DQ75" s="646"/>
      <c r="DR75" s="646"/>
      <c r="DS75" s="646"/>
      <c r="DT75" s="646"/>
      <c r="DU75" s="646"/>
      <c r="DV75" s="646"/>
      <c r="DW75" s="646"/>
      <c r="DX75" s="646"/>
      <c r="DY75" s="646"/>
      <c r="DZ75" s="646"/>
      <c r="EA75" s="646"/>
      <c r="EB75" s="646"/>
      <c r="EC75" s="646"/>
      <c r="ED75" s="64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25"/>
      <c r="ER75" s="16"/>
      <c r="ES75" s="16"/>
      <c r="ET75" s="25"/>
      <c r="EU75" s="25"/>
      <c r="EV75" s="16"/>
      <c r="EW75" s="25"/>
      <c r="EX75" s="16"/>
      <c r="EY75" s="16"/>
      <c r="FE75" s="16"/>
      <c r="FK75" s="25"/>
      <c r="FL75" s="25"/>
      <c r="FM75" s="25"/>
      <c r="FN75" s="615"/>
      <c r="FO75" s="25"/>
      <c r="FP75" s="615"/>
      <c r="FQ75" s="16"/>
      <c r="FR75" s="16"/>
      <c r="FS75" s="16"/>
      <c r="FT75" s="16"/>
      <c r="FU75" s="33"/>
      <c r="FV75" s="16"/>
      <c r="FW75" s="16"/>
      <c r="FX75" s="16"/>
      <c r="FY75" s="16"/>
      <c r="FZ75" s="33"/>
      <c r="GA75" s="33"/>
      <c r="GB75" s="33"/>
      <c r="GC75" s="33"/>
      <c r="GD75" s="33"/>
      <c r="GE75" s="33"/>
      <c r="GF75" s="33"/>
      <c r="GG75" s="33"/>
      <c r="GH75" s="33"/>
      <c r="GI75" s="33"/>
      <c r="GJ75" s="33"/>
      <c r="GK75" s="33"/>
      <c r="GL75" s="607"/>
      <c r="GM75" s="16"/>
      <c r="GN75" s="16"/>
      <c r="GO75" s="16"/>
      <c r="GP75" s="16"/>
      <c r="GQ75" s="16"/>
      <c r="GR75" s="178"/>
    </row>
    <row r="76" spans="1:200" s="15" customFormat="1">
      <c r="A76" s="510"/>
      <c r="B76" s="646"/>
      <c r="C76" s="638"/>
      <c r="D76" s="510"/>
      <c r="E76" s="510"/>
      <c r="F76" s="510"/>
      <c r="G76" s="510"/>
      <c r="H76" s="646"/>
      <c r="I76" s="646"/>
      <c r="J76" s="649"/>
      <c r="K76" s="649"/>
      <c r="L76" s="649"/>
      <c r="M76" s="639"/>
      <c r="N76" s="638"/>
      <c r="O76" s="638"/>
      <c r="P76" s="646"/>
      <c r="Q76" s="646"/>
      <c r="R76" s="647"/>
      <c r="S76" s="640"/>
      <c r="T76" s="647"/>
      <c r="U76" s="647"/>
      <c r="V76" s="647"/>
      <c r="W76" s="647"/>
      <c r="X76" s="647"/>
      <c r="Y76" s="647"/>
      <c r="Z76" s="647"/>
      <c r="AA76" s="647"/>
      <c r="AB76" s="647"/>
      <c r="AC76" s="647"/>
      <c r="AD76" s="647"/>
      <c r="AE76" s="647"/>
      <c r="AF76" s="645"/>
      <c r="AG76" s="645"/>
      <c r="AH76" s="647"/>
      <c r="AI76" s="683"/>
      <c r="AJ76" s="651"/>
      <c r="AK76" s="646"/>
      <c r="AL76" s="646"/>
      <c r="AM76" s="648"/>
      <c r="AN76" s="648"/>
      <c r="AO76" s="648"/>
      <c r="AP76" s="648"/>
      <c r="AQ76" s="648"/>
      <c r="AR76" s="646"/>
      <c r="AS76" s="646"/>
      <c r="AT76" s="608"/>
      <c r="AU76" s="646"/>
      <c r="AV76" s="646"/>
      <c r="AW76" s="646"/>
      <c r="AX76" s="646"/>
      <c r="AY76" s="646"/>
      <c r="AZ76" s="646"/>
      <c r="BA76" s="646"/>
      <c r="BB76" s="646"/>
      <c r="BC76" s="646"/>
      <c r="BD76" s="646"/>
      <c r="BE76" s="646"/>
      <c r="BF76" s="646"/>
      <c r="BG76" s="646"/>
      <c r="BH76" s="646"/>
      <c r="BI76" s="646"/>
      <c r="BJ76" s="646"/>
      <c r="BK76" s="676"/>
      <c r="BL76" s="650"/>
      <c r="BM76" s="646"/>
      <c r="BN76" s="646"/>
      <c r="BO76" s="646"/>
      <c r="BP76" s="646"/>
      <c r="BQ76" s="646"/>
      <c r="BR76" s="646"/>
      <c r="BS76" s="608"/>
      <c r="BT76" s="646"/>
      <c r="BU76" s="648"/>
      <c r="BV76" s="646"/>
      <c r="BW76" s="646"/>
      <c r="BX76" s="646"/>
      <c r="BY76" s="646"/>
      <c r="BZ76" s="646"/>
      <c r="CA76" s="648"/>
      <c r="CB76" s="646"/>
      <c r="CC76" s="646"/>
      <c r="CD76" s="646"/>
      <c r="CE76" s="646"/>
      <c r="CF76" s="646"/>
      <c r="CG76" s="646"/>
      <c r="CH76" s="646"/>
      <c r="CI76" s="646"/>
      <c r="CJ76" s="646"/>
      <c r="CK76" s="646"/>
      <c r="CL76" s="646"/>
      <c r="CM76" s="676"/>
      <c r="CN76" s="646"/>
      <c r="CO76" s="646"/>
      <c r="CP76" s="646"/>
      <c r="CQ76" s="646"/>
      <c r="CR76" s="646"/>
      <c r="CS76" s="646"/>
      <c r="CT76" s="646"/>
      <c r="CU76" s="608"/>
      <c r="CV76" s="646"/>
      <c r="CW76" s="646"/>
      <c r="CX76" s="646"/>
      <c r="CY76" s="646"/>
      <c r="CZ76" s="646"/>
      <c r="DA76" s="646"/>
      <c r="DB76" s="646"/>
      <c r="DC76" s="646"/>
      <c r="DD76" s="646"/>
      <c r="DE76" s="646"/>
      <c r="DF76" s="646"/>
      <c r="DG76" s="646"/>
      <c r="DH76" s="646"/>
      <c r="DI76" s="646"/>
      <c r="DJ76" s="646"/>
      <c r="DK76" s="646"/>
      <c r="DL76" s="646"/>
      <c r="DM76" s="646"/>
      <c r="DN76" s="646"/>
      <c r="DO76" s="676"/>
      <c r="DP76" s="646"/>
      <c r="DQ76" s="646"/>
      <c r="DR76" s="646"/>
      <c r="DS76" s="646"/>
      <c r="DT76" s="646"/>
      <c r="DU76" s="646"/>
      <c r="DV76" s="646"/>
      <c r="DW76" s="646"/>
      <c r="DX76" s="646"/>
      <c r="DY76" s="646"/>
      <c r="DZ76" s="646"/>
      <c r="EA76" s="646"/>
      <c r="EB76" s="646"/>
      <c r="EC76" s="646"/>
      <c r="ED76" s="64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25"/>
      <c r="ER76" s="16"/>
      <c r="ES76" s="16"/>
      <c r="ET76" s="25"/>
      <c r="EU76" s="25"/>
      <c r="EV76" s="16"/>
      <c r="EW76" s="25"/>
      <c r="EX76" s="16"/>
      <c r="EY76" s="16"/>
      <c r="FE76" s="16"/>
      <c r="FK76" s="25"/>
      <c r="FL76" s="25"/>
      <c r="FM76" s="25"/>
      <c r="FN76" s="615"/>
      <c r="FO76" s="25"/>
      <c r="FP76" s="615"/>
      <c r="FQ76" s="16"/>
      <c r="FR76" s="16"/>
      <c r="FS76" s="16"/>
      <c r="FT76" s="16"/>
      <c r="FU76" s="33"/>
      <c r="FV76" s="16"/>
      <c r="FW76" s="16"/>
      <c r="FX76" s="16"/>
      <c r="FY76" s="16"/>
      <c r="FZ76" s="33"/>
      <c r="GA76" s="33"/>
      <c r="GB76" s="33"/>
      <c r="GC76" s="33"/>
      <c r="GD76" s="33"/>
      <c r="GE76" s="33"/>
      <c r="GF76" s="33"/>
      <c r="GG76" s="33"/>
      <c r="GH76" s="33"/>
      <c r="GI76" s="33"/>
      <c r="GJ76" s="33"/>
      <c r="GK76" s="33"/>
      <c r="GL76" s="607"/>
      <c r="GM76" s="16"/>
      <c r="GN76" s="16"/>
      <c r="GO76" s="16"/>
      <c r="GP76" s="16"/>
      <c r="GQ76" s="16"/>
      <c r="GR76" s="178"/>
    </row>
    <row r="77" spans="1:200" s="15" customFormat="1">
      <c r="A77" s="510"/>
      <c r="B77" s="646"/>
      <c r="C77" s="638"/>
      <c r="D77" s="510"/>
      <c r="E77" s="510"/>
      <c r="F77" s="510"/>
      <c r="G77" s="510"/>
      <c r="H77" s="646"/>
      <c r="I77" s="646"/>
      <c r="J77" s="649"/>
      <c r="K77" s="649"/>
      <c r="L77" s="649"/>
      <c r="M77" s="639"/>
      <c r="N77" s="638"/>
      <c r="O77" s="638"/>
      <c r="P77" s="646"/>
      <c r="Q77" s="646"/>
      <c r="R77" s="647"/>
      <c r="S77" s="640"/>
      <c r="T77" s="647"/>
      <c r="U77" s="647"/>
      <c r="V77" s="647"/>
      <c r="W77" s="647"/>
      <c r="X77" s="647"/>
      <c r="Y77" s="647"/>
      <c r="Z77" s="647"/>
      <c r="AA77" s="647"/>
      <c r="AB77" s="647"/>
      <c r="AC77" s="647"/>
      <c r="AD77" s="647"/>
      <c r="AE77" s="647"/>
      <c r="AF77" s="645"/>
      <c r="AG77" s="645"/>
      <c r="AH77" s="647"/>
      <c r="AI77" s="683"/>
      <c r="AJ77" s="651"/>
      <c r="AK77" s="646"/>
      <c r="AL77" s="646"/>
      <c r="AM77" s="648"/>
      <c r="AN77" s="648"/>
      <c r="AO77" s="648"/>
      <c r="AP77" s="648"/>
      <c r="AQ77" s="648"/>
      <c r="AR77" s="646"/>
      <c r="AS77" s="646"/>
      <c r="AT77" s="608"/>
      <c r="AU77" s="646"/>
      <c r="AV77" s="646"/>
      <c r="AW77" s="646"/>
      <c r="AX77" s="646"/>
      <c r="AY77" s="646"/>
      <c r="AZ77" s="646"/>
      <c r="BA77" s="646"/>
      <c r="BB77" s="646"/>
      <c r="BC77" s="646"/>
      <c r="BD77" s="646"/>
      <c r="BE77" s="646"/>
      <c r="BF77" s="646"/>
      <c r="BG77" s="646"/>
      <c r="BH77" s="646"/>
      <c r="BI77" s="646"/>
      <c r="BJ77" s="646"/>
      <c r="BK77" s="676"/>
      <c r="BL77" s="650"/>
      <c r="BM77" s="646"/>
      <c r="BN77" s="646"/>
      <c r="BO77" s="646"/>
      <c r="BP77" s="646"/>
      <c r="BQ77" s="646"/>
      <c r="BR77" s="646"/>
      <c r="BS77" s="608"/>
      <c r="BT77" s="646"/>
      <c r="BU77" s="648"/>
      <c r="BV77" s="646"/>
      <c r="BW77" s="646"/>
      <c r="BX77" s="646"/>
      <c r="BY77" s="646"/>
      <c r="BZ77" s="646"/>
      <c r="CA77" s="648"/>
      <c r="CB77" s="646"/>
      <c r="CC77" s="646"/>
      <c r="CD77" s="646"/>
      <c r="CE77" s="646"/>
      <c r="CF77" s="646"/>
      <c r="CG77" s="646"/>
      <c r="CH77" s="646"/>
      <c r="CI77" s="646"/>
      <c r="CJ77" s="646"/>
      <c r="CK77" s="646"/>
      <c r="CL77" s="646"/>
      <c r="CM77" s="676"/>
      <c r="CN77" s="646"/>
      <c r="CO77" s="646"/>
      <c r="CP77" s="646"/>
      <c r="CQ77" s="646"/>
      <c r="CR77" s="646"/>
      <c r="CS77" s="646"/>
      <c r="CT77" s="646"/>
      <c r="CU77" s="608"/>
      <c r="CV77" s="646"/>
      <c r="CW77" s="646"/>
      <c r="CX77" s="646"/>
      <c r="CY77" s="646"/>
      <c r="CZ77" s="646"/>
      <c r="DA77" s="646"/>
      <c r="DB77" s="646"/>
      <c r="DC77" s="646"/>
      <c r="DD77" s="646"/>
      <c r="DE77" s="646"/>
      <c r="DF77" s="646"/>
      <c r="DG77" s="646"/>
      <c r="DH77" s="646"/>
      <c r="DI77" s="646"/>
      <c r="DJ77" s="646"/>
      <c r="DK77" s="646"/>
      <c r="DL77" s="646"/>
      <c r="DM77" s="646"/>
      <c r="DN77" s="646"/>
      <c r="DO77" s="676"/>
      <c r="DP77" s="646"/>
      <c r="DQ77" s="646"/>
      <c r="DR77" s="646"/>
      <c r="DS77" s="646"/>
      <c r="DT77" s="646"/>
      <c r="DU77" s="646"/>
      <c r="DV77" s="646"/>
      <c r="DW77" s="646"/>
      <c r="DX77" s="646"/>
      <c r="DY77" s="646"/>
      <c r="DZ77" s="646"/>
      <c r="EA77" s="646"/>
      <c r="EB77" s="646"/>
      <c r="EC77" s="646"/>
      <c r="ED77" s="64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25"/>
      <c r="ER77" s="16"/>
      <c r="ES77" s="16"/>
      <c r="ET77" s="25"/>
      <c r="EU77" s="25"/>
      <c r="EV77" s="16"/>
      <c r="EW77" s="25"/>
      <c r="EX77" s="16"/>
      <c r="EY77" s="16"/>
      <c r="FE77" s="16"/>
      <c r="FK77" s="25"/>
      <c r="FL77" s="25"/>
      <c r="FM77" s="25"/>
      <c r="FN77" s="615"/>
      <c r="FO77" s="25"/>
      <c r="FP77" s="615"/>
      <c r="FQ77" s="16"/>
      <c r="FR77" s="16"/>
      <c r="FS77" s="16"/>
      <c r="FT77" s="16"/>
      <c r="FU77" s="33"/>
      <c r="FV77" s="16"/>
      <c r="FW77" s="16"/>
      <c r="FX77" s="16"/>
      <c r="FY77" s="16"/>
      <c r="FZ77" s="33"/>
      <c r="GA77" s="33"/>
      <c r="GB77" s="33"/>
      <c r="GC77" s="33"/>
      <c r="GD77" s="33"/>
      <c r="GE77" s="33"/>
      <c r="GF77" s="33"/>
      <c r="GG77" s="33"/>
      <c r="GH77" s="33"/>
      <c r="GI77" s="33"/>
      <c r="GJ77" s="33"/>
      <c r="GK77" s="33"/>
      <c r="GL77" s="607"/>
      <c r="GM77" s="16"/>
      <c r="GN77" s="16"/>
      <c r="GO77" s="16"/>
      <c r="GP77" s="16"/>
      <c r="GQ77" s="16"/>
      <c r="GR77" s="178"/>
    </row>
  </sheetData>
  <sheetProtection formatCells="0" formatColumns="0" formatRows="0" insertColumns="0" insertRows="0" insertHyperlinks="0" deleteColumns="0" deleteRows="0" sort="0" autoFilter="0" pivotTables="0"/>
  <autoFilter ref="A6:GR9" xr:uid="{E43A9B7B-AF38-4216-BF32-4240C902DBBB}"/>
  <dataConsolidate/>
  <mergeCells count="20">
    <mergeCell ref="T2:AE2"/>
    <mergeCell ref="GM5:GR5"/>
    <mergeCell ref="DC5:DF5"/>
    <mergeCell ref="DS5:DV5"/>
    <mergeCell ref="DW5:DZ5"/>
    <mergeCell ref="EA5:ED5"/>
    <mergeCell ref="EE5:EH5"/>
    <mergeCell ref="FK5:FM5"/>
    <mergeCell ref="CY5:DB5"/>
    <mergeCell ref="BO5:BR5"/>
    <mergeCell ref="BS5:BV5"/>
    <mergeCell ref="BW5:BZ5"/>
    <mergeCell ref="CA5:CD5"/>
    <mergeCell ref="CQ5:CT5"/>
    <mergeCell ref="CU5:CX5"/>
    <mergeCell ref="C3:C4"/>
    <mergeCell ref="AM5:AP5"/>
    <mergeCell ref="AQ5:AT5"/>
    <mergeCell ref="AU5:AX5"/>
    <mergeCell ref="AY5:BB5"/>
  </mergeCells>
  <phoneticPr fontId="37" type="noConversion"/>
  <conditionalFormatting sqref="CH7:CH9 BF7:BF9">
    <cfRule type="expression" dxfId="161" priority="205">
      <formula>AL7="Annual"</formula>
    </cfRule>
  </conditionalFormatting>
  <conditionalFormatting sqref="DJ7:DJ9">
    <cfRule type="expression" dxfId="160" priority="203">
      <formula>BV7="Annual"</formula>
    </cfRule>
  </conditionalFormatting>
  <conditionalFormatting sqref="EL9">
    <cfRule type="expression" dxfId="159" priority="202">
      <formula>CP9="Annual"</formula>
    </cfRule>
  </conditionalFormatting>
  <conditionalFormatting sqref="FF7:FI9">
    <cfRule type="cellIs" dxfId="158" priority="88" operator="lessThan">
      <formula>0</formula>
    </cfRule>
  </conditionalFormatting>
  <conditionalFormatting sqref="EL7">
    <cfRule type="expression" dxfId="157" priority="2">
      <formula>CX7="Annual"</formula>
    </cfRule>
  </conditionalFormatting>
  <conditionalFormatting sqref="EL8">
    <cfRule type="expression" dxfId="156" priority="1">
      <formula>CX8="Annual"</formula>
    </cfRule>
  </conditionalFormatting>
  <dataValidations count="6">
    <dataValidation type="list" allowBlank="1" showInputMessage="1" showErrorMessage="1" sqref="O10:R1048576" xr:uid="{5F850640-8981-48E5-B364-AC9AE9CC1A2D}">
      <formula1>$O$3:$Q$3</formula1>
    </dataValidation>
    <dataValidation type="list" allowBlank="1" showInputMessage="1" showErrorMessage="1" sqref="H64:H75 H10:H62" xr:uid="{AF0A81B2-09CB-44D6-8927-50BADAAA29D8}">
      <formula1>$H$64:$H$75</formula1>
    </dataValidation>
    <dataValidation type="list" allowBlank="1" showInputMessage="1" showErrorMessage="1" sqref="AU4" xr:uid="{A7F1EA23-4416-47C4-9D6F-6CC3D2F9ABA0}">
      <formula1>"Before AR Adjustment,After AR Adjustment"</formula1>
    </dataValidation>
    <dataValidation type="list" allowBlank="1" showInputMessage="1" showErrorMessage="1" sqref="B3" xr:uid="{29FA1F44-EAAC-4612-89D8-B634F428B12D}">
      <formula1>"1,2,3,4"</formula1>
    </dataValidation>
    <dataValidation type="list" allowBlank="1" showInputMessage="1" showErrorMessage="1" sqref="B4" xr:uid="{A6DB480B-6172-48F0-8014-8F3C6E9ACDDF}">
      <formula1>$T$6:$AE$6</formula1>
    </dataValidation>
    <dataValidation type="whole" allowBlank="1" showInputMessage="1" showErrorMessage="1" sqref="O7:R9" xr:uid="{C963B6BA-465E-4E0E-A7DF-360E20E87C3B}">
      <formula1>0</formula1>
      <formula2>3</formula2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2" filterMode="1">
    <tabColor theme="1"/>
    <pageSetUpPr autoPageBreaks="0"/>
  </sheetPr>
  <dimension ref="A1:GY267"/>
  <sheetViews>
    <sheetView showGridLines="0" topLeftCell="F1" zoomScaleNormal="100" workbookViewId="0">
      <pane xSplit="9" ySplit="5" topLeftCell="CK6" activePane="bottomRight" state="frozen"/>
      <selection activeCell="F1" sqref="F1"/>
      <selection pane="topRight" activeCell="O1" sqref="O1"/>
      <selection pane="bottomLeft" activeCell="F6" sqref="F6"/>
      <selection pane="bottomRight" activeCell="CQ212" sqref="CQ212"/>
    </sheetView>
  </sheetViews>
  <sheetFormatPr defaultColWidth="9.109375" defaultRowHeight="14.4" outlineLevelCol="2"/>
  <cols>
    <col min="1" max="1" width="23.33203125" style="16" hidden="1" customWidth="1" outlineLevel="1"/>
    <col min="2" max="2" width="9.33203125" style="16" hidden="1" customWidth="1" outlineLevel="1"/>
    <col min="3" max="3" width="9" style="17" hidden="1" customWidth="1" outlineLevel="1"/>
    <col min="4" max="4" width="9.6640625" style="17" hidden="1" customWidth="1" outlineLevel="1"/>
    <col min="5" max="5" width="25.6640625" style="17" hidden="1" customWidth="1" outlineLevel="1"/>
    <col min="6" max="6" width="23.77734375" style="17" bestFit="1" customWidth="1" collapsed="1"/>
    <col min="7" max="7" width="4.33203125" style="17" customWidth="1"/>
    <col min="8" max="8" width="12" style="16" customWidth="1" outlineLevel="1"/>
    <col min="9" max="9" width="26.77734375" style="22" customWidth="1"/>
    <col min="10" max="10" width="8.77734375" style="17" customWidth="1"/>
    <col min="11" max="11" width="8.21875" style="17" customWidth="1"/>
    <col min="12" max="12" width="16.77734375" style="17" hidden="1" customWidth="1"/>
    <col min="13" max="13" width="17" style="17" hidden="1" customWidth="1"/>
    <col min="14" max="14" width="21.33203125" style="22" hidden="1" customWidth="1"/>
    <col min="15" max="16" width="11.33203125" style="16" customWidth="1"/>
    <col min="17" max="17" width="10.33203125" style="23" customWidth="1"/>
    <col min="18" max="18" width="8.33203125" style="23" customWidth="1"/>
    <col min="19" max="19" width="10.33203125" style="23" customWidth="1"/>
    <col min="20" max="20" width="10.33203125" style="177" customWidth="1"/>
    <col min="21" max="22" width="11.77734375" style="22" customWidth="1"/>
    <col min="23" max="24" width="11.77734375" style="16" customWidth="1"/>
    <col min="25" max="25" width="29.44140625" style="372" bestFit="1" customWidth="1"/>
    <col min="26" max="26" width="11.6640625" style="370" hidden="1" customWidth="1" outlineLevel="1"/>
    <col min="27" max="38" width="13" style="372" hidden="1" customWidth="1" outlineLevel="1"/>
    <col min="39" max="39" width="15.6640625" style="372" hidden="1" customWidth="1" outlineLevel="1"/>
    <col min="40" max="40" width="20.44140625" style="372" hidden="1" customWidth="1" outlineLevel="1" collapsed="1"/>
    <col min="41" max="41" width="22.88671875" style="372" bestFit="1" customWidth="1" collapsed="1"/>
    <col min="42" max="42" width="39.109375" style="372" bestFit="1" customWidth="1"/>
    <col min="43" max="43" width="10.109375" style="26" customWidth="1"/>
    <col min="44" max="44" width="11.6640625" style="16" customWidth="1"/>
    <col min="45" max="45" width="12" style="16" customWidth="1"/>
    <col min="46" max="46" width="13" style="25" customWidth="1" outlineLevel="1"/>
    <col min="47" max="47" width="13.33203125" style="25" customWidth="1" outlineLevel="1"/>
    <col min="48" max="49" width="13.77734375" style="25" customWidth="1" outlineLevel="1"/>
    <col min="50" max="50" width="13.33203125" style="16" customWidth="1" outlineLevel="1"/>
    <col min="51" max="51" width="12.77734375" style="16" customWidth="1" outlineLevel="1"/>
    <col min="52" max="52" width="13.44140625" style="16" customWidth="1" outlineLevel="1"/>
    <col min="53" max="53" width="12.44140625" style="16" customWidth="1" outlineLevel="1"/>
    <col min="54" max="56" width="11.6640625" style="16" hidden="1" customWidth="1" outlineLevel="2"/>
    <col min="57" max="57" width="10.77734375" style="16" hidden="1" customWidth="1" outlineLevel="2"/>
    <col min="58" max="58" width="12.109375" style="16" customWidth="1" outlineLevel="1" collapsed="1"/>
    <col min="59" max="59" width="13" style="15" customWidth="1" outlineLevel="1"/>
    <col min="60" max="60" width="11.109375" style="27" customWidth="1" outlineLevel="1"/>
    <col min="61" max="61" width="11.109375" style="28" customWidth="1" outlineLevel="1"/>
    <col min="62" max="63" width="13.6640625" style="16" customWidth="1" outlineLevel="1"/>
    <col min="64" max="64" width="16.33203125" style="16" customWidth="1" outlineLevel="1"/>
    <col min="65" max="65" width="14.109375" style="16" customWidth="1" outlineLevel="1"/>
    <col min="66" max="66" width="16.33203125" style="16" customWidth="1" outlineLevel="1"/>
    <col min="67" max="67" width="16.6640625" style="16" customWidth="1" outlineLevel="1"/>
    <col min="68" max="68" width="16" style="16" customWidth="1" outlineLevel="1"/>
    <col min="69" max="69" width="19.109375" style="16" customWidth="1" outlineLevel="1"/>
    <col min="70" max="70" width="28.6640625" style="16" customWidth="1"/>
    <col min="71" max="71" width="12" style="27" customWidth="1"/>
    <col min="72" max="72" width="13.109375" style="16" customWidth="1"/>
    <col min="73" max="73" width="11.109375" style="16" customWidth="1"/>
    <col min="74" max="77" width="11.77734375" style="16" customWidth="1" outlineLevel="1"/>
    <col min="78" max="79" width="11.6640625" style="16" customWidth="1" outlineLevel="1"/>
    <col min="80" max="80" width="11.6640625" style="25" customWidth="1" outlineLevel="1"/>
    <col min="81" max="81" width="11.6640625" style="16" customWidth="1" outlineLevel="1"/>
    <col min="82" max="85" width="10.77734375" style="16" hidden="1" customWidth="1" outlineLevel="2"/>
    <col min="86" max="86" width="12.109375" style="25" customWidth="1" outlineLevel="1" collapsed="1"/>
    <col min="87" max="87" width="11.88671875" style="16" customWidth="1" outlineLevel="1"/>
    <col min="88" max="89" width="10.33203125" style="16" customWidth="1" outlineLevel="1"/>
    <col min="90" max="90" width="15" style="16" customWidth="1" outlineLevel="1"/>
    <col min="91" max="92" width="14.33203125" style="16" customWidth="1" outlineLevel="1"/>
    <col min="93" max="93" width="11.33203125" style="16" customWidth="1" outlineLevel="1"/>
    <col min="94" max="94" width="13.109375" style="16" customWidth="1" outlineLevel="1"/>
    <col min="95" max="96" width="12.6640625" style="16" customWidth="1" outlineLevel="1"/>
    <col min="97" max="97" width="15.6640625" style="16" customWidth="1" outlineLevel="1"/>
    <col min="98" max="98" width="31.77734375" style="16" customWidth="1"/>
    <col min="99" max="99" width="8.6640625" style="16" customWidth="1"/>
    <col min="100" max="100" width="9.109375" style="16" customWidth="1"/>
    <col min="101" max="101" width="9.6640625" style="16" customWidth="1"/>
    <col min="102" max="102" width="11.77734375" style="16" customWidth="1" outlineLevel="1"/>
    <col min="103" max="105" width="12.6640625" style="16" customWidth="1" outlineLevel="1"/>
    <col min="106" max="107" width="11.77734375" style="16" customWidth="1" outlineLevel="1"/>
    <col min="108" max="108" width="12.88671875" style="16" customWidth="1" outlineLevel="1"/>
    <col min="109" max="109" width="12.77734375" style="16" customWidth="1" outlineLevel="1"/>
    <col min="110" max="113" width="10.77734375" style="16" customWidth="1" outlineLevel="2"/>
    <col min="114" max="114" width="11.88671875" style="16" customWidth="1" outlineLevel="1"/>
    <col min="115" max="115" width="11.33203125" style="16" customWidth="1" outlineLevel="1"/>
    <col min="116" max="117" width="10.77734375" style="16" customWidth="1" outlineLevel="1"/>
    <col min="118" max="119" width="20" style="16" customWidth="1" outlineLevel="1"/>
    <col min="120" max="121" width="15.6640625" style="16" customWidth="1" outlineLevel="1"/>
    <col min="122" max="122" width="13.109375" style="16" customWidth="1" outlineLevel="1"/>
    <col min="123" max="124" width="12.6640625" style="16" customWidth="1" outlineLevel="1"/>
    <col min="125" max="125" width="14.6640625" style="16" customWidth="1" outlineLevel="1"/>
    <col min="126" max="126" width="23.33203125" style="16" customWidth="1"/>
    <col min="127" max="127" width="8.6640625" style="16" customWidth="1"/>
    <col min="128" max="128" width="9.109375" style="16" customWidth="1"/>
    <col min="129" max="129" width="15.109375" style="16" customWidth="1"/>
    <col min="130" max="135" width="11.21875" style="16" customWidth="1"/>
    <col min="136" max="136" width="10.77734375" style="16" customWidth="1"/>
    <col min="137" max="137" width="12.109375" style="16" customWidth="1"/>
    <col min="138" max="141" width="10.77734375" style="16" customWidth="1" outlineLevel="1"/>
    <col min="142" max="143" width="11.33203125" style="16" customWidth="1"/>
    <col min="144" max="145" width="10.77734375" style="16" customWidth="1"/>
    <col min="146" max="146" width="12.6640625" style="16" customWidth="1"/>
    <col min="147" max="147" width="13" style="16" customWidth="1"/>
    <col min="148" max="148" width="12.6640625" style="16" customWidth="1"/>
    <col min="149" max="149" width="16.6640625" style="16" customWidth="1"/>
    <col min="150" max="150" width="14.6640625" style="16" customWidth="1"/>
    <col min="151" max="151" width="19.77734375" style="16" customWidth="1"/>
    <col min="152" max="152" width="12.6640625" style="16" customWidth="1"/>
    <col min="153" max="153" width="18.33203125" style="16" customWidth="1"/>
    <col min="154" max="154" width="22" style="25" customWidth="1"/>
    <col min="155" max="155" width="22" style="16" customWidth="1"/>
    <col min="156" max="157" width="14.109375" style="16" customWidth="1"/>
    <col min="158" max="159" width="15.109375" style="16" customWidth="1"/>
    <col min="160" max="161" width="17.6640625" style="16" customWidth="1"/>
    <col min="162" max="166" width="16.6640625" style="15" customWidth="1" outlineLevel="1"/>
    <col min="167" max="167" width="21.6640625" style="16" customWidth="1" outlineLevel="1"/>
    <col min="168" max="172" width="16.6640625" style="15" customWidth="1" outlineLevel="1"/>
    <col min="173" max="173" width="20.6640625" style="16" customWidth="1"/>
    <col min="174" max="174" width="22.77734375" style="16" customWidth="1"/>
    <col min="175" max="175" width="20.6640625" style="16" customWidth="1"/>
    <col min="176" max="176" width="22.6640625" style="33" customWidth="1" outlineLevel="1"/>
    <col min="177" max="177" width="18.77734375" style="361" customWidth="1"/>
    <col min="178" max="178" width="19.6640625" style="33" customWidth="1" outlineLevel="1"/>
    <col min="179" max="182" width="11.6640625" style="33" customWidth="1" outlineLevel="1"/>
    <col min="183" max="183" width="14.33203125" style="33" customWidth="1" outlineLevel="1"/>
    <col min="184" max="184" width="11.33203125" style="33" customWidth="1" outlineLevel="1"/>
    <col min="185" max="187" width="10" style="33" customWidth="1" outlineLevel="1"/>
    <col min="188" max="188" width="13.33203125" style="33" customWidth="1" outlineLevel="1"/>
    <col min="189" max="189" width="14.33203125" style="33" customWidth="1" outlineLevel="1"/>
    <col min="190" max="193" width="14.6640625" style="33" customWidth="1" outlineLevel="1"/>
    <col min="194" max="194" width="12.77734375" style="33" customWidth="1" outlineLevel="1"/>
    <col min="195" max="199" width="11.6640625" style="33" customWidth="1" outlineLevel="1"/>
    <col min="200" max="200" width="8.33203125" customWidth="1"/>
    <col min="201" max="201" width="14.33203125" style="30" customWidth="1"/>
    <col min="202" max="202" width="13" style="30" customWidth="1"/>
    <col min="203" max="203" width="16.6640625" style="31" customWidth="1"/>
    <col min="204" max="205" width="21.109375" style="31" customWidth="1"/>
    <col min="206" max="206" width="17" style="179" customWidth="1"/>
    <col min="207" max="207" width="9.109375" style="15"/>
    <col min="208" max="16384" width="9.109375" style="16"/>
  </cols>
  <sheetData>
    <row r="1" spans="1:207" s="1" customFormat="1">
      <c r="C1" s="2"/>
      <c r="D1" s="2"/>
      <c r="E1" s="2"/>
      <c r="F1" s="2"/>
      <c r="G1" s="3" t="s">
        <v>0</v>
      </c>
      <c r="H1" s="4" t="s">
        <v>0</v>
      </c>
      <c r="I1" s="5" t="s">
        <v>0</v>
      </c>
      <c r="J1" s="3" t="s">
        <v>0</v>
      </c>
      <c r="K1" s="3"/>
      <c r="L1" s="3" t="s">
        <v>0</v>
      </c>
      <c r="M1" s="3" t="s">
        <v>0</v>
      </c>
      <c r="N1" s="3" t="s">
        <v>1</v>
      </c>
      <c r="O1" s="5" t="s">
        <v>0</v>
      </c>
      <c r="P1" s="5" t="s">
        <v>0</v>
      </c>
      <c r="Q1" s="6" t="s">
        <v>0</v>
      </c>
      <c r="R1" s="6" t="s">
        <v>0</v>
      </c>
      <c r="S1" s="6" t="s">
        <v>0</v>
      </c>
      <c r="T1" s="5" t="s">
        <v>0</v>
      </c>
      <c r="U1" s="5" t="s">
        <v>0</v>
      </c>
      <c r="V1" s="5" t="s">
        <v>2</v>
      </c>
      <c r="W1" s="5" t="s">
        <v>2</v>
      </c>
      <c r="X1" s="5" t="s">
        <v>2</v>
      </c>
      <c r="Y1" s="368" t="s">
        <v>2</v>
      </c>
      <c r="Z1" s="368" t="s">
        <v>0</v>
      </c>
      <c r="AA1" s="368" t="s">
        <v>0</v>
      </c>
      <c r="AB1" s="368" t="s">
        <v>0</v>
      </c>
      <c r="AC1" s="368" t="s">
        <v>0</v>
      </c>
      <c r="AD1" s="368" t="s">
        <v>0</v>
      </c>
      <c r="AE1" s="368" t="s">
        <v>0</v>
      </c>
      <c r="AF1" s="368" t="s">
        <v>0</v>
      </c>
      <c r="AG1" s="368" t="s">
        <v>0</v>
      </c>
      <c r="AH1" s="368" t="s">
        <v>0</v>
      </c>
      <c r="AI1" s="368" t="s">
        <v>0</v>
      </c>
      <c r="AJ1" s="368" t="s">
        <v>0</v>
      </c>
      <c r="AK1" s="368" t="s">
        <v>0</v>
      </c>
      <c r="AL1" s="368" t="s">
        <v>0</v>
      </c>
      <c r="AM1" s="369"/>
      <c r="AN1" s="369"/>
      <c r="AO1" s="368" t="s">
        <v>0</v>
      </c>
      <c r="AP1" s="369"/>
      <c r="AQ1" s="7"/>
      <c r="AR1" s="8"/>
      <c r="AS1" s="8"/>
      <c r="AT1" s="9"/>
      <c r="AU1" s="9"/>
      <c r="AV1" s="9"/>
      <c r="AW1" s="9"/>
      <c r="AX1" s="5" t="s">
        <v>2</v>
      </c>
      <c r="AY1" s="5" t="s">
        <v>2</v>
      </c>
      <c r="AZ1" s="5" t="s">
        <v>768</v>
      </c>
      <c r="BA1" s="5" t="s">
        <v>2</v>
      </c>
      <c r="BB1" s="5" t="s">
        <v>2</v>
      </c>
      <c r="BC1" s="5" t="s">
        <v>2</v>
      </c>
      <c r="BD1" s="5" t="s">
        <v>2</v>
      </c>
      <c r="BE1" s="5" t="s">
        <v>2</v>
      </c>
      <c r="BH1" s="10"/>
      <c r="BI1" s="11"/>
      <c r="BS1" s="10"/>
      <c r="BZ1" s="5" t="s">
        <v>2</v>
      </c>
      <c r="CA1" s="5" t="s">
        <v>2</v>
      </c>
      <c r="CB1" s="5" t="s">
        <v>2</v>
      </c>
      <c r="CC1" s="5" t="s">
        <v>2</v>
      </c>
      <c r="CD1" s="5" t="s">
        <v>2</v>
      </c>
      <c r="CE1" s="5" t="s">
        <v>2</v>
      </c>
      <c r="CF1" s="5" t="s">
        <v>2</v>
      </c>
      <c r="CG1" s="5" t="s">
        <v>2</v>
      </c>
      <c r="CH1" s="9"/>
      <c r="DB1" s="5" t="s">
        <v>2</v>
      </c>
      <c r="DC1" s="5" t="s">
        <v>2</v>
      </c>
      <c r="DD1" s="5" t="s">
        <v>2</v>
      </c>
      <c r="DE1" s="5" t="s">
        <v>2</v>
      </c>
      <c r="DF1" s="5" t="s">
        <v>2</v>
      </c>
      <c r="DG1" s="5" t="s">
        <v>2</v>
      </c>
      <c r="DH1" s="5" t="s">
        <v>2</v>
      </c>
      <c r="DI1" s="5" t="s">
        <v>2</v>
      </c>
      <c r="ED1" s="5" t="s">
        <v>2</v>
      </c>
      <c r="EE1" s="5" t="s">
        <v>2</v>
      </c>
      <c r="EF1" s="5" t="s">
        <v>2</v>
      </c>
      <c r="EG1" s="5" t="s">
        <v>2</v>
      </c>
      <c r="EH1" s="5" t="s">
        <v>2</v>
      </c>
      <c r="EI1" s="5" t="s">
        <v>2</v>
      </c>
      <c r="EJ1" s="5" t="s">
        <v>2</v>
      </c>
      <c r="EK1" s="5" t="s">
        <v>2</v>
      </c>
      <c r="EX1" s="9"/>
      <c r="EZ1" s="1" t="s">
        <v>3</v>
      </c>
      <c r="FA1" s="1" t="s">
        <v>4</v>
      </c>
      <c r="FB1" s="1" t="s">
        <v>5</v>
      </c>
      <c r="FC1" s="1" t="s">
        <v>6</v>
      </c>
      <c r="FF1" s="1" t="s">
        <v>3</v>
      </c>
      <c r="FG1" s="1" t="s">
        <v>4</v>
      </c>
      <c r="FH1" s="1" t="s">
        <v>5</v>
      </c>
      <c r="FI1" s="1" t="s">
        <v>6</v>
      </c>
      <c r="FL1" s="1" t="s">
        <v>3</v>
      </c>
      <c r="FM1" s="1" t="s">
        <v>4</v>
      </c>
      <c r="FN1" s="1" t="s">
        <v>5</v>
      </c>
      <c r="FO1" s="1" t="s">
        <v>6</v>
      </c>
      <c r="FQ1" s="1" t="s">
        <v>4</v>
      </c>
      <c r="FR1" s="1" t="s">
        <v>5</v>
      </c>
      <c r="FS1" s="1" t="s">
        <v>6</v>
      </c>
      <c r="FU1" s="360"/>
      <c r="GR1"/>
      <c r="GS1" s="12"/>
      <c r="GT1" s="12"/>
      <c r="GU1" s="13"/>
      <c r="GV1" s="13"/>
      <c r="GW1" s="13"/>
      <c r="GX1" s="14" t="s">
        <v>7</v>
      </c>
      <c r="GY1" s="15"/>
    </row>
    <row r="2" spans="1:207" ht="19.5" customHeight="1">
      <c r="G2" s="18" t="s">
        <v>8</v>
      </c>
      <c r="H2" s="19">
        <v>4</v>
      </c>
      <c r="I2" s="736" t="s">
        <v>9</v>
      </c>
      <c r="J2" s="20"/>
      <c r="K2" s="20"/>
      <c r="L2" s="21"/>
      <c r="M2" s="21"/>
      <c r="Q2" s="155">
        <v>43466</v>
      </c>
      <c r="T2" s="22"/>
      <c r="V2" s="24">
        <v>1</v>
      </c>
      <c r="W2" s="24">
        <v>2</v>
      </c>
      <c r="X2" s="24">
        <v>3</v>
      </c>
      <c r="AA2" s="371">
        <v>22</v>
      </c>
      <c r="AB2" s="371">
        <v>17</v>
      </c>
      <c r="AC2" s="371">
        <v>20</v>
      </c>
      <c r="AD2" s="371">
        <v>22</v>
      </c>
      <c r="AE2" s="371">
        <v>22</v>
      </c>
      <c r="AF2" s="371">
        <v>19</v>
      </c>
      <c r="AG2" s="371">
        <v>23</v>
      </c>
      <c r="AH2" s="371">
        <v>21</v>
      </c>
      <c r="AI2" s="371">
        <v>19</v>
      </c>
      <c r="AJ2" s="371">
        <v>21</v>
      </c>
      <c r="AK2" s="371">
        <v>21</v>
      </c>
      <c r="AL2" s="371">
        <v>21</v>
      </c>
      <c r="AN2" s="373"/>
      <c r="AO2" s="373"/>
      <c r="AT2" s="398">
        <v>3</v>
      </c>
      <c r="AU2" s="398">
        <v>3</v>
      </c>
      <c r="AV2" s="401">
        <v>3</v>
      </c>
      <c r="AW2" s="401">
        <v>3</v>
      </c>
      <c r="AX2" s="400">
        <v>3</v>
      </c>
      <c r="AY2" s="400">
        <v>3</v>
      </c>
      <c r="AZ2" s="400">
        <v>3</v>
      </c>
      <c r="BA2" s="16">
        <v>3</v>
      </c>
      <c r="BR2" s="25">
        <f>780880-315878</f>
        <v>465002</v>
      </c>
      <c r="BV2" s="400">
        <v>4</v>
      </c>
      <c r="BW2" s="400">
        <v>4</v>
      </c>
      <c r="BX2" s="399">
        <v>4</v>
      </c>
      <c r="BY2" s="399">
        <v>4</v>
      </c>
      <c r="BZ2" s="400">
        <v>4</v>
      </c>
      <c r="CA2" s="400">
        <v>4</v>
      </c>
      <c r="CB2" s="398">
        <v>4</v>
      </c>
      <c r="CC2" s="16">
        <v>4</v>
      </c>
      <c r="CI2" s="29"/>
      <c r="CX2" s="400">
        <v>5</v>
      </c>
      <c r="CY2" s="400">
        <v>5</v>
      </c>
      <c r="CZ2" s="400">
        <v>5</v>
      </c>
      <c r="DA2" s="400">
        <v>5</v>
      </c>
      <c r="DB2" s="400">
        <v>5</v>
      </c>
      <c r="DC2" s="400">
        <v>5</v>
      </c>
      <c r="DD2" s="400">
        <v>5</v>
      </c>
      <c r="DE2" s="16">
        <v>5</v>
      </c>
      <c r="DZ2" s="400">
        <v>6</v>
      </c>
      <c r="EA2" s="400">
        <v>6</v>
      </c>
      <c r="EB2" s="400">
        <v>6</v>
      </c>
      <c r="EC2" s="400">
        <v>6</v>
      </c>
      <c r="ED2" s="400">
        <v>6</v>
      </c>
      <c r="EE2" s="400">
        <v>6</v>
      </c>
      <c r="EF2" s="400">
        <v>6</v>
      </c>
      <c r="EG2" s="16">
        <v>6</v>
      </c>
      <c r="FF2" s="16"/>
      <c r="FG2" s="16"/>
      <c r="FH2" s="16"/>
      <c r="FI2" s="16"/>
      <c r="FJ2" s="16"/>
      <c r="FL2" s="16"/>
      <c r="FM2" s="16"/>
      <c r="FN2" s="16"/>
      <c r="FO2" s="16"/>
      <c r="FP2" s="16"/>
      <c r="FQ2" s="14"/>
      <c r="FT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X2" s="32"/>
    </row>
    <row r="3" spans="1:207" ht="18" customHeight="1">
      <c r="A3" s="33"/>
      <c r="C3" s="17" t="s">
        <v>10</v>
      </c>
      <c r="G3" s="18" t="s">
        <v>11</v>
      </c>
      <c r="H3" s="34" t="s">
        <v>81</v>
      </c>
      <c r="I3" s="736"/>
      <c r="J3" s="35" t="s">
        <v>13</v>
      </c>
      <c r="K3" s="35"/>
      <c r="L3" s="36"/>
      <c r="M3" s="36"/>
      <c r="N3" s="37"/>
      <c r="O3" s="37"/>
      <c r="P3" s="37"/>
      <c r="Q3" s="38"/>
      <c r="R3" s="38"/>
      <c r="S3" s="38"/>
      <c r="T3" s="39"/>
      <c r="U3" s="39"/>
      <c r="V3" s="39"/>
      <c r="W3" s="37"/>
      <c r="X3" s="37"/>
      <c r="Y3" s="378"/>
      <c r="Z3" s="374" t="s">
        <v>14</v>
      </c>
      <c r="AA3" s="375">
        <v>43481</v>
      </c>
      <c r="AB3" s="375">
        <v>43517</v>
      </c>
      <c r="AC3" s="375">
        <v>43540</v>
      </c>
      <c r="AD3" s="375">
        <v>43568</v>
      </c>
      <c r="AE3" s="375">
        <v>43606</v>
      </c>
      <c r="AF3" s="375">
        <v>43634</v>
      </c>
      <c r="AG3" s="375">
        <v>43659</v>
      </c>
      <c r="AH3" s="375">
        <v>43697</v>
      </c>
      <c r="AI3" s="375">
        <v>43726</v>
      </c>
      <c r="AJ3" s="375">
        <v>43754</v>
      </c>
      <c r="AK3" s="375">
        <v>43785</v>
      </c>
      <c r="AL3" s="375">
        <v>43813</v>
      </c>
      <c r="AM3" s="376"/>
      <c r="AN3" s="377"/>
      <c r="AO3" s="378"/>
      <c r="AP3" s="494" t="s">
        <v>15</v>
      </c>
      <c r="AQ3" s="42"/>
      <c r="AR3" s="37"/>
      <c r="AS3" s="37"/>
      <c r="AT3" s="43"/>
      <c r="AU3" s="43"/>
      <c r="AV3" s="43"/>
      <c r="AW3" s="43"/>
      <c r="AX3" s="43"/>
      <c r="AY3" s="43"/>
      <c r="AZ3" s="37"/>
      <c r="BA3" s="37"/>
      <c r="BB3" s="44" t="s">
        <v>16</v>
      </c>
      <c r="BC3" s="45"/>
      <c r="BD3" s="37"/>
      <c r="BE3" s="37"/>
      <c r="BF3" s="43"/>
      <c r="BG3" s="43"/>
      <c r="BH3" s="46"/>
      <c r="BI3" s="47"/>
      <c r="BJ3" s="37"/>
      <c r="BK3" s="37"/>
      <c r="BL3" s="37"/>
      <c r="BM3" s="46"/>
      <c r="BN3" s="40"/>
      <c r="BO3" s="40"/>
      <c r="BP3" s="37"/>
      <c r="BQ3" s="37"/>
      <c r="BR3" s="41" t="s">
        <v>17</v>
      </c>
      <c r="BS3" s="46"/>
      <c r="BT3" s="37"/>
      <c r="BU3" s="37"/>
      <c r="BV3" s="37"/>
      <c r="BW3" s="37"/>
      <c r="BX3" s="43"/>
      <c r="BY3" s="43"/>
      <c r="BZ3" s="37"/>
      <c r="CA3" s="37"/>
      <c r="CB3" s="43"/>
      <c r="CC3" s="37"/>
      <c r="CD3" s="37"/>
      <c r="CE3" s="37"/>
      <c r="CF3" s="37"/>
      <c r="CG3" s="37"/>
      <c r="CH3" s="43"/>
      <c r="CI3" s="37"/>
      <c r="CJ3" s="37"/>
      <c r="CK3" s="37"/>
      <c r="CL3" s="37"/>
      <c r="CM3" s="37"/>
      <c r="CN3" s="37"/>
      <c r="CO3" s="37"/>
      <c r="CP3" s="40"/>
      <c r="CQ3" s="40"/>
      <c r="CR3" s="37"/>
      <c r="CS3" s="40"/>
      <c r="CT3" s="41" t="s">
        <v>18</v>
      </c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41" t="s">
        <v>19</v>
      </c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48" t="s">
        <v>20</v>
      </c>
      <c r="EY3" s="37"/>
      <c r="EZ3" s="48" t="s">
        <v>21</v>
      </c>
      <c r="FA3" s="37"/>
      <c r="FB3" s="37"/>
      <c r="FC3" s="37"/>
      <c r="FD3" s="37"/>
      <c r="FE3" s="37"/>
      <c r="FF3" s="48" t="s">
        <v>22</v>
      </c>
      <c r="FG3" s="49"/>
      <c r="FH3" s="49"/>
      <c r="FI3" s="49"/>
      <c r="FJ3" s="49"/>
      <c r="FK3" s="37"/>
      <c r="FL3" s="48" t="s">
        <v>23</v>
      </c>
      <c r="FM3" s="49"/>
      <c r="FN3" s="49"/>
      <c r="FO3" s="49"/>
      <c r="FP3" s="49"/>
      <c r="FQ3" s="48" t="s">
        <v>24</v>
      </c>
      <c r="FR3" s="50"/>
      <c r="FS3" s="37"/>
      <c r="FT3" s="37"/>
      <c r="FU3" s="362"/>
      <c r="FV3" s="37"/>
      <c r="FW3" s="49" t="s">
        <v>25</v>
      </c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S3" s="51" t="s">
        <v>26</v>
      </c>
      <c r="GT3" s="51"/>
      <c r="GU3" s="52"/>
      <c r="GV3" s="52"/>
      <c r="GW3" s="52"/>
      <c r="GX3" s="53"/>
    </row>
    <row r="4" spans="1:207" s="55" customFormat="1" ht="58.65" customHeight="1">
      <c r="A4" s="54"/>
      <c r="C4" s="56"/>
      <c r="D4" s="56"/>
      <c r="E4" s="56"/>
      <c r="F4" s="56"/>
      <c r="G4" s="57"/>
      <c r="H4" s="58" t="s">
        <v>27</v>
      </c>
      <c r="I4" s="59"/>
      <c r="J4" s="60"/>
      <c r="K4" s="60"/>
      <c r="L4" s="60"/>
      <c r="M4" s="60"/>
      <c r="N4" s="59"/>
      <c r="O4" s="59"/>
      <c r="P4" s="59"/>
      <c r="Q4" s="61"/>
      <c r="R4" s="61"/>
      <c r="S4" s="61"/>
      <c r="T4" s="59"/>
      <c r="U4" s="59"/>
      <c r="V4" s="489" t="s">
        <v>28</v>
      </c>
      <c r="W4" s="489"/>
      <c r="X4" s="489"/>
      <c r="Y4" s="490"/>
      <c r="Z4" s="379" t="s">
        <v>29</v>
      </c>
      <c r="AA4" s="379"/>
      <c r="AB4" s="379"/>
      <c r="AC4" s="379"/>
      <c r="AD4" s="379"/>
      <c r="AE4" s="379"/>
      <c r="AF4" s="379"/>
      <c r="AG4" s="379"/>
      <c r="AH4" s="379"/>
      <c r="AI4" s="379"/>
      <c r="AJ4" s="379"/>
      <c r="AK4" s="379"/>
      <c r="AL4" s="379"/>
      <c r="AM4" s="380"/>
      <c r="AN4" s="380"/>
      <c r="AO4" s="380"/>
      <c r="AP4" s="495"/>
      <c r="AQ4" s="62"/>
      <c r="AR4" s="59"/>
      <c r="AS4" s="59"/>
      <c r="AT4" s="732" t="s">
        <v>30</v>
      </c>
      <c r="AU4" s="732"/>
      <c r="AV4" s="732"/>
      <c r="AW4" s="732"/>
      <c r="AX4" s="733" t="s">
        <v>31</v>
      </c>
      <c r="AY4" s="733"/>
      <c r="AZ4" s="733"/>
      <c r="BA4" s="733"/>
      <c r="BB4" s="734" t="s">
        <v>32</v>
      </c>
      <c r="BC4" s="734"/>
      <c r="BD4" s="734"/>
      <c r="BE4" s="734"/>
      <c r="BF4" s="728" t="s">
        <v>33</v>
      </c>
      <c r="BG4" s="729"/>
      <c r="BH4" s="730"/>
      <c r="BI4" s="731"/>
      <c r="BJ4" s="59"/>
      <c r="BK4" s="59"/>
      <c r="BL4" s="59"/>
      <c r="BM4" s="59"/>
      <c r="BN4" s="59"/>
      <c r="BO4" s="63"/>
      <c r="BP4" s="59"/>
      <c r="BQ4" s="63"/>
      <c r="BR4" s="59"/>
      <c r="BS4" s="59"/>
      <c r="BT4" s="59"/>
      <c r="BU4" s="59"/>
      <c r="BV4" s="732" t="s">
        <v>34</v>
      </c>
      <c r="BW4" s="732"/>
      <c r="BX4" s="732"/>
      <c r="BY4" s="732"/>
      <c r="BZ4" s="733" t="s">
        <v>35</v>
      </c>
      <c r="CA4" s="733"/>
      <c r="CB4" s="733"/>
      <c r="CC4" s="733"/>
      <c r="CD4" s="734" t="s">
        <v>32</v>
      </c>
      <c r="CE4" s="734"/>
      <c r="CF4" s="734"/>
      <c r="CG4" s="734"/>
      <c r="CH4" s="728" t="s">
        <v>33</v>
      </c>
      <c r="CI4" s="729"/>
      <c r="CJ4" s="730"/>
      <c r="CK4" s="731"/>
      <c r="CL4" s="59"/>
      <c r="CM4" s="59"/>
      <c r="CN4" s="59"/>
      <c r="CO4" s="59"/>
      <c r="CP4" s="59"/>
      <c r="CQ4" s="63"/>
      <c r="CR4" s="59"/>
      <c r="CS4" s="63"/>
      <c r="CT4" s="59"/>
      <c r="CU4" s="59"/>
      <c r="CV4" s="59"/>
      <c r="CW4" s="59"/>
      <c r="CX4" s="732" t="s">
        <v>36</v>
      </c>
      <c r="CY4" s="732"/>
      <c r="CZ4" s="732"/>
      <c r="DA4" s="732"/>
      <c r="DB4" s="733" t="s">
        <v>37</v>
      </c>
      <c r="DC4" s="733"/>
      <c r="DD4" s="733"/>
      <c r="DE4" s="733"/>
      <c r="DF4" s="734" t="s">
        <v>32</v>
      </c>
      <c r="DG4" s="734"/>
      <c r="DH4" s="734"/>
      <c r="DI4" s="734"/>
      <c r="DJ4" s="728" t="s">
        <v>33</v>
      </c>
      <c r="DK4" s="729"/>
      <c r="DL4" s="730"/>
      <c r="DM4" s="731"/>
      <c r="DN4" s="59"/>
      <c r="DO4" s="59"/>
      <c r="DP4" s="59"/>
      <c r="DQ4" s="59"/>
      <c r="DR4" s="59"/>
      <c r="DS4" s="63"/>
      <c r="DT4" s="59"/>
      <c r="DU4" s="63"/>
      <c r="DV4" s="59"/>
      <c r="DW4" s="59"/>
      <c r="DX4" s="59"/>
      <c r="DY4" s="59"/>
      <c r="DZ4" s="732" t="s">
        <v>38</v>
      </c>
      <c r="EA4" s="732"/>
      <c r="EB4" s="732"/>
      <c r="EC4" s="732"/>
      <c r="ED4" s="733" t="s">
        <v>39</v>
      </c>
      <c r="EE4" s="733"/>
      <c r="EF4" s="733"/>
      <c r="EG4" s="733"/>
      <c r="EH4" s="734" t="s">
        <v>32</v>
      </c>
      <c r="EI4" s="734"/>
      <c r="EJ4" s="734"/>
      <c r="EK4" s="734"/>
      <c r="EL4" s="728" t="s">
        <v>33</v>
      </c>
      <c r="EM4" s="729"/>
      <c r="EN4" s="730"/>
      <c r="EO4" s="731"/>
      <c r="EP4" s="59"/>
      <c r="EQ4" s="59"/>
      <c r="ER4" s="59"/>
      <c r="ES4" s="59"/>
      <c r="ET4" s="59"/>
      <c r="EU4" s="63"/>
      <c r="EV4" s="59"/>
      <c r="EW4" s="63"/>
      <c r="EX4" s="64" t="s">
        <v>40</v>
      </c>
      <c r="EY4" s="65" t="s">
        <v>41</v>
      </c>
      <c r="EZ4" s="66" t="s">
        <v>42</v>
      </c>
      <c r="FA4" s="66" t="s">
        <v>43</v>
      </c>
      <c r="FB4" s="66" t="s">
        <v>44</v>
      </c>
      <c r="FC4" s="66" t="s">
        <v>45</v>
      </c>
      <c r="FD4" s="67"/>
      <c r="FE4" s="67"/>
      <c r="FF4" s="68" t="s">
        <v>42</v>
      </c>
      <c r="FG4" s="68" t="s">
        <v>43</v>
      </c>
      <c r="FH4" s="68" t="s">
        <v>44</v>
      </c>
      <c r="FI4" s="68" t="s">
        <v>45</v>
      </c>
      <c r="FJ4" s="68"/>
      <c r="FK4" s="69"/>
      <c r="FL4" s="70" t="s">
        <v>42</v>
      </c>
      <c r="FM4" s="71" t="s">
        <v>43</v>
      </c>
      <c r="FN4" s="71" t="s">
        <v>44</v>
      </c>
      <c r="FO4" s="71" t="s">
        <v>45</v>
      </c>
      <c r="FP4" s="71"/>
      <c r="FQ4" s="735" t="s">
        <v>46</v>
      </c>
      <c r="FR4" s="735"/>
      <c r="FS4" s="735"/>
      <c r="FT4" s="72"/>
      <c r="FU4" s="363"/>
      <c r="FV4" s="73"/>
      <c r="FW4" s="74" t="s">
        <v>47</v>
      </c>
      <c r="FX4" s="75"/>
      <c r="FY4" s="75"/>
      <c r="FZ4" s="75"/>
      <c r="GA4" s="75"/>
      <c r="GB4" s="75"/>
      <c r="GC4" s="76"/>
      <c r="GD4" s="75"/>
      <c r="GE4" s="75"/>
      <c r="GF4" s="74"/>
      <c r="GG4" s="74"/>
      <c r="GH4" s="74"/>
      <c r="GI4" s="74"/>
      <c r="GJ4" s="74"/>
      <c r="GK4" s="74"/>
      <c r="GL4" s="75"/>
      <c r="GM4" s="75"/>
      <c r="GN4" s="75"/>
      <c r="GO4" s="75"/>
      <c r="GP4" s="75"/>
      <c r="GQ4" s="75"/>
      <c r="GR4"/>
      <c r="GS4" s="727" t="s">
        <v>48</v>
      </c>
      <c r="GT4" s="727"/>
      <c r="GU4" s="727"/>
      <c r="GV4" s="727"/>
      <c r="GW4" s="727"/>
      <c r="GX4" s="727"/>
      <c r="GY4" s="77"/>
    </row>
    <row r="5" spans="1:207" s="101" customFormat="1" ht="33" customHeight="1">
      <c r="A5" s="78" t="s">
        <v>49</v>
      </c>
      <c r="B5" s="79" t="s">
        <v>50</v>
      </c>
      <c r="C5" s="80" t="s">
        <v>51</v>
      </c>
      <c r="D5" s="80" t="s">
        <v>52</v>
      </c>
      <c r="E5" s="80" t="s">
        <v>53</v>
      </c>
      <c r="F5" s="80" t="s">
        <v>54</v>
      </c>
      <c r="G5" s="81" t="s">
        <v>55</v>
      </c>
      <c r="H5" s="82" t="s">
        <v>56</v>
      </c>
      <c r="I5" s="83" t="s">
        <v>57</v>
      </c>
      <c r="J5" s="81" t="s">
        <v>58</v>
      </c>
      <c r="K5" s="81" t="s">
        <v>59</v>
      </c>
      <c r="L5" s="81" t="s">
        <v>60</v>
      </c>
      <c r="M5" s="81" t="s">
        <v>61</v>
      </c>
      <c r="N5" s="84" t="s">
        <v>62</v>
      </c>
      <c r="O5" s="84" t="s">
        <v>63</v>
      </c>
      <c r="P5" s="84" t="s">
        <v>64</v>
      </c>
      <c r="Q5" s="85" t="s">
        <v>654</v>
      </c>
      <c r="R5" s="85" t="s">
        <v>655</v>
      </c>
      <c r="S5" s="85" t="s">
        <v>65</v>
      </c>
      <c r="T5" s="84" t="s">
        <v>66</v>
      </c>
      <c r="U5" s="84" t="s">
        <v>67</v>
      </c>
      <c r="V5" s="84" t="s">
        <v>68</v>
      </c>
      <c r="W5" s="84" t="s">
        <v>69</v>
      </c>
      <c r="X5" s="84" t="s">
        <v>70</v>
      </c>
      <c r="Y5" s="491" t="s">
        <v>71</v>
      </c>
      <c r="Z5" s="381" t="s">
        <v>72</v>
      </c>
      <c r="AA5" s="382" t="s">
        <v>12</v>
      </c>
      <c r="AB5" s="382" t="s">
        <v>73</v>
      </c>
      <c r="AC5" s="382" t="s">
        <v>74</v>
      </c>
      <c r="AD5" s="382" t="s">
        <v>75</v>
      </c>
      <c r="AE5" s="382" t="s">
        <v>76</v>
      </c>
      <c r="AF5" s="382" t="s">
        <v>77</v>
      </c>
      <c r="AG5" s="382" t="s">
        <v>78</v>
      </c>
      <c r="AH5" s="382" t="s">
        <v>79</v>
      </c>
      <c r="AI5" s="382" t="s">
        <v>80</v>
      </c>
      <c r="AJ5" s="382" t="s">
        <v>81</v>
      </c>
      <c r="AK5" s="382" t="s">
        <v>82</v>
      </c>
      <c r="AL5" s="382" t="s">
        <v>83</v>
      </c>
      <c r="AM5" s="381" t="s">
        <v>84</v>
      </c>
      <c r="AN5" s="381" t="s">
        <v>85</v>
      </c>
      <c r="AO5" s="381" t="s">
        <v>86</v>
      </c>
      <c r="AP5" s="496" t="s">
        <v>87</v>
      </c>
      <c r="AQ5" s="348" t="s">
        <v>88</v>
      </c>
      <c r="AR5" s="353" t="s">
        <v>89</v>
      </c>
      <c r="AS5" s="84" t="s">
        <v>90</v>
      </c>
      <c r="AT5" s="349" t="s">
        <v>91</v>
      </c>
      <c r="AU5" s="357" t="s">
        <v>92</v>
      </c>
      <c r="AV5" s="357" t="s">
        <v>93</v>
      </c>
      <c r="AW5" s="357" t="s">
        <v>94</v>
      </c>
      <c r="AX5" s="350" t="s">
        <v>95</v>
      </c>
      <c r="AY5" s="84" t="s">
        <v>96</v>
      </c>
      <c r="AZ5" s="84" t="s">
        <v>789</v>
      </c>
      <c r="BA5" s="84" t="s">
        <v>98</v>
      </c>
      <c r="BB5" s="86" t="s">
        <v>95</v>
      </c>
      <c r="BC5" s="86" t="s">
        <v>96</v>
      </c>
      <c r="BD5" s="86" t="s">
        <v>97</v>
      </c>
      <c r="BE5" s="86" t="s">
        <v>98</v>
      </c>
      <c r="BF5" s="84" t="s">
        <v>95</v>
      </c>
      <c r="BG5" s="84" t="s">
        <v>96</v>
      </c>
      <c r="BH5" s="84" t="s">
        <v>97</v>
      </c>
      <c r="BI5" s="84" t="s">
        <v>98</v>
      </c>
      <c r="BJ5" s="84" t="s">
        <v>99</v>
      </c>
      <c r="BK5" s="84" t="s">
        <v>100</v>
      </c>
      <c r="BL5" s="84" t="s">
        <v>101</v>
      </c>
      <c r="BM5" s="84" t="s">
        <v>102</v>
      </c>
      <c r="BN5" s="84" t="s">
        <v>103</v>
      </c>
      <c r="BO5" s="84" t="s">
        <v>104</v>
      </c>
      <c r="BP5" s="84" t="s">
        <v>105</v>
      </c>
      <c r="BQ5" s="84" t="s">
        <v>106</v>
      </c>
      <c r="BR5" s="355" t="s">
        <v>107</v>
      </c>
      <c r="BS5" s="350" t="s">
        <v>108</v>
      </c>
      <c r="BT5" s="353" t="s">
        <v>109</v>
      </c>
      <c r="BU5" s="84" t="s">
        <v>110</v>
      </c>
      <c r="BV5" s="349" t="s">
        <v>111</v>
      </c>
      <c r="BW5" s="357" t="s">
        <v>112</v>
      </c>
      <c r="BX5" s="357" t="s">
        <v>113</v>
      </c>
      <c r="BY5" s="357" t="s">
        <v>114</v>
      </c>
      <c r="BZ5" s="350" t="s">
        <v>115</v>
      </c>
      <c r="CA5" s="84" t="s">
        <v>116</v>
      </c>
      <c r="CB5" s="84" t="s">
        <v>117</v>
      </c>
      <c r="CC5" s="84" t="s">
        <v>118</v>
      </c>
      <c r="CD5" s="86" t="s">
        <v>115</v>
      </c>
      <c r="CE5" s="86" t="s">
        <v>116</v>
      </c>
      <c r="CF5" s="86" t="s">
        <v>117</v>
      </c>
      <c r="CG5" s="86" t="s">
        <v>118</v>
      </c>
      <c r="CH5" s="84" t="s">
        <v>115</v>
      </c>
      <c r="CI5" s="84" t="s">
        <v>116</v>
      </c>
      <c r="CJ5" s="84" t="s">
        <v>117</v>
      </c>
      <c r="CK5" s="84" t="s">
        <v>118</v>
      </c>
      <c r="CL5" s="84" t="s">
        <v>119</v>
      </c>
      <c r="CM5" s="84" t="s">
        <v>120</v>
      </c>
      <c r="CN5" s="84" t="s">
        <v>121</v>
      </c>
      <c r="CO5" s="84" t="s">
        <v>122</v>
      </c>
      <c r="CP5" s="84" t="s">
        <v>123</v>
      </c>
      <c r="CQ5" s="84" t="s">
        <v>124</v>
      </c>
      <c r="CR5" s="84" t="s">
        <v>105</v>
      </c>
      <c r="CS5" s="84" t="s">
        <v>125</v>
      </c>
      <c r="CT5" s="356" t="s">
        <v>126</v>
      </c>
      <c r="CU5" s="351" t="s">
        <v>127</v>
      </c>
      <c r="CV5" s="354" t="s">
        <v>128</v>
      </c>
      <c r="CW5" s="59" t="s">
        <v>129</v>
      </c>
      <c r="CX5" s="352" t="s">
        <v>130</v>
      </c>
      <c r="CY5" s="358" t="s">
        <v>131</v>
      </c>
      <c r="CZ5" s="358" t="s">
        <v>132</v>
      </c>
      <c r="DA5" s="358" t="s">
        <v>133</v>
      </c>
      <c r="DB5" s="351" t="s">
        <v>134</v>
      </c>
      <c r="DC5" s="59" t="s">
        <v>135</v>
      </c>
      <c r="DD5" s="59" t="s">
        <v>136</v>
      </c>
      <c r="DE5" s="59" t="s">
        <v>137</v>
      </c>
      <c r="DF5" s="87" t="s">
        <v>134</v>
      </c>
      <c r="DG5" s="87" t="s">
        <v>135</v>
      </c>
      <c r="DH5" s="87" t="s">
        <v>136</v>
      </c>
      <c r="DI5" s="87" t="s">
        <v>137</v>
      </c>
      <c r="DJ5" s="59" t="s">
        <v>134</v>
      </c>
      <c r="DK5" s="59" t="s">
        <v>135</v>
      </c>
      <c r="DL5" s="59" t="s">
        <v>136</v>
      </c>
      <c r="DM5" s="59" t="s">
        <v>137</v>
      </c>
      <c r="DN5" s="59" t="s">
        <v>138</v>
      </c>
      <c r="DO5" s="59" t="s">
        <v>139</v>
      </c>
      <c r="DP5" s="59" t="s">
        <v>140</v>
      </c>
      <c r="DQ5" s="59" t="s">
        <v>141</v>
      </c>
      <c r="DR5" s="59" t="s">
        <v>142</v>
      </c>
      <c r="DS5" s="59" t="s">
        <v>143</v>
      </c>
      <c r="DT5" s="59" t="s">
        <v>105</v>
      </c>
      <c r="DU5" s="59" t="s">
        <v>144</v>
      </c>
      <c r="DV5" s="59" t="s">
        <v>145</v>
      </c>
      <c r="DW5" s="351" t="s">
        <v>146</v>
      </c>
      <c r="DX5" s="354" t="s">
        <v>147</v>
      </c>
      <c r="DY5" s="59" t="s">
        <v>148</v>
      </c>
      <c r="DZ5" s="352" t="s">
        <v>149</v>
      </c>
      <c r="EA5" s="358" t="s">
        <v>150</v>
      </c>
      <c r="EB5" s="358" t="s">
        <v>151</v>
      </c>
      <c r="EC5" s="358" t="s">
        <v>152</v>
      </c>
      <c r="ED5" s="351" t="s">
        <v>153</v>
      </c>
      <c r="EE5" s="59" t="s">
        <v>154</v>
      </c>
      <c r="EF5" s="59" t="s">
        <v>155</v>
      </c>
      <c r="EG5" s="59" t="s">
        <v>156</v>
      </c>
      <c r="EH5" s="87" t="s">
        <v>153</v>
      </c>
      <c r="EI5" s="87" t="s">
        <v>154</v>
      </c>
      <c r="EJ5" s="87" t="s">
        <v>155</v>
      </c>
      <c r="EK5" s="87" t="s">
        <v>156</v>
      </c>
      <c r="EL5" s="59" t="s">
        <v>153</v>
      </c>
      <c r="EM5" s="59" t="s">
        <v>154</v>
      </c>
      <c r="EN5" s="59" t="s">
        <v>155</v>
      </c>
      <c r="EO5" s="59" t="s">
        <v>156</v>
      </c>
      <c r="EP5" s="59" t="s">
        <v>157</v>
      </c>
      <c r="EQ5" s="59" t="s">
        <v>158</v>
      </c>
      <c r="ER5" s="59" t="s">
        <v>159</v>
      </c>
      <c r="ES5" s="59" t="s">
        <v>160</v>
      </c>
      <c r="ET5" s="59" t="s">
        <v>161</v>
      </c>
      <c r="EU5" s="59" t="s">
        <v>162</v>
      </c>
      <c r="EV5" s="59" t="s">
        <v>105</v>
      </c>
      <c r="EW5" s="59" t="s">
        <v>163</v>
      </c>
      <c r="EX5" s="88" t="s">
        <v>164</v>
      </c>
      <c r="EY5" s="89" t="s">
        <v>165</v>
      </c>
      <c r="EZ5" s="90" t="s">
        <v>166</v>
      </c>
      <c r="FA5" s="90" t="s">
        <v>166</v>
      </c>
      <c r="FB5" s="90" t="s">
        <v>166</v>
      </c>
      <c r="FC5" s="90" t="s">
        <v>166</v>
      </c>
      <c r="FD5" s="90" t="s">
        <v>167</v>
      </c>
      <c r="FE5" s="90" t="s">
        <v>168</v>
      </c>
      <c r="FF5" s="91" t="s">
        <v>169</v>
      </c>
      <c r="FG5" s="91" t="s">
        <v>169</v>
      </c>
      <c r="FH5" s="91" t="s">
        <v>169</v>
      </c>
      <c r="FI5" s="91" t="s">
        <v>169</v>
      </c>
      <c r="FJ5" s="91" t="s">
        <v>170</v>
      </c>
      <c r="FK5" s="91" t="s">
        <v>171</v>
      </c>
      <c r="FL5" s="92" t="s">
        <v>172</v>
      </c>
      <c r="FM5" s="92" t="s">
        <v>172</v>
      </c>
      <c r="FN5" s="92" t="s">
        <v>172</v>
      </c>
      <c r="FO5" s="92" t="s">
        <v>172</v>
      </c>
      <c r="FP5" s="92" t="s">
        <v>743</v>
      </c>
      <c r="FQ5" s="93" t="s">
        <v>173</v>
      </c>
      <c r="FR5" s="93" t="s">
        <v>174</v>
      </c>
      <c r="FS5" s="93" t="s">
        <v>175</v>
      </c>
      <c r="FT5" s="93" t="s">
        <v>176</v>
      </c>
      <c r="FU5" s="364" t="s">
        <v>177</v>
      </c>
      <c r="FV5" s="94" t="s">
        <v>178</v>
      </c>
      <c r="FW5" s="95" t="s">
        <v>179</v>
      </c>
      <c r="FX5" s="95" t="s">
        <v>180</v>
      </c>
      <c r="FY5" s="95" t="s">
        <v>181</v>
      </c>
      <c r="FZ5" s="95" t="s">
        <v>182</v>
      </c>
      <c r="GA5" s="95" t="s">
        <v>183</v>
      </c>
      <c r="GB5" s="95" t="s">
        <v>184</v>
      </c>
      <c r="GC5" s="95" t="s">
        <v>185</v>
      </c>
      <c r="GD5" s="95" t="s">
        <v>186</v>
      </c>
      <c r="GE5" s="95" t="s">
        <v>187</v>
      </c>
      <c r="GF5" s="95" t="s">
        <v>188</v>
      </c>
      <c r="GG5" s="95" t="s">
        <v>189</v>
      </c>
      <c r="GH5" s="95" t="s">
        <v>190</v>
      </c>
      <c r="GI5" s="95" t="s">
        <v>191</v>
      </c>
      <c r="GJ5" s="95" t="s">
        <v>192</v>
      </c>
      <c r="GK5" s="95" t="s">
        <v>193</v>
      </c>
      <c r="GL5" s="95" t="s">
        <v>194</v>
      </c>
      <c r="GM5" s="95" t="s">
        <v>195</v>
      </c>
      <c r="GN5" s="95" t="s">
        <v>196</v>
      </c>
      <c r="GO5" s="95" t="s">
        <v>197</v>
      </c>
      <c r="GP5" s="95" t="s">
        <v>198</v>
      </c>
      <c r="GQ5" s="95" t="s">
        <v>199</v>
      </c>
      <c r="GR5" s="96" t="s">
        <v>200</v>
      </c>
      <c r="GS5" s="97" t="s">
        <v>201</v>
      </c>
      <c r="GT5" s="97" t="s">
        <v>202</v>
      </c>
      <c r="GU5" s="98" t="s">
        <v>203</v>
      </c>
      <c r="GV5" s="98" t="s">
        <v>204</v>
      </c>
      <c r="GW5" s="98" t="s">
        <v>205</v>
      </c>
      <c r="GX5" s="99" t="s">
        <v>206</v>
      </c>
      <c r="GY5" s="100"/>
    </row>
    <row r="6" spans="1:207" s="152" customFormat="1" ht="15" customHeight="1">
      <c r="A6" s="129"/>
      <c r="B6" s="130"/>
      <c r="C6" s="130"/>
      <c r="D6" s="131"/>
      <c r="E6" s="131" t="s">
        <v>224</v>
      </c>
      <c r="F6" s="131" t="s">
        <v>225</v>
      </c>
      <c r="G6" s="131" t="s">
        <v>226</v>
      </c>
      <c r="H6" s="132" t="s">
        <v>227</v>
      </c>
      <c r="I6" s="133" t="s">
        <v>228</v>
      </c>
      <c r="J6" s="131" t="s">
        <v>212</v>
      </c>
      <c r="K6" s="131" t="s">
        <v>221</v>
      </c>
      <c r="L6" s="131" t="s">
        <v>229</v>
      </c>
      <c r="M6" s="131" t="s">
        <v>229</v>
      </c>
      <c r="N6" s="134"/>
      <c r="O6" s="551">
        <v>41376</v>
      </c>
      <c r="P6" s="155">
        <v>43282</v>
      </c>
      <c r="Q6" s="321">
        <f t="shared" ref="Q6:Q37" si="0">IF(P6&gt;$Q$2,MONTH(P6),0)</f>
        <v>0</v>
      </c>
      <c r="R6" s="109">
        <f>IF((P6-VLOOKUP(Q6,month!$A$1:$C$13,3,0))&lt;0,Q6,Q6+1)</f>
        <v>0</v>
      </c>
      <c r="S6" s="108"/>
      <c r="T6" s="135" t="str">
        <f t="shared" ref="T6:T12" si="1">IF(S6&gt;0,"Y","")</f>
        <v/>
      </c>
      <c r="U6" s="134"/>
      <c r="V6" s="134"/>
      <c r="W6" s="134"/>
      <c r="X6" s="134"/>
      <c r="Y6" s="383"/>
      <c r="Z6" s="383" t="s">
        <v>545</v>
      </c>
      <c r="AA6" s="371">
        <v>1000</v>
      </c>
      <c r="AB6" s="371">
        <v>1000</v>
      </c>
      <c r="AC6" s="371">
        <v>1000</v>
      </c>
      <c r="AD6" s="371">
        <v>1000</v>
      </c>
      <c r="AE6" s="371">
        <v>1000</v>
      </c>
      <c r="AF6" s="371">
        <v>1000</v>
      </c>
      <c r="AG6" s="371">
        <v>1000</v>
      </c>
      <c r="AH6" s="371">
        <v>1000</v>
      </c>
      <c r="AI6" s="371">
        <v>1000</v>
      </c>
      <c r="AJ6" s="371">
        <v>1000</v>
      </c>
      <c r="AK6" s="371">
        <v>1000</v>
      </c>
      <c r="AL6" s="371">
        <v>1000</v>
      </c>
      <c r="AM6" s="384">
        <f t="shared" ref="AM6:AM35" si="2">IF($H$2=1,SUM(AA6:AC6),IF($H$2=2,SUM(AA6:AF6),IF($H$2=3,SUM(AA6:AI6),SUM(AA6:AL6))))</f>
        <v>12000</v>
      </c>
      <c r="AN6" s="384">
        <f t="shared" ref="AN6:AN37" si="3">SUM(AA6:AL6)+INDEX(AA6:AL6,,MATCH($H$3,$AA$5:$AL$5,0))*(12-COUNTA(AA6:AL6))</f>
        <v>12000</v>
      </c>
      <c r="AO6" s="385">
        <f>AI6</f>
        <v>1000</v>
      </c>
      <c r="AP6" s="497" t="s">
        <v>668</v>
      </c>
      <c r="AQ6" s="156">
        <v>0.4</v>
      </c>
      <c r="AR6" s="153" t="s">
        <v>211</v>
      </c>
      <c r="AS6" s="146" t="s">
        <v>210</v>
      </c>
      <c r="AT6" s="136">
        <v>19653413.080999997</v>
      </c>
      <c r="AU6" s="136"/>
      <c r="AV6" s="136"/>
      <c r="AW6" s="111"/>
      <c r="AX6" s="138">
        <v>19427532.107000571</v>
      </c>
      <c r="AY6" s="138"/>
      <c r="AZ6" s="138"/>
      <c r="BA6" s="138"/>
      <c r="BB6" s="138"/>
      <c r="BC6" s="138"/>
      <c r="BD6" s="138"/>
      <c r="BE6" s="138"/>
      <c r="BF6" s="139">
        <f>AX6+BB6</f>
        <v>19427532.107000571</v>
      </c>
      <c r="BG6" s="139">
        <f>AY6+BC6</f>
        <v>0</v>
      </c>
      <c r="BH6" s="139">
        <f>AZ6+BD6</f>
        <v>0</v>
      </c>
      <c r="BI6" s="139">
        <f>BA6+BE6</f>
        <v>0</v>
      </c>
      <c r="BJ6" s="139">
        <f t="shared" ref="BJ6:BJ37" si="4">IF($BB$3="After AR Adjustment",IF($H$2=1,BF6,IF($H$2=2,SUM(BF6:BG6),IF($H$2=3,SUM(BF6:BH6),SUM(BF6:BI6)))),IF($H$2=1,AX6,IF($H$2=2,SUM(AX6:AY6),IF($H$2=3,SUM(AX6:AZ6),SUM(AX6:BA6)))))</f>
        <v>19427532.107000571</v>
      </c>
      <c r="BK6" s="140">
        <f t="shared" ref="BK6:BK35" si="5">IF($H$2=1,AT6,IF($H$2=2,SUM(AT6:AU6),IF($H$2=3,SUM(AT6:AV6),SUM(AT6:AW6))))</f>
        <v>19653413.080999997</v>
      </c>
      <c r="BL6" s="140">
        <f>SUM(AT6:AW6)</f>
        <v>19653413.080999997</v>
      </c>
      <c r="BM6" s="141">
        <f>IFERROR(ROUND(BJ6/BK6,4),0)</f>
        <v>0.98850000000000005</v>
      </c>
      <c r="BN6" s="142">
        <f t="shared" ref="BN6:BN37" ca="1" si="6">IF(OR(AP6="MBO",AP6="10% Realized Price"),BM6,SUMPRODUCT(Lower_Payout*(Curve=AR6)*(Lower_Attain&lt;=BM6)*(Upper_Attain&gt;BM6))+(BM6-SUMPRODUCT(Lower_Attain*(Curve=AR6)*(Lower_Attain&lt;=BM6)*(Upper_Attain&gt;BM6)))*SUMPRODUCT(Slope*(Curve=AR6)*(Lower_Attain&lt;=BM6)*(Upper_Attain&gt;BM6)))</f>
        <v>0</v>
      </c>
      <c r="BO6" s="143">
        <f t="shared" ref="BO6:BO37" ca="1" si="7">IFERROR(AM6*AQ6*BN6,0)</f>
        <v>0</v>
      </c>
      <c r="BP6" s="144">
        <v>1</v>
      </c>
      <c r="BQ6" s="140">
        <f t="shared" ref="BQ6:BQ37" si="8">IF(BP6="Uncapped",BO6,IFERROR(AM6*AQ6*BP6,0))</f>
        <v>4800</v>
      </c>
      <c r="BR6" s="138" t="s">
        <v>689</v>
      </c>
      <c r="BS6" s="158">
        <v>0.2</v>
      </c>
      <c r="BT6" s="138" t="s">
        <v>211</v>
      </c>
      <c r="BU6" s="157" t="s">
        <v>210</v>
      </c>
      <c r="BV6" s="138">
        <v>19653413.080999997</v>
      </c>
      <c r="BW6" s="136"/>
      <c r="BX6" s="136"/>
      <c r="BY6" s="111"/>
      <c r="BZ6" s="138">
        <v>19427532.107000571</v>
      </c>
      <c r="CA6" s="138"/>
      <c r="CB6" s="138"/>
      <c r="CC6" s="138"/>
      <c r="CD6" s="138"/>
      <c r="CE6" s="138"/>
      <c r="CF6" s="138"/>
      <c r="CG6" s="138"/>
      <c r="CH6" s="139">
        <f>BZ6+CD6</f>
        <v>19427532.107000571</v>
      </c>
      <c r="CI6" s="139">
        <f>CA6+CE6</f>
        <v>0</v>
      </c>
      <c r="CJ6" s="145">
        <f>CB6+CF6</f>
        <v>0</v>
      </c>
      <c r="CK6" s="139">
        <f>CC6+CG6</f>
        <v>0</v>
      </c>
      <c r="CL6" s="139">
        <f t="shared" ref="CL6:CL37" si="9">IF($BB$3="After AR Adjustment",IF($H$2=1,CH6,IF($H$2=2,SUM(CH6:CI6),IF($H$2=3,SUM(CH6:CJ6),SUM(CH6:CK6)))),IF($H$2=1,BZ6,IF($H$2=2,SUM(BZ6:CA6),IF($H$2=3,SUM(BZ6:CB6),SUM(BZ6:CC6)))))</f>
        <v>19427532.107000571</v>
      </c>
      <c r="CM6" s="139">
        <f t="shared" ref="CM6:CM35" si="10">IF($H$2=1,BV6,IF($H$2=2,SUM(BV6:BW6),IF($H$2=3,SUM(BV6:BX6),SUM(BV6:BY6))))</f>
        <v>19653413.080999997</v>
      </c>
      <c r="CN6" s="139">
        <f>SUM(BV6:BY6)</f>
        <v>19653413.080999997</v>
      </c>
      <c r="CO6" s="141">
        <f>IFERROR(ROUND(CL6/CM6,4),0)</f>
        <v>0.98850000000000005</v>
      </c>
      <c r="CP6" s="142">
        <f ca="1">IF(OR(BR6="MBO",BR6="10% Realized Price"),CO6,SUMPRODUCT(Lower_Payout*(Curve=BT6)*(Lower_Attain&lt;=CO6)*(Upper_Attain&gt;CO6))+(CO6-SUMPRODUCT(Lower_Attain*(Curve=BT6)*(Lower_Attain&lt;=CO6)*(Upper_Attain&gt;CO6)))*SUMPRODUCT(Slope*(Curve=BT6)*(Lower_Attain&lt;=CO6)*(Upper_Attain&gt;CO6)))</f>
        <v>0</v>
      </c>
      <c r="CQ6" s="140">
        <f t="shared" ref="CQ6:CQ37" ca="1" si="11">AM6*BS6*CP6</f>
        <v>0</v>
      </c>
      <c r="CR6" s="144" t="str">
        <f t="shared" ref="CR6:CR37" si="12">IF($T6="Y","100%",IF($H$2=4,"Uncapped",IF(N6="Y","100%",IF($G6="AA","50%",IF($G6="SA","90%",IF($G6="APJ Regional-AA","50%",IF($G6="APJ Regional-SA","90%",75%)))))))</f>
        <v>Uncapped</v>
      </c>
      <c r="CS6" s="140">
        <f t="shared" ref="CS6:CS37" ca="1" si="13">IF(CR6="Uncapped",CQ6,IFERROR(AM6*BS6*CR6,0))</f>
        <v>0</v>
      </c>
      <c r="CT6" s="113" t="s">
        <v>696</v>
      </c>
      <c r="CU6" s="146">
        <v>0.4</v>
      </c>
      <c r="CV6" s="138" t="s">
        <v>217</v>
      </c>
      <c r="CW6" s="138" t="s">
        <v>667</v>
      </c>
      <c r="CX6" s="138">
        <v>61881722.047854595</v>
      </c>
      <c r="CY6" s="136"/>
      <c r="CZ6" s="136"/>
      <c r="DA6" s="113"/>
      <c r="DB6" s="138">
        <v>63657388.730680585</v>
      </c>
      <c r="DC6" s="138"/>
      <c r="DD6" s="138"/>
      <c r="DE6" s="138"/>
      <c r="DF6" s="138"/>
      <c r="DG6" s="138"/>
      <c r="DH6" s="138"/>
      <c r="DI6" s="138"/>
      <c r="DJ6" s="139">
        <f>DB6+DF6</f>
        <v>63657388.730680585</v>
      </c>
      <c r="DK6" s="139">
        <f>DC6+DG6</f>
        <v>0</v>
      </c>
      <c r="DL6" s="139">
        <f>DD6+DH6</f>
        <v>0</v>
      </c>
      <c r="DM6" s="139">
        <f>DE6+DI6</f>
        <v>0</v>
      </c>
      <c r="DN6" s="139">
        <f>IF($BB$3="After AR Adjustment",IF($H$2=1,DJ6,IF($H$2=2,SUM(DJ6:DK6),IF($H$2=3,SUM(DJ6:DL6),SUM(DJ6:DM6)))),IF($H$2=1,DB6,IF($H$2=2,SUM(DB6:DC6),IF($H$2=3,SUM(DB6:DD6),SUM(DB6:DE6)))))</f>
        <v>63657388.730680585</v>
      </c>
      <c r="DO6" s="139">
        <f t="shared" ref="DO6:DO35" si="14">IF($H$2=1,CX6,IF($H$2=2,SUM(CX6:CY6),IF($H$2=3,SUM(CX6:CZ6),SUM(CX6:DA6))))</f>
        <v>61881722.047854595</v>
      </c>
      <c r="DP6" s="139">
        <f>SUM(CX6:DA6)</f>
        <v>61881722.047854595</v>
      </c>
      <c r="DQ6" s="141">
        <f>IFERROR(ROUND(DN6/DO6,4),0)</f>
        <v>1.0286999999999999</v>
      </c>
      <c r="DR6" s="142">
        <f t="shared" ref="DR6:DR37" ca="1" si="15">IF(OR(CT6="MBO",CT6="10% Realized Price"),DQ6,SUMPRODUCT(Lower_Payout*(Curve=CV6)*(Lower_Attain&lt;=DQ6)*(Upper_Attain&gt;DQ6))+(DQ6-SUMPRODUCT(Lower_Attain*(Curve=CV6)*(Lower_Attain&lt;=DQ6)*(Upper_Attain&gt;DQ6)))*SUMPRODUCT(Slope*(Curve=CV6)*(Lower_Attain&lt;=DQ6)*(Upper_Attain&gt;DQ6)))</f>
        <v>0</v>
      </c>
      <c r="DS6" s="140">
        <f t="shared" ref="DS6:DS37" ca="1" si="16">AM6*CU6*DR6</f>
        <v>0</v>
      </c>
      <c r="DT6" s="144" t="str">
        <f t="shared" ref="DT6:DT37" si="17">IF($T6="Y","100%",IF($H$2=4,"Uncapped",IF(N6="Y","100%",IF($G6="AA","50%",IF($G6="SA","90%",IF($G6="APJ Regional-AA","50%",IF($G6="APJ Regional-SA","90%",75%)))))))</f>
        <v>Uncapped</v>
      </c>
      <c r="DU6" s="140">
        <f t="shared" ref="DU6:DU37" ca="1" si="18">IF(DT6="Uncapped",DS6,IFERROR(AM6*CU6*DT6,0))</f>
        <v>0</v>
      </c>
      <c r="DV6" s="138"/>
      <c r="DW6" s="146">
        <v>0</v>
      </c>
      <c r="DX6" s="138"/>
      <c r="DY6" s="138"/>
      <c r="DZ6" s="138">
        <v>0</v>
      </c>
      <c r="EA6" s="136">
        <v>0</v>
      </c>
      <c r="EB6" s="136">
        <v>0</v>
      </c>
      <c r="EC6" s="136">
        <v>0</v>
      </c>
      <c r="ED6" s="138">
        <v>0</v>
      </c>
      <c r="EE6" s="138">
        <v>0</v>
      </c>
      <c r="EF6" s="138"/>
      <c r="EG6" s="138"/>
      <c r="EH6" s="138"/>
      <c r="EI6" s="138"/>
      <c r="EJ6" s="138"/>
      <c r="EK6" s="138"/>
      <c r="EL6" s="139">
        <f>ED6+EH6</f>
        <v>0</v>
      </c>
      <c r="EM6" s="139">
        <f>EE6+EI6</f>
        <v>0</v>
      </c>
      <c r="EN6" s="139">
        <f>EF6+EJ6</f>
        <v>0</v>
      </c>
      <c r="EO6" s="139">
        <f>EG6+EK6</f>
        <v>0</v>
      </c>
      <c r="EP6" s="139">
        <f t="shared" ref="EP6:EP37" si="19">IF($BB$3="After AR Adjustment",IF($H$2=1,EL6,IF($H$2=2,SUM(EL6:EM6),IF($H$2=3,SUM(EL6:EN6),SUM(EL6:EO6)))),IF($H$2=1,ED6,IF($H$2=2,SUM(ED6:EE6),IF($H$2=3,SUM(ED6:EF6),SUM(ED6:EG6)))))</f>
        <v>0</v>
      </c>
      <c r="EQ6" s="139">
        <f t="shared" ref="EQ6:EQ35" si="20">IF($H$2=1,DZ6,IF($H$2=2,SUM(DZ6:EA6),IF($H$2=3,SUM(DZ6:EB6),SUM(DZ6:EC6))))</f>
        <v>0</v>
      </c>
      <c r="ER6" s="139">
        <f>SUM(DZ6:EC6)</f>
        <v>0</v>
      </c>
      <c r="ES6" s="141">
        <f>IFERROR(ROUND(EP6/EQ6,4),0)</f>
        <v>0</v>
      </c>
      <c r="ET6" s="142">
        <f ca="1">IF(OR(DV6="MBO",DV6="10% Realized Price"),ES6,SUMPRODUCT(Lower_Payout*(Curve=DX6)*(Lower_Attain&lt;=ES6)*(Upper_Attain&gt;ES6))+(ES6-SUMPRODUCT(Lower_Attain*(Curve=DX6)*(Lower_Attain&lt;=ES6)*(Upper_Attain&gt;ES6)))*SUMPRODUCT(Slope*(Curve=DX6)*(Lower_Attain&lt;=ES6)*(Upper_Attain&gt;ES6)))</f>
        <v>0</v>
      </c>
      <c r="EU6" s="140">
        <f t="shared" ref="EU6:EU37" ca="1" si="21">AM6*DW6*ET6</f>
        <v>0</v>
      </c>
      <c r="EV6" s="144" t="str">
        <f t="shared" ref="EV6:EV37" si="22">IF($T6="Y","100%",IF(DX6="T2","200%",IF($H$2=4,"Uncapped",IF($G6="AA","50%",IF($G6="SA","90%",IF($G6="APJ Regional-AA","50%",IF($G6="APJ Regional-SA","90%",75%)))))))</f>
        <v>Uncapped</v>
      </c>
      <c r="EW6" s="140">
        <f t="shared" ref="EW6:EW37" ca="1" si="23">IF(EV6="Uncapped",EU6,IFERROR(AM6*DW6*EV6,0))</f>
        <v>0</v>
      </c>
      <c r="EX6" s="137">
        <f t="shared" ref="EX6:EX37" ca="1" si="24">MIN(BO6,BQ6)+MIN(CQ6,CS6)+MIN(DS6,DU6)+MIN(EU6,EW6)</f>
        <v>0</v>
      </c>
      <c r="EY6" s="139">
        <f ca="1">MAX(EX6,GP6)</f>
        <v>0</v>
      </c>
      <c r="EZ6" s="140"/>
      <c r="FA6" s="140"/>
      <c r="FB6" s="115">
        <v>59297</v>
      </c>
      <c r="FC6" s="115">
        <v>0</v>
      </c>
      <c r="FD6" s="140">
        <f t="shared" ref="FD6:FD35" si="25">IF($H$2=1,EZ6,IF($H$2=2,SUM(EZ6:FA6),IF($H$2=3,SUM(EZ6:FB6),SUM(EZ6:FC6))))</f>
        <v>59297</v>
      </c>
      <c r="FE6" s="139">
        <f t="shared" ref="FE6:FE37" si="26">SUMIFS(6:6,$5:$5,"SPIFF payout $ (Local CCY)",$4:$4,CONCATENATE("Q",$H$2))</f>
        <v>0</v>
      </c>
      <c r="FF6" s="140">
        <v>0</v>
      </c>
      <c r="FG6" s="140">
        <v>0</v>
      </c>
      <c r="FH6" s="115">
        <v>0</v>
      </c>
      <c r="FI6" s="115">
        <v>0</v>
      </c>
      <c r="FJ6" s="140">
        <f t="shared" ref="FJ6:FJ35" si="27">IF($H$2=1,FF6,IF($H$2=2,SUM(FF6:FG6),IF($H$2=3,SUM(FF6:FH6),SUM(FF6:FI6))))</f>
        <v>0</v>
      </c>
      <c r="FK6" s="139">
        <f t="shared" ref="FK6:FK37" si="28">SUMIFS(6:6,$5:$5,"Other payout $ (Local CCY)",$4:$4,CONCATENATE("Q",$H$2))</f>
        <v>0</v>
      </c>
      <c r="FL6" s="113"/>
      <c r="FM6" s="111"/>
      <c r="FN6" s="111"/>
      <c r="FO6" s="111"/>
      <c r="FP6" s="140">
        <f t="shared" ref="FP6:FP17" si="29">SUM(FL6:FO6)</f>
        <v>0</v>
      </c>
      <c r="FQ6" s="140"/>
      <c r="FR6" s="140"/>
      <c r="FS6" s="140"/>
      <c r="FT6" s="139">
        <f>SUM(FQ6:FS6)</f>
        <v>0</v>
      </c>
      <c r="FU6" s="365">
        <f ca="1">ROUND(MAX(FV6-FT6,0),2)</f>
        <v>59297</v>
      </c>
      <c r="FV6" s="147">
        <f ca="1">SUM(EY6,FD6,FJ6,FP6)</f>
        <v>59297</v>
      </c>
      <c r="FW6" s="139">
        <f t="shared" ref="FW6:FZ15" si="30">FF6</f>
        <v>0</v>
      </c>
      <c r="FX6" s="139">
        <f t="shared" si="30"/>
        <v>0</v>
      </c>
      <c r="FY6" s="139">
        <f t="shared" si="30"/>
        <v>0</v>
      </c>
      <c r="FZ6" s="139">
        <f t="shared" si="30"/>
        <v>0</v>
      </c>
      <c r="GA6" s="139">
        <f t="shared" ref="GA6:GA17" si="31">SUM(FW6:FZ6)</f>
        <v>0</v>
      </c>
      <c r="GB6" s="139">
        <f t="shared" ref="GB6:GE15" si="32">EZ6</f>
        <v>0</v>
      </c>
      <c r="GC6" s="139">
        <f t="shared" si="32"/>
        <v>0</v>
      </c>
      <c r="GD6" s="139">
        <f t="shared" si="32"/>
        <v>59297</v>
      </c>
      <c r="GE6" s="139">
        <f t="shared" si="32"/>
        <v>0</v>
      </c>
      <c r="GF6" s="139">
        <f t="shared" ref="GF6:GI16" si="33">GB6+FW6</f>
        <v>0</v>
      </c>
      <c r="GG6" s="139">
        <f t="shared" si="33"/>
        <v>0</v>
      </c>
      <c r="GH6" s="139">
        <f t="shared" si="33"/>
        <v>59297</v>
      </c>
      <c r="GI6" s="139">
        <f t="shared" si="33"/>
        <v>0</v>
      </c>
      <c r="GJ6" s="140">
        <f t="shared" ref="GJ6:GJ35" si="34">IF($H$2=1,GF6,IF($H$2=2,SUM(GF6:GG6),IF($H$2=3,SUM(GF6:GH6),SUM(GF6:GI6))))</f>
        <v>59297</v>
      </c>
      <c r="GK6" s="139">
        <f t="shared" ref="GK6:GK17" si="35">SUM(GF6:GI6)</f>
        <v>59297</v>
      </c>
      <c r="GL6" s="139">
        <f t="shared" ref="GL6:GL37" si="36">IF(U6="Y",V6*AO6,0)</f>
        <v>0</v>
      </c>
      <c r="GM6" s="139">
        <f t="shared" ref="GM6:GM37" si="37">IF(U6="Y",W6*AO6,0)</f>
        <v>0</v>
      </c>
      <c r="GN6" s="139">
        <f t="shared" ref="GN6:GN37" si="38">IF(U6="Y",X6*AO6,0)</f>
        <v>0</v>
      </c>
      <c r="GO6" s="139">
        <f t="shared" ref="GO6:GO37" si="39">IF(U6="Y",Y6*AO6,0)</f>
        <v>0</v>
      </c>
      <c r="GP6" s="139">
        <f t="shared" ref="GP6:GP35" si="40">IF($H$2=1,GL6,IF($H$2=2,SUM(GL6:GM6),IF($H$2=3,SUM(GL6:GN6),IF($H$2=4,SUM(GL6:GO6)))))</f>
        <v>0</v>
      </c>
      <c r="GQ6" s="139">
        <f t="shared" ref="GQ6:GQ17" si="41">SUM(GL6:GO6)</f>
        <v>0</v>
      </c>
      <c r="GR6" s="409"/>
      <c r="GS6" s="148">
        <f t="shared" ref="GS6:GS37" si="42">IFERROR(BJ6+CL6+DN6+EP6,0)</f>
        <v>102512452.94468173</v>
      </c>
      <c r="GT6" s="148">
        <f t="shared" ref="GT6:GT37" si="43">IFERROR(BK6+CM6+DO6+EQ6,0)</f>
        <v>101188548.20985459</v>
      </c>
      <c r="GU6" s="149">
        <f t="shared" ref="GU6:GU17" si="44">IFERROR(GS6/GT6,"")</f>
        <v>1.0130835431306071</v>
      </c>
      <c r="GV6" s="150">
        <f t="shared" ref="GV6:GV37" ca="1" si="45">BO6+CQ6+DS6+EU6</f>
        <v>0</v>
      </c>
      <c r="GW6" s="150">
        <v>0</v>
      </c>
      <c r="GX6" s="151">
        <f t="shared" ref="GX6:GX37" ca="1" si="46">IFERROR(GV6/AM6,0)</f>
        <v>0</v>
      </c>
      <c r="GY6" s="100"/>
    </row>
    <row r="7" spans="1:207" s="128" customFormat="1" ht="15" hidden="1" customHeight="1">
      <c r="A7" s="102" t="s">
        <v>230</v>
      </c>
      <c r="B7" s="103"/>
      <c r="C7" s="103"/>
      <c r="D7" s="104"/>
      <c r="E7" s="113" t="s">
        <v>229</v>
      </c>
      <c r="F7" s="104" t="s">
        <v>231</v>
      </c>
      <c r="G7" s="104" t="s">
        <v>226</v>
      </c>
      <c r="H7" s="105" t="s">
        <v>232</v>
      </c>
      <c r="I7" s="106" t="s">
        <v>233</v>
      </c>
      <c r="J7" s="104" t="s">
        <v>207</v>
      </c>
      <c r="K7" s="104" t="s">
        <v>221</v>
      </c>
      <c r="L7" s="104" t="s">
        <v>229</v>
      </c>
      <c r="M7" s="104" t="s">
        <v>229</v>
      </c>
      <c r="N7" s="107"/>
      <c r="O7" s="549">
        <v>41376</v>
      </c>
      <c r="P7" s="108">
        <v>43132</v>
      </c>
      <c r="Q7" s="322">
        <f t="shared" si="0"/>
        <v>0</v>
      </c>
      <c r="R7" s="109">
        <f>IF((P7-VLOOKUP(Q7,month!$A$1:$C$13,3,0))&lt;0,Q7,Q7+1)</f>
        <v>0</v>
      </c>
      <c r="S7" s="108"/>
      <c r="T7" s="127" t="str">
        <f t="shared" si="1"/>
        <v/>
      </c>
      <c r="U7" s="107"/>
      <c r="V7" s="107"/>
      <c r="W7" s="107"/>
      <c r="X7" s="107"/>
      <c r="Y7" s="386"/>
      <c r="Z7" s="386" t="s">
        <v>545</v>
      </c>
      <c r="AA7" s="387">
        <v>1000</v>
      </c>
      <c r="AB7" s="387">
        <v>1000</v>
      </c>
      <c r="AC7" s="387">
        <v>1000</v>
      </c>
      <c r="AD7" s="387">
        <v>1000</v>
      </c>
      <c r="AE7" s="387">
        <v>1000</v>
      </c>
      <c r="AF7" s="387">
        <v>1000</v>
      </c>
      <c r="AG7" s="387">
        <v>1000</v>
      </c>
      <c r="AH7" s="387">
        <v>1000</v>
      </c>
      <c r="AI7" s="387">
        <v>1000</v>
      </c>
      <c r="AJ7" s="387">
        <v>1000</v>
      </c>
      <c r="AK7" s="387">
        <v>1000</v>
      </c>
      <c r="AL7" s="387">
        <v>1000</v>
      </c>
      <c r="AM7" s="388">
        <f t="shared" si="2"/>
        <v>12000</v>
      </c>
      <c r="AN7" s="388">
        <f t="shared" si="3"/>
        <v>12000</v>
      </c>
      <c r="AO7" s="389">
        <f t="shared" ref="AO7:AO14" si="47">AI7</f>
        <v>1000</v>
      </c>
      <c r="AP7" s="498" t="s">
        <v>674</v>
      </c>
      <c r="AQ7" s="159">
        <v>0.6</v>
      </c>
      <c r="AR7" s="160" t="s">
        <v>211</v>
      </c>
      <c r="AS7" s="119" t="s">
        <v>210</v>
      </c>
      <c r="AT7" s="111">
        <v>2100000</v>
      </c>
      <c r="AU7" s="111">
        <v>1650000</v>
      </c>
      <c r="AV7" s="111">
        <v>1875000</v>
      </c>
      <c r="AW7" s="111"/>
      <c r="AX7" s="113">
        <v>2119297.8245000001</v>
      </c>
      <c r="AY7" s="113">
        <v>2145952.0949000004</v>
      </c>
      <c r="AZ7" s="113">
        <v>3988198.8207000098</v>
      </c>
      <c r="BA7" s="113"/>
      <c r="BB7" s="113"/>
      <c r="BC7" s="113"/>
      <c r="BD7" s="113"/>
      <c r="BE7" s="113"/>
      <c r="BF7" s="114">
        <f t="shared" ref="BF7:BF61" si="48">AX7+BB7</f>
        <v>2119297.8245000001</v>
      </c>
      <c r="BG7" s="114">
        <f t="shared" ref="BG7:BG61" si="49">AY7+BC7</f>
        <v>2145952.0949000004</v>
      </c>
      <c r="BH7" s="114">
        <f t="shared" ref="BH7:BH61" si="50">AZ7+BD7</f>
        <v>3988198.8207000098</v>
      </c>
      <c r="BI7" s="114">
        <f t="shared" ref="BI7:BI61" si="51">BA7+BE7</f>
        <v>0</v>
      </c>
      <c r="BJ7" s="114">
        <f t="shared" si="4"/>
        <v>8253448.7401000112</v>
      </c>
      <c r="BK7" s="115">
        <f t="shared" si="5"/>
        <v>5625000</v>
      </c>
      <c r="BL7" s="115">
        <f t="shared" ref="BL7:BL61" si="52">SUM(AT7:AW7)</f>
        <v>5625000</v>
      </c>
      <c r="BM7" s="116">
        <f t="shared" ref="BM7:BM61" si="53">IFERROR(ROUND(BJ7/BK7,4),0)</f>
        <v>1.4673</v>
      </c>
      <c r="BN7" s="126">
        <f t="shared" ca="1" si="6"/>
        <v>0</v>
      </c>
      <c r="BO7" s="117">
        <f t="shared" ca="1" si="7"/>
        <v>0</v>
      </c>
      <c r="BP7" s="118" t="str">
        <f t="shared" ref="BP7:BP37" si="54">IF($T7="Y","100%",IF($H$2=4,"Uncapped",IF(N7="Y","100%",IF($G7="AA","50%",IF($G7="SA","90%",IF($G7="APJ Regional-AA","50%",IF($G7="APJ Regional-SA","90%",75%)))))))</f>
        <v>Uncapped</v>
      </c>
      <c r="BQ7" s="115">
        <f t="shared" ca="1" si="8"/>
        <v>0</v>
      </c>
      <c r="BR7" s="113" t="s">
        <v>727</v>
      </c>
      <c r="BS7" s="161">
        <v>0.1</v>
      </c>
      <c r="BT7" s="113" t="s">
        <v>211</v>
      </c>
      <c r="BU7" s="160" t="s">
        <v>210</v>
      </c>
      <c r="BV7" s="113">
        <v>432125.40409999999</v>
      </c>
      <c r="BW7" s="113">
        <v>541635.46629999997</v>
      </c>
      <c r="BX7" s="113">
        <v>495425.28200000001</v>
      </c>
      <c r="BY7" s="113"/>
      <c r="BZ7" s="113">
        <v>452580.67280000006</v>
      </c>
      <c r="CA7" s="113">
        <v>306226.92700000003</v>
      </c>
      <c r="CB7" s="113">
        <v>569314.60470000003</v>
      </c>
      <c r="CC7" s="113"/>
      <c r="CD7" s="113"/>
      <c r="CE7" s="113"/>
      <c r="CF7" s="113"/>
      <c r="CG7" s="113"/>
      <c r="CH7" s="114">
        <f t="shared" ref="CH7:CH61" si="55">BZ7+CD7</f>
        <v>452580.67280000006</v>
      </c>
      <c r="CI7" s="114">
        <f t="shared" ref="CI7:CI61" si="56">CA7+CE7</f>
        <v>306226.92700000003</v>
      </c>
      <c r="CJ7" s="120">
        <f t="shared" ref="CJ7:CJ61" si="57">CB7+CF7</f>
        <v>569314.60470000003</v>
      </c>
      <c r="CK7" s="114">
        <f t="shared" ref="CK7:CK61" si="58">CC7+CG7</f>
        <v>0</v>
      </c>
      <c r="CL7" s="114">
        <f t="shared" si="9"/>
        <v>1328122.2045</v>
      </c>
      <c r="CM7" s="114">
        <f t="shared" si="10"/>
        <v>1469186.1524</v>
      </c>
      <c r="CN7" s="114">
        <f t="shared" ref="CN7:CN61" si="59">SUM(BV7:BY7)</f>
        <v>1469186.1524</v>
      </c>
      <c r="CO7" s="116">
        <f t="shared" ref="CO7:CO61" si="60">IFERROR(ROUND(CL7/CM7,4),0)</f>
        <v>0.90400000000000003</v>
      </c>
      <c r="CP7" s="126">
        <f t="shared" ref="CP7:CP61" ca="1" si="61">IF(OR(BR7="MBO",BR7="10% Realized Price"),CO7,SUMPRODUCT(Lower_Payout*(Curve=BT7)*(Lower_Attain&lt;=CO7)*(Upper_Attain&gt;CO7))+(CO7-SUMPRODUCT(Lower_Attain*(Curve=BT7)*(Lower_Attain&lt;=CO7)*(Upper_Attain&gt;CO7)))*SUMPRODUCT(Slope*(Curve=BT7)*(Lower_Attain&lt;=CO7)*(Upper_Attain&gt;CO7)))</f>
        <v>0</v>
      </c>
      <c r="CQ7" s="115">
        <f t="shared" ca="1" si="11"/>
        <v>0</v>
      </c>
      <c r="CR7" s="118" t="str">
        <f t="shared" si="12"/>
        <v>Uncapped</v>
      </c>
      <c r="CS7" s="115">
        <f t="shared" ca="1" si="13"/>
        <v>0</v>
      </c>
      <c r="CT7" s="113" t="s">
        <v>694</v>
      </c>
      <c r="CU7" s="119">
        <v>0.1</v>
      </c>
      <c r="CV7" s="113" t="s">
        <v>211</v>
      </c>
      <c r="CW7" s="113" t="s">
        <v>210</v>
      </c>
      <c r="CX7" s="113">
        <v>6164694.6851657163</v>
      </c>
      <c r="CY7" s="113">
        <v>5001296.8631040156</v>
      </c>
      <c r="CZ7" s="113">
        <v>5558354.7349214032</v>
      </c>
      <c r="DA7" s="113"/>
      <c r="DB7" s="113">
        <v>9104118.8802279979</v>
      </c>
      <c r="DC7" s="113">
        <v>3962684.696800001</v>
      </c>
      <c r="DD7" s="113">
        <v>3271518.9</v>
      </c>
      <c r="DE7" s="113"/>
      <c r="DF7" s="113"/>
      <c r="DG7" s="113"/>
      <c r="DH7" s="113"/>
      <c r="DI7" s="113"/>
      <c r="DJ7" s="114">
        <f t="shared" ref="DJ7:DJ61" si="62">DB7+DF7</f>
        <v>9104118.8802279979</v>
      </c>
      <c r="DK7" s="114">
        <f t="shared" ref="DK7:DK61" si="63">DC7+DG7</f>
        <v>3962684.696800001</v>
      </c>
      <c r="DL7" s="114">
        <f t="shared" ref="DL7:DL61" si="64">DD7+DH7</f>
        <v>3271518.9</v>
      </c>
      <c r="DM7" s="114">
        <f t="shared" ref="DM7:DM61" si="65">DE7+DI7</f>
        <v>0</v>
      </c>
      <c r="DN7" s="114">
        <f t="shared" ref="DN7:DN37" si="66">IF($BB$3="After AR Adjustment",IF($H$2=1,DJ7,IF($H$2=2,SUM(DJ7:DK7),IF($H$2=3,SUM(DJ7:DL7),SUM(DJ7:DM7)))),IF($H$2=1,DB7,IF($H$2=2,SUM(DB7:DC7),IF($H$2=3,SUM(DB7:DD7),SUM(DB7:DE7)))))</f>
        <v>16338322.477027999</v>
      </c>
      <c r="DO7" s="114">
        <f t="shared" si="14"/>
        <v>16724346.283191135</v>
      </c>
      <c r="DP7" s="114">
        <f t="shared" ref="DP7:DP61" si="67">SUM(CX7:DA7)</f>
        <v>16724346.283191135</v>
      </c>
      <c r="DQ7" s="116">
        <f t="shared" ref="DQ7:DQ61" si="68">IFERROR(ROUND(DN7/DO7,4),0)</f>
        <v>0.97689999999999999</v>
      </c>
      <c r="DR7" s="126">
        <f t="shared" ca="1" si="15"/>
        <v>0</v>
      </c>
      <c r="DS7" s="115">
        <f t="shared" ca="1" si="16"/>
        <v>0</v>
      </c>
      <c r="DT7" s="118" t="str">
        <f t="shared" si="17"/>
        <v>Uncapped</v>
      </c>
      <c r="DU7" s="115">
        <f t="shared" ca="1" si="18"/>
        <v>0</v>
      </c>
      <c r="DV7" s="113" t="s">
        <v>728</v>
      </c>
      <c r="DW7" s="119">
        <v>0.2</v>
      </c>
      <c r="DX7" s="113" t="s">
        <v>703</v>
      </c>
      <c r="DY7" s="113" t="s">
        <v>210</v>
      </c>
      <c r="DZ7" s="113">
        <v>61881722.047854595</v>
      </c>
      <c r="EA7" s="113">
        <v>72180793.063260496</v>
      </c>
      <c r="EB7" s="113">
        <v>69179032.514420599</v>
      </c>
      <c r="EC7" s="113"/>
      <c r="ED7" s="113">
        <v>63657388.730680585</v>
      </c>
      <c r="EE7" s="113">
        <v>65995192.891159989</v>
      </c>
      <c r="EF7" s="113">
        <v>66410604.684560001</v>
      </c>
      <c r="EG7" s="113"/>
      <c r="EH7" s="113"/>
      <c r="EI7" s="113"/>
      <c r="EJ7" s="113"/>
      <c r="EK7" s="113"/>
      <c r="EL7" s="114">
        <f t="shared" ref="EL7:EL61" si="69">ED7+EH7</f>
        <v>63657388.730680585</v>
      </c>
      <c r="EM7" s="114">
        <f t="shared" ref="EM7:EM61" si="70">EE7+EI7</f>
        <v>65995192.891159989</v>
      </c>
      <c r="EN7" s="114">
        <f t="shared" ref="EN7:EN61" si="71">EF7+EJ7</f>
        <v>66410604.684560001</v>
      </c>
      <c r="EO7" s="114">
        <f t="shared" ref="EO7:EO61" si="72">EG7+EK7</f>
        <v>0</v>
      </c>
      <c r="EP7" s="114">
        <f t="shared" si="19"/>
        <v>196063186.30640057</v>
      </c>
      <c r="EQ7" s="114">
        <f t="shared" si="20"/>
        <v>203241547.6255357</v>
      </c>
      <c r="ER7" s="114">
        <f t="shared" ref="ER7:ER61" si="73">SUM(DZ7:EC7)</f>
        <v>203241547.6255357</v>
      </c>
      <c r="ES7" s="116">
        <f t="shared" ref="ES7:ES61" si="74">IFERROR(ROUND(EP7/EQ7,4),0)</f>
        <v>0.9647</v>
      </c>
      <c r="ET7" s="126">
        <f t="shared" ref="ET7:ET61" ca="1" si="75">IF(OR(DV7="MBO",DV7="10% Realized Price"),ES7,SUMPRODUCT(Lower_Payout*(Curve=DX7)*(Lower_Attain&lt;=ES7)*(Upper_Attain&gt;ES7))+(ES7-SUMPRODUCT(Lower_Attain*(Curve=DX7)*(Lower_Attain&lt;=ES7)*(Upper_Attain&gt;ES7)))*SUMPRODUCT(Slope*(Curve=DX7)*(Lower_Attain&lt;=ES7)*(Upper_Attain&gt;ES7)))</f>
        <v>0</v>
      </c>
      <c r="EU7" s="115">
        <f t="shared" ca="1" si="21"/>
        <v>0</v>
      </c>
      <c r="EV7" s="118" t="str">
        <f t="shared" si="22"/>
        <v>Uncapped</v>
      </c>
      <c r="EW7" s="115">
        <f t="shared" ca="1" si="23"/>
        <v>0</v>
      </c>
      <c r="EX7" s="112">
        <f t="shared" ca="1" si="24"/>
        <v>0</v>
      </c>
      <c r="EY7" s="114">
        <f t="shared" ref="EY7:EY61" ca="1" si="76">MAX(EX7,GP7)</f>
        <v>0</v>
      </c>
      <c r="EZ7" s="115">
        <v>780258</v>
      </c>
      <c r="FA7" s="115">
        <v>217597.50000000003</v>
      </c>
      <c r="FB7" s="115">
        <v>337543</v>
      </c>
      <c r="FC7" s="115">
        <v>0</v>
      </c>
      <c r="FD7" s="115">
        <f t="shared" si="25"/>
        <v>1335398.5</v>
      </c>
      <c r="FE7" s="114">
        <f t="shared" si="26"/>
        <v>0</v>
      </c>
      <c r="FF7" s="115">
        <v>0</v>
      </c>
      <c r="FG7" s="115">
        <v>0</v>
      </c>
      <c r="FH7" s="115">
        <v>0</v>
      </c>
      <c r="FI7" s="115">
        <v>0</v>
      </c>
      <c r="FJ7" s="115">
        <f t="shared" si="27"/>
        <v>0</v>
      </c>
      <c r="FK7" s="114">
        <f t="shared" si="28"/>
        <v>0</v>
      </c>
      <c r="FL7" s="113"/>
      <c r="FM7" s="111"/>
      <c r="FN7" s="111"/>
      <c r="FO7" s="111"/>
      <c r="FP7" s="115">
        <f>SUM(FL7:FO7)</f>
        <v>0</v>
      </c>
      <c r="FQ7" s="488"/>
      <c r="FR7" s="115"/>
      <c r="FS7" s="115"/>
      <c r="FT7" s="114">
        <f t="shared" ref="FT7:FT65" si="77">SUM(FQ7:FS7)</f>
        <v>0</v>
      </c>
      <c r="FU7" s="366">
        <f ca="1">ROUND(MAX(FV7-FT7,0),2)</f>
        <v>1335398.5</v>
      </c>
      <c r="FV7" s="121">
        <f t="shared" ref="FV7:FV65" ca="1" si="78">SUM(EY7,FD7,FJ7,FP7)</f>
        <v>1335398.5</v>
      </c>
      <c r="FW7" s="114">
        <f>FF7</f>
        <v>0</v>
      </c>
      <c r="FX7" s="114">
        <f>FG7</f>
        <v>0</v>
      </c>
      <c r="FY7" s="114">
        <f>FH7</f>
        <v>0</v>
      </c>
      <c r="FZ7" s="114">
        <f>FI7</f>
        <v>0</v>
      </c>
      <c r="GA7" s="114">
        <f>SUM(FW7:FZ7)</f>
        <v>0</v>
      </c>
      <c r="GB7" s="114">
        <f>EZ7</f>
        <v>780258</v>
      </c>
      <c r="GC7" s="114">
        <f>FA7</f>
        <v>217597.50000000003</v>
      </c>
      <c r="GD7" s="114">
        <f>FB7</f>
        <v>337543</v>
      </c>
      <c r="GE7" s="114">
        <f>FC7</f>
        <v>0</v>
      </c>
      <c r="GF7" s="114">
        <f t="shared" si="33"/>
        <v>780258</v>
      </c>
      <c r="GG7" s="114">
        <f t="shared" si="33"/>
        <v>217597.50000000003</v>
      </c>
      <c r="GH7" s="114">
        <f t="shared" si="33"/>
        <v>337543</v>
      </c>
      <c r="GI7" s="114">
        <f t="shared" si="33"/>
        <v>0</v>
      </c>
      <c r="GJ7" s="115">
        <f t="shared" si="34"/>
        <v>1335398.5</v>
      </c>
      <c r="GK7" s="114">
        <f>SUM(GF7:GI7)</f>
        <v>1335398.5</v>
      </c>
      <c r="GL7" s="114">
        <f t="shared" si="36"/>
        <v>0</v>
      </c>
      <c r="GM7" s="114">
        <f t="shared" si="37"/>
        <v>0</v>
      </c>
      <c r="GN7" s="114">
        <f t="shared" si="38"/>
        <v>0</v>
      </c>
      <c r="GO7" s="114">
        <f t="shared" si="39"/>
        <v>0</v>
      </c>
      <c r="GP7" s="114">
        <f t="shared" si="40"/>
        <v>0</v>
      </c>
      <c r="GQ7" s="114">
        <f>SUM(GL7:GO7)</f>
        <v>0</v>
      </c>
      <c r="GR7" s="216"/>
      <c r="GS7" s="122">
        <f>IFERROR(BJ7+CL7+DN7+EP7,0)</f>
        <v>221983079.7280286</v>
      </c>
      <c r="GT7" s="122">
        <f t="shared" si="43"/>
        <v>227060080.06112683</v>
      </c>
      <c r="GU7" s="123">
        <f>IFERROR(GS7/GT7,"")</f>
        <v>0.97764027771094131</v>
      </c>
      <c r="GV7" s="124">
        <f t="shared" ca="1" si="45"/>
        <v>0</v>
      </c>
      <c r="GW7" s="124">
        <v>0</v>
      </c>
      <c r="GX7" s="32">
        <f t="shared" ca="1" si="46"/>
        <v>0</v>
      </c>
      <c r="GY7" s="100"/>
    </row>
    <row r="8" spans="1:207" s="152" customFormat="1" ht="15" hidden="1" customHeight="1">
      <c r="A8" s="129"/>
      <c r="B8" s="130"/>
      <c r="C8" s="130"/>
      <c r="D8" s="131"/>
      <c r="E8" s="131" t="s">
        <v>234</v>
      </c>
      <c r="F8" s="131" t="s">
        <v>235</v>
      </c>
      <c r="G8" s="131" t="s">
        <v>226</v>
      </c>
      <c r="H8" s="132" t="s">
        <v>236</v>
      </c>
      <c r="I8" s="133" t="s">
        <v>237</v>
      </c>
      <c r="J8" s="131" t="s">
        <v>238</v>
      </c>
      <c r="K8" s="131" t="s">
        <v>208</v>
      </c>
      <c r="L8" s="131" t="s">
        <v>239</v>
      </c>
      <c r="M8" s="131" t="s">
        <v>240</v>
      </c>
      <c r="N8" s="134"/>
      <c r="O8" s="551">
        <v>41376</v>
      </c>
      <c r="P8" s="155">
        <v>42309</v>
      </c>
      <c r="Q8" s="321">
        <f t="shared" si="0"/>
        <v>0</v>
      </c>
      <c r="R8" s="109">
        <f>IF((P8-VLOOKUP(Q8,month!$A$1:$C$13,3,0))&lt;0,Q8,Q8+1)</f>
        <v>0</v>
      </c>
      <c r="S8" s="108"/>
      <c r="T8" s="153" t="str">
        <f t="shared" si="1"/>
        <v/>
      </c>
      <c r="U8" s="134"/>
      <c r="V8" s="134"/>
      <c r="W8" s="134"/>
      <c r="X8" s="134"/>
      <c r="Y8" s="383"/>
      <c r="Z8" s="383" t="s">
        <v>545</v>
      </c>
      <c r="AA8" s="371">
        <v>1000</v>
      </c>
      <c r="AB8" s="371">
        <v>1000</v>
      </c>
      <c r="AC8" s="371">
        <v>1000</v>
      </c>
      <c r="AD8" s="371">
        <v>1000</v>
      </c>
      <c r="AE8" s="371">
        <v>1000</v>
      </c>
      <c r="AF8" s="371">
        <v>1000</v>
      </c>
      <c r="AG8" s="371">
        <v>1000</v>
      </c>
      <c r="AH8" s="371">
        <v>1000</v>
      </c>
      <c r="AI8" s="371">
        <v>1000</v>
      </c>
      <c r="AJ8" s="371">
        <v>1000</v>
      </c>
      <c r="AK8" s="371">
        <v>1000</v>
      </c>
      <c r="AL8" s="371">
        <v>1000</v>
      </c>
      <c r="AM8" s="384">
        <f t="shared" si="2"/>
        <v>12000</v>
      </c>
      <c r="AN8" s="384">
        <f t="shared" si="3"/>
        <v>12000</v>
      </c>
      <c r="AO8" s="385">
        <f t="shared" si="47"/>
        <v>1000</v>
      </c>
      <c r="AP8" s="497" t="s">
        <v>682</v>
      </c>
      <c r="AQ8" s="156">
        <v>0.5</v>
      </c>
      <c r="AR8" s="157" t="s">
        <v>211</v>
      </c>
      <c r="AS8" s="146" t="s">
        <v>210</v>
      </c>
      <c r="AT8" s="136">
        <v>13799337.512500001</v>
      </c>
      <c r="AU8" s="136">
        <v>16114582.428400001</v>
      </c>
      <c r="AV8" s="136"/>
      <c r="AW8" s="136"/>
      <c r="AX8" s="138">
        <v>14939948.117598057</v>
      </c>
      <c r="AY8" s="138">
        <v>16008685.399685273</v>
      </c>
      <c r="AZ8" s="138"/>
      <c r="BA8" s="138"/>
      <c r="BB8" s="138"/>
      <c r="BC8" s="138"/>
      <c r="BD8" s="138"/>
      <c r="BE8" s="138"/>
      <c r="BF8" s="139">
        <f t="shared" si="48"/>
        <v>14939948.117598057</v>
      </c>
      <c r="BG8" s="139">
        <f t="shared" si="49"/>
        <v>16008685.399685273</v>
      </c>
      <c r="BH8" s="139">
        <f t="shared" si="50"/>
        <v>0</v>
      </c>
      <c r="BI8" s="139">
        <f t="shared" si="51"/>
        <v>0</v>
      </c>
      <c r="BJ8" s="139">
        <f t="shared" si="4"/>
        <v>30948633.517283328</v>
      </c>
      <c r="BK8" s="140">
        <f t="shared" si="5"/>
        <v>29913919.940900002</v>
      </c>
      <c r="BL8" s="140">
        <f t="shared" si="52"/>
        <v>29913919.940900002</v>
      </c>
      <c r="BM8" s="141">
        <f t="shared" si="53"/>
        <v>1.0346</v>
      </c>
      <c r="BN8" s="142">
        <f t="shared" ca="1" si="6"/>
        <v>0</v>
      </c>
      <c r="BO8" s="143">
        <f t="shared" ca="1" si="7"/>
        <v>0</v>
      </c>
      <c r="BP8" s="144" t="str">
        <f t="shared" si="54"/>
        <v>Uncapped</v>
      </c>
      <c r="BQ8" s="140">
        <f t="shared" ca="1" si="8"/>
        <v>0</v>
      </c>
      <c r="BR8" s="138" t="s">
        <v>700</v>
      </c>
      <c r="BS8" s="158">
        <v>0.3</v>
      </c>
      <c r="BT8" s="138" t="s">
        <v>211</v>
      </c>
      <c r="BU8" s="157" t="s">
        <v>210</v>
      </c>
      <c r="BV8" s="138">
        <v>1760432.4949999999</v>
      </c>
      <c r="BW8" s="138">
        <v>2037608.1950000001</v>
      </c>
      <c r="BX8" s="138"/>
      <c r="BY8" s="138"/>
      <c r="BZ8" s="138">
        <v>1703577.8168999979</v>
      </c>
      <c r="CA8" s="138">
        <v>1923063.6852000002</v>
      </c>
      <c r="CB8" s="138"/>
      <c r="CC8" s="138"/>
      <c r="CD8" s="138"/>
      <c r="CE8" s="138"/>
      <c r="CF8" s="138"/>
      <c r="CG8" s="138"/>
      <c r="CH8" s="139">
        <f t="shared" si="55"/>
        <v>1703577.8168999979</v>
      </c>
      <c r="CI8" s="139">
        <f t="shared" si="56"/>
        <v>1923063.6852000002</v>
      </c>
      <c r="CJ8" s="145">
        <f t="shared" si="57"/>
        <v>0</v>
      </c>
      <c r="CK8" s="139">
        <f t="shared" si="58"/>
        <v>0</v>
      </c>
      <c r="CL8" s="139">
        <f t="shared" si="9"/>
        <v>3626641.5020999983</v>
      </c>
      <c r="CM8" s="139">
        <f t="shared" si="10"/>
        <v>3798040.69</v>
      </c>
      <c r="CN8" s="139">
        <f t="shared" si="59"/>
        <v>3798040.69</v>
      </c>
      <c r="CO8" s="141">
        <f t="shared" si="60"/>
        <v>0.95489999999999997</v>
      </c>
      <c r="CP8" s="142">
        <f t="shared" ca="1" si="61"/>
        <v>0</v>
      </c>
      <c r="CQ8" s="140">
        <f t="shared" ca="1" si="11"/>
        <v>0</v>
      </c>
      <c r="CR8" s="144" t="str">
        <f t="shared" si="12"/>
        <v>Uncapped</v>
      </c>
      <c r="CS8" s="140">
        <f t="shared" ca="1" si="13"/>
        <v>0</v>
      </c>
      <c r="CT8" s="138" t="s">
        <v>696</v>
      </c>
      <c r="CU8" s="146">
        <v>0.2</v>
      </c>
      <c r="CV8" s="138" t="s">
        <v>217</v>
      </c>
      <c r="CW8" s="138" t="s">
        <v>210</v>
      </c>
      <c r="CX8" s="138">
        <v>61881722.047854595</v>
      </c>
      <c r="CY8" s="138">
        <v>72180793.063260496</v>
      </c>
      <c r="CZ8" s="138"/>
      <c r="DA8" s="138"/>
      <c r="DB8" s="138">
        <v>63657388.730680585</v>
      </c>
      <c r="DC8" s="138">
        <v>65995192.891159989</v>
      </c>
      <c r="DD8" s="138"/>
      <c r="DE8" s="138"/>
      <c r="DF8" s="138"/>
      <c r="DG8" s="138"/>
      <c r="DH8" s="138"/>
      <c r="DI8" s="138"/>
      <c r="DJ8" s="139">
        <f t="shared" si="62"/>
        <v>63657388.730680585</v>
      </c>
      <c r="DK8" s="139">
        <f t="shared" si="63"/>
        <v>65995192.891159989</v>
      </c>
      <c r="DL8" s="139">
        <f t="shared" si="64"/>
        <v>0</v>
      </c>
      <c r="DM8" s="139">
        <f t="shared" si="65"/>
        <v>0</v>
      </c>
      <c r="DN8" s="139">
        <f t="shared" si="66"/>
        <v>129652581.62184057</v>
      </c>
      <c r="DO8" s="139">
        <f t="shared" si="14"/>
        <v>134062515.1111151</v>
      </c>
      <c r="DP8" s="139">
        <f t="shared" si="67"/>
        <v>134062515.1111151</v>
      </c>
      <c r="DQ8" s="141">
        <f t="shared" si="68"/>
        <v>0.96709999999999996</v>
      </c>
      <c r="DR8" s="142">
        <f t="shared" ca="1" si="15"/>
        <v>0</v>
      </c>
      <c r="DS8" s="140">
        <f t="shared" ca="1" si="16"/>
        <v>0</v>
      </c>
      <c r="DT8" s="144" t="str">
        <f t="shared" si="17"/>
        <v>Uncapped</v>
      </c>
      <c r="DU8" s="140">
        <f t="shared" ca="1" si="18"/>
        <v>0</v>
      </c>
      <c r="DV8" s="138"/>
      <c r="DW8" s="146">
        <v>0</v>
      </c>
      <c r="DX8" s="138"/>
      <c r="DY8" s="138"/>
      <c r="DZ8" s="138">
        <v>0</v>
      </c>
      <c r="EA8" s="138">
        <v>0</v>
      </c>
      <c r="EB8" s="138">
        <v>0</v>
      </c>
      <c r="EC8" s="138">
        <v>0</v>
      </c>
      <c r="ED8" s="138">
        <v>0</v>
      </c>
      <c r="EE8" s="138">
        <v>0</v>
      </c>
      <c r="EF8" s="138">
        <v>0</v>
      </c>
      <c r="EG8" s="138"/>
      <c r="EH8" s="138"/>
      <c r="EI8" s="138"/>
      <c r="EJ8" s="138"/>
      <c r="EK8" s="138"/>
      <c r="EL8" s="139">
        <f t="shared" si="69"/>
        <v>0</v>
      </c>
      <c r="EM8" s="139">
        <f t="shared" si="70"/>
        <v>0</v>
      </c>
      <c r="EN8" s="139">
        <f t="shared" si="71"/>
        <v>0</v>
      </c>
      <c r="EO8" s="139">
        <f t="shared" si="72"/>
        <v>0</v>
      </c>
      <c r="EP8" s="139">
        <f t="shared" si="19"/>
        <v>0</v>
      </c>
      <c r="EQ8" s="139">
        <f t="shared" si="20"/>
        <v>0</v>
      </c>
      <c r="ER8" s="139">
        <f t="shared" si="73"/>
        <v>0</v>
      </c>
      <c r="ES8" s="141">
        <f t="shared" si="74"/>
        <v>0</v>
      </c>
      <c r="ET8" s="142">
        <f t="shared" ca="1" si="75"/>
        <v>0</v>
      </c>
      <c r="EU8" s="140">
        <f t="shared" ca="1" si="21"/>
        <v>0</v>
      </c>
      <c r="EV8" s="144" t="str">
        <f t="shared" si="22"/>
        <v>Uncapped</v>
      </c>
      <c r="EW8" s="140">
        <f t="shared" ca="1" si="23"/>
        <v>0</v>
      </c>
      <c r="EX8" s="137">
        <f t="shared" ca="1" si="24"/>
        <v>0</v>
      </c>
      <c r="EY8" s="139">
        <f t="shared" ca="1" si="76"/>
        <v>0</v>
      </c>
      <c r="EZ8" s="140">
        <v>0</v>
      </c>
      <c r="FA8" s="140">
        <v>225350</v>
      </c>
      <c r="FB8" s="140"/>
      <c r="FC8" s="140">
        <v>0</v>
      </c>
      <c r="FD8" s="140">
        <f t="shared" si="25"/>
        <v>225350</v>
      </c>
      <c r="FE8" s="139">
        <f t="shared" si="26"/>
        <v>0</v>
      </c>
      <c r="FF8" s="140">
        <v>0</v>
      </c>
      <c r="FG8" s="140">
        <v>0</v>
      </c>
      <c r="FH8" s="140">
        <v>0</v>
      </c>
      <c r="FI8" s="140">
        <v>0</v>
      </c>
      <c r="FJ8" s="140">
        <f t="shared" si="27"/>
        <v>0</v>
      </c>
      <c r="FK8" s="139">
        <f t="shared" si="28"/>
        <v>0</v>
      </c>
      <c r="FL8" s="138"/>
      <c r="FM8" s="136"/>
      <c r="FN8" s="136"/>
      <c r="FO8" s="136"/>
      <c r="FP8" s="140">
        <f t="shared" si="29"/>
        <v>0</v>
      </c>
      <c r="FQ8" s="140"/>
      <c r="FR8" s="140"/>
      <c r="FS8" s="140"/>
      <c r="FT8" s="139">
        <f t="shared" si="77"/>
        <v>0</v>
      </c>
      <c r="FU8" s="365">
        <f t="shared" ref="FU8:FU65" ca="1" si="79">ROUND(MAX(FV8-FT8,0),2)</f>
        <v>225350</v>
      </c>
      <c r="FV8" s="147">
        <f t="shared" ca="1" si="78"/>
        <v>225350</v>
      </c>
      <c r="FW8" s="139">
        <f t="shared" si="30"/>
        <v>0</v>
      </c>
      <c r="FX8" s="139">
        <f t="shared" si="30"/>
        <v>0</v>
      </c>
      <c r="FY8" s="139">
        <f t="shared" si="30"/>
        <v>0</v>
      </c>
      <c r="FZ8" s="139">
        <f t="shared" si="30"/>
        <v>0</v>
      </c>
      <c r="GA8" s="139">
        <f t="shared" si="31"/>
        <v>0</v>
      </c>
      <c r="GB8" s="139">
        <f t="shared" si="32"/>
        <v>0</v>
      </c>
      <c r="GC8" s="139">
        <f t="shared" si="32"/>
        <v>225350</v>
      </c>
      <c r="GD8" s="139">
        <f t="shared" si="32"/>
        <v>0</v>
      </c>
      <c r="GE8" s="139">
        <f t="shared" si="32"/>
        <v>0</v>
      </c>
      <c r="GF8" s="139">
        <f t="shared" si="33"/>
        <v>0</v>
      </c>
      <c r="GG8" s="139">
        <f t="shared" si="33"/>
        <v>225350</v>
      </c>
      <c r="GH8" s="139">
        <f t="shared" si="33"/>
        <v>0</v>
      </c>
      <c r="GI8" s="139">
        <f t="shared" si="33"/>
        <v>0</v>
      </c>
      <c r="GJ8" s="140">
        <f t="shared" si="34"/>
        <v>225350</v>
      </c>
      <c r="GK8" s="139">
        <f t="shared" si="35"/>
        <v>225350</v>
      </c>
      <c r="GL8" s="139">
        <f t="shared" si="36"/>
        <v>0</v>
      </c>
      <c r="GM8" s="139">
        <f t="shared" si="37"/>
        <v>0</v>
      </c>
      <c r="GN8" s="139">
        <f t="shared" si="38"/>
        <v>0</v>
      </c>
      <c r="GO8" s="139">
        <f t="shared" si="39"/>
        <v>0</v>
      </c>
      <c r="GP8" s="139">
        <f t="shared" si="40"/>
        <v>0</v>
      </c>
      <c r="GQ8" s="139">
        <f t="shared" si="41"/>
        <v>0</v>
      </c>
      <c r="GR8" s="409"/>
      <c r="GS8" s="148">
        <f t="shared" si="42"/>
        <v>164227856.64122391</v>
      </c>
      <c r="GT8" s="148">
        <f t="shared" si="43"/>
        <v>167774475.74201509</v>
      </c>
      <c r="GU8" s="149">
        <f t="shared" si="44"/>
        <v>0.97886079461666875</v>
      </c>
      <c r="GV8" s="150">
        <f t="shared" ca="1" si="45"/>
        <v>0</v>
      </c>
      <c r="GW8" s="150">
        <v>0</v>
      </c>
      <c r="GX8" s="151">
        <f t="shared" ca="1" si="46"/>
        <v>0</v>
      </c>
      <c r="GY8" s="100"/>
    </row>
    <row r="9" spans="1:207" s="125" customFormat="1" ht="15" hidden="1" customHeight="1">
      <c r="A9" s="102"/>
      <c r="B9" s="103"/>
      <c r="C9" s="103"/>
      <c r="D9" s="104"/>
      <c r="E9" s="104" t="s">
        <v>224</v>
      </c>
      <c r="F9" s="104" t="s">
        <v>224</v>
      </c>
      <c r="G9" s="104" t="s">
        <v>226</v>
      </c>
      <c r="H9" s="105" t="s">
        <v>241</v>
      </c>
      <c r="I9" s="106" t="s">
        <v>242</v>
      </c>
      <c r="J9" s="104" t="s">
        <v>212</v>
      </c>
      <c r="K9" s="104" t="s">
        <v>208</v>
      </c>
      <c r="L9" s="104" t="s">
        <v>220</v>
      </c>
      <c r="M9" s="104" t="s">
        <v>714</v>
      </c>
      <c r="N9" s="107"/>
      <c r="O9" s="549">
        <v>41376</v>
      </c>
      <c r="P9" s="108">
        <v>41640</v>
      </c>
      <c r="Q9" s="322">
        <f t="shared" si="0"/>
        <v>0</v>
      </c>
      <c r="R9" s="109">
        <f>IF((P9-VLOOKUP(Q9,month!$A$1:$C$13,3,0))&lt;0,Q9,Q9+1)</f>
        <v>0</v>
      </c>
      <c r="S9" s="108"/>
      <c r="T9" s="110" t="str">
        <f t="shared" si="1"/>
        <v/>
      </c>
      <c r="U9" s="107"/>
      <c r="V9" s="107"/>
      <c r="W9" s="107"/>
      <c r="X9" s="107"/>
      <c r="Y9" s="386"/>
      <c r="Z9" s="386" t="s">
        <v>545</v>
      </c>
      <c r="AA9" s="387">
        <v>1000</v>
      </c>
      <c r="AB9" s="387">
        <v>1000</v>
      </c>
      <c r="AC9" s="387">
        <v>1000</v>
      </c>
      <c r="AD9" s="387">
        <v>1000</v>
      </c>
      <c r="AE9" s="387">
        <v>1000</v>
      </c>
      <c r="AF9" s="387">
        <v>1000</v>
      </c>
      <c r="AG9" s="387">
        <v>1000</v>
      </c>
      <c r="AH9" s="387">
        <v>1000</v>
      </c>
      <c r="AI9" s="387">
        <v>1000</v>
      </c>
      <c r="AJ9" s="387">
        <v>1000</v>
      </c>
      <c r="AK9" s="387">
        <v>1000</v>
      </c>
      <c r="AL9" s="387">
        <v>1000</v>
      </c>
      <c r="AM9" s="388">
        <f t="shared" si="2"/>
        <v>12000</v>
      </c>
      <c r="AN9" s="388">
        <f t="shared" si="3"/>
        <v>12000</v>
      </c>
      <c r="AO9" s="389">
        <f t="shared" si="47"/>
        <v>1000</v>
      </c>
      <c r="AP9" s="498" t="s">
        <v>675</v>
      </c>
      <c r="AQ9" s="159">
        <v>0.6</v>
      </c>
      <c r="AR9" s="160" t="s">
        <v>211</v>
      </c>
      <c r="AS9" s="119" t="s">
        <v>210</v>
      </c>
      <c r="AT9" s="111">
        <v>700090.29200000002</v>
      </c>
      <c r="AU9" s="111">
        <v>799529.95799999998</v>
      </c>
      <c r="AV9" s="111"/>
      <c r="AW9" s="111"/>
      <c r="AX9" s="113">
        <v>556659.13680000056</v>
      </c>
      <c r="AY9" s="113">
        <v>842241.95999999938</v>
      </c>
      <c r="AZ9" s="113"/>
      <c r="BA9" s="113"/>
      <c r="BB9" s="113"/>
      <c r="BC9" s="113"/>
      <c r="BD9" s="113"/>
      <c r="BE9" s="113"/>
      <c r="BF9" s="114">
        <f t="shared" si="48"/>
        <v>556659.13680000056</v>
      </c>
      <c r="BG9" s="114">
        <f t="shared" si="49"/>
        <v>842241.95999999938</v>
      </c>
      <c r="BH9" s="114">
        <f t="shared" si="50"/>
        <v>0</v>
      </c>
      <c r="BI9" s="114">
        <f t="shared" si="51"/>
        <v>0</v>
      </c>
      <c r="BJ9" s="114">
        <f t="shared" si="4"/>
        <v>1398901.0967999999</v>
      </c>
      <c r="BK9" s="115">
        <f t="shared" si="5"/>
        <v>1499620.25</v>
      </c>
      <c r="BL9" s="115">
        <f t="shared" si="52"/>
        <v>1499620.25</v>
      </c>
      <c r="BM9" s="116">
        <f t="shared" si="53"/>
        <v>0.93279999999999996</v>
      </c>
      <c r="BN9" s="126">
        <f t="shared" ca="1" si="6"/>
        <v>0</v>
      </c>
      <c r="BO9" s="117">
        <f t="shared" ca="1" si="7"/>
        <v>0</v>
      </c>
      <c r="BP9" s="118" t="str">
        <f t="shared" si="54"/>
        <v>Uncapped</v>
      </c>
      <c r="BQ9" s="115">
        <f t="shared" ca="1" si="8"/>
        <v>0</v>
      </c>
      <c r="BR9" s="113" t="s">
        <v>688</v>
      </c>
      <c r="BS9" s="161">
        <v>0.2</v>
      </c>
      <c r="BT9" s="113" t="s">
        <v>211</v>
      </c>
      <c r="BU9" s="160" t="s">
        <v>210</v>
      </c>
      <c r="BV9" s="113">
        <v>19653413.080999997</v>
      </c>
      <c r="BW9" s="113">
        <v>22848780.235100001</v>
      </c>
      <c r="BX9" s="113"/>
      <c r="BY9" s="113"/>
      <c r="BZ9" s="113">
        <v>19427532.107000571</v>
      </c>
      <c r="CA9" s="113">
        <v>22270538.357580002</v>
      </c>
      <c r="CB9" s="113"/>
      <c r="CC9" s="113"/>
      <c r="CD9" s="113"/>
      <c r="CE9" s="113"/>
      <c r="CF9" s="113"/>
      <c r="CG9" s="113"/>
      <c r="CH9" s="114">
        <f t="shared" si="55"/>
        <v>19427532.107000571</v>
      </c>
      <c r="CI9" s="114">
        <f t="shared" si="56"/>
        <v>22270538.357580002</v>
      </c>
      <c r="CJ9" s="120">
        <f t="shared" si="57"/>
        <v>0</v>
      </c>
      <c r="CK9" s="114">
        <f t="shared" si="58"/>
        <v>0</v>
      </c>
      <c r="CL9" s="114">
        <f t="shared" si="9"/>
        <v>41698070.464580573</v>
      </c>
      <c r="CM9" s="114">
        <f t="shared" si="10"/>
        <v>42502193.316100001</v>
      </c>
      <c r="CN9" s="114">
        <f t="shared" si="59"/>
        <v>42502193.316100001</v>
      </c>
      <c r="CO9" s="116">
        <f t="shared" si="60"/>
        <v>0.98109999999999997</v>
      </c>
      <c r="CP9" s="126">
        <f t="shared" ca="1" si="61"/>
        <v>0</v>
      </c>
      <c r="CQ9" s="115">
        <f t="shared" ca="1" si="11"/>
        <v>0</v>
      </c>
      <c r="CR9" s="118" t="str">
        <f t="shared" si="12"/>
        <v>Uncapped</v>
      </c>
      <c r="CS9" s="115">
        <f t="shared" ca="1" si="13"/>
        <v>0</v>
      </c>
      <c r="CT9" s="113" t="s">
        <v>696</v>
      </c>
      <c r="CU9" s="119">
        <v>0.2</v>
      </c>
      <c r="CV9" s="113" t="s">
        <v>217</v>
      </c>
      <c r="CW9" s="113" t="s">
        <v>210</v>
      </c>
      <c r="CX9" s="113">
        <v>61881722.047854595</v>
      </c>
      <c r="CY9" s="113">
        <v>72180793.063260496</v>
      </c>
      <c r="CZ9" s="113"/>
      <c r="DA9" s="113"/>
      <c r="DB9" s="113">
        <v>63657388.730680585</v>
      </c>
      <c r="DC9" s="113">
        <v>65995192.891159989</v>
      </c>
      <c r="DD9" s="113"/>
      <c r="DE9" s="113"/>
      <c r="DF9" s="113"/>
      <c r="DG9" s="113"/>
      <c r="DH9" s="113"/>
      <c r="DI9" s="113"/>
      <c r="DJ9" s="114">
        <f t="shared" si="62"/>
        <v>63657388.730680585</v>
      </c>
      <c r="DK9" s="114">
        <f t="shared" si="63"/>
        <v>65995192.891159989</v>
      </c>
      <c r="DL9" s="114">
        <f t="shared" si="64"/>
        <v>0</v>
      </c>
      <c r="DM9" s="114">
        <f t="shared" si="65"/>
        <v>0</v>
      </c>
      <c r="DN9" s="114">
        <f t="shared" si="66"/>
        <v>129652581.62184057</v>
      </c>
      <c r="DO9" s="114">
        <f t="shared" si="14"/>
        <v>134062515.1111151</v>
      </c>
      <c r="DP9" s="114">
        <f t="shared" si="67"/>
        <v>134062515.1111151</v>
      </c>
      <c r="DQ9" s="116">
        <f t="shared" si="68"/>
        <v>0.96709999999999996</v>
      </c>
      <c r="DR9" s="126">
        <f t="shared" ca="1" si="15"/>
        <v>0</v>
      </c>
      <c r="DS9" s="115">
        <f t="shared" ca="1" si="16"/>
        <v>0</v>
      </c>
      <c r="DT9" s="118" t="str">
        <f t="shared" si="17"/>
        <v>Uncapped</v>
      </c>
      <c r="DU9" s="115">
        <f t="shared" ca="1" si="18"/>
        <v>0</v>
      </c>
      <c r="DV9" s="113"/>
      <c r="DW9" s="119">
        <v>0</v>
      </c>
      <c r="DX9" s="113"/>
      <c r="DY9" s="113"/>
      <c r="DZ9" s="113">
        <v>0</v>
      </c>
      <c r="EA9" s="113">
        <v>0</v>
      </c>
      <c r="EB9" s="113">
        <v>0</v>
      </c>
      <c r="EC9" s="113">
        <v>0</v>
      </c>
      <c r="ED9" s="113">
        <v>0</v>
      </c>
      <c r="EE9" s="113">
        <v>0</v>
      </c>
      <c r="EF9" s="113"/>
      <c r="EG9" s="113"/>
      <c r="EH9" s="113"/>
      <c r="EI9" s="113"/>
      <c r="EJ9" s="113"/>
      <c r="EK9" s="113"/>
      <c r="EL9" s="114">
        <f t="shared" si="69"/>
        <v>0</v>
      </c>
      <c r="EM9" s="114">
        <f t="shared" si="70"/>
        <v>0</v>
      </c>
      <c r="EN9" s="114">
        <f t="shared" si="71"/>
        <v>0</v>
      </c>
      <c r="EO9" s="114">
        <f t="shared" si="72"/>
        <v>0</v>
      </c>
      <c r="EP9" s="114">
        <f t="shared" si="19"/>
        <v>0</v>
      </c>
      <c r="EQ9" s="114">
        <f t="shared" si="20"/>
        <v>0</v>
      </c>
      <c r="ER9" s="114">
        <f t="shared" si="73"/>
        <v>0</v>
      </c>
      <c r="ES9" s="116">
        <f t="shared" si="74"/>
        <v>0</v>
      </c>
      <c r="ET9" s="126">
        <f t="shared" ca="1" si="75"/>
        <v>0</v>
      </c>
      <c r="EU9" s="115">
        <f t="shared" ca="1" si="21"/>
        <v>0</v>
      </c>
      <c r="EV9" s="118" t="str">
        <f t="shared" si="22"/>
        <v>Uncapped</v>
      </c>
      <c r="EW9" s="115">
        <f t="shared" ca="1" si="23"/>
        <v>0</v>
      </c>
      <c r="EX9" s="112">
        <f t="shared" ca="1" si="24"/>
        <v>0</v>
      </c>
      <c r="EY9" s="114">
        <f t="shared" ca="1" si="76"/>
        <v>0</v>
      </c>
      <c r="EZ9" s="115">
        <v>0</v>
      </c>
      <c r="FA9" s="115"/>
      <c r="FB9" s="115"/>
      <c r="FC9" s="115">
        <v>0</v>
      </c>
      <c r="FD9" s="115">
        <f t="shared" si="25"/>
        <v>0</v>
      </c>
      <c r="FE9" s="114">
        <f t="shared" si="26"/>
        <v>0</v>
      </c>
      <c r="FF9" s="115">
        <v>0</v>
      </c>
      <c r="FG9" s="115">
        <v>0</v>
      </c>
      <c r="FH9" s="115">
        <v>0</v>
      </c>
      <c r="FI9" s="115">
        <v>0</v>
      </c>
      <c r="FJ9" s="115">
        <f t="shared" si="27"/>
        <v>0</v>
      </c>
      <c r="FK9" s="114">
        <f t="shared" si="28"/>
        <v>0</v>
      </c>
      <c r="FL9" s="113"/>
      <c r="FM9" s="111"/>
      <c r="FN9" s="111"/>
      <c r="FO9" s="111"/>
      <c r="FP9" s="115">
        <f t="shared" si="29"/>
        <v>0</v>
      </c>
      <c r="FQ9" s="115"/>
      <c r="FR9" s="115"/>
      <c r="FS9" s="115"/>
      <c r="FT9" s="114">
        <f t="shared" si="77"/>
        <v>0</v>
      </c>
      <c r="FU9" s="366">
        <f t="shared" ca="1" si="79"/>
        <v>0</v>
      </c>
      <c r="FV9" s="121">
        <f t="shared" ca="1" si="78"/>
        <v>0</v>
      </c>
      <c r="FW9" s="114">
        <f t="shared" si="30"/>
        <v>0</v>
      </c>
      <c r="FX9" s="114">
        <f t="shared" si="30"/>
        <v>0</v>
      </c>
      <c r="FY9" s="114">
        <f t="shared" si="30"/>
        <v>0</v>
      </c>
      <c r="FZ9" s="114">
        <f t="shared" si="30"/>
        <v>0</v>
      </c>
      <c r="GA9" s="114">
        <f t="shared" si="31"/>
        <v>0</v>
      </c>
      <c r="GB9" s="114">
        <f t="shared" si="32"/>
        <v>0</v>
      </c>
      <c r="GC9" s="114">
        <f t="shared" si="32"/>
        <v>0</v>
      </c>
      <c r="GD9" s="114">
        <f t="shared" si="32"/>
        <v>0</v>
      </c>
      <c r="GE9" s="114">
        <f t="shared" si="32"/>
        <v>0</v>
      </c>
      <c r="GF9" s="114">
        <f t="shared" si="33"/>
        <v>0</v>
      </c>
      <c r="GG9" s="114">
        <f t="shared" si="33"/>
        <v>0</v>
      </c>
      <c r="GH9" s="114">
        <f t="shared" si="33"/>
        <v>0</v>
      </c>
      <c r="GI9" s="114">
        <f t="shared" si="33"/>
        <v>0</v>
      </c>
      <c r="GJ9" s="115">
        <f t="shared" si="34"/>
        <v>0</v>
      </c>
      <c r="GK9" s="114">
        <f t="shared" si="35"/>
        <v>0</v>
      </c>
      <c r="GL9" s="114">
        <f t="shared" si="36"/>
        <v>0</v>
      </c>
      <c r="GM9" s="114">
        <f t="shared" si="37"/>
        <v>0</v>
      </c>
      <c r="GN9" s="114">
        <f t="shared" si="38"/>
        <v>0</v>
      </c>
      <c r="GO9" s="114">
        <f t="shared" si="39"/>
        <v>0</v>
      </c>
      <c r="GP9" s="114">
        <f t="shared" si="40"/>
        <v>0</v>
      </c>
      <c r="GQ9" s="114">
        <f t="shared" si="41"/>
        <v>0</v>
      </c>
      <c r="GR9" s="193"/>
      <c r="GS9" s="122">
        <f t="shared" si="42"/>
        <v>172749553.18322113</v>
      </c>
      <c r="GT9" s="122">
        <f t="shared" si="43"/>
        <v>178064328.6772151</v>
      </c>
      <c r="GU9" s="123">
        <f t="shared" si="44"/>
        <v>0.97015249750763788</v>
      </c>
      <c r="GV9" s="124">
        <f t="shared" ca="1" si="45"/>
        <v>0</v>
      </c>
      <c r="GW9" s="124">
        <v>0</v>
      </c>
      <c r="GX9" s="32">
        <f t="shared" ca="1" si="46"/>
        <v>0</v>
      </c>
      <c r="GY9" s="100"/>
    </row>
    <row r="10" spans="1:207" s="125" customFormat="1" ht="15" hidden="1" customHeight="1">
      <c r="A10" s="102"/>
      <c r="B10" s="103"/>
      <c r="C10" s="103"/>
      <c r="D10" s="104"/>
      <c r="E10" s="104" t="s">
        <v>224</v>
      </c>
      <c r="F10" s="104" t="s">
        <v>243</v>
      </c>
      <c r="G10" s="104" t="s">
        <v>226</v>
      </c>
      <c r="H10" s="105" t="s">
        <v>244</v>
      </c>
      <c r="I10" s="106" t="s">
        <v>245</v>
      </c>
      <c r="J10" s="104" t="s">
        <v>207</v>
      </c>
      <c r="K10" s="104" t="s">
        <v>208</v>
      </c>
      <c r="L10" s="104" t="s">
        <v>246</v>
      </c>
      <c r="M10" s="104" t="s">
        <v>247</v>
      </c>
      <c r="N10" s="107"/>
      <c r="O10" s="108">
        <v>41376</v>
      </c>
      <c r="P10" s="108">
        <v>43313</v>
      </c>
      <c r="Q10" s="322">
        <f t="shared" si="0"/>
        <v>0</v>
      </c>
      <c r="R10" s="109">
        <f>IF((P10-VLOOKUP(Q10,month!$A$1:$C$13,3,0))&lt;0,Q10,Q10+1)</f>
        <v>0</v>
      </c>
      <c r="S10" s="108"/>
      <c r="T10" s="127" t="str">
        <f t="shared" si="1"/>
        <v/>
      </c>
      <c r="U10" s="107"/>
      <c r="V10" s="107"/>
      <c r="W10" s="107"/>
      <c r="X10" s="107"/>
      <c r="Y10" s="386"/>
      <c r="Z10" s="386" t="s">
        <v>545</v>
      </c>
      <c r="AA10" s="387">
        <v>1000</v>
      </c>
      <c r="AB10" s="387">
        <v>1000</v>
      </c>
      <c r="AC10" s="387">
        <v>1000</v>
      </c>
      <c r="AD10" s="387">
        <v>1000</v>
      </c>
      <c r="AE10" s="387">
        <v>1000</v>
      </c>
      <c r="AF10" s="387">
        <v>1000</v>
      </c>
      <c r="AG10" s="387">
        <v>1000</v>
      </c>
      <c r="AH10" s="387">
        <v>1000</v>
      </c>
      <c r="AI10" s="387">
        <v>1000</v>
      </c>
      <c r="AJ10" s="387">
        <v>1000</v>
      </c>
      <c r="AK10" s="387">
        <v>1000</v>
      </c>
      <c r="AL10" s="387">
        <v>1000</v>
      </c>
      <c r="AM10" s="388">
        <f t="shared" si="2"/>
        <v>12000</v>
      </c>
      <c r="AN10" s="388">
        <f t="shared" si="3"/>
        <v>12000</v>
      </c>
      <c r="AO10" s="389">
        <f t="shared" si="47"/>
        <v>1000</v>
      </c>
      <c r="AP10" s="498" t="s">
        <v>684</v>
      </c>
      <c r="AQ10" s="159">
        <v>0.8</v>
      </c>
      <c r="AR10" s="160" t="s">
        <v>211</v>
      </c>
      <c r="AS10" s="119" t="s">
        <v>210</v>
      </c>
      <c r="AT10" s="111">
        <v>5487270.5779999997</v>
      </c>
      <c r="AU10" s="111">
        <v>6585543.1469999989</v>
      </c>
      <c r="AV10" s="111">
        <v>5336814.9539999999</v>
      </c>
      <c r="AW10" s="111">
        <v>6526505.9210000001</v>
      </c>
      <c r="AX10" s="113">
        <v>5253705.8622000199</v>
      </c>
      <c r="AY10" s="113">
        <v>6486860.7639000099</v>
      </c>
      <c r="AZ10" s="113">
        <v>5185416.014100017</v>
      </c>
      <c r="BA10" s="113"/>
      <c r="BB10" s="113"/>
      <c r="BC10" s="113"/>
      <c r="BD10" s="113"/>
      <c r="BE10" s="113"/>
      <c r="BF10" s="114">
        <f t="shared" si="48"/>
        <v>5253705.8622000199</v>
      </c>
      <c r="BG10" s="114">
        <f t="shared" si="49"/>
        <v>6486860.7639000099</v>
      </c>
      <c r="BH10" s="114">
        <f t="shared" si="50"/>
        <v>5185416.014100017</v>
      </c>
      <c r="BI10" s="114">
        <f t="shared" si="51"/>
        <v>0</v>
      </c>
      <c r="BJ10" s="114">
        <f t="shared" si="4"/>
        <v>16925982.640200049</v>
      </c>
      <c r="BK10" s="115">
        <f t="shared" si="5"/>
        <v>23936134.599999998</v>
      </c>
      <c r="BL10" s="115">
        <f t="shared" si="52"/>
        <v>23936134.599999998</v>
      </c>
      <c r="BM10" s="116">
        <f t="shared" si="53"/>
        <v>0.70709999999999995</v>
      </c>
      <c r="BN10" s="126">
        <f t="shared" ca="1" si="6"/>
        <v>0</v>
      </c>
      <c r="BO10" s="117">
        <f t="shared" ca="1" si="7"/>
        <v>0</v>
      </c>
      <c r="BP10" s="118" t="str">
        <f t="shared" si="54"/>
        <v>Uncapped</v>
      </c>
      <c r="BQ10" s="115">
        <f t="shared" ca="1" si="8"/>
        <v>0</v>
      </c>
      <c r="BR10" s="113" t="s">
        <v>688</v>
      </c>
      <c r="BS10" s="161">
        <v>0.2</v>
      </c>
      <c r="BT10" s="113" t="s">
        <v>217</v>
      </c>
      <c r="BU10" s="160" t="s">
        <v>210</v>
      </c>
      <c r="BV10" s="113">
        <v>19653413.080999997</v>
      </c>
      <c r="BW10" s="113">
        <v>22848780.235100001</v>
      </c>
      <c r="BX10" s="113">
        <v>22618799.574099999</v>
      </c>
      <c r="BY10" s="113">
        <v>27098464.121500004</v>
      </c>
      <c r="BZ10" s="113">
        <v>19427532.107000571</v>
      </c>
      <c r="CA10" s="113">
        <v>22270538.357580002</v>
      </c>
      <c r="CB10" s="113">
        <v>22879083.486580007</v>
      </c>
      <c r="CC10" s="113"/>
      <c r="CD10" s="113"/>
      <c r="CE10" s="113"/>
      <c r="CF10" s="113"/>
      <c r="CG10" s="113"/>
      <c r="CH10" s="114">
        <f t="shared" si="55"/>
        <v>19427532.107000571</v>
      </c>
      <c r="CI10" s="114">
        <f t="shared" si="56"/>
        <v>22270538.357580002</v>
      </c>
      <c r="CJ10" s="120">
        <f t="shared" si="57"/>
        <v>22879083.486580007</v>
      </c>
      <c r="CK10" s="114">
        <f t="shared" si="58"/>
        <v>0</v>
      </c>
      <c r="CL10" s="114">
        <f t="shared" si="9"/>
        <v>64577153.95116058</v>
      </c>
      <c r="CM10" s="114">
        <f t="shared" si="10"/>
        <v>92219457.011700004</v>
      </c>
      <c r="CN10" s="114">
        <f t="shared" si="59"/>
        <v>92219457.011700004</v>
      </c>
      <c r="CO10" s="116">
        <f t="shared" si="60"/>
        <v>0.70030000000000003</v>
      </c>
      <c r="CP10" s="126">
        <f t="shared" ca="1" si="61"/>
        <v>0</v>
      </c>
      <c r="CQ10" s="115">
        <f t="shared" ca="1" si="11"/>
        <v>0</v>
      </c>
      <c r="CR10" s="118" t="str">
        <f t="shared" si="12"/>
        <v>Uncapped</v>
      </c>
      <c r="CS10" s="115">
        <f t="shared" ca="1" si="13"/>
        <v>0</v>
      </c>
      <c r="CT10" s="113"/>
      <c r="CU10" s="119">
        <v>0</v>
      </c>
      <c r="CV10" s="113"/>
      <c r="CW10" s="113"/>
      <c r="CX10" s="113">
        <v>0</v>
      </c>
      <c r="CY10" s="113">
        <v>0</v>
      </c>
      <c r="CZ10" s="113">
        <v>0</v>
      </c>
      <c r="DA10" s="113">
        <v>0</v>
      </c>
      <c r="DB10" s="113">
        <v>0</v>
      </c>
      <c r="DC10" s="113">
        <v>0</v>
      </c>
      <c r="DD10" s="113">
        <v>0</v>
      </c>
      <c r="DE10" s="113"/>
      <c r="DF10" s="113"/>
      <c r="DG10" s="113"/>
      <c r="DH10" s="113"/>
      <c r="DI10" s="113"/>
      <c r="DJ10" s="114">
        <f t="shared" si="62"/>
        <v>0</v>
      </c>
      <c r="DK10" s="114">
        <f t="shared" si="63"/>
        <v>0</v>
      </c>
      <c r="DL10" s="114">
        <f t="shared" si="64"/>
        <v>0</v>
      </c>
      <c r="DM10" s="114">
        <f t="shared" si="65"/>
        <v>0</v>
      </c>
      <c r="DN10" s="114">
        <f t="shared" si="66"/>
        <v>0</v>
      </c>
      <c r="DO10" s="114">
        <f t="shared" si="14"/>
        <v>0</v>
      </c>
      <c r="DP10" s="114">
        <f t="shared" si="67"/>
        <v>0</v>
      </c>
      <c r="DQ10" s="116">
        <f t="shared" si="68"/>
        <v>0</v>
      </c>
      <c r="DR10" s="126">
        <f t="shared" ca="1" si="15"/>
        <v>0</v>
      </c>
      <c r="DS10" s="115">
        <f t="shared" ca="1" si="16"/>
        <v>0</v>
      </c>
      <c r="DT10" s="118" t="str">
        <f t="shared" si="17"/>
        <v>Uncapped</v>
      </c>
      <c r="DU10" s="115">
        <f t="shared" ca="1" si="18"/>
        <v>0</v>
      </c>
      <c r="DV10" s="113"/>
      <c r="DW10" s="119">
        <v>0</v>
      </c>
      <c r="DX10" s="113"/>
      <c r="DY10" s="113"/>
      <c r="DZ10" s="113">
        <v>0</v>
      </c>
      <c r="EA10" s="113">
        <v>0</v>
      </c>
      <c r="EB10" s="113">
        <v>0</v>
      </c>
      <c r="EC10" s="113">
        <v>0</v>
      </c>
      <c r="ED10" s="113">
        <v>0</v>
      </c>
      <c r="EE10" s="113">
        <v>0</v>
      </c>
      <c r="EF10" s="113"/>
      <c r="EG10" s="113"/>
      <c r="EH10" s="113"/>
      <c r="EI10" s="113"/>
      <c r="EJ10" s="113"/>
      <c r="EK10" s="113"/>
      <c r="EL10" s="114">
        <f t="shared" si="69"/>
        <v>0</v>
      </c>
      <c r="EM10" s="114">
        <f t="shared" si="70"/>
        <v>0</v>
      </c>
      <c r="EN10" s="114">
        <f t="shared" si="71"/>
        <v>0</v>
      </c>
      <c r="EO10" s="114">
        <f t="shared" si="72"/>
        <v>0</v>
      </c>
      <c r="EP10" s="114">
        <f t="shared" si="19"/>
        <v>0</v>
      </c>
      <c r="EQ10" s="114">
        <f t="shared" si="20"/>
        <v>0</v>
      </c>
      <c r="ER10" s="114">
        <f t="shared" si="73"/>
        <v>0</v>
      </c>
      <c r="ES10" s="116">
        <f t="shared" si="74"/>
        <v>0</v>
      </c>
      <c r="ET10" s="126">
        <f t="shared" ca="1" si="75"/>
        <v>0</v>
      </c>
      <c r="EU10" s="115">
        <f t="shared" ca="1" si="21"/>
        <v>0</v>
      </c>
      <c r="EV10" s="118" t="str">
        <f t="shared" si="22"/>
        <v>Uncapped</v>
      </c>
      <c r="EW10" s="115">
        <f t="shared" ca="1" si="23"/>
        <v>0</v>
      </c>
      <c r="EX10" s="112">
        <f t="shared" ca="1" si="24"/>
        <v>0</v>
      </c>
      <c r="EY10" s="114">
        <f t="shared" ca="1" si="76"/>
        <v>0</v>
      </c>
      <c r="EZ10" s="115">
        <v>0</v>
      </c>
      <c r="FA10" s="115"/>
      <c r="FB10" s="115"/>
      <c r="FC10" s="115">
        <v>0</v>
      </c>
      <c r="FD10" s="115">
        <f t="shared" si="25"/>
        <v>0</v>
      </c>
      <c r="FE10" s="114">
        <f t="shared" si="26"/>
        <v>0</v>
      </c>
      <c r="FF10" s="115">
        <v>0</v>
      </c>
      <c r="FG10" s="115">
        <v>0</v>
      </c>
      <c r="FH10" s="115">
        <v>0</v>
      </c>
      <c r="FI10" s="115">
        <v>0</v>
      </c>
      <c r="FJ10" s="115">
        <f t="shared" si="27"/>
        <v>0</v>
      </c>
      <c r="FK10" s="114">
        <f t="shared" si="28"/>
        <v>0</v>
      </c>
      <c r="FL10" s="113"/>
      <c r="FM10" s="111"/>
      <c r="FN10" s="111"/>
      <c r="FO10" s="111"/>
      <c r="FP10" s="115">
        <f t="shared" si="29"/>
        <v>0</v>
      </c>
      <c r="FQ10" s="115"/>
      <c r="FR10" s="115"/>
      <c r="FS10" s="115"/>
      <c r="FT10" s="114">
        <f t="shared" si="77"/>
        <v>0</v>
      </c>
      <c r="FU10" s="366">
        <f t="shared" ca="1" si="79"/>
        <v>0</v>
      </c>
      <c r="FV10" s="121">
        <f t="shared" ca="1" si="78"/>
        <v>0</v>
      </c>
      <c r="FW10" s="114">
        <f t="shared" si="30"/>
        <v>0</v>
      </c>
      <c r="FX10" s="114">
        <f t="shared" si="30"/>
        <v>0</v>
      </c>
      <c r="FY10" s="114">
        <f t="shared" si="30"/>
        <v>0</v>
      </c>
      <c r="FZ10" s="114">
        <f t="shared" si="30"/>
        <v>0</v>
      </c>
      <c r="GA10" s="114">
        <f t="shared" si="31"/>
        <v>0</v>
      </c>
      <c r="GB10" s="114">
        <f t="shared" si="32"/>
        <v>0</v>
      </c>
      <c r="GC10" s="114">
        <f t="shared" si="32"/>
        <v>0</v>
      </c>
      <c r="GD10" s="114">
        <f t="shared" si="32"/>
        <v>0</v>
      </c>
      <c r="GE10" s="114">
        <f t="shared" si="32"/>
        <v>0</v>
      </c>
      <c r="GF10" s="114">
        <f t="shared" si="33"/>
        <v>0</v>
      </c>
      <c r="GG10" s="114">
        <f t="shared" si="33"/>
        <v>0</v>
      </c>
      <c r="GH10" s="114">
        <f t="shared" si="33"/>
        <v>0</v>
      </c>
      <c r="GI10" s="114">
        <f t="shared" si="33"/>
        <v>0</v>
      </c>
      <c r="GJ10" s="115">
        <f t="shared" si="34"/>
        <v>0</v>
      </c>
      <c r="GK10" s="114">
        <f t="shared" si="35"/>
        <v>0</v>
      </c>
      <c r="GL10" s="114">
        <f t="shared" si="36"/>
        <v>0</v>
      </c>
      <c r="GM10" s="114">
        <f t="shared" si="37"/>
        <v>0</v>
      </c>
      <c r="GN10" s="114">
        <f t="shared" si="38"/>
        <v>0</v>
      </c>
      <c r="GO10" s="114">
        <f t="shared" si="39"/>
        <v>0</v>
      </c>
      <c r="GP10" s="114">
        <f t="shared" si="40"/>
        <v>0</v>
      </c>
      <c r="GQ10" s="114">
        <f t="shared" si="41"/>
        <v>0</v>
      </c>
      <c r="GR10" s="193"/>
      <c r="GS10" s="122">
        <f t="shared" si="42"/>
        <v>81503136.591360629</v>
      </c>
      <c r="GT10" s="122">
        <f t="shared" si="43"/>
        <v>116155591.6117</v>
      </c>
      <c r="GU10" s="123">
        <f t="shared" si="44"/>
        <v>0.70167208879465659</v>
      </c>
      <c r="GV10" s="124">
        <f t="shared" ca="1" si="45"/>
        <v>0</v>
      </c>
      <c r="GW10" s="124">
        <v>0</v>
      </c>
      <c r="GX10" s="32">
        <f t="shared" ca="1" si="46"/>
        <v>0</v>
      </c>
      <c r="GY10" s="100"/>
    </row>
    <row r="11" spans="1:207" s="125" customFormat="1" ht="15" hidden="1" customHeight="1">
      <c r="A11" s="102"/>
      <c r="B11" s="103"/>
      <c r="C11" s="103"/>
      <c r="D11" s="104"/>
      <c r="E11" s="104" t="s">
        <v>224</v>
      </c>
      <c r="F11" s="104" t="s">
        <v>248</v>
      </c>
      <c r="G11" s="104" t="s">
        <v>226</v>
      </c>
      <c r="H11" s="105" t="s">
        <v>249</v>
      </c>
      <c r="I11" s="106" t="s">
        <v>250</v>
      </c>
      <c r="J11" s="104" t="s">
        <v>212</v>
      </c>
      <c r="K11" s="104" t="s">
        <v>208</v>
      </c>
      <c r="L11" s="104" t="s">
        <v>213</v>
      </c>
      <c r="M11" s="104" t="s">
        <v>247</v>
      </c>
      <c r="N11" s="107"/>
      <c r="O11" s="108">
        <v>42296</v>
      </c>
      <c r="P11" s="108">
        <v>43009</v>
      </c>
      <c r="Q11" s="322">
        <f t="shared" si="0"/>
        <v>0</v>
      </c>
      <c r="R11" s="109">
        <f>IF((P11-VLOOKUP(Q11,month!$A$1:$C$13,3,0))&lt;0,Q11,Q11+1)</f>
        <v>0</v>
      </c>
      <c r="S11" s="108"/>
      <c r="T11" s="127" t="str">
        <f t="shared" si="1"/>
        <v/>
      </c>
      <c r="U11" s="107"/>
      <c r="V11" s="107"/>
      <c r="W11" s="107"/>
      <c r="X11" s="107"/>
      <c r="Y11" s="386"/>
      <c r="Z11" s="386" t="s">
        <v>545</v>
      </c>
      <c r="AA11" s="387">
        <v>1000</v>
      </c>
      <c r="AB11" s="387">
        <v>1000</v>
      </c>
      <c r="AC11" s="387">
        <v>1000</v>
      </c>
      <c r="AD11" s="387">
        <v>1000</v>
      </c>
      <c r="AE11" s="387">
        <v>1000</v>
      </c>
      <c r="AF11" s="387">
        <v>1000</v>
      </c>
      <c r="AG11" s="387">
        <v>1000</v>
      </c>
      <c r="AH11" s="387">
        <v>1000</v>
      </c>
      <c r="AI11" s="387">
        <v>1000</v>
      </c>
      <c r="AJ11" s="387">
        <v>1000</v>
      </c>
      <c r="AK11" s="387">
        <v>1000</v>
      </c>
      <c r="AL11" s="387">
        <v>1000</v>
      </c>
      <c r="AM11" s="388">
        <f t="shared" si="2"/>
        <v>12000</v>
      </c>
      <c r="AN11" s="388">
        <f t="shared" si="3"/>
        <v>12000</v>
      </c>
      <c r="AO11" s="389">
        <f t="shared" si="47"/>
        <v>1000</v>
      </c>
      <c r="AP11" s="498" t="s">
        <v>685</v>
      </c>
      <c r="AQ11" s="159">
        <v>0.8</v>
      </c>
      <c r="AR11" s="160" t="s">
        <v>392</v>
      </c>
      <c r="AS11" s="119" t="s">
        <v>210</v>
      </c>
      <c r="AT11" s="111">
        <v>1544971.7120000001</v>
      </c>
      <c r="AU11" s="111">
        <v>1743032.2879999999</v>
      </c>
      <c r="AV11" s="111">
        <v>2083503.6159999999</v>
      </c>
      <c r="AW11" s="111">
        <v>2272892.3840000001</v>
      </c>
      <c r="AX11" s="113">
        <v>1436429.1141000101</v>
      </c>
      <c r="AY11" s="113">
        <v>1704130.9398000101</v>
      </c>
      <c r="AZ11" s="113">
        <v>1716419.247300013</v>
      </c>
      <c r="BA11" s="113"/>
      <c r="BB11" s="113"/>
      <c r="BC11" s="113"/>
      <c r="BD11" s="113"/>
      <c r="BE11" s="113"/>
      <c r="BF11" s="114">
        <f t="shared" si="48"/>
        <v>1436429.1141000101</v>
      </c>
      <c r="BG11" s="114">
        <f t="shared" si="49"/>
        <v>1704130.9398000101</v>
      </c>
      <c r="BH11" s="114">
        <f t="shared" si="50"/>
        <v>1716419.247300013</v>
      </c>
      <c r="BI11" s="114">
        <f t="shared" si="51"/>
        <v>0</v>
      </c>
      <c r="BJ11" s="114">
        <f t="shared" si="4"/>
        <v>4856979.3012000332</v>
      </c>
      <c r="BK11" s="115">
        <f t="shared" si="5"/>
        <v>7644400</v>
      </c>
      <c r="BL11" s="115">
        <f t="shared" si="52"/>
        <v>7644400</v>
      </c>
      <c r="BM11" s="116">
        <f t="shared" si="53"/>
        <v>0.63539999999999996</v>
      </c>
      <c r="BN11" s="126">
        <f t="shared" ca="1" si="6"/>
        <v>0</v>
      </c>
      <c r="BO11" s="117">
        <f t="shared" ca="1" si="7"/>
        <v>0</v>
      </c>
      <c r="BP11" s="118" t="str">
        <f t="shared" si="54"/>
        <v>Uncapped</v>
      </c>
      <c r="BQ11" s="115">
        <f t="shared" ca="1" si="8"/>
        <v>0</v>
      </c>
      <c r="BR11" s="113" t="s">
        <v>695</v>
      </c>
      <c r="BS11" s="161">
        <v>0.2</v>
      </c>
      <c r="BT11" s="113" t="s">
        <v>217</v>
      </c>
      <c r="BU11" s="160" t="s">
        <v>210</v>
      </c>
      <c r="BV11" s="113">
        <v>5487270.5779999997</v>
      </c>
      <c r="BW11" s="113">
        <v>6585543.1469999989</v>
      </c>
      <c r="BX11" s="113">
        <v>5336814.9539999999</v>
      </c>
      <c r="BY11" s="113">
        <v>6526505.9210000001</v>
      </c>
      <c r="BZ11" s="113">
        <v>5253705.8622000199</v>
      </c>
      <c r="CA11" s="113">
        <v>6486860.7639000099</v>
      </c>
      <c r="CB11" s="113">
        <v>5185416.014100017</v>
      </c>
      <c r="CC11" s="113"/>
      <c r="CD11" s="113"/>
      <c r="CE11" s="113"/>
      <c r="CF11" s="113"/>
      <c r="CG11" s="113"/>
      <c r="CH11" s="114">
        <f t="shared" si="55"/>
        <v>5253705.8622000199</v>
      </c>
      <c r="CI11" s="114">
        <f t="shared" si="56"/>
        <v>6486860.7639000099</v>
      </c>
      <c r="CJ11" s="120">
        <f t="shared" si="57"/>
        <v>5185416.014100017</v>
      </c>
      <c r="CK11" s="114">
        <f t="shared" si="58"/>
        <v>0</v>
      </c>
      <c r="CL11" s="114">
        <f t="shared" si="9"/>
        <v>16925982.640200049</v>
      </c>
      <c r="CM11" s="114">
        <f t="shared" si="10"/>
        <v>23936134.599999998</v>
      </c>
      <c r="CN11" s="114">
        <f t="shared" si="59"/>
        <v>23936134.599999998</v>
      </c>
      <c r="CO11" s="116">
        <f t="shared" si="60"/>
        <v>0.70709999999999995</v>
      </c>
      <c r="CP11" s="126">
        <f t="shared" ca="1" si="61"/>
        <v>0</v>
      </c>
      <c r="CQ11" s="115">
        <f t="shared" ca="1" si="11"/>
        <v>0</v>
      </c>
      <c r="CR11" s="118" t="str">
        <f t="shared" si="12"/>
        <v>Uncapped</v>
      </c>
      <c r="CS11" s="115">
        <f t="shared" ca="1" si="13"/>
        <v>0</v>
      </c>
      <c r="CT11" s="113"/>
      <c r="CU11" s="119">
        <v>0</v>
      </c>
      <c r="CV11" s="113"/>
      <c r="CW11" s="113"/>
      <c r="CX11" s="113">
        <v>0</v>
      </c>
      <c r="CY11" s="113">
        <v>0</v>
      </c>
      <c r="CZ11" s="113">
        <v>0</v>
      </c>
      <c r="DA11" s="113">
        <v>0</v>
      </c>
      <c r="DB11" s="113">
        <v>0</v>
      </c>
      <c r="DC11" s="113">
        <v>0</v>
      </c>
      <c r="DD11" s="113">
        <v>0</v>
      </c>
      <c r="DE11" s="113"/>
      <c r="DF11" s="113"/>
      <c r="DG11" s="113"/>
      <c r="DH11" s="113"/>
      <c r="DI11" s="113"/>
      <c r="DJ11" s="114">
        <f t="shared" si="62"/>
        <v>0</v>
      </c>
      <c r="DK11" s="114">
        <f t="shared" si="63"/>
        <v>0</v>
      </c>
      <c r="DL11" s="114">
        <f t="shared" si="64"/>
        <v>0</v>
      </c>
      <c r="DM11" s="114">
        <f t="shared" si="65"/>
        <v>0</v>
      </c>
      <c r="DN11" s="114">
        <f t="shared" si="66"/>
        <v>0</v>
      </c>
      <c r="DO11" s="114">
        <f t="shared" si="14"/>
        <v>0</v>
      </c>
      <c r="DP11" s="114">
        <f t="shared" si="67"/>
        <v>0</v>
      </c>
      <c r="DQ11" s="116">
        <f t="shared" si="68"/>
        <v>0</v>
      </c>
      <c r="DR11" s="126">
        <f t="shared" ca="1" si="15"/>
        <v>0</v>
      </c>
      <c r="DS11" s="115">
        <f t="shared" ca="1" si="16"/>
        <v>0</v>
      </c>
      <c r="DT11" s="118" t="str">
        <f t="shared" si="17"/>
        <v>Uncapped</v>
      </c>
      <c r="DU11" s="115">
        <f t="shared" ca="1" si="18"/>
        <v>0</v>
      </c>
      <c r="DV11" s="113"/>
      <c r="DW11" s="119">
        <v>0</v>
      </c>
      <c r="DX11" s="113"/>
      <c r="DY11" s="113"/>
      <c r="DZ11" s="113">
        <v>0</v>
      </c>
      <c r="EA11" s="113">
        <v>0</v>
      </c>
      <c r="EB11" s="113">
        <v>0</v>
      </c>
      <c r="EC11" s="113">
        <v>0</v>
      </c>
      <c r="ED11" s="113">
        <v>0</v>
      </c>
      <c r="EE11" s="113">
        <v>0</v>
      </c>
      <c r="EF11" s="113"/>
      <c r="EG11" s="113"/>
      <c r="EH11" s="113"/>
      <c r="EI11" s="113"/>
      <c r="EJ11" s="113"/>
      <c r="EK11" s="113"/>
      <c r="EL11" s="114">
        <f t="shared" si="69"/>
        <v>0</v>
      </c>
      <c r="EM11" s="114">
        <f t="shared" si="70"/>
        <v>0</v>
      </c>
      <c r="EN11" s="114">
        <f t="shared" si="71"/>
        <v>0</v>
      </c>
      <c r="EO11" s="114">
        <f t="shared" si="72"/>
        <v>0</v>
      </c>
      <c r="EP11" s="114">
        <f t="shared" si="19"/>
        <v>0</v>
      </c>
      <c r="EQ11" s="114">
        <f t="shared" si="20"/>
        <v>0</v>
      </c>
      <c r="ER11" s="114">
        <f t="shared" si="73"/>
        <v>0</v>
      </c>
      <c r="ES11" s="116">
        <f t="shared" si="74"/>
        <v>0</v>
      </c>
      <c r="ET11" s="126">
        <f t="shared" ca="1" si="75"/>
        <v>0</v>
      </c>
      <c r="EU11" s="115">
        <f t="shared" ca="1" si="21"/>
        <v>0</v>
      </c>
      <c r="EV11" s="118" t="str">
        <f t="shared" si="22"/>
        <v>Uncapped</v>
      </c>
      <c r="EW11" s="115">
        <f t="shared" ca="1" si="23"/>
        <v>0</v>
      </c>
      <c r="EX11" s="112">
        <f t="shared" ca="1" si="24"/>
        <v>0</v>
      </c>
      <c r="EY11" s="114">
        <f t="shared" ca="1" si="76"/>
        <v>0</v>
      </c>
      <c r="EZ11" s="115">
        <v>0</v>
      </c>
      <c r="FA11" s="115"/>
      <c r="FB11" s="115"/>
      <c r="FC11" s="115">
        <v>0</v>
      </c>
      <c r="FD11" s="115">
        <f t="shared" si="25"/>
        <v>0</v>
      </c>
      <c r="FE11" s="114">
        <f t="shared" si="26"/>
        <v>0</v>
      </c>
      <c r="FF11" s="115">
        <v>0</v>
      </c>
      <c r="FG11" s="115">
        <v>0</v>
      </c>
      <c r="FH11" s="115">
        <v>0</v>
      </c>
      <c r="FI11" s="115">
        <v>0</v>
      </c>
      <c r="FJ11" s="115">
        <f t="shared" si="27"/>
        <v>0</v>
      </c>
      <c r="FK11" s="114">
        <f t="shared" si="28"/>
        <v>0</v>
      </c>
      <c r="FL11" s="113"/>
      <c r="FM11" s="111"/>
      <c r="FN11" s="111"/>
      <c r="FO11" s="111"/>
      <c r="FP11" s="115">
        <f t="shared" si="29"/>
        <v>0</v>
      </c>
      <c r="FQ11" s="115"/>
      <c r="FR11" s="115"/>
      <c r="FS11" s="115"/>
      <c r="FT11" s="114">
        <f t="shared" si="77"/>
        <v>0</v>
      </c>
      <c r="FU11" s="366">
        <f t="shared" ca="1" si="79"/>
        <v>0</v>
      </c>
      <c r="FV11" s="121">
        <f t="shared" ca="1" si="78"/>
        <v>0</v>
      </c>
      <c r="FW11" s="114">
        <f t="shared" si="30"/>
        <v>0</v>
      </c>
      <c r="FX11" s="114">
        <f t="shared" si="30"/>
        <v>0</v>
      </c>
      <c r="FY11" s="114">
        <f t="shared" si="30"/>
        <v>0</v>
      </c>
      <c r="FZ11" s="114">
        <f t="shared" si="30"/>
        <v>0</v>
      </c>
      <c r="GA11" s="114">
        <f t="shared" si="31"/>
        <v>0</v>
      </c>
      <c r="GB11" s="114">
        <f t="shared" si="32"/>
        <v>0</v>
      </c>
      <c r="GC11" s="114">
        <f t="shared" si="32"/>
        <v>0</v>
      </c>
      <c r="GD11" s="114">
        <f t="shared" si="32"/>
        <v>0</v>
      </c>
      <c r="GE11" s="114">
        <f t="shared" si="32"/>
        <v>0</v>
      </c>
      <c r="GF11" s="114">
        <f t="shared" si="33"/>
        <v>0</v>
      </c>
      <c r="GG11" s="114">
        <f t="shared" si="33"/>
        <v>0</v>
      </c>
      <c r="GH11" s="114">
        <f t="shared" si="33"/>
        <v>0</v>
      </c>
      <c r="GI11" s="114">
        <f t="shared" si="33"/>
        <v>0</v>
      </c>
      <c r="GJ11" s="115">
        <f t="shared" si="34"/>
        <v>0</v>
      </c>
      <c r="GK11" s="114">
        <f t="shared" si="35"/>
        <v>0</v>
      </c>
      <c r="GL11" s="114">
        <f t="shared" si="36"/>
        <v>0</v>
      </c>
      <c r="GM11" s="114">
        <f t="shared" si="37"/>
        <v>0</v>
      </c>
      <c r="GN11" s="114">
        <f t="shared" si="38"/>
        <v>0</v>
      </c>
      <c r="GO11" s="114">
        <f t="shared" si="39"/>
        <v>0</v>
      </c>
      <c r="GP11" s="114">
        <f t="shared" si="40"/>
        <v>0</v>
      </c>
      <c r="GQ11" s="114">
        <f t="shared" si="41"/>
        <v>0</v>
      </c>
      <c r="GR11" s="193"/>
      <c r="GS11" s="122">
        <f t="shared" si="42"/>
        <v>21782961.941400081</v>
      </c>
      <c r="GT11" s="122">
        <f t="shared" si="43"/>
        <v>31580534.599999998</v>
      </c>
      <c r="GU11" s="123">
        <f t="shared" si="44"/>
        <v>0.68975912590789656</v>
      </c>
      <c r="GV11" s="124">
        <f t="shared" ca="1" si="45"/>
        <v>0</v>
      </c>
      <c r="GW11" s="124">
        <v>0</v>
      </c>
      <c r="GX11" s="32">
        <f t="shared" ca="1" si="46"/>
        <v>0</v>
      </c>
      <c r="GY11" s="100"/>
    </row>
    <row r="12" spans="1:207" s="125" customFormat="1" ht="15" hidden="1" customHeight="1">
      <c r="A12" s="102"/>
      <c r="B12" s="103"/>
      <c r="C12" s="103"/>
      <c r="D12" s="104"/>
      <c r="E12" s="104" t="s">
        <v>224</v>
      </c>
      <c r="F12" s="104" t="s">
        <v>248</v>
      </c>
      <c r="G12" s="104" t="s">
        <v>226</v>
      </c>
      <c r="H12" s="105" t="s">
        <v>251</v>
      </c>
      <c r="I12" s="106" t="s">
        <v>252</v>
      </c>
      <c r="J12" s="104" t="s">
        <v>212</v>
      </c>
      <c r="K12" s="104" t="s">
        <v>208</v>
      </c>
      <c r="L12" s="104" t="s">
        <v>213</v>
      </c>
      <c r="M12" s="104" t="s">
        <v>247</v>
      </c>
      <c r="N12" s="107"/>
      <c r="O12" s="549">
        <v>41701</v>
      </c>
      <c r="P12" s="108">
        <v>43252</v>
      </c>
      <c r="Q12" s="322">
        <f t="shared" si="0"/>
        <v>0</v>
      </c>
      <c r="R12" s="109">
        <f>IF((P12-VLOOKUP(Q12,month!$A$1:$C$13,3,0))&lt;0,Q12,Q12+1)</f>
        <v>0</v>
      </c>
      <c r="S12" s="108"/>
      <c r="T12" s="127" t="str">
        <f t="shared" si="1"/>
        <v/>
      </c>
      <c r="U12" s="107"/>
      <c r="V12" s="107"/>
      <c r="W12" s="107"/>
      <c r="X12" s="107"/>
      <c r="Y12" s="386"/>
      <c r="Z12" s="386" t="s">
        <v>545</v>
      </c>
      <c r="AA12" s="387">
        <v>1000</v>
      </c>
      <c r="AB12" s="387">
        <v>1000</v>
      </c>
      <c r="AC12" s="387">
        <v>1000</v>
      </c>
      <c r="AD12" s="387">
        <v>1000</v>
      </c>
      <c r="AE12" s="387">
        <v>1000</v>
      </c>
      <c r="AF12" s="387">
        <v>1000</v>
      </c>
      <c r="AG12" s="387">
        <v>1000</v>
      </c>
      <c r="AH12" s="387">
        <v>1000</v>
      </c>
      <c r="AI12" s="387">
        <v>1000</v>
      </c>
      <c r="AJ12" s="387">
        <v>1000</v>
      </c>
      <c r="AK12" s="387">
        <v>1000</v>
      </c>
      <c r="AL12" s="387">
        <v>1000</v>
      </c>
      <c r="AM12" s="388">
        <f t="shared" si="2"/>
        <v>12000</v>
      </c>
      <c r="AN12" s="388">
        <f t="shared" si="3"/>
        <v>12000</v>
      </c>
      <c r="AO12" s="389">
        <f t="shared" si="47"/>
        <v>1000</v>
      </c>
      <c r="AP12" s="498" t="s">
        <v>685</v>
      </c>
      <c r="AQ12" s="159">
        <v>0.8</v>
      </c>
      <c r="AR12" s="160" t="s">
        <v>392</v>
      </c>
      <c r="AS12" s="119" t="s">
        <v>210</v>
      </c>
      <c r="AT12" s="111">
        <v>1271921.8</v>
      </c>
      <c r="AU12" s="111">
        <v>1560212.8</v>
      </c>
      <c r="AV12" s="111"/>
      <c r="AW12" s="111"/>
      <c r="AX12" s="113">
        <v>1216440.0584999998</v>
      </c>
      <c r="AY12" s="113">
        <v>1533656.6432999999</v>
      </c>
      <c r="AZ12" s="113"/>
      <c r="BA12" s="113"/>
      <c r="BB12" s="113"/>
      <c r="BC12" s="113"/>
      <c r="BD12" s="113"/>
      <c r="BE12" s="113"/>
      <c r="BF12" s="114">
        <f t="shared" si="48"/>
        <v>1216440.0584999998</v>
      </c>
      <c r="BG12" s="114">
        <f t="shared" si="49"/>
        <v>1533656.6432999999</v>
      </c>
      <c r="BH12" s="114">
        <f t="shared" si="50"/>
        <v>0</v>
      </c>
      <c r="BI12" s="114">
        <f t="shared" si="51"/>
        <v>0</v>
      </c>
      <c r="BJ12" s="114">
        <f t="shared" si="4"/>
        <v>2750096.7017999999</v>
      </c>
      <c r="BK12" s="115">
        <f t="shared" si="5"/>
        <v>2832134.6</v>
      </c>
      <c r="BL12" s="115">
        <f t="shared" si="52"/>
        <v>2832134.6</v>
      </c>
      <c r="BM12" s="116">
        <f t="shared" si="53"/>
        <v>0.97099999999999997</v>
      </c>
      <c r="BN12" s="126">
        <f t="shared" ca="1" si="6"/>
        <v>0</v>
      </c>
      <c r="BO12" s="117">
        <f t="shared" ca="1" si="7"/>
        <v>0</v>
      </c>
      <c r="BP12" s="118" t="str">
        <f t="shared" si="54"/>
        <v>Uncapped</v>
      </c>
      <c r="BQ12" s="115">
        <f t="shared" ca="1" si="8"/>
        <v>0</v>
      </c>
      <c r="BR12" s="113" t="s">
        <v>695</v>
      </c>
      <c r="BS12" s="161">
        <v>0.2</v>
      </c>
      <c r="BT12" s="113" t="s">
        <v>217</v>
      </c>
      <c r="BU12" s="160" t="s">
        <v>210</v>
      </c>
      <c r="BV12" s="113">
        <v>5487270.5779999997</v>
      </c>
      <c r="BW12" s="113">
        <v>6585543.1469999989</v>
      </c>
      <c r="BX12" s="113"/>
      <c r="BY12" s="113"/>
      <c r="BZ12" s="113">
        <v>5253705.8622000199</v>
      </c>
      <c r="CA12" s="113">
        <v>6486860.7639000099</v>
      </c>
      <c r="CB12" s="113"/>
      <c r="CC12" s="113"/>
      <c r="CD12" s="113"/>
      <c r="CE12" s="113"/>
      <c r="CF12" s="113"/>
      <c r="CG12" s="113"/>
      <c r="CH12" s="114">
        <f t="shared" si="55"/>
        <v>5253705.8622000199</v>
      </c>
      <c r="CI12" s="114">
        <f t="shared" si="56"/>
        <v>6486860.7639000099</v>
      </c>
      <c r="CJ12" s="120">
        <f t="shared" si="57"/>
        <v>0</v>
      </c>
      <c r="CK12" s="114">
        <f t="shared" si="58"/>
        <v>0</v>
      </c>
      <c r="CL12" s="114">
        <f t="shared" si="9"/>
        <v>11740566.62610003</v>
      </c>
      <c r="CM12" s="114">
        <f t="shared" si="10"/>
        <v>12072813.724999998</v>
      </c>
      <c r="CN12" s="114">
        <f t="shared" si="59"/>
        <v>12072813.724999998</v>
      </c>
      <c r="CO12" s="116">
        <f t="shared" si="60"/>
        <v>0.97250000000000003</v>
      </c>
      <c r="CP12" s="126">
        <f t="shared" ca="1" si="61"/>
        <v>0</v>
      </c>
      <c r="CQ12" s="115">
        <f t="shared" ca="1" si="11"/>
        <v>0</v>
      </c>
      <c r="CR12" s="118" t="str">
        <f t="shared" si="12"/>
        <v>Uncapped</v>
      </c>
      <c r="CS12" s="115">
        <f t="shared" ca="1" si="13"/>
        <v>0</v>
      </c>
      <c r="CT12" s="113"/>
      <c r="CU12" s="119">
        <v>0</v>
      </c>
      <c r="CV12" s="113"/>
      <c r="CW12" s="113"/>
      <c r="CX12" s="113">
        <v>0</v>
      </c>
      <c r="CY12" s="113">
        <v>0</v>
      </c>
      <c r="CZ12" s="113"/>
      <c r="DA12" s="113"/>
      <c r="DB12" s="113">
        <v>0</v>
      </c>
      <c r="DC12" s="113">
        <v>0</v>
      </c>
      <c r="DD12" s="113"/>
      <c r="DE12" s="113"/>
      <c r="DF12" s="113"/>
      <c r="DG12" s="113"/>
      <c r="DH12" s="113"/>
      <c r="DI12" s="113"/>
      <c r="DJ12" s="114">
        <f t="shared" si="62"/>
        <v>0</v>
      </c>
      <c r="DK12" s="114">
        <f t="shared" si="63"/>
        <v>0</v>
      </c>
      <c r="DL12" s="114">
        <f t="shared" si="64"/>
        <v>0</v>
      </c>
      <c r="DM12" s="114">
        <f t="shared" si="65"/>
        <v>0</v>
      </c>
      <c r="DN12" s="114">
        <f t="shared" si="66"/>
        <v>0</v>
      </c>
      <c r="DO12" s="114">
        <f t="shared" si="14"/>
        <v>0</v>
      </c>
      <c r="DP12" s="114">
        <f t="shared" si="67"/>
        <v>0</v>
      </c>
      <c r="DQ12" s="116">
        <f t="shared" si="68"/>
        <v>0</v>
      </c>
      <c r="DR12" s="126">
        <f t="shared" ca="1" si="15"/>
        <v>0</v>
      </c>
      <c r="DS12" s="115">
        <f t="shared" ca="1" si="16"/>
        <v>0</v>
      </c>
      <c r="DT12" s="118" t="str">
        <f t="shared" si="17"/>
        <v>Uncapped</v>
      </c>
      <c r="DU12" s="115">
        <f t="shared" ca="1" si="18"/>
        <v>0</v>
      </c>
      <c r="DV12" s="113"/>
      <c r="DW12" s="119">
        <v>0</v>
      </c>
      <c r="DX12" s="113"/>
      <c r="DY12" s="113"/>
      <c r="DZ12" s="113">
        <v>0</v>
      </c>
      <c r="EA12" s="113">
        <v>0</v>
      </c>
      <c r="EB12" s="113">
        <v>0</v>
      </c>
      <c r="EC12" s="113">
        <v>0</v>
      </c>
      <c r="ED12" s="113">
        <v>0</v>
      </c>
      <c r="EE12" s="113">
        <v>0</v>
      </c>
      <c r="EF12" s="113"/>
      <c r="EG12" s="113"/>
      <c r="EH12" s="113"/>
      <c r="EI12" s="113"/>
      <c r="EJ12" s="113"/>
      <c r="EK12" s="113"/>
      <c r="EL12" s="114">
        <f t="shared" si="69"/>
        <v>0</v>
      </c>
      <c r="EM12" s="114">
        <f t="shared" si="70"/>
        <v>0</v>
      </c>
      <c r="EN12" s="114">
        <f t="shared" si="71"/>
        <v>0</v>
      </c>
      <c r="EO12" s="114">
        <f t="shared" si="72"/>
        <v>0</v>
      </c>
      <c r="EP12" s="114">
        <f t="shared" si="19"/>
        <v>0</v>
      </c>
      <c r="EQ12" s="114">
        <f t="shared" si="20"/>
        <v>0</v>
      </c>
      <c r="ER12" s="114">
        <f t="shared" si="73"/>
        <v>0</v>
      </c>
      <c r="ES12" s="116">
        <f t="shared" si="74"/>
        <v>0</v>
      </c>
      <c r="ET12" s="126">
        <f t="shared" ca="1" si="75"/>
        <v>0</v>
      </c>
      <c r="EU12" s="115">
        <f t="shared" ca="1" si="21"/>
        <v>0</v>
      </c>
      <c r="EV12" s="118" t="str">
        <f t="shared" si="22"/>
        <v>Uncapped</v>
      </c>
      <c r="EW12" s="115">
        <f t="shared" ca="1" si="23"/>
        <v>0</v>
      </c>
      <c r="EX12" s="112">
        <f t="shared" ca="1" si="24"/>
        <v>0</v>
      </c>
      <c r="EY12" s="114">
        <f t="shared" ca="1" si="76"/>
        <v>0</v>
      </c>
      <c r="EZ12" s="115">
        <v>0</v>
      </c>
      <c r="FA12" s="115"/>
      <c r="FB12" s="115"/>
      <c r="FC12" s="115">
        <v>0</v>
      </c>
      <c r="FD12" s="115">
        <f t="shared" si="25"/>
        <v>0</v>
      </c>
      <c r="FE12" s="114">
        <f t="shared" si="26"/>
        <v>0</v>
      </c>
      <c r="FF12" s="115">
        <v>0</v>
      </c>
      <c r="FG12" s="115">
        <v>0</v>
      </c>
      <c r="FH12" s="115">
        <v>0</v>
      </c>
      <c r="FI12" s="115">
        <v>0</v>
      </c>
      <c r="FJ12" s="115">
        <f t="shared" si="27"/>
        <v>0</v>
      </c>
      <c r="FK12" s="114">
        <f t="shared" si="28"/>
        <v>0</v>
      </c>
      <c r="FL12" s="113"/>
      <c r="FM12" s="111"/>
      <c r="FN12" s="111"/>
      <c r="FO12" s="111"/>
      <c r="FP12" s="115">
        <f t="shared" si="29"/>
        <v>0</v>
      </c>
      <c r="FQ12" s="115"/>
      <c r="FR12" s="115"/>
      <c r="FS12" s="115"/>
      <c r="FT12" s="114">
        <f t="shared" si="77"/>
        <v>0</v>
      </c>
      <c r="FU12" s="366">
        <f t="shared" ca="1" si="79"/>
        <v>0</v>
      </c>
      <c r="FV12" s="121">
        <f t="shared" ca="1" si="78"/>
        <v>0</v>
      </c>
      <c r="FW12" s="114">
        <f t="shared" si="30"/>
        <v>0</v>
      </c>
      <c r="FX12" s="114">
        <f t="shared" si="30"/>
        <v>0</v>
      </c>
      <c r="FY12" s="114">
        <f t="shared" si="30"/>
        <v>0</v>
      </c>
      <c r="FZ12" s="114">
        <f t="shared" si="30"/>
        <v>0</v>
      </c>
      <c r="GA12" s="114">
        <f t="shared" si="31"/>
        <v>0</v>
      </c>
      <c r="GB12" s="114">
        <f t="shared" si="32"/>
        <v>0</v>
      </c>
      <c r="GC12" s="114">
        <f t="shared" si="32"/>
        <v>0</v>
      </c>
      <c r="GD12" s="114">
        <f t="shared" si="32"/>
        <v>0</v>
      </c>
      <c r="GE12" s="114">
        <f t="shared" si="32"/>
        <v>0</v>
      </c>
      <c r="GF12" s="114">
        <f t="shared" si="33"/>
        <v>0</v>
      </c>
      <c r="GG12" s="114">
        <f t="shared" si="33"/>
        <v>0</v>
      </c>
      <c r="GH12" s="114">
        <f t="shared" si="33"/>
        <v>0</v>
      </c>
      <c r="GI12" s="114">
        <f t="shared" si="33"/>
        <v>0</v>
      </c>
      <c r="GJ12" s="115">
        <f t="shared" si="34"/>
        <v>0</v>
      </c>
      <c r="GK12" s="114">
        <f t="shared" si="35"/>
        <v>0</v>
      </c>
      <c r="GL12" s="114">
        <f t="shared" si="36"/>
        <v>0</v>
      </c>
      <c r="GM12" s="114">
        <f t="shared" si="37"/>
        <v>0</v>
      </c>
      <c r="GN12" s="114">
        <f t="shared" si="38"/>
        <v>0</v>
      </c>
      <c r="GO12" s="114">
        <f t="shared" si="39"/>
        <v>0</v>
      </c>
      <c r="GP12" s="114">
        <f t="shared" si="40"/>
        <v>0</v>
      </c>
      <c r="GQ12" s="114">
        <f t="shared" si="41"/>
        <v>0</v>
      </c>
      <c r="GR12" s="193"/>
      <c r="GS12" s="122">
        <f t="shared" si="42"/>
        <v>14490663.32790003</v>
      </c>
      <c r="GT12" s="122">
        <f t="shared" si="43"/>
        <v>14904948.324999997</v>
      </c>
      <c r="GU12" s="123">
        <f t="shared" si="44"/>
        <v>0.97220486860695188</v>
      </c>
      <c r="GV12" s="124">
        <f t="shared" ca="1" si="45"/>
        <v>0</v>
      </c>
      <c r="GW12" s="124">
        <v>0</v>
      </c>
      <c r="GX12" s="32">
        <f t="shared" ca="1" si="46"/>
        <v>0</v>
      </c>
      <c r="GY12" s="100"/>
    </row>
    <row r="13" spans="1:207" s="125" customFormat="1" ht="15" hidden="1" customHeight="1">
      <c r="A13" s="102"/>
      <c r="B13" s="103"/>
      <c r="C13" s="103"/>
      <c r="D13" s="104"/>
      <c r="E13" s="104" t="s">
        <v>253</v>
      </c>
      <c r="F13" s="104" t="s">
        <v>248</v>
      </c>
      <c r="G13" s="104" t="s">
        <v>226</v>
      </c>
      <c r="H13" s="105" t="s">
        <v>254</v>
      </c>
      <c r="I13" s="106" t="s">
        <v>255</v>
      </c>
      <c r="J13" s="104" t="s">
        <v>212</v>
      </c>
      <c r="K13" s="104" t="s">
        <v>208</v>
      </c>
      <c r="L13" s="104" t="s">
        <v>213</v>
      </c>
      <c r="M13" s="104" t="s">
        <v>247</v>
      </c>
      <c r="N13" s="107"/>
      <c r="O13" s="108">
        <v>41579</v>
      </c>
      <c r="P13" s="108">
        <v>41579</v>
      </c>
      <c r="Q13" s="322">
        <f t="shared" si="0"/>
        <v>0</v>
      </c>
      <c r="R13" s="109">
        <f>IF((P13-VLOOKUP(Q13,month!$A$1:$C$13,3,0))&lt;0,Q13,Q13+1)</f>
        <v>0</v>
      </c>
      <c r="S13" s="108"/>
      <c r="T13" s="110" t="str">
        <f>IF(S13&gt;0,"Y","")</f>
        <v/>
      </c>
      <c r="U13" s="107"/>
      <c r="V13" s="107"/>
      <c r="W13" s="107"/>
      <c r="X13" s="107"/>
      <c r="Y13" s="386"/>
      <c r="Z13" s="386" t="s">
        <v>545</v>
      </c>
      <c r="AA13" s="387">
        <v>1000</v>
      </c>
      <c r="AB13" s="387">
        <v>1000</v>
      </c>
      <c r="AC13" s="387">
        <v>1000</v>
      </c>
      <c r="AD13" s="387">
        <v>1000</v>
      </c>
      <c r="AE13" s="387">
        <v>1000</v>
      </c>
      <c r="AF13" s="387">
        <v>1000</v>
      </c>
      <c r="AG13" s="387">
        <v>1000</v>
      </c>
      <c r="AH13" s="387">
        <v>1000</v>
      </c>
      <c r="AI13" s="387">
        <v>1000</v>
      </c>
      <c r="AJ13" s="387">
        <v>1000</v>
      </c>
      <c r="AK13" s="387">
        <v>1000</v>
      </c>
      <c r="AL13" s="387">
        <v>1000</v>
      </c>
      <c r="AM13" s="388">
        <f t="shared" si="2"/>
        <v>12000</v>
      </c>
      <c r="AN13" s="388">
        <f t="shared" si="3"/>
        <v>12000</v>
      </c>
      <c r="AO13" s="389">
        <f t="shared" si="47"/>
        <v>1000</v>
      </c>
      <c r="AP13" s="498" t="s">
        <v>685</v>
      </c>
      <c r="AQ13" s="159">
        <v>0.8</v>
      </c>
      <c r="AR13" s="160" t="s">
        <v>392</v>
      </c>
      <c r="AS13" s="119" t="s">
        <v>210</v>
      </c>
      <c r="AT13" s="111">
        <v>1899336.0260000001</v>
      </c>
      <c r="AU13" s="111">
        <v>2365634.0989999999</v>
      </c>
      <c r="AV13" s="111">
        <v>2107946.6179999998</v>
      </c>
      <c r="AW13" s="111">
        <v>2820883.2570000002</v>
      </c>
      <c r="AX13" s="113">
        <v>1790532.7776000099</v>
      </c>
      <c r="AY13" s="113">
        <v>2269311.5852999999</v>
      </c>
      <c r="AZ13" s="113">
        <v>2404512.5706000053</v>
      </c>
      <c r="BA13" s="113"/>
      <c r="BB13" s="113"/>
      <c r="BC13" s="113"/>
      <c r="BD13" s="113"/>
      <c r="BE13" s="113"/>
      <c r="BF13" s="114">
        <f t="shared" si="48"/>
        <v>1790532.7776000099</v>
      </c>
      <c r="BG13" s="114">
        <f t="shared" si="49"/>
        <v>2269311.5852999999</v>
      </c>
      <c r="BH13" s="114">
        <f t="shared" si="50"/>
        <v>2404512.5706000053</v>
      </c>
      <c r="BI13" s="114">
        <f t="shared" si="51"/>
        <v>0</v>
      </c>
      <c r="BJ13" s="114">
        <f t="shared" si="4"/>
        <v>6464356.9335000152</v>
      </c>
      <c r="BK13" s="115">
        <f t="shared" si="5"/>
        <v>9193800</v>
      </c>
      <c r="BL13" s="115">
        <f t="shared" si="52"/>
        <v>9193800</v>
      </c>
      <c r="BM13" s="116">
        <f t="shared" si="53"/>
        <v>0.70309999999999995</v>
      </c>
      <c r="BN13" s="126">
        <f t="shared" ca="1" si="6"/>
        <v>0</v>
      </c>
      <c r="BO13" s="117">
        <f t="shared" ca="1" si="7"/>
        <v>0</v>
      </c>
      <c r="BP13" s="118" t="str">
        <f t="shared" si="54"/>
        <v>Uncapped</v>
      </c>
      <c r="BQ13" s="115">
        <f t="shared" ca="1" si="8"/>
        <v>0</v>
      </c>
      <c r="BR13" s="113" t="s">
        <v>695</v>
      </c>
      <c r="BS13" s="161">
        <v>0.2</v>
      </c>
      <c r="BT13" s="113" t="s">
        <v>217</v>
      </c>
      <c r="BU13" s="160" t="s">
        <v>210</v>
      </c>
      <c r="BV13" s="113">
        <v>5487270.5779999997</v>
      </c>
      <c r="BW13" s="113">
        <v>6585543.1469999989</v>
      </c>
      <c r="BX13" s="113">
        <v>5336814.9539999999</v>
      </c>
      <c r="BY13" s="113">
        <v>6526505.9210000001</v>
      </c>
      <c r="BZ13" s="113">
        <v>5253705.8622000199</v>
      </c>
      <c r="CA13" s="113">
        <v>6486860.7639000099</v>
      </c>
      <c r="CB13" s="113">
        <v>5185416.014100017</v>
      </c>
      <c r="CC13" s="113"/>
      <c r="CD13" s="113"/>
      <c r="CE13" s="113"/>
      <c r="CF13" s="113"/>
      <c r="CG13" s="113"/>
      <c r="CH13" s="114">
        <f t="shared" si="55"/>
        <v>5253705.8622000199</v>
      </c>
      <c r="CI13" s="114">
        <f t="shared" si="56"/>
        <v>6486860.7639000099</v>
      </c>
      <c r="CJ13" s="120">
        <f t="shared" si="57"/>
        <v>5185416.014100017</v>
      </c>
      <c r="CK13" s="114">
        <f t="shared" si="58"/>
        <v>0</v>
      </c>
      <c r="CL13" s="114">
        <f t="shared" si="9"/>
        <v>16925982.640200049</v>
      </c>
      <c r="CM13" s="114">
        <f t="shared" si="10"/>
        <v>23936134.599999998</v>
      </c>
      <c r="CN13" s="114">
        <f t="shared" si="59"/>
        <v>23936134.599999998</v>
      </c>
      <c r="CO13" s="116">
        <f t="shared" si="60"/>
        <v>0.70709999999999995</v>
      </c>
      <c r="CP13" s="126">
        <f t="shared" ca="1" si="61"/>
        <v>0</v>
      </c>
      <c r="CQ13" s="115">
        <f t="shared" ca="1" si="11"/>
        <v>0</v>
      </c>
      <c r="CR13" s="118" t="str">
        <f t="shared" si="12"/>
        <v>Uncapped</v>
      </c>
      <c r="CS13" s="115">
        <f t="shared" ca="1" si="13"/>
        <v>0</v>
      </c>
      <c r="CT13" s="113"/>
      <c r="CU13" s="119">
        <v>0</v>
      </c>
      <c r="CV13" s="113"/>
      <c r="CW13" s="113"/>
      <c r="CX13" s="113">
        <v>0</v>
      </c>
      <c r="CY13" s="113">
        <v>0</v>
      </c>
      <c r="CZ13" s="113">
        <v>0</v>
      </c>
      <c r="DA13" s="113">
        <v>0</v>
      </c>
      <c r="DB13" s="113">
        <v>0</v>
      </c>
      <c r="DC13" s="113">
        <v>0</v>
      </c>
      <c r="DD13" s="113">
        <v>0</v>
      </c>
      <c r="DE13" s="113"/>
      <c r="DF13" s="113"/>
      <c r="DG13" s="113"/>
      <c r="DH13" s="113"/>
      <c r="DI13" s="113"/>
      <c r="DJ13" s="114">
        <f t="shared" si="62"/>
        <v>0</v>
      </c>
      <c r="DK13" s="114">
        <f t="shared" si="63"/>
        <v>0</v>
      </c>
      <c r="DL13" s="114">
        <f t="shared" si="64"/>
        <v>0</v>
      </c>
      <c r="DM13" s="114">
        <f t="shared" si="65"/>
        <v>0</v>
      </c>
      <c r="DN13" s="114">
        <f t="shared" si="66"/>
        <v>0</v>
      </c>
      <c r="DO13" s="114">
        <f t="shared" si="14"/>
        <v>0</v>
      </c>
      <c r="DP13" s="114">
        <f t="shared" si="67"/>
        <v>0</v>
      </c>
      <c r="DQ13" s="116">
        <f t="shared" si="68"/>
        <v>0</v>
      </c>
      <c r="DR13" s="126">
        <f t="shared" ca="1" si="15"/>
        <v>0</v>
      </c>
      <c r="DS13" s="115">
        <f t="shared" ca="1" si="16"/>
        <v>0</v>
      </c>
      <c r="DT13" s="118" t="str">
        <f t="shared" si="17"/>
        <v>Uncapped</v>
      </c>
      <c r="DU13" s="115">
        <f t="shared" ca="1" si="18"/>
        <v>0</v>
      </c>
      <c r="DV13" s="113"/>
      <c r="DW13" s="119">
        <v>0</v>
      </c>
      <c r="DX13" s="113"/>
      <c r="DY13" s="113"/>
      <c r="DZ13" s="113">
        <v>0</v>
      </c>
      <c r="EA13" s="113">
        <v>0</v>
      </c>
      <c r="EB13" s="113">
        <v>0</v>
      </c>
      <c r="EC13" s="113">
        <v>0</v>
      </c>
      <c r="ED13" s="113">
        <v>0</v>
      </c>
      <c r="EE13" s="113">
        <v>0</v>
      </c>
      <c r="EF13" s="113"/>
      <c r="EG13" s="113"/>
      <c r="EH13" s="113"/>
      <c r="EI13" s="113"/>
      <c r="EJ13" s="113"/>
      <c r="EK13" s="113"/>
      <c r="EL13" s="114">
        <f t="shared" si="69"/>
        <v>0</v>
      </c>
      <c r="EM13" s="114">
        <f t="shared" si="70"/>
        <v>0</v>
      </c>
      <c r="EN13" s="114">
        <f t="shared" si="71"/>
        <v>0</v>
      </c>
      <c r="EO13" s="114">
        <f t="shared" si="72"/>
        <v>0</v>
      </c>
      <c r="EP13" s="114">
        <f t="shared" si="19"/>
        <v>0</v>
      </c>
      <c r="EQ13" s="114">
        <f t="shared" si="20"/>
        <v>0</v>
      </c>
      <c r="ER13" s="114">
        <f t="shared" si="73"/>
        <v>0</v>
      </c>
      <c r="ES13" s="116">
        <f t="shared" si="74"/>
        <v>0</v>
      </c>
      <c r="ET13" s="126">
        <f t="shared" ca="1" si="75"/>
        <v>0</v>
      </c>
      <c r="EU13" s="115">
        <f t="shared" ca="1" si="21"/>
        <v>0</v>
      </c>
      <c r="EV13" s="118" t="str">
        <f t="shared" si="22"/>
        <v>Uncapped</v>
      </c>
      <c r="EW13" s="115">
        <f t="shared" ca="1" si="23"/>
        <v>0</v>
      </c>
      <c r="EX13" s="112">
        <f t="shared" ca="1" si="24"/>
        <v>0</v>
      </c>
      <c r="EY13" s="114">
        <f t="shared" ca="1" si="76"/>
        <v>0</v>
      </c>
      <c r="EZ13" s="115">
        <v>0</v>
      </c>
      <c r="FA13" s="115"/>
      <c r="FB13" s="115"/>
      <c r="FC13" s="115">
        <v>0</v>
      </c>
      <c r="FD13" s="115">
        <f t="shared" si="25"/>
        <v>0</v>
      </c>
      <c r="FE13" s="114">
        <f t="shared" si="26"/>
        <v>0</v>
      </c>
      <c r="FF13" s="115">
        <v>0</v>
      </c>
      <c r="FG13" s="115">
        <v>0</v>
      </c>
      <c r="FH13" s="115">
        <v>0</v>
      </c>
      <c r="FI13" s="115">
        <v>0</v>
      </c>
      <c r="FJ13" s="115">
        <f t="shared" si="27"/>
        <v>0</v>
      </c>
      <c r="FK13" s="114">
        <f t="shared" si="28"/>
        <v>0</v>
      </c>
      <c r="FL13" s="113"/>
      <c r="FM13" s="111"/>
      <c r="FN13" s="111"/>
      <c r="FO13" s="111"/>
      <c r="FP13" s="115">
        <f>SUM(FL13:FO13)</f>
        <v>0</v>
      </c>
      <c r="FQ13" s="115"/>
      <c r="FR13" s="115"/>
      <c r="FS13" s="115"/>
      <c r="FT13" s="114">
        <f t="shared" si="77"/>
        <v>0</v>
      </c>
      <c r="FU13" s="366">
        <f t="shared" ca="1" si="79"/>
        <v>0</v>
      </c>
      <c r="FV13" s="121">
        <f t="shared" ca="1" si="78"/>
        <v>0</v>
      </c>
      <c r="FW13" s="114">
        <f t="shared" si="30"/>
        <v>0</v>
      </c>
      <c r="FX13" s="114">
        <f t="shared" si="30"/>
        <v>0</v>
      </c>
      <c r="FY13" s="114">
        <f t="shared" si="30"/>
        <v>0</v>
      </c>
      <c r="FZ13" s="114">
        <f t="shared" si="30"/>
        <v>0</v>
      </c>
      <c r="GA13" s="114">
        <f>SUM(FW13:FZ13)</f>
        <v>0</v>
      </c>
      <c r="GB13" s="114">
        <f t="shared" si="32"/>
        <v>0</v>
      </c>
      <c r="GC13" s="114">
        <f t="shared" si="32"/>
        <v>0</v>
      </c>
      <c r="GD13" s="114">
        <f t="shared" si="32"/>
        <v>0</v>
      </c>
      <c r="GE13" s="114">
        <f t="shared" si="32"/>
        <v>0</v>
      </c>
      <c r="GF13" s="114">
        <f t="shared" si="33"/>
        <v>0</v>
      </c>
      <c r="GG13" s="114">
        <f t="shared" si="33"/>
        <v>0</v>
      </c>
      <c r="GH13" s="114">
        <f t="shared" si="33"/>
        <v>0</v>
      </c>
      <c r="GI13" s="114">
        <f t="shared" si="33"/>
        <v>0</v>
      </c>
      <c r="GJ13" s="115">
        <f t="shared" si="34"/>
        <v>0</v>
      </c>
      <c r="GK13" s="114">
        <f>SUM(GF13:GI13)</f>
        <v>0</v>
      </c>
      <c r="GL13" s="114">
        <f t="shared" si="36"/>
        <v>0</v>
      </c>
      <c r="GM13" s="114">
        <f t="shared" si="37"/>
        <v>0</v>
      </c>
      <c r="GN13" s="114">
        <f t="shared" si="38"/>
        <v>0</v>
      </c>
      <c r="GO13" s="114">
        <f t="shared" si="39"/>
        <v>0</v>
      </c>
      <c r="GP13" s="114">
        <f t="shared" si="40"/>
        <v>0</v>
      </c>
      <c r="GQ13" s="114">
        <f>SUM(GL13:GO13)</f>
        <v>0</v>
      </c>
      <c r="GR13" s="193"/>
      <c r="GS13" s="122">
        <f t="shared" si="42"/>
        <v>23390339.573700063</v>
      </c>
      <c r="GT13" s="122">
        <f t="shared" si="43"/>
        <v>33129934.599999998</v>
      </c>
      <c r="GU13" s="123">
        <f>IFERROR(GS13/GT13,"")</f>
        <v>0.70601828395097599</v>
      </c>
      <c r="GV13" s="124">
        <f t="shared" ca="1" si="45"/>
        <v>0</v>
      </c>
      <c r="GW13" s="124">
        <v>0</v>
      </c>
      <c r="GX13" s="32">
        <f t="shared" ca="1" si="46"/>
        <v>0</v>
      </c>
      <c r="GY13" s="100"/>
    </row>
    <row r="14" spans="1:207" s="125" customFormat="1" ht="15" hidden="1" customHeight="1">
      <c r="A14" s="162"/>
      <c r="B14" s="103"/>
      <c r="C14" s="103"/>
      <c r="D14" s="104"/>
      <c r="E14" s="104" t="s">
        <v>256</v>
      </c>
      <c r="F14" s="104" t="s">
        <v>248</v>
      </c>
      <c r="G14" s="104" t="s">
        <v>226</v>
      </c>
      <c r="H14" s="105" t="s">
        <v>257</v>
      </c>
      <c r="I14" s="106" t="s">
        <v>648</v>
      </c>
      <c r="J14" s="104" t="s">
        <v>212</v>
      </c>
      <c r="K14" s="104" t="s">
        <v>208</v>
      </c>
      <c r="L14" s="104" t="s">
        <v>213</v>
      </c>
      <c r="M14" s="104" t="s">
        <v>247</v>
      </c>
      <c r="N14" s="107"/>
      <c r="O14" s="108">
        <v>42842</v>
      </c>
      <c r="P14" s="108">
        <v>43344</v>
      </c>
      <c r="Q14" s="322">
        <f t="shared" si="0"/>
        <v>0</v>
      </c>
      <c r="R14" s="109">
        <f>IF((P14-VLOOKUP(Q14,month!$A$1:$C$13,3,0))&lt;0,Q14,Q14+1)</f>
        <v>0</v>
      </c>
      <c r="S14" s="108"/>
      <c r="T14" s="127" t="str">
        <f>IF(S14&gt;0,"Y","")</f>
        <v/>
      </c>
      <c r="U14" s="107"/>
      <c r="V14" s="107"/>
      <c r="W14" s="107"/>
      <c r="X14" s="107"/>
      <c r="Y14" s="386"/>
      <c r="Z14" s="386" t="s">
        <v>545</v>
      </c>
      <c r="AA14" s="387">
        <v>1000</v>
      </c>
      <c r="AB14" s="387">
        <v>1000</v>
      </c>
      <c r="AC14" s="387">
        <v>1000</v>
      </c>
      <c r="AD14" s="387">
        <v>1000</v>
      </c>
      <c r="AE14" s="387">
        <v>1000</v>
      </c>
      <c r="AF14" s="387">
        <v>1000</v>
      </c>
      <c r="AG14" s="387">
        <v>1000</v>
      </c>
      <c r="AH14" s="387">
        <v>1000</v>
      </c>
      <c r="AI14" s="387">
        <v>1000</v>
      </c>
      <c r="AJ14" s="387">
        <v>1000</v>
      </c>
      <c r="AK14" s="387">
        <v>1000</v>
      </c>
      <c r="AL14" s="387">
        <v>1000</v>
      </c>
      <c r="AM14" s="388">
        <f t="shared" si="2"/>
        <v>12000</v>
      </c>
      <c r="AN14" s="388">
        <f t="shared" si="3"/>
        <v>12000</v>
      </c>
      <c r="AO14" s="389">
        <f t="shared" si="47"/>
        <v>1000</v>
      </c>
      <c r="AP14" s="498" t="s">
        <v>705</v>
      </c>
      <c r="AQ14" s="159">
        <v>0.8</v>
      </c>
      <c r="AR14" s="160" t="s">
        <v>392</v>
      </c>
      <c r="AS14" s="119" t="s">
        <v>210</v>
      </c>
      <c r="AT14" s="111">
        <v>333311.59600000002</v>
      </c>
      <c r="AU14" s="111">
        <v>395064.15399999998</v>
      </c>
      <c r="AV14" s="111">
        <v>474183.62800000003</v>
      </c>
      <c r="AW14" s="111">
        <v>593540.62199999997</v>
      </c>
      <c r="AX14" s="113">
        <v>454544.2394999995</v>
      </c>
      <c r="AY14" s="113">
        <v>577530.27899999998</v>
      </c>
      <c r="AZ14" s="113">
        <v>606378.7457999991</v>
      </c>
      <c r="BA14" s="113"/>
      <c r="BB14" s="113"/>
      <c r="BC14" s="113"/>
      <c r="BD14" s="113"/>
      <c r="BE14" s="113"/>
      <c r="BF14" s="114">
        <f t="shared" si="48"/>
        <v>454544.2394999995</v>
      </c>
      <c r="BG14" s="114">
        <f t="shared" si="49"/>
        <v>577530.27899999998</v>
      </c>
      <c r="BH14" s="114">
        <f t="shared" si="50"/>
        <v>606378.7457999991</v>
      </c>
      <c r="BI14" s="114">
        <f t="shared" si="51"/>
        <v>0</v>
      </c>
      <c r="BJ14" s="114">
        <f t="shared" si="4"/>
        <v>1638453.2642999985</v>
      </c>
      <c r="BK14" s="115">
        <f t="shared" si="5"/>
        <v>1796100</v>
      </c>
      <c r="BL14" s="115">
        <f t="shared" si="52"/>
        <v>1796100</v>
      </c>
      <c r="BM14" s="116">
        <f t="shared" si="53"/>
        <v>0.91220000000000001</v>
      </c>
      <c r="BN14" s="126">
        <f t="shared" ca="1" si="6"/>
        <v>0</v>
      </c>
      <c r="BO14" s="117">
        <f t="shared" ca="1" si="7"/>
        <v>0</v>
      </c>
      <c r="BP14" s="118" t="str">
        <f t="shared" si="54"/>
        <v>Uncapped</v>
      </c>
      <c r="BQ14" s="115">
        <f t="shared" ca="1" si="8"/>
        <v>0</v>
      </c>
      <c r="BR14" s="113" t="s">
        <v>695</v>
      </c>
      <c r="BS14" s="161">
        <v>0.2</v>
      </c>
      <c r="BT14" s="113" t="s">
        <v>217</v>
      </c>
      <c r="BU14" s="160" t="s">
        <v>210</v>
      </c>
      <c r="BV14" s="113">
        <v>5487270.5779999997</v>
      </c>
      <c r="BW14" s="113">
        <v>6585543.1469999989</v>
      </c>
      <c r="BX14" s="113">
        <v>5336814.9539999999</v>
      </c>
      <c r="BY14" s="113">
        <v>6526505.9210000001</v>
      </c>
      <c r="BZ14" s="113">
        <v>5253705.8622000199</v>
      </c>
      <c r="CA14" s="113">
        <v>6486860.7639000099</v>
      </c>
      <c r="CB14" s="113">
        <v>5185416.014100017</v>
      </c>
      <c r="CC14" s="113"/>
      <c r="CD14" s="113"/>
      <c r="CE14" s="113"/>
      <c r="CF14" s="113"/>
      <c r="CG14" s="113"/>
      <c r="CH14" s="114">
        <f t="shared" si="55"/>
        <v>5253705.8622000199</v>
      </c>
      <c r="CI14" s="114">
        <f t="shared" si="56"/>
        <v>6486860.7639000099</v>
      </c>
      <c r="CJ14" s="120">
        <f t="shared" si="57"/>
        <v>5185416.014100017</v>
      </c>
      <c r="CK14" s="114">
        <f t="shared" si="58"/>
        <v>0</v>
      </c>
      <c r="CL14" s="114">
        <f t="shared" si="9"/>
        <v>16925982.640200049</v>
      </c>
      <c r="CM14" s="114">
        <f t="shared" si="10"/>
        <v>23936134.599999998</v>
      </c>
      <c r="CN14" s="114">
        <f t="shared" si="59"/>
        <v>23936134.599999998</v>
      </c>
      <c r="CO14" s="116">
        <f t="shared" si="60"/>
        <v>0.70709999999999995</v>
      </c>
      <c r="CP14" s="126">
        <f t="shared" ca="1" si="61"/>
        <v>0</v>
      </c>
      <c r="CQ14" s="115">
        <f t="shared" ca="1" si="11"/>
        <v>0</v>
      </c>
      <c r="CR14" s="118" t="str">
        <f t="shared" si="12"/>
        <v>Uncapped</v>
      </c>
      <c r="CS14" s="115">
        <f t="shared" ca="1" si="13"/>
        <v>0</v>
      </c>
      <c r="CT14" s="113"/>
      <c r="CU14" s="119">
        <v>0</v>
      </c>
      <c r="CV14" s="113"/>
      <c r="CW14" s="113"/>
      <c r="CX14" s="113">
        <v>0</v>
      </c>
      <c r="CY14" s="113">
        <v>0</v>
      </c>
      <c r="CZ14" s="113">
        <v>0</v>
      </c>
      <c r="DA14" s="113">
        <v>0</v>
      </c>
      <c r="DB14" s="113">
        <v>0</v>
      </c>
      <c r="DC14" s="113">
        <v>0</v>
      </c>
      <c r="DD14" s="113">
        <v>0</v>
      </c>
      <c r="DE14" s="113"/>
      <c r="DF14" s="113"/>
      <c r="DG14" s="113"/>
      <c r="DH14" s="113"/>
      <c r="DI14" s="113"/>
      <c r="DJ14" s="114">
        <f t="shared" si="62"/>
        <v>0</v>
      </c>
      <c r="DK14" s="114">
        <f t="shared" si="63"/>
        <v>0</v>
      </c>
      <c r="DL14" s="114">
        <f t="shared" si="64"/>
        <v>0</v>
      </c>
      <c r="DM14" s="114">
        <f t="shared" si="65"/>
        <v>0</v>
      </c>
      <c r="DN14" s="114">
        <f t="shared" si="66"/>
        <v>0</v>
      </c>
      <c r="DO14" s="114">
        <f t="shared" si="14"/>
        <v>0</v>
      </c>
      <c r="DP14" s="114">
        <f t="shared" si="67"/>
        <v>0</v>
      </c>
      <c r="DQ14" s="116">
        <f t="shared" si="68"/>
        <v>0</v>
      </c>
      <c r="DR14" s="126">
        <f t="shared" ca="1" si="15"/>
        <v>0</v>
      </c>
      <c r="DS14" s="115">
        <f t="shared" ca="1" si="16"/>
        <v>0</v>
      </c>
      <c r="DT14" s="118" t="str">
        <f t="shared" si="17"/>
        <v>Uncapped</v>
      </c>
      <c r="DU14" s="115">
        <f t="shared" ca="1" si="18"/>
        <v>0</v>
      </c>
      <c r="DV14" s="113"/>
      <c r="DW14" s="119">
        <v>0</v>
      </c>
      <c r="DX14" s="113"/>
      <c r="DY14" s="113"/>
      <c r="DZ14" s="113">
        <v>0</v>
      </c>
      <c r="EA14" s="113">
        <v>0</v>
      </c>
      <c r="EB14" s="113">
        <v>0</v>
      </c>
      <c r="EC14" s="113">
        <v>0</v>
      </c>
      <c r="ED14" s="113">
        <v>0</v>
      </c>
      <c r="EE14" s="113">
        <v>0</v>
      </c>
      <c r="EF14" s="113"/>
      <c r="EG14" s="113"/>
      <c r="EH14" s="113"/>
      <c r="EI14" s="113"/>
      <c r="EJ14" s="113"/>
      <c r="EK14" s="113"/>
      <c r="EL14" s="114">
        <f t="shared" si="69"/>
        <v>0</v>
      </c>
      <c r="EM14" s="114">
        <f t="shared" si="70"/>
        <v>0</v>
      </c>
      <c r="EN14" s="114">
        <f t="shared" si="71"/>
        <v>0</v>
      </c>
      <c r="EO14" s="114">
        <f t="shared" si="72"/>
        <v>0</v>
      </c>
      <c r="EP14" s="114">
        <f t="shared" si="19"/>
        <v>0</v>
      </c>
      <c r="EQ14" s="114">
        <f t="shared" si="20"/>
        <v>0</v>
      </c>
      <c r="ER14" s="114">
        <f t="shared" si="73"/>
        <v>0</v>
      </c>
      <c r="ES14" s="116">
        <f t="shared" si="74"/>
        <v>0</v>
      </c>
      <c r="ET14" s="126">
        <f t="shared" ca="1" si="75"/>
        <v>0</v>
      </c>
      <c r="EU14" s="115">
        <f t="shared" ca="1" si="21"/>
        <v>0</v>
      </c>
      <c r="EV14" s="118" t="str">
        <f t="shared" si="22"/>
        <v>Uncapped</v>
      </c>
      <c r="EW14" s="115">
        <f t="shared" ca="1" si="23"/>
        <v>0</v>
      </c>
      <c r="EX14" s="112">
        <f t="shared" ca="1" si="24"/>
        <v>0</v>
      </c>
      <c r="EY14" s="114">
        <f t="shared" ca="1" si="76"/>
        <v>0</v>
      </c>
      <c r="EZ14" s="115">
        <v>0</v>
      </c>
      <c r="FA14" s="115"/>
      <c r="FB14" s="115">
        <v>45000</v>
      </c>
      <c r="FC14" s="115">
        <v>0</v>
      </c>
      <c r="FD14" s="115">
        <f t="shared" si="25"/>
        <v>45000</v>
      </c>
      <c r="FE14" s="114">
        <f t="shared" si="26"/>
        <v>0</v>
      </c>
      <c r="FF14" s="115">
        <v>0</v>
      </c>
      <c r="FG14" s="115">
        <v>0</v>
      </c>
      <c r="FH14" s="115">
        <v>0</v>
      </c>
      <c r="FI14" s="115">
        <v>0</v>
      </c>
      <c r="FJ14" s="115">
        <f t="shared" si="27"/>
        <v>0</v>
      </c>
      <c r="FK14" s="114">
        <f t="shared" si="28"/>
        <v>0</v>
      </c>
      <c r="FL14" s="113"/>
      <c r="FM14" s="111"/>
      <c r="FN14" s="111"/>
      <c r="FO14" s="111"/>
      <c r="FP14" s="115">
        <f>SUM(FL14:FO14)</f>
        <v>0</v>
      </c>
      <c r="FQ14" s="115"/>
      <c r="FR14" s="115"/>
      <c r="FS14" s="115"/>
      <c r="FT14" s="114">
        <f t="shared" si="77"/>
        <v>0</v>
      </c>
      <c r="FU14" s="366">
        <f t="shared" ca="1" si="79"/>
        <v>45000</v>
      </c>
      <c r="FV14" s="121">
        <f t="shared" ca="1" si="78"/>
        <v>45000</v>
      </c>
      <c r="FW14" s="114">
        <f t="shared" si="30"/>
        <v>0</v>
      </c>
      <c r="FX14" s="114">
        <f t="shared" si="30"/>
        <v>0</v>
      </c>
      <c r="FY14" s="114">
        <f t="shared" si="30"/>
        <v>0</v>
      </c>
      <c r="FZ14" s="114">
        <f t="shared" si="30"/>
        <v>0</v>
      </c>
      <c r="GA14" s="114">
        <f>SUM(FW14:FZ14)</f>
        <v>0</v>
      </c>
      <c r="GB14" s="114">
        <f t="shared" si="32"/>
        <v>0</v>
      </c>
      <c r="GC14" s="114">
        <f t="shared" si="32"/>
        <v>0</v>
      </c>
      <c r="GD14" s="114">
        <f t="shared" si="32"/>
        <v>45000</v>
      </c>
      <c r="GE14" s="114">
        <f t="shared" si="32"/>
        <v>0</v>
      </c>
      <c r="GF14" s="114">
        <f t="shared" si="33"/>
        <v>0</v>
      </c>
      <c r="GG14" s="114">
        <f t="shared" si="33"/>
        <v>0</v>
      </c>
      <c r="GH14" s="114">
        <f t="shared" si="33"/>
        <v>45000</v>
      </c>
      <c r="GI14" s="114">
        <f t="shared" si="33"/>
        <v>0</v>
      </c>
      <c r="GJ14" s="115">
        <f t="shared" si="34"/>
        <v>45000</v>
      </c>
      <c r="GK14" s="114">
        <f>SUM(GF14:GI14)</f>
        <v>45000</v>
      </c>
      <c r="GL14" s="114">
        <f t="shared" si="36"/>
        <v>0</v>
      </c>
      <c r="GM14" s="114">
        <f t="shared" si="37"/>
        <v>0</v>
      </c>
      <c r="GN14" s="114">
        <f t="shared" si="38"/>
        <v>0</v>
      </c>
      <c r="GO14" s="114">
        <f t="shared" si="39"/>
        <v>0</v>
      </c>
      <c r="GP14" s="114">
        <f t="shared" si="40"/>
        <v>0</v>
      </c>
      <c r="GQ14" s="114">
        <f>SUM(GL14:GO14)</f>
        <v>0</v>
      </c>
      <c r="GR14" s="193"/>
      <c r="GS14" s="122">
        <f t="shared" si="42"/>
        <v>18564435.904500049</v>
      </c>
      <c r="GT14" s="122">
        <f t="shared" si="43"/>
        <v>25732234.599999998</v>
      </c>
      <c r="GU14" s="123">
        <f>IFERROR(GS14/GT14,"")</f>
        <v>0.72144670655614385</v>
      </c>
      <c r="GV14" s="124">
        <f t="shared" ca="1" si="45"/>
        <v>0</v>
      </c>
      <c r="GW14" s="124">
        <v>0</v>
      </c>
      <c r="GX14" s="32">
        <f t="shared" ca="1" si="46"/>
        <v>0</v>
      </c>
      <c r="GY14" s="100"/>
    </row>
    <row r="15" spans="1:207" s="125" customFormat="1" ht="15" hidden="1" customHeight="1">
      <c r="A15" s="102"/>
      <c r="B15" s="103"/>
      <c r="C15" s="103"/>
      <c r="D15" s="104"/>
      <c r="E15" s="104"/>
      <c r="F15" s="104" t="s">
        <v>224</v>
      </c>
      <c r="G15" s="104" t="s">
        <v>226</v>
      </c>
      <c r="H15" s="154" t="s">
        <v>258</v>
      </c>
      <c r="I15" s="106" t="s">
        <v>259</v>
      </c>
      <c r="J15" s="104" t="s">
        <v>212</v>
      </c>
      <c r="K15" s="104" t="s">
        <v>208</v>
      </c>
      <c r="L15" s="104" t="s">
        <v>220</v>
      </c>
      <c r="M15" s="104" t="s">
        <v>715</v>
      </c>
      <c r="N15" s="107"/>
      <c r="O15" s="108">
        <v>43435</v>
      </c>
      <c r="P15" s="108">
        <v>43435</v>
      </c>
      <c r="Q15" s="322">
        <f t="shared" si="0"/>
        <v>0</v>
      </c>
      <c r="R15" s="109">
        <f>IF((P15-VLOOKUP(Q15,month!$A$1:$C$13,3,0))&lt;0,Q15,Q15+1)</f>
        <v>0</v>
      </c>
      <c r="S15" s="108"/>
      <c r="T15" s="110" t="str">
        <f t="shared" ref="T15:T70" si="80">IF(S15&gt;0,"Y","")</f>
        <v/>
      </c>
      <c r="U15" s="320" t="s">
        <v>214</v>
      </c>
      <c r="V15" s="320">
        <v>2</v>
      </c>
      <c r="W15" s="107"/>
      <c r="X15" s="107"/>
      <c r="Y15" s="386"/>
      <c r="Z15" s="386" t="s">
        <v>545</v>
      </c>
      <c r="AA15" s="387">
        <v>1000</v>
      </c>
      <c r="AB15" s="387">
        <v>1000</v>
      </c>
      <c r="AC15" s="387">
        <v>1000</v>
      </c>
      <c r="AD15" s="387">
        <v>1000</v>
      </c>
      <c r="AE15" s="387">
        <v>1000</v>
      </c>
      <c r="AF15" s="387">
        <v>1000</v>
      </c>
      <c r="AG15" s="387">
        <v>1000</v>
      </c>
      <c r="AH15" s="387">
        <v>1000</v>
      </c>
      <c r="AI15" s="387">
        <v>1000</v>
      </c>
      <c r="AJ15" s="387">
        <v>1000</v>
      </c>
      <c r="AK15" s="387">
        <v>1000</v>
      </c>
      <c r="AL15" s="387">
        <v>1000</v>
      </c>
      <c r="AM15" s="388">
        <f t="shared" si="2"/>
        <v>12000</v>
      </c>
      <c r="AN15" s="388">
        <f t="shared" si="3"/>
        <v>12000</v>
      </c>
      <c r="AO15" s="389">
        <f>AA15</f>
        <v>1000</v>
      </c>
      <c r="AP15" s="498" t="s">
        <v>675</v>
      </c>
      <c r="AQ15" s="159">
        <v>0.6</v>
      </c>
      <c r="AR15" s="160" t="s">
        <v>211</v>
      </c>
      <c r="AS15" s="119" t="s">
        <v>210</v>
      </c>
      <c r="AT15" s="111">
        <v>546606.41299999994</v>
      </c>
      <c r="AU15" s="111">
        <v>672753.73699999996</v>
      </c>
      <c r="AV15" s="111">
        <v>637429.42799999996</v>
      </c>
      <c r="AW15" s="111">
        <v>754510.4219999999</v>
      </c>
      <c r="AX15" s="113">
        <v>518254.4828</v>
      </c>
      <c r="AY15" s="113">
        <v>357386.41899999999</v>
      </c>
      <c r="AZ15" s="113">
        <v>683929.5111</v>
      </c>
      <c r="BA15" s="113"/>
      <c r="BB15" s="113"/>
      <c r="BC15" s="113"/>
      <c r="BD15" s="113"/>
      <c r="BE15" s="113"/>
      <c r="BF15" s="114">
        <f t="shared" si="48"/>
        <v>518254.4828</v>
      </c>
      <c r="BG15" s="114">
        <f t="shared" si="49"/>
        <v>357386.41899999999</v>
      </c>
      <c r="BH15" s="114">
        <f t="shared" si="50"/>
        <v>683929.5111</v>
      </c>
      <c r="BI15" s="114">
        <f t="shared" si="51"/>
        <v>0</v>
      </c>
      <c r="BJ15" s="114">
        <f t="shared" si="4"/>
        <v>1559570.4128999999</v>
      </c>
      <c r="BK15" s="115">
        <f t="shared" si="5"/>
        <v>2611299.9999999995</v>
      </c>
      <c r="BL15" s="115">
        <f t="shared" si="52"/>
        <v>2611299.9999999995</v>
      </c>
      <c r="BM15" s="116">
        <f t="shared" si="53"/>
        <v>0.59719999999999995</v>
      </c>
      <c r="BN15" s="126">
        <f t="shared" ca="1" si="6"/>
        <v>0</v>
      </c>
      <c r="BO15" s="117">
        <f t="shared" ca="1" si="7"/>
        <v>0</v>
      </c>
      <c r="BP15" s="118" t="str">
        <f t="shared" si="54"/>
        <v>Uncapped</v>
      </c>
      <c r="BQ15" s="115">
        <f t="shared" ca="1" si="8"/>
        <v>0</v>
      </c>
      <c r="BR15" s="113" t="s">
        <v>688</v>
      </c>
      <c r="BS15" s="161">
        <v>0.2</v>
      </c>
      <c r="BT15" s="113" t="s">
        <v>211</v>
      </c>
      <c r="BU15" s="160" t="s">
        <v>210</v>
      </c>
      <c r="BV15" s="113">
        <v>19653413.080999997</v>
      </c>
      <c r="BW15" s="113">
        <v>22848780.235100001</v>
      </c>
      <c r="BX15" s="113">
        <v>22618799.574099999</v>
      </c>
      <c r="BY15" s="113">
        <v>27098464.121500004</v>
      </c>
      <c r="BZ15" s="113">
        <v>19427532.107000571</v>
      </c>
      <c r="CA15" s="113">
        <v>22270538.357580002</v>
      </c>
      <c r="CB15" s="113">
        <v>22879083.486580007</v>
      </c>
      <c r="CC15" s="113"/>
      <c r="CD15" s="113"/>
      <c r="CE15" s="113"/>
      <c r="CF15" s="113"/>
      <c r="CG15" s="113"/>
      <c r="CH15" s="114">
        <f t="shared" si="55"/>
        <v>19427532.107000571</v>
      </c>
      <c r="CI15" s="114">
        <f t="shared" si="56"/>
        <v>22270538.357580002</v>
      </c>
      <c r="CJ15" s="120">
        <f t="shared" si="57"/>
        <v>22879083.486580007</v>
      </c>
      <c r="CK15" s="114">
        <f t="shared" si="58"/>
        <v>0</v>
      </c>
      <c r="CL15" s="114">
        <f t="shared" si="9"/>
        <v>64577153.95116058</v>
      </c>
      <c r="CM15" s="114">
        <f t="shared" si="10"/>
        <v>92219457.011700004</v>
      </c>
      <c r="CN15" s="114">
        <f t="shared" si="59"/>
        <v>92219457.011700004</v>
      </c>
      <c r="CO15" s="116">
        <f t="shared" si="60"/>
        <v>0.70030000000000003</v>
      </c>
      <c r="CP15" s="126">
        <f t="shared" ca="1" si="61"/>
        <v>0</v>
      </c>
      <c r="CQ15" s="115">
        <f t="shared" ca="1" si="11"/>
        <v>0</v>
      </c>
      <c r="CR15" s="118" t="str">
        <f t="shared" si="12"/>
        <v>Uncapped</v>
      </c>
      <c r="CS15" s="115">
        <f t="shared" ca="1" si="13"/>
        <v>0</v>
      </c>
      <c r="CT15" s="113" t="s">
        <v>696</v>
      </c>
      <c r="CU15" s="119">
        <v>0.2</v>
      </c>
      <c r="CV15" s="113" t="s">
        <v>217</v>
      </c>
      <c r="CW15" s="113" t="s">
        <v>210</v>
      </c>
      <c r="CX15" s="113">
        <v>61881722.047854595</v>
      </c>
      <c r="CY15" s="113">
        <v>72180793.063260496</v>
      </c>
      <c r="CZ15" s="113">
        <v>69179032.514420599</v>
      </c>
      <c r="DA15" s="113">
        <v>76323964.015026003</v>
      </c>
      <c r="DB15" s="113">
        <v>63657388.730680585</v>
      </c>
      <c r="DC15" s="113">
        <v>65995192.891159989</v>
      </c>
      <c r="DD15" s="113">
        <v>66410604.684560001</v>
      </c>
      <c r="DE15" s="113"/>
      <c r="DF15" s="113"/>
      <c r="DG15" s="113"/>
      <c r="DH15" s="113"/>
      <c r="DI15" s="113"/>
      <c r="DJ15" s="114">
        <f t="shared" si="62"/>
        <v>63657388.730680585</v>
      </c>
      <c r="DK15" s="114">
        <f t="shared" si="63"/>
        <v>65995192.891159989</v>
      </c>
      <c r="DL15" s="114">
        <f t="shared" si="64"/>
        <v>66410604.684560001</v>
      </c>
      <c r="DM15" s="114">
        <f t="shared" si="65"/>
        <v>0</v>
      </c>
      <c r="DN15" s="114">
        <f t="shared" si="66"/>
        <v>196063186.30640057</v>
      </c>
      <c r="DO15" s="114">
        <f t="shared" si="14"/>
        <v>279565511.6405617</v>
      </c>
      <c r="DP15" s="114">
        <f t="shared" si="67"/>
        <v>279565511.6405617</v>
      </c>
      <c r="DQ15" s="116">
        <f t="shared" si="68"/>
        <v>0.70130000000000003</v>
      </c>
      <c r="DR15" s="126">
        <f t="shared" ca="1" si="15"/>
        <v>0</v>
      </c>
      <c r="DS15" s="115">
        <f t="shared" ca="1" si="16"/>
        <v>0</v>
      </c>
      <c r="DT15" s="118" t="str">
        <f t="shared" si="17"/>
        <v>Uncapped</v>
      </c>
      <c r="DU15" s="115">
        <f t="shared" ca="1" si="18"/>
        <v>0</v>
      </c>
      <c r="DV15" s="113"/>
      <c r="DW15" s="119">
        <v>0</v>
      </c>
      <c r="DX15" s="113"/>
      <c r="DY15" s="113"/>
      <c r="DZ15" s="113">
        <v>0</v>
      </c>
      <c r="EA15" s="113">
        <v>0</v>
      </c>
      <c r="EB15" s="113">
        <v>0</v>
      </c>
      <c r="EC15" s="113">
        <v>0</v>
      </c>
      <c r="ED15" s="113">
        <v>0</v>
      </c>
      <c r="EE15" s="113">
        <v>0</v>
      </c>
      <c r="EF15" s="113"/>
      <c r="EG15" s="113"/>
      <c r="EH15" s="113"/>
      <c r="EI15" s="113"/>
      <c r="EJ15" s="113"/>
      <c r="EK15" s="113"/>
      <c r="EL15" s="114">
        <f t="shared" si="69"/>
        <v>0</v>
      </c>
      <c r="EM15" s="114">
        <f t="shared" si="70"/>
        <v>0</v>
      </c>
      <c r="EN15" s="114">
        <f t="shared" si="71"/>
        <v>0</v>
      </c>
      <c r="EO15" s="114">
        <f t="shared" si="72"/>
        <v>0</v>
      </c>
      <c r="EP15" s="114">
        <f t="shared" si="19"/>
        <v>0</v>
      </c>
      <c r="EQ15" s="114">
        <f t="shared" si="20"/>
        <v>0</v>
      </c>
      <c r="ER15" s="114">
        <f t="shared" si="73"/>
        <v>0</v>
      </c>
      <c r="ES15" s="116">
        <f t="shared" si="74"/>
        <v>0</v>
      </c>
      <c r="ET15" s="126">
        <f t="shared" ca="1" si="75"/>
        <v>0</v>
      </c>
      <c r="EU15" s="115">
        <f t="shared" ca="1" si="21"/>
        <v>0</v>
      </c>
      <c r="EV15" s="118" t="str">
        <f t="shared" si="22"/>
        <v>Uncapped</v>
      </c>
      <c r="EW15" s="115">
        <f t="shared" ca="1" si="23"/>
        <v>0</v>
      </c>
      <c r="EX15" s="112">
        <f t="shared" ca="1" si="24"/>
        <v>0</v>
      </c>
      <c r="EY15" s="114">
        <f t="shared" ca="1" si="76"/>
        <v>2000</v>
      </c>
      <c r="EZ15" s="115">
        <v>0</v>
      </c>
      <c r="FA15" s="115">
        <v>457500</v>
      </c>
      <c r="FB15" s="115"/>
      <c r="FC15" s="115">
        <v>0</v>
      </c>
      <c r="FD15" s="115">
        <f t="shared" si="25"/>
        <v>457500</v>
      </c>
      <c r="FE15" s="114">
        <f t="shared" si="26"/>
        <v>0</v>
      </c>
      <c r="FF15" s="115">
        <v>0</v>
      </c>
      <c r="FG15" s="115">
        <v>0</v>
      </c>
      <c r="FH15" s="115">
        <v>0</v>
      </c>
      <c r="FI15" s="115">
        <v>0</v>
      </c>
      <c r="FJ15" s="115">
        <f t="shared" si="27"/>
        <v>0</v>
      </c>
      <c r="FK15" s="114">
        <f t="shared" si="28"/>
        <v>0</v>
      </c>
      <c r="FL15" s="113"/>
      <c r="FM15" s="111"/>
      <c r="FN15" s="111"/>
      <c r="FO15" s="111"/>
      <c r="FP15" s="115">
        <f t="shared" si="29"/>
        <v>0</v>
      </c>
      <c r="FQ15" s="115"/>
      <c r="FR15" s="115"/>
      <c r="FS15" s="115"/>
      <c r="FT15" s="114">
        <f t="shared" si="77"/>
        <v>0</v>
      </c>
      <c r="FU15" s="366">
        <f t="shared" ca="1" si="79"/>
        <v>459500</v>
      </c>
      <c r="FV15" s="121">
        <f t="shared" ca="1" si="78"/>
        <v>459500</v>
      </c>
      <c r="FW15" s="114">
        <f t="shared" si="30"/>
        <v>0</v>
      </c>
      <c r="FX15" s="114">
        <f t="shared" si="30"/>
        <v>0</v>
      </c>
      <c r="FY15" s="114">
        <f t="shared" si="30"/>
        <v>0</v>
      </c>
      <c r="FZ15" s="114">
        <f t="shared" ref="FZ15:FZ73" si="81">FI15</f>
        <v>0</v>
      </c>
      <c r="GA15" s="114">
        <f>SUM(FW15:FZ15)</f>
        <v>0</v>
      </c>
      <c r="GB15" s="114">
        <f t="shared" si="32"/>
        <v>0</v>
      </c>
      <c r="GC15" s="114">
        <f t="shared" si="32"/>
        <v>457500</v>
      </c>
      <c r="GD15" s="114">
        <f t="shared" si="32"/>
        <v>0</v>
      </c>
      <c r="GE15" s="114">
        <f t="shared" ref="GE15:GE73" si="82">FC15</f>
        <v>0</v>
      </c>
      <c r="GF15" s="114">
        <f t="shared" si="33"/>
        <v>0</v>
      </c>
      <c r="GG15" s="114">
        <f t="shared" si="33"/>
        <v>457500</v>
      </c>
      <c r="GH15" s="114">
        <f t="shared" si="33"/>
        <v>0</v>
      </c>
      <c r="GI15" s="114">
        <f t="shared" si="33"/>
        <v>0</v>
      </c>
      <c r="GJ15" s="115">
        <f t="shared" si="34"/>
        <v>457500</v>
      </c>
      <c r="GK15" s="114">
        <f>SUM(GF15:GI15)</f>
        <v>457500</v>
      </c>
      <c r="GL15" s="114">
        <f t="shared" si="36"/>
        <v>2000</v>
      </c>
      <c r="GM15" s="114">
        <f t="shared" si="37"/>
        <v>0</v>
      </c>
      <c r="GN15" s="114">
        <f t="shared" si="38"/>
        <v>0</v>
      </c>
      <c r="GO15" s="114">
        <f t="shared" si="39"/>
        <v>0</v>
      </c>
      <c r="GP15" s="114">
        <f t="shared" si="40"/>
        <v>2000</v>
      </c>
      <c r="GQ15" s="114">
        <f>SUM(GL15:GO15)</f>
        <v>2000</v>
      </c>
      <c r="GR15" s="216"/>
      <c r="GS15" s="122">
        <f t="shared" si="42"/>
        <v>262199910.67046115</v>
      </c>
      <c r="GT15" s="122">
        <f t="shared" si="43"/>
        <v>374396268.65226173</v>
      </c>
      <c r="GU15" s="123">
        <f>IFERROR(GS15/GT15,"")</f>
        <v>0.70032725383273442</v>
      </c>
      <c r="GV15" s="124">
        <f t="shared" ca="1" si="45"/>
        <v>0</v>
      </c>
      <c r="GW15" s="124">
        <v>0</v>
      </c>
      <c r="GX15" s="32">
        <f t="shared" ca="1" si="46"/>
        <v>0</v>
      </c>
      <c r="GY15" s="100"/>
    </row>
    <row r="16" spans="1:207" s="446" customFormat="1" ht="18.45" hidden="1" customHeight="1">
      <c r="A16" s="410"/>
      <c r="B16" s="411"/>
      <c r="C16" s="411"/>
      <c r="D16" s="412"/>
      <c r="E16" s="413" t="s">
        <v>260</v>
      </c>
      <c r="F16" s="413" t="s">
        <v>261</v>
      </c>
      <c r="G16" s="412" t="s">
        <v>226</v>
      </c>
      <c r="H16" s="414" t="s">
        <v>262</v>
      </c>
      <c r="I16" s="415" t="s">
        <v>263</v>
      </c>
      <c r="J16" s="412" t="s">
        <v>207</v>
      </c>
      <c r="K16" s="412" t="s">
        <v>208</v>
      </c>
      <c r="L16" s="412" t="s">
        <v>264</v>
      </c>
      <c r="M16" s="412" t="s">
        <v>712</v>
      </c>
      <c r="N16" s="416"/>
      <c r="O16" s="552">
        <v>41376</v>
      </c>
      <c r="P16" s="417">
        <v>43009</v>
      </c>
      <c r="Q16" s="418">
        <f t="shared" si="0"/>
        <v>0</v>
      </c>
      <c r="R16" s="419">
        <f>IF((P16-VLOOKUP(Q16,month!$A$1:$C$13,3,0))&lt;0,Q16,Q16+1)</f>
        <v>0</v>
      </c>
      <c r="S16" s="420"/>
      <c r="T16" s="421" t="str">
        <f t="shared" si="80"/>
        <v/>
      </c>
      <c r="U16" s="416"/>
      <c r="V16" s="416"/>
      <c r="W16" s="416"/>
      <c r="X16" s="416"/>
      <c r="Y16" s="422"/>
      <c r="Z16" s="422" t="s">
        <v>545</v>
      </c>
      <c r="AA16" s="423">
        <v>1000</v>
      </c>
      <c r="AB16" s="423">
        <v>1000</v>
      </c>
      <c r="AC16" s="423">
        <v>1000</v>
      </c>
      <c r="AD16" s="423">
        <v>1000</v>
      </c>
      <c r="AE16" s="423">
        <v>1000</v>
      </c>
      <c r="AF16" s="423">
        <v>1000</v>
      </c>
      <c r="AG16" s="423">
        <v>1000</v>
      </c>
      <c r="AH16" s="423">
        <v>1000</v>
      </c>
      <c r="AI16" s="423">
        <v>1000</v>
      </c>
      <c r="AJ16" s="423">
        <v>1000</v>
      </c>
      <c r="AK16" s="423">
        <v>1000</v>
      </c>
      <c r="AL16" s="423">
        <v>1000</v>
      </c>
      <c r="AM16" s="424">
        <f t="shared" si="2"/>
        <v>12000</v>
      </c>
      <c r="AN16" s="424">
        <f t="shared" si="3"/>
        <v>12000</v>
      </c>
      <c r="AO16" s="425">
        <f t="shared" ref="AO16:AO20" si="83">AI16</f>
        <v>1000</v>
      </c>
      <c r="AP16" s="499" t="s">
        <v>682</v>
      </c>
      <c r="AQ16" s="426">
        <v>0.5</v>
      </c>
      <c r="AR16" s="427" t="s">
        <v>211</v>
      </c>
      <c r="AS16" s="428" t="s">
        <v>210</v>
      </c>
      <c r="AT16" s="429">
        <v>2244856.5935</v>
      </c>
      <c r="AU16" s="429">
        <v>2569392.7920000004</v>
      </c>
      <c r="AV16" s="429"/>
      <c r="AW16" s="429"/>
      <c r="AX16" s="413">
        <v>2652948.4355720901</v>
      </c>
      <c r="AY16" s="413">
        <v>2609712.8228000007</v>
      </c>
      <c r="AZ16" s="413"/>
      <c r="BA16" s="413"/>
      <c r="BB16" s="413"/>
      <c r="BC16" s="413"/>
      <c r="BD16" s="413"/>
      <c r="BE16" s="413"/>
      <c r="BF16" s="430">
        <f t="shared" si="48"/>
        <v>2652948.4355720901</v>
      </c>
      <c r="BG16" s="430">
        <f t="shared" si="49"/>
        <v>2609712.8228000007</v>
      </c>
      <c r="BH16" s="430">
        <f t="shared" si="50"/>
        <v>0</v>
      </c>
      <c r="BI16" s="430">
        <f t="shared" si="51"/>
        <v>0</v>
      </c>
      <c r="BJ16" s="430">
        <f t="shared" si="4"/>
        <v>5262661.2583720908</v>
      </c>
      <c r="BK16" s="431">
        <f t="shared" si="5"/>
        <v>4814249.3855000008</v>
      </c>
      <c r="BL16" s="431">
        <f t="shared" si="52"/>
        <v>4814249.3855000008</v>
      </c>
      <c r="BM16" s="432">
        <f t="shared" si="53"/>
        <v>1.0931</v>
      </c>
      <c r="BN16" s="433">
        <f t="shared" ca="1" si="6"/>
        <v>0</v>
      </c>
      <c r="BO16" s="434">
        <f t="shared" ca="1" si="7"/>
        <v>0</v>
      </c>
      <c r="BP16" s="435" t="str">
        <f t="shared" si="54"/>
        <v>Uncapped</v>
      </c>
      <c r="BQ16" s="431">
        <f t="shared" ca="1" si="8"/>
        <v>0</v>
      </c>
      <c r="BR16" s="413" t="s">
        <v>700</v>
      </c>
      <c r="BS16" s="436">
        <v>0.3</v>
      </c>
      <c r="BT16" s="413" t="s">
        <v>211</v>
      </c>
      <c r="BU16" s="427" t="s">
        <v>210</v>
      </c>
      <c r="BV16" s="413">
        <v>485801.88159999991</v>
      </c>
      <c r="BW16" s="413">
        <v>550013.91610000003</v>
      </c>
      <c r="BX16" s="413"/>
      <c r="BY16" s="413"/>
      <c r="BZ16" s="413">
        <v>486576.97109999997</v>
      </c>
      <c r="CA16" s="413">
        <v>543599.53199999989</v>
      </c>
      <c r="CB16" s="413"/>
      <c r="CC16" s="413"/>
      <c r="CD16" s="413"/>
      <c r="CE16" s="413"/>
      <c r="CF16" s="413"/>
      <c r="CG16" s="413"/>
      <c r="CH16" s="430">
        <f t="shared" si="55"/>
        <v>486576.97109999997</v>
      </c>
      <c r="CI16" s="430">
        <f t="shared" si="56"/>
        <v>543599.53199999989</v>
      </c>
      <c r="CJ16" s="437">
        <f t="shared" si="57"/>
        <v>0</v>
      </c>
      <c r="CK16" s="430">
        <f t="shared" si="58"/>
        <v>0</v>
      </c>
      <c r="CL16" s="430">
        <f t="shared" si="9"/>
        <v>1030176.5030999999</v>
      </c>
      <c r="CM16" s="430">
        <f t="shared" si="10"/>
        <v>1035815.7977</v>
      </c>
      <c r="CN16" s="430">
        <f t="shared" si="59"/>
        <v>1035815.7977</v>
      </c>
      <c r="CO16" s="432">
        <f t="shared" si="60"/>
        <v>0.99460000000000004</v>
      </c>
      <c r="CP16" s="433">
        <f t="shared" ca="1" si="61"/>
        <v>0</v>
      </c>
      <c r="CQ16" s="431">
        <f t="shared" ca="1" si="11"/>
        <v>0</v>
      </c>
      <c r="CR16" s="435" t="str">
        <f t="shared" si="12"/>
        <v>Uncapped</v>
      </c>
      <c r="CS16" s="431">
        <f t="shared" ca="1" si="13"/>
        <v>0</v>
      </c>
      <c r="CT16" s="413" t="s">
        <v>702</v>
      </c>
      <c r="CU16" s="428">
        <v>0.2</v>
      </c>
      <c r="CV16" s="413" t="s">
        <v>217</v>
      </c>
      <c r="CW16" s="413" t="s">
        <v>210</v>
      </c>
      <c r="CX16" s="413">
        <v>19653413.080999997</v>
      </c>
      <c r="CY16" s="413">
        <v>22848780.235100001</v>
      </c>
      <c r="CZ16" s="413"/>
      <c r="DA16" s="413"/>
      <c r="DB16" s="413">
        <v>19427532.107000571</v>
      </c>
      <c r="DC16" s="413">
        <v>22270538.357580002</v>
      </c>
      <c r="DD16" s="413"/>
      <c r="DE16" s="413"/>
      <c r="DF16" s="413"/>
      <c r="DG16" s="413"/>
      <c r="DH16" s="413"/>
      <c r="DI16" s="413"/>
      <c r="DJ16" s="430">
        <f t="shared" si="62"/>
        <v>19427532.107000571</v>
      </c>
      <c r="DK16" s="430">
        <f t="shared" si="63"/>
        <v>22270538.357580002</v>
      </c>
      <c r="DL16" s="430">
        <f t="shared" si="64"/>
        <v>0</v>
      </c>
      <c r="DM16" s="430">
        <f t="shared" si="65"/>
        <v>0</v>
      </c>
      <c r="DN16" s="430">
        <f t="shared" si="66"/>
        <v>41698070.464580573</v>
      </c>
      <c r="DO16" s="430">
        <f t="shared" si="14"/>
        <v>42502193.316100001</v>
      </c>
      <c r="DP16" s="430">
        <f t="shared" si="67"/>
        <v>42502193.316100001</v>
      </c>
      <c r="DQ16" s="432">
        <f t="shared" si="68"/>
        <v>0.98109999999999997</v>
      </c>
      <c r="DR16" s="433">
        <f t="shared" ca="1" si="15"/>
        <v>0</v>
      </c>
      <c r="DS16" s="431">
        <f t="shared" ca="1" si="16"/>
        <v>0</v>
      </c>
      <c r="DT16" s="435" t="str">
        <f t="shared" si="17"/>
        <v>Uncapped</v>
      </c>
      <c r="DU16" s="431">
        <f t="shared" ca="1" si="18"/>
        <v>0</v>
      </c>
      <c r="DV16" s="413"/>
      <c r="DW16" s="428">
        <v>0</v>
      </c>
      <c r="DX16" s="413"/>
      <c r="DY16" s="413"/>
      <c r="DZ16" s="413">
        <v>0</v>
      </c>
      <c r="EA16" s="413">
        <v>0</v>
      </c>
      <c r="EB16" s="413">
        <v>0</v>
      </c>
      <c r="EC16" s="413">
        <v>0</v>
      </c>
      <c r="ED16" s="413">
        <v>0</v>
      </c>
      <c r="EE16" s="413">
        <v>0</v>
      </c>
      <c r="EF16" s="413"/>
      <c r="EG16" s="413"/>
      <c r="EH16" s="413"/>
      <c r="EI16" s="413"/>
      <c r="EJ16" s="413"/>
      <c r="EK16" s="413"/>
      <c r="EL16" s="430">
        <f t="shared" si="69"/>
        <v>0</v>
      </c>
      <c r="EM16" s="430">
        <f t="shared" si="70"/>
        <v>0</v>
      </c>
      <c r="EN16" s="430">
        <f t="shared" si="71"/>
        <v>0</v>
      </c>
      <c r="EO16" s="430">
        <f t="shared" si="72"/>
        <v>0</v>
      </c>
      <c r="EP16" s="430">
        <f t="shared" si="19"/>
        <v>0</v>
      </c>
      <c r="EQ16" s="430">
        <f t="shared" si="20"/>
        <v>0</v>
      </c>
      <c r="ER16" s="430">
        <f t="shared" si="73"/>
        <v>0</v>
      </c>
      <c r="ES16" s="432">
        <f t="shared" si="74"/>
        <v>0</v>
      </c>
      <c r="ET16" s="433">
        <f t="shared" ca="1" si="75"/>
        <v>0</v>
      </c>
      <c r="EU16" s="431">
        <f t="shared" ca="1" si="21"/>
        <v>0</v>
      </c>
      <c r="EV16" s="435" t="str">
        <f t="shared" si="22"/>
        <v>Uncapped</v>
      </c>
      <c r="EW16" s="431">
        <f t="shared" ca="1" si="23"/>
        <v>0</v>
      </c>
      <c r="EX16" s="438">
        <f t="shared" ca="1" si="24"/>
        <v>0</v>
      </c>
      <c r="EY16" s="430">
        <f t="shared" ca="1" si="76"/>
        <v>0</v>
      </c>
      <c r="EZ16" s="431">
        <v>0</v>
      </c>
      <c r="FA16" s="431">
        <v>914000</v>
      </c>
      <c r="FB16" s="431">
        <v>376700</v>
      </c>
      <c r="FC16" s="431">
        <v>0</v>
      </c>
      <c r="FD16" s="431">
        <f t="shared" si="25"/>
        <v>1290700</v>
      </c>
      <c r="FE16" s="430">
        <f t="shared" si="26"/>
        <v>0</v>
      </c>
      <c r="FF16" s="431">
        <v>0</v>
      </c>
      <c r="FG16" s="431">
        <v>0</v>
      </c>
      <c r="FH16" s="431">
        <v>0</v>
      </c>
      <c r="FI16" s="431">
        <v>0</v>
      </c>
      <c r="FJ16" s="431">
        <f t="shared" si="27"/>
        <v>0</v>
      </c>
      <c r="FK16" s="430">
        <f t="shared" si="28"/>
        <v>0</v>
      </c>
      <c r="FL16" s="413"/>
      <c r="FM16" s="429"/>
      <c r="FN16" s="429"/>
      <c r="FO16" s="429"/>
      <c r="FP16" s="431">
        <f t="shared" si="29"/>
        <v>0</v>
      </c>
      <c r="FQ16" s="431"/>
      <c r="FR16" s="431"/>
      <c r="FS16" s="431"/>
      <c r="FT16" s="430">
        <f t="shared" si="77"/>
        <v>0</v>
      </c>
      <c r="FU16" s="439">
        <f t="shared" ca="1" si="79"/>
        <v>1290700</v>
      </c>
      <c r="FV16" s="440">
        <f t="shared" ca="1" si="78"/>
        <v>1290700</v>
      </c>
      <c r="FW16" s="430">
        <f t="shared" ref="FW16:FZ74" si="84">FF16</f>
        <v>0</v>
      </c>
      <c r="FX16" s="430">
        <f t="shared" si="84"/>
        <v>0</v>
      </c>
      <c r="FY16" s="430">
        <f t="shared" si="84"/>
        <v>0</v>
      </c>
      <c r="FZ16" s="430">
        <f t="shared" si="81"/>
        <v>0</v>
      </c>
      <c r="GA16" s="430">
        <f t="shared" si="31"/>
        <v>0</v>
      </c>
      <c r="GB16" s="430">
        <f t="shared" ref="GB16:GE74" si="85">EZ16</f>
        <v>0</v>
      </c>
      <c r="GC16" s="430">
        <f t="shared" si="85"/>
        <v>914000</v>
      </c>
      <c r="GD16" s="430">
        <f t="shared" si="85"/>
        <v>376700</v>
      </c>
      <c r="GE16" s="430">
        <f t="shared" si="82"/>
        <v>0</v>
      </c>
      <c r="GF16" s="430">
        <f t="shared" si="33"/>
        <v>0</v>
      </c>
      <c r="GG16" s="430">
        <f t="shared" si="33"/>
        <v>914000</v>
      </c>
      <c r="GH16" s="430">
        <f t="shared" si="33"/>
        <v>376700</v>
      </c>
      <c r="GI16" s="430">
        <f t="shared" ref="GI16:GI74" si="86">GE16+FZ16</f>
        <v>0</v>
      </c>
      <c r="GJ16" s="431">
        <f t="shared" si="34"/>
        <v>1290700</v>
      </c>
      <c r="GK16" s="430">
        <f t="shared" si="35"/>
        <v>1290700</v>
      </c>
      <c r="GL16" s="430">
        <f t="shared" si="36"/>
        <v>0</v>
      </c>
      <c r="GM16" s="430">
        <f t="shared" si="37"/>
        <v>0</v>
      </c>
      <c r="GN16" s="430">
        <f t="shared" si="38"/>
        <v>0</v>
      </c>
      <c r="GO16" s="430">
        <f t="shared" si="39"/>
        <v>0</v>
      </c>
      <c r="GP16" s="430">
        <f t="shared" si="40"/>
        <v>0</v>
      </c>
      <c r="GQ16" s="430">
        <f t="shared" si="41"/>
        <v>0</v>
      </c>
      <c r="GR16" s="441"/>
      <c r="GS16" s="442">
        <f t="shared" si="42"/>
        <v>47990908.226052664</v>
      </c>
      <c r="GT16" s="442">
        <f t="shared" si="43"/>
        <v>48352258.499300003</v>
      </c>
      <c r="GU16" s="443">
        <f t="shared" si="44"/>
        <v>0.99252671365387057</v>
      </c>
      <c r="GV16" s="444">
        <f t="shared" ca="1" si="45"/>
        <v>0</v>
      </c>
      <c r="GW16" s="444">
        <v>0</v>
      </c>
      <c r="GX16" s="445">
        <f t="shared" ca="1" si="46"/>
        <v>0</v>
      </c>
      <c r="GY16" s="100"/>
    </row>
    <row r="17" spans="1:207" s="125" customFormat="1" ht="15" hidden="1" customHeight="1">
      <c r="A17" s="102"/>
      <c r="B17" s="103"/>
      <c r="C17" s="103"/>
      <c r="D17" s="104"/>
      <c r="E17" s="104" t="s">
        <v>253</v>
      </c>
      <c r="F17" s="104" t="s">
        <v>266</v>
      </c>
      <c r="G17" s="104" t="s">
        <v>226</v>
      </c>
      <c r="H17" s="105" t="s">
        <v>267</v>
      </c>
      <c r="I17" s="106" t="s">
        <v>268</v>
      </c>
      <c r="J17" s="104" t="s">
        <v>212</v>
      </c>
      <c r="K17" s="104" t="s">
        <v>208</v>
      </c>
      <c r="L17" s="104" t="s">
        <v>213</v>
      </c>
      <c r="M17" s="104" t="s">
        <v>713</v>
      </c>
      <c r="N17" s="107"/>
      <c r="O17" s="108">
        <v>41376</v>
      </c>
      <c r="P17" s="108">
        <v>41640</v>
      </c>
      <c r="Q17" s="322">
        <f t="shared" si="0"/>
        <v>0</v>
      </c>
      <c r="R17" s="109">
        <f>IF((P17-VLOOKUP(Q17,month!$A$1:$C$13,3,0))&lt;0,Q17,Q17+1)</f>
        <v>0</v>
      </c>
      <c r="S17" s="108"/>
      <c r="T17" s="110" t="str">
        <f t="shared" si="80"/>
        <v/>
      </c>
      <c r="U17" s="107"/>
      <c r="V17" s="107"/>
      <c r="W17" s="107"/>
      <c r="X17" s="107"/>
      <c r="Y17" s="386"/>
      <c r="Z17" s="386" t="s">
        <v>545</v>
      </c>
      <c r="AA17" s="387">
        <v>1000</v>
      </c>
      <c r="AB17" s="387">
        <v>1000</v>
      </c>
      <c r="AC17" s="387">
        <v>1000</v>
      </c>
      <c r="AD17" s="387">
        <v>1000</v>
      </c>
      <c r="AE17" s="387">
        <v>1000</v>
      </c>
      <c r="AF17" s="387">
        <v>1000</v>
      </c>
      <c r="AG17" s="387">
        <v>1000</v>
      </c>
      <c r="AH17" s="387">
        <v>1000</v>
      </c>
      <c r="AI17" s="387">
        <v>1000</v>
      </c>
      <c r="AJ17" s="387">
        <v>1000</v>
      </c>
      <c r="AK17" s="387">
        <v>1000</v>
      </c>
      <c r="AL17" s="387">
        <v>1000</v>
      </c>
      <c r="AM17" s="388">
        <f t="shared" si="2"/>
        <v>12000</v>
      </c>
      <c r="AN17" s="388">
        <f t="shared" si="3"/>
        <v>12000</v>
      </c>
      <c r="AO17" s="389">
        <f t="shared" si="83"/>
        <v>1000</v>
      </c>
      <c r="AP17" s="498" t="s">
        <v>682</v>
      </c>
      <c r="AQ17" s="159">
        <v>0.5</v>
      </c>
      <c r="AR17" s="160" t="s">
        <v>211</v>
      </c>
      <c r="AS17" s="119" t="s">
        <v>210</v>
      </c>
      <c r="AT17" s="111">
        <v>556173.52222000004</v>
      </c>
      <c r="AU17" s="111">
        <v>630904.11838000023</v>
      </c>
      <c r="AV17" s="111">
        <v>628201.46472000005</v>
      </c>
      <c r="AW17" s="111">
        <v>746433.0366799999</v>
      </c>
      <c r="AX17" s="113">
        <v>502943.92335400032</v>
      </c>
      <c r="AY17" s="113">
        <v>620800.69969999976</v>
      </c>
      <c r="AZ17" s="113">
        <v>658422.72899999935</v>
      </c>
      <c r="BA17" s="113"/>
      <c r="BB17" s="113"/>
      <c r="BC17" s="113"/>
      <c r="BD17" s="113"/>
      <c r="BE17" s="113"/>
      <c r="BF17" s="114">
        <f t="shared" si="48"/>
        <v>502943.92335400032</v>
      </c>
      <c r="BG17" s="114">
        <f t="shared" si="49"/>
        <v>620800.69969999976</v>
      </c>
      <c r="BH17" s="114">
        <f t="shared" si="50"/>
        <v>658422.72899999935</v>
      </c>
      <c r="BI17" s="114">
        <f t="shared" si="51"/>
        <v>0</v>
      </c>
      <c r="BJ17" s="114">
        <f t="shared" si="4"/>
        <v>1782167.3520539994</v>
      </c>
      <c r="BK17" s="115">
        <f t="shared" si="5"/>
        <v>2561712.142</v>
      </c>
      <c r="BL17" s="115">
        <f t="shared" si="52"/>
        <v>2561712.142</v>
      </c>
      <c r="BM17" s="116">
        <f t="shared" si="53"/>
        <v>0.69569999999999999</v>
      </c>
      <c r="BN17" s="126">
        <f t="shared" ca="1" si="6"/>
        <v>0</v>
      </c>
      <c r="BO17" s="117">
        <f t="shared" ca="1" si="7"/>
        <v>0</v>
      </c>
      <c r="BP17" s="118" t="str">
        <f t="shared" si="54"/>
        <v>Uncapped</v>
      </c>
      <c r="BQ17" s="115">
        <f t="shared" ca="1" si="8"/>
        <v>0</v>
      </c>
      <c r="BR17" s="113" t="s">
        <v>700</v>
      </c>
      <c r="BS17" s="161">
        <v>0.3</v>
      </c>
      <c r="BT17" s="113" t="s">
        <v>211</v>
      </c>
      <c r="BU17" s="160" t="s">
        <v>210</v>
      </c>
      <c r="BV17" s="113">
        <v>105987.23029819998</v>
      </c>
      <c r="BW17" s="113">
        <v>117141.7443014</v>
      </c>
      <c r="BX17" s="113">
        <v>116675.5551342</v>
      </c>
      <c r="BY17" s="113">
        <v>134364.19266619999</v>
      </c>
      <c r="BZ17" s="113">
        <v>115233.192</v>
      </c>
      <c r="CA17" s="113">
        <v>128611.80899999995</v>
      </c>
      <c r="CB17" s="113">
        <v>188914.27859999999</v>
      </c>
      <c r="CC17" s="113"/>
      <c r="CD17" s="113"/>
      <c r="CE17" s="113"/>
      <c r="CF17" s="113"/>
      <c r="CG17" s="113"/>
      <c r="CH17" s="114">
        <f t="shared" si="55"/>
        <v>115233.192</v>
      </c>
      <c r="CI17" s="114">
        <f t="shared" si="56"/>
        <v>128611.80899999995</v>
      </c>
      <c r="CJ17" s="120">
        <f t="shared" si="57"/>
        <v>188914.27859999999</v>
      </c>
      <c r="CK17" s="114">
        <f t="shared" si="58"/>
        <v>0</v>
      </c>
      <c r="CL17" s="114">
        <f t="shared" si="9"/>
        <v>432759.27959999989</v>
      </c>
      <c r="CM17" s="114">
        <f t="shared" si="10"/>
        <v>474168.72239999997</v>
      </c>
      <c r="CN17" s="114">
        <f t="shared" si="59"/>
        <v>474168.72239999997</v>
      </c>
      <c r="CO17" s="116">
        <f t="shared" si="60"/>
        <v>0.91269999999999996</v>
      </c>
      <c r="CP17" s="126">
        <f t="shared" ca="1" si="61"/>
        <v>0</v>
      </c>
      <c r="CQ17" s="115">
        <f t="shared" ca="1" si="11"/>
        <v>0</v>
      </c>
      <c r="CR17" s="118" t="str">
        <f t="shared" si="12"/>
        <v>Uncapped</v>
      </c>
      <c r="CS17" s="115">
        <f t="shared" ca="1" si="13"/>
        <v>0</v>
      </c>
      <c r="CT17" s="113" t="s">
        <v>695</v>
      </c>
      <c r="CU17" s="119">
        <v>0.2</v>
      </c>
      <c r="CV17" s="113" t="s">
        <v>211</v>
      </c>
      <c r="CW17" s="113" t="s">
        <v>210</v>
      </c>
      <c r="CX17" s="113">
        <v>2244831.5718800002</v>
      </c>
      <c r="CY17" s="113">
        <v>2569364.5547100003</v>
      </c>
      <c r="CZ17" s="113">
        <v>2533443.4844499999</v>
      </c>
      <c r="DA17" s="113">
        <v>3023459.9310699999</v>
      </c>
      <c r="DB17" s="113">
        <v>2652948.4355720901</v>
      </c>
      <c r="DC17" s="113">
        <v>2609712.8228000007</v>
      </c>
      <c r="DD17" s="113">
        <v>2747045.0877474295</v>
      </c>
      <c r="DE17" s="113"/>
      <c r="DF17" s="113"/>
      <c r="DG17" s="113"/>
      <c r="DH17" s="113"/>
      <c r="DI17" s="113"/>
      <c r="DJ17" s="114">
        <f t="shared" si="62"/>
        <v>2652948.4355720901</v>
      </c>
      <c r="DK17" s="114">
        <f t="shared" si="63"/>
        <v>2609712.8228000007</v>
      </c>
      <c r="DL17" s="114">
        <f t="shared" si="64"/>
        <v>2747045.0877474295</v>
      </c>
      <c r="DM17" s="114">
        <f t="shared" si="65"/>
        <v>0</v>
      </c>
      <c r="DN17" s="114">
        <f t="shared" si="66"/>
        <v>8009706.3461195203</v>
      </c>
      <c r="DO17" s="114">
        <f t="shared" si="14"/>
        <v>10371099.54211</v>
      </c>
      <c r="DP17" s="114">
        <f t="shared" si="67"/>
        <v>10371099.54211</v>
      </c>
      <c r="DQ17" s="116">
        <f t="shared" si="68"/>
        <v>0.77229999999999999</v>
      </c>
      <c r="DR17" s="126">
        <f t="shared" ca="1" si="15"/>
        <v>0</v>
      </c>
      <c r="DS17" s="115">
        <f t="shared" ca="1" si="16"/>
        <v>0</v>
      </c>
      <c r="DT17" s="118" t="str">
        <f t="shared" si="17"/>
        <v>Uncapped</v>
      </c>
      <c r="DU17" s="115">
        <f t="shared" ca="1" si="18"/>
        <v>0</v>
      </c>
      <c r="DV17" s="113"/>
      <c r="DW17" s="119">
        <v>0</v>
      </c>
      <c r="DX17" s="113"/>
      <c r="DY17" s="113"/>
      <c r="DZ17" s="113">
        <v>0</v>
      </c>
      <c r="EA17" s="113">
        <v>0</v>
      </c>
      <c r="EB17" s="113">
        <v>0</v>
      </c>
      <c r="EC17" s="113">
        <v>0</v>
      </c>
      <c r="ED17" s="113">
        <v>0</v>
      </c>
      <c r="EE17" s="113">
        <v>0</v>
      </c>
      <c r="EF17" s="113"/>
      <c r="EG17" s="113"/>
      <c r="EH17" s="113"/>
      <c r="EI17" s="113"/>
      <c r="EJ17" s="113"/>
      <c r="EK17" s="113"/>
      <c r="EL17" s="114">
        <f t="shared" si="69"/>
        <v>0</v>
      </c>
      <c r="EM17" s="114">
        <f t="shared" si="70"/>
        <v>0</v>
      </c>
      <c r="EN17" s="114">
        <f t="shared" si="71"/>
        <v>0</v>
      </c>
      <c r="EO17" s="114">
        <f t="shared" si="72"/>
        <v>0</v>
      </c>
      <c r="EP17" s="114">
        <f t="shared" si="19"/>
        <v>0</v>
      </c>
      <c r="EQ17" s="114">
        <f t="shared" si="20"/>
        <v>0</v>
      </c>
      <c r="ER17" s="114">
        <f t="shared" si="73"/>
        <v>0</v>
      </c>
      <c r="ES17" s="116">
        <f t="shared" si="74"/>
        <v>0</v>
      </c>
      <c r="ET17" s="126">
        <f t="shared" ca="1" si="75"/>
        <v>0</v>
      </c>
      <c r="EU17" s="115">
        <f t="shared" ca="1" si="21"/>
        <v>0</v>
      </c>
      <c r="EV17" s="118" t="str">
        <f t="shared" si="22"/>
        <v>Uncapped</v>
      </c>
      <c r="EW17" s="115">
        <f t="shared" ca="1" si="23"/>
        <v>0</v>
      </c>
      <c r="EX17" s="112">
        <f t="shared" ca="1" si="24"/>
        <v>0</v>
      </c>
      <c r="EY17" s="114">
        <f t="shared" ca="1" si="76"/>
        <v>0</v>
      </c>
      <c r="EZ17" s="115">
        <v>163080</v>
      </c>
      <c r="FA17" s="115">
        <v>700785</v>
      </c>
      <c r="FB17" s="115">
        <v>1244050</v>
      </c>
      <c r="FC17" s="115">
        <v>0</v>
      </c>
      <c r="FD17" s="115">
        <f t="shared" si="25"/>
        <v>2107915</v>
      </c>
      <c r="FE17" s="114">
        <f t="shared" si="26"/>
        <v>0</v>
      </c>
      <c r="FF17" s="115">
        <v>0</v>
      </c>
      <c r="FG17" s="115">
        <v>0</v>
      </c>
      <c r="FH17" s="115">
        <v>0</v>
      </c>
      <c r="FI17" s="115">
        <v>0</v>
      </c>
      <c r="FJ17" s="115">
        <f t="shared" si="27"/>
        <v>0</v>
      </c>
      <c r="FK17" s="114">
        <f t="shared" si="28"/>
        <v>0</v>
      </c>
      <c r="FL17" s="113"/>
      <c r="FM17" s="111"/>
      <c r="FN17" s="111"/>
      <c r="FO17" s="111"/>
      <c r="FP17" s="115">
        <f t="shared" si="29"/>
        <v>0</v>
      </c>
      <c r="FQ17" s="115"/>
      <c r="FR17" s="115"/>
      <c r="FS17" s="115"/>
      <c r="FT17" s="114">
        <f t="shared" si="77"/>
        <v>0</v>
      </c>
      <c r="FU17" s="366">
        <f t="shared" ca="1" si="79"/>
        <v>2107915</v>
      </c>
      <c r="FV17" s="121">
        <f t="shared" ca="1" si="78"/>
        <v>2107915</v>
      </c>
      <c r="FW17" s="114">
        <f t="shared" si="84"/>
        <v>0</v>
      </c>
      <c r="FX17" s="114">
        <f t="shared" si="84"/>
        <v>0</v>
      </c>
      <c r="FY17" s="114">
        <f t="shared" si="84"/>
        <v>0</v>
      </c>
      <c r="FZ17" s="114">
        <f t="shared" si="81"/>
        <v>0</v>
      </c>
      <c r="GA17" s="114">
        <f t="shared" si="31"/>
        <v>0</v>
      </c>
      <c r="GB17" s="114">
        <f t="shared" si="85"/>
        <v>163080</v>
      </c>
      <c r="GC17" s="114">
        <f t="shared" si="85"/>
        <v>700785</v>
      </c>
      <c r="GD17" s="114">
        <f t="shared" si="85"/>
        <v>1244050</v>
      </c>
      <c r="GE17" s="114">
        <f t="shared" si="82"/>
        <v>0</v>
      </c>
      <c r="GF17" s="114">
        <f t="shared" ref="GF17:GI76" si="87">GB17+FW17</f>
        <v>163080</v>
      </c>
      <c r="GG17" s="114">
        <f t="shared" si="87"/>
        <v>700785</v>
      </c>
      <c r="GH17" s="114">
        <f t="shared" si="87"/>
        <v>1244050</v>
      </c>
      <c r="GI17" s="114">
        <f t="shared" si="86"/>
        <v>0</v>
      </c>
      <c r="GJ17" s="115">
        <f t="shared" si="34"/>
        <v>2107915</v>
      </c>
      <c r="GK17" s="114">
        <f t="shared" si="35"/>
        <v>2107915</v>
      </c>
      <c r="GL17" s="114">
        <f t="shared" si="36"/>
        <v>0</v>
      </c>
      <c r="GM17" s="114">
        <f t="shared" si="37"/>
        <v>0</v>
      </c>
      <c r="GN17" s="114">
        <f t="shared" si="38"/>
        <v>0</v>
      </c>
      <c r="GO17" s="114">
        <f t="shared" si="39"/>
        <v>0</v>
      </c>
      <c r="GP17" s="114">
        <f t="shared" si="40"/>
        <v>0</v>
      </c>
      <c r="GQ17" s="114">
        <f t="shared" si="41"/>
        <v>0</v>
      </c>
      <c r="GR17" s="193"/>
      <c r="GS17" s="122">
        <f t="shared" si="42"/>
        <v>10224632.977773519</v>
      </c>
      <c r="GT17" s="122">
        <f t="shared" si="43"/>
        <v>13406980.406509999</v>
      </c>
      <c r="GU17" s="123">
        <f t="shared" si="44"/>
        <v>0.7626350354632252</v>
      </c>
      <c r="GV17" s="124">
        <f t="shared" ca="1" si="45"/>
        <v>0</v>
      </c>
      <c r="GW17" s="124">
        <v>0</v>
      </c>
      <c r="GX17" s="32">
        <f t="shared" ca="1" si="46"/>
        <v>0</v>
      </c>
      <c r="GY17" s="100"/>
    </row>
    <row r="18" spans="1:207" s="125" customFormat="1" ht="15" hidden="1" customHeight="1">
      <c r="A18" s="102"/>
      <c r="B18" s="103"/>
      <c r="C18" s="103"/>
      <c r="D18" s="104"/>
      <c r="E18" s="104" t="s">
        <v>253</v>
      </c>
      <c r="F18" s="104" t="s">
        <v>266</v>
      </c>
      <c r="G18" s="104" t="s">
        <v>226</v>
      </c>
      <c r="H18" s="105" t="s">
        <v>270</v>
      </c>
      <c r="I18" s="106" t="s">
        <v>271</v>
      </c>
      <c r="J18" s="104" t="s">
        <v>212</v>
      </c>
      <c r="K18" s="104" t="s">
        <v>208</v>
      </c>
      <c r="L18" s="104" t="s">
        <v>213</v>
      </c>
      <c r="M18" s="104" t="s">
        <v>713</v>
      </c>
      <c r="N18" s="107"/>
      <c r="O18" s="108">
        <v>42800</v>
      </c>
      <c r="P18" s="108">
        <v>43313</v>
      </c>
      <c r="Q18" s="322">
        <f t="shared" si="0"/>
        <v>0</v>
      </c>
      <c r="R18" s="109">
        <f>IF((P18-VLOOKUP(Q18,month!$A$1:$C$13,3,0))&lt;0,Q18,Q18+1)</f>
        <v>0</v>
      </c>
      <c r="S18" s="108"/>
      <c r="T18" s="127" t="str">
        <f t="shared" si="80"/>
        <v/>
      </c>
      <c r="U18" s="107"/>
      <c r="V18" s="107"/>
      <c r="W18" s="107"/>
      <c r="X18" s="107"/>
      <c r="Y18" s="386"/>
      <c r="Z18" s="386" t="s">
        <v>545</v>
      </c>
      <c r="AA18" s="387">
        <v>1000</v>
      </c>
      <c r="AB18" s="387">
        <v>1000</v>
      </c>
      <c r="AC18" s="387">
        <v>1000</v>
      </c>
      <c r="AD18" s="387">
        <v>1000</v>
      </c>
      <c r="AE18" s="387">
        <v>1000</v>
      </c>
      <c r="AF18" s="387">
        <v>1000</v>
      </c>
      <c r="AG18" s="387">
        <v>1000</v>
      </c>
      <c r="AH18" s="387">
        <v>1000</v>
      </c>
      <c r="AI18" s="387">
        <v>1000</v>
      </c>
      <c r="AJ18" s="387">
        <v>1000</v>
      </c>
      <c r="AK18" s="387">
        <v>1000</v>
      </c>
      <c r="AL18" s="387">
        <v>1000</v>
      </c>
      <c r="AM18" s="388">
        <f t="shared" si="2"/>
        <v>12000</v>
      </c>
      <c r="AN18" s="388">
        <f t="shared" si="3"/>
        <v>12000</v>
      </c>
      <c r="AO18" s="389">
        <f t="shared" si="83"/>
        <v>1000</v>
      </c>
      <c r="AP18" s="498" t="s">
        <v>682</v>
      </c>
      <c r="AQ18" s="159">
        <v>0.5</v>
      </c>
      <c r="AR18" s="160" t="s">
        <v>211</v>
      </c>
      <c r="AS18" s="119" t="s">
        <v>210</v>
      </c>
      <c r="AT18" s="111">
        <v>444557.77400000003</v>
      </c>
      <c r="AU18" s="111">
        <v>507513.50820000004</v>
      </c>
      <c r="AV18" s="111">
        <v>495143.23479999992</v>
      </c>
      <c r="AW18" s="111">
        <v>596975.37100000004</v>
      </c>
      <c r="AX18" s="113">
        <v>812915.75880000007</v>
      </c>
      <c r="AY18" s="113">
        <v>551225.03580000077</v>
      </c>
      <c r="AZ18" s="113">
        <v>594133.73369999998</v>
      </c>
      <c r="BA18" s="113"/>
      <c r="BB18" s="113"/>
      <c r="BC18" s="113"/>
      <c r="BD18" s="113"/>
      <c r="BE18" s="113"/>
      <c r="BF18" s="114">
        <f t="shared" si="48"/>
        <v>812915.75880000007</v>
      </c>
      <c r="BG18" s="114">
        <f t="shared" si="49"/>
        <v>551225.03580000077</v>
      </c>
      <c r="BH18" s="114">
        <f t="shared" si="50"/>
        <v>594133.73369999998</v>
      </c>
      <c r="BI18" s="114">
        <f t="shared" si="51"/>
        <v>0</v>
      </c>
      <c r="BJ18" s="114">
        <f t="shared" si="4"/>
        <v>1958274.5283000008</v>
      </c>
      <c r="BK18" s="115">
        <f t="shared" si="5"/>
        <v>2044189.888</v>
      </c>
      <c r="BL18" s="115">
        <f t="shared" si="52"/>
        <v>2044189.888</v>
      </c>
      <c r="BM18" s="116">
        <f t="shared" si="53"/>
        <v>0.95799999999999996</v>
      </c>
      <c r="BN18" s="126">
        <f t="shared" ca="1" si="6"/>
        <v>0</v>
      </c>
      <c r="BO18" s="117">
        <f t="shared" ca="1" si="7"/>
        <v>0</v>
      </c>
      <c r="BP18" s="118" t="str">
        <f t="shared" si="54"/>
        <v>Uncapped</v>
      </c>
      <c r="BQ18" s="115">
        <f t="shared" ca="1" si="8"/>
        <v>0</v>
      </c>
      <c r="BR18" s="113" t="s">
        <v>700</v>
      </c>
      <c r="BS18" s="161">
        <v>0.3</v>
      </c>
      <c r="BT18" s="113" t="s">
        <v>211</v>
      </c>
      <c r="BU18" s="160" t="s">
        <v>210</v>
      </c>
      <c r="BV18" s="113">
        <v>97183.840129499993</v>
      </c>
      <c r="BW18" s="113">
        <v>110735.90142149999</v>
      </c>
      <c r="BX18" s="113">
        <v>111503.4805395</v>
      </c>
      <c r="BY18" s="113">
        <v>117293.07190949999</v>
      </c>
      <c r="BZ18" s="113">
        <v>109539.504</v>
      </c>
      <c r="CA18" s="113">
        <v>99749.348999999987</v>
      </c>
      <c r="CB18" s="113">
        <v>88125.749999999898</v>
      </c>
      <c r="CC18" s="113"/>
      <c r="CD18" s="113"/>
      <c r="CE18" s="113"/>
      <c r="CF18" s="113"/>
      <c r="CG18" s="113"/>
      <c r="CH18" s="114">
        <f t="shared" si="55"/>
        <v>109539.504</v>
      </c>
      <c r="CI18" s="114">
        <f t="shared" si="56"/>
        <v>99749.348999999987</v>
      </c>
      <c r="CJ18" s="120">
        <f t="shared" si="57"/>
        <v>88125.749999999898</v>
      </c>
      <c r="CK18" s="114">
        <f t="shared" si="58"/>
        <v>0</v>
      </c>
      <c r="CL18" s="114">
        <f t="shared" si="9"/>
        <v>297414.60299999989</v>
      </c>
      <c r="CM18" s="114">
        <f t="shared" si="10"/>
        <v>436716.29399999999</v>
      </c>
      <c r="CN18" s="114">
        <f t="shared" si="59"/>
        <v>436716.29399999999</v>
      </c>
      <c r="CO18" s="116">
        <f t="shared" si="60"/>
        <v>0.68100000000000005</v>
      </c>
      <c r="CP18" s="126">
        <f t="shared" ca="1" si="61"/>
        <v>0</v>
      </c>
      <c r="CQ18" s="115">
        <f t="shared" ca="1" si="11"/>
        <v>0</v>
      </c>
      <c r="CR18" s="118" t="str">
        <f t="shared" si="12"/>
        <v>Uncapped</v>
      </c>
      <c r="CS18" s="115">
        <f t="shared" ca="1" si="13"/>
        <v>0</v>
      </c>
      <c r="CT18" s="113" t="s">
        <v>695</v>
      </c>
      <c r="CU18" s="119">
        <v>0.2</v>
      </c>
      <c r="CV18" s="113" t="s">
        <v>211</v>
      </c>
      <c r="CW18" s="113" t="s">
        <v>210</v>
      </c>
      <c r="CX18" s="113">
        <v>2244856.5935000004</v>
      </c>
      <c r="CY18" s="113">
        <v>2569392.7920000004</v>
      </c>
      <c r="CZ18" s="113">
        <v>2533469.2420000001</v>
      </c>
      <c r="DA18" s="113">
        <v>3023491.9134999998</v>
      </c>
      <c r="DB18" s="113">
        <v>2652948.4355720901</v>
      </c>
      <c r="DC18" s="113">
        <v>2609712.8228000007</v>
      </c>
      <c r="DD18" s="113">
        <v>2747045.0877474295</v>
      </c>
      <c r="DE18" s="113"/>
      <c r="DF18" s="113"/>
      <c r="DG18" s="113"/>
      <c r="DH18" s="113"/>
      <c r="DI18" s="113"/>
      <c r="DJ18" s="114">
        <f t="shared" si="62"/>
        <v>2652948.4355720901</v>
      </c>
      <c r="DK18" s="114">
        <f t="shared" si="63"/>
        <v>2609712.8228000007</v>
      </c>
      <c r="DL18" s="114">
        <f t="shared" si="64"/>
        <v>2747045.0877474295</v>
      </c>
      <c r="DM18" s="114">
        <f t="shared" si="65"/>
        <v>0</v>
      </c>
      <c r="DN18" s="114">
        <f t="shared" si="66"/>
        <v>8009706.3461195203</v>
      </c>
      <c r="DO18" s="114">
        <f t="shared" si="14"/>
        <v>10371210.541000001</v>
      </c>
      <c r="DP18" s="114">
        <f t="shared" si="67"/>
        <v>10371210.541000001</v>
      </c>
      <c r="DQ18" s="116">
        <f t="shared" si="68"/>
        <v>0.77229999999999999</v>
      </c>
      <c r="DR18" s="126">
        <f t="shared" ca="1" si="15"/>
        <v>0</v>
      </c>
      <c r="DS18" s="115">
        <f t="shared" ca="1" si="16"/>
        <v>0</v>
      </c>
      <c r="DT18" s="118" t="str">
        <f t="shared" si="17"/>
        <v>Uncapped</v>
      </c>
      <c r="DU18" s="115">
        <f t="shared" ca="1" si="18"/>
        <v>0</v>
      </c>
      <c r="DV18" s="113"/>
      <c r="DW18" s="119">
        <v>0</v>
      </c>
      <c r="DX18" s="113"/>
      <c r="DY18" s="113"/>
      <c r="DZ18" s="113">
        <v>0</v>
      </c>
      <c r="EA18" s="113">
        <v>0</v>
      </c>
      <c r="EB18" s="113">
        <v>0</v>
      </c>
      <c r="EC18" s="113">
        <v>0</v>
      </c>
      <c r="ED18" s="113">
        <v>0</v>
      </c>
      <c r="EE18" s="113">
        <v>0</v>
      </c>
      <c r="EF18" s="113"/>
      <c r="EG18" s="113"/>
      <c r="EH18" s="113"/>
      <c r="EI18" s="113"/>
      <c r="EJ18" s="113"/>
      <c r="EK18" s="113"/>
      <c r="EL18" s="114">
        <f t="shared" si="69"/>
        <v>0</v>
      </c>
      <c r="EM18" s="114">
        <f t="shared" si="70"/>
        <v>0</v>
      </c>
      <c r="EN18" s="114">
        <f t="shared" si="71"/>
        <v>0</v>
      </c>
      <c r="EO18" s="114">
        <f t="shared" si="72"/>
        <v>0</v>
      </c>
      <c r="EP18" s="114">
        <f t="shared" si="19"/>
        <v>0</v>
      </c>
      <c r="EQ18" s="114">
        <f t="shared" si="20"/>
        <v>0</v>
      </c>
      <c r="ER18" s="114">
        <f t="shared" si="73"/>
        <v>0</v>
      </c>
      <c r="ES18" s="116">
        <f t="shared" si="74"/>
        <v>0</v>
      </c>
      <c r="ET18" s="126">
        <f t="shared" ca="1" si="75"/>
        <v>0</v>
      </c>
      <c r="EU18" s="115">
        <f t="shared" ca="1" si="21"/>
        <v>0</v>
      </c>
      <c r="EV18" s="118" t="str">
        <f t="shared" si="22"/>
        <v>Uncapped</v>
      </c>
      <c r="EW18" s="115">
        <f t="shared" ca="1" si="23"/>
        <v>0</v>
      </c>
      <c r="EX18" s="112">
        <f t="shared" ca="1" si="24"/>
        <v>0</v>
      </c>
      <c r="EY18" s="114">
        <f t="shared" ca="1" si="76"/>
        <v>0</v>
      </c>
      <c r="EZ18" s="115">
        <v>465000</v>
      </c>
      <c r="FA18" s="115"/>
      <c r="FB18" s="115">
        <v>241000</v>
      </c>
      <c r="FC18" s="115">
        <v>0</v>
      </c>
      <c r="FD18" s="115">
        <f t="shared" si="25"/>
        <v>706000</v>
      </c>
      <c r="FE18" s="114">
        <f t="shared" si="26"/>
        <v>0</v>
      </c>
      <c r="FF18" s="115">
        <v>0</v>
      </c>
      <c r="FG18" s="115">
        <v>0</v>
      </c>
      <c r="FH18" s="115">
        <v>0</v>
      </c>
      <c r="FI18" s="115">
        <v>0</v>
      </c>
      <c r="FJ18" s="115">
        <f t="shared" si="27"/>
        <v>0</v>
      </c>
      <c r="FK18" s="114">
        <f t="shared" si="28"/>
        <v>0</v>
      </c>
      <c r="FL18" s="113"/>
      <c r="FM18" s="111"/>
      <c r="FN18" s="111"/>
      <c r="FO18" s="111"/>
      <c r="FP18" s="115">
        <f t="shared" ref="FP18:FP73" si="88">SUM(FL18:FO18)</f>
        <v>0</v>
      </c>
      <c r="FQ18" s="115"/>
      <c r="FR18" s="115"/>
      <c r="FS18" s="115"/>
      <c r="FT18" s="114">
        <f t="shared" si="77"/>
        <v>0</v>
      </c>
      <c r="FU18" s="366">
        <f t="shared" ca="1" si="79"/>
        <v>706000</v>
      </c>
      <c r="FV18" s="121">
        <f t="shared" ca="1" si="78"/>
        <v>706000</v>
      </c>
      <c r="FW18" s="114">
        <f t="shared" si="84"/>
        <v>0</v>
      </c>
      <c r="FX18" s="114">
        <f t="shared" si="84"/>
        <v>0</v>
      </c>
      <c r="FY18" s="114">
        <f t="shared" si="84"/>
        <v>0</v>
      </c>
      <c r="FZ18" s="114">
        <f t="shared" si="81"/>
        <v>0</v>
      </c>
      <c r="GA18" s="114">
        <f t="shared" ref="GA18:GA80" si="89">SUM(FW18:FZ18)</f>
        <v>0</v>
      </c>
      <c r="GB18" s="114">
        <f t="shared" si="85"/>
        <v>465000</v>
      </c>
      <c r="GC18" s="114">
        <f t="shared" si="85"/>
        <v>0</v>
      </c>
      <c r="GD18" s="114">
        <f t="shared" si="85"/>
        <v>241000</v>
      </c>
      <c r="GE18" s="114">
        <f t="shared" si="82"/>
        <v>0</v>
      </c>
      <c r="GF18" s="114">
        <f t="shared" si="87"/>
        <v>465000</v>
      </c>
      <c r="GG18" s="114">
        <f t="shared" si="87"/>
        <v>0</v>
      </c>
      <c r="GH18" s="114">
        <f t="shared" si="87"/>
        <v>241000</v>
      </c>
      <c r="GI18" s="114">
        <f t="shared" si="86"/>
        <v>0</v>
      </c>
      <c r="GJ18" s="115">
        <f t="shared" si="34"/>
        <v>706000</v>
      </c>
      <c r="GK18" s="114">
        <f t="shared" ref="GK18:GK80" si="90">SUM(GF18:GI18)</f>
        <v>706000</v>
      </c>
      <c r="GL18" s="114">
        <f t="shared" si="36"/>
        <v>0</v>
      </c>
      <c r="GM18" s="114">
        <f t="shared" si="37"/>
        <v>0</v>
      </c>
      <c r="GN18" s="114">
        <f t="shared" si="38"/>
        <v>0</v>
      </c>
      <c r="GO18" s="114">
        <f t="shared" si="39"/>
        <v>0</v>
      </c>
      <c r="GP18" s="114">
        <f t="shared" si="40"/>
        <v>0</v>
      </c>
      <c r="GQ18" s="114">
        <f t="shared" ref="GQ18:GQ80" si="91">SUM(GL18:GO18)</f>
        <v>0</v>
      </c>
      <c r="GR18" s="193"/>
      <c r="GS18" s="122">
        <f t="shared" si="42"/>
        <v>10265395.477419522</v>
      </c>
      <c r="GT18" s="122">
        <f t="shared" si="43"/>
        <v>12852116.723000001</v>
      </c>
      <c r="GU18" s="123">
        <f t="shared" ref="GU18:GU80" si="92">IFERROR(GS18/GT18,"")</f>
        <v>0.79873188974767773</v>
      </c>
      <c r="GV18" s="124">
        <f t="shared" ca="1" si="45"/>
        <v>0</v>
      </c>
      <c r="GW18" s="124">
        <v>0</v>
      </c>
      <c r="GX18" s="32">
        <f t="shared" ca="1" si="46"/>
        <v>0</v>
      </c>
      <c r="GY18" s="100"/>
    </row>
    <row r="19" spans="1:207" s="125" customFormat="1" ht="15" hidden="1" customHeight="1">
      <c r="A19" s="102"/>
      <c r="B19" s="103"/>
      <c r="C19" s="103"/>
      <c r="D19" s="104"/>
      <c r="E19" s="104" t="s">
        <v>253</v>
      </c>
      <c r="F19" s="104" t="s">
        <v>266</v>
      </c>
      <c r="G19" s="104" t="s">
        <v>226</v>
      </c>
      <c r="H19" s="105" t="s">
        <v>272</v>
      </c>
      <c r="I19" s="106" t="s">
        <v>273</v>
      </c>
      <c r="J19" s="104" t="s">
        <v>212</v>
      </c>
      <c r="K19" s="104" t="s">
        <v>208</v>
      </c>
      <c r="L19" s="104" t="s">
        <v>213</v>
      </c>
      <c r="M19" s="104" t="s">
        <v>713</v>
      </c>
      <c r="N19" s="107"/>
      <c r="O19" s="108">
        <v>42779</v>
      </c>
      <c r="P19" s="108">
        <v>43313</v>
      </c>
      <c r="Q19" s="322">
        <f t="shared" si="0"/>
        <v>0</v>
      </c>
      <c r="R19" s="109">
        <f>IF((P19-VLOOKUP(Q19,month!$A$1:$C$13,3,0))&lt;0,Q19,Q19+1)</f>
        <v>0</v>
      </c>
      <c r="S19" s="108"/>
      <c r="T19" s="127" t="str">
        <f t="shared" si="80"/>
        <v/>
      </c>
      <c r="U19" s="107"/>
      <c r="V19" s="107"/>
      <c r="W19" s="107"/>
      <c r="X19" s="107"/>
      <c r="Y19" s="386"/>
      <c r="Z19" s="386" t="s">
        <v>545</v>
      </c>
      <c r="AA19" s="387">
        <v>1000</v>
      </c>
      <c r="AB19" s="387">
        <v>1000</v>
      </c>
      <c r="AC19" s="387">
        <v>1000</v>
      </c>
      <c r="AD19" s="387">
        <v>1000</v>
      </c>
      <c r="AE19" s="387">
        <v>1000</v>
      </c>
      <c r="AF19" s="387">
        <v>1000</v>
      </c>
      <c r="AG19" s="387">
        <v>1000</v>
      </c>
      <c r="AH19" s="387">
        <v>1000</v>
      </c>
      <c r="AI19" s="387">
        <v>1000</v>
      </c>
      <c r="AJ19" s="387">
        <v>1000</v>
      </c>
      <c r="AK19" s="387">
        <v>1000</v>
      </c>
      <c r="AL19" s="387">
        <v>1000</v>
      </c>
      <c r="AM19" s="388">
        <f t="shared" si="2"/>
        <v>12000</v>
      </c>
      <c r="AN19" s="388">
        <f t="shared" si="3"/>
        <v>12000</v>
      </c>
      <c r="AO19" s="389">
        <f t="shared" si="83"/>
        <v>1000</v>
      </c>
      <c r="AP19" s="498" t="s">
        <v>682</v>
      </c>
      <c r="AQ19" s="159">
        <v>0.5</v>
      </c>
      <c r="AR19" s="160" t="s">
        <v>211</v>
      </c>
      <c r="AS19" s="119" t="s">
        <v>210</v>
      </c>
      <c r="AT19" s="111">
        <v>519483.37060000008</v>
      </c>
      <c r="AU19" s="111">
        <v>593880.19999999995</v>
      </c>
      <c r="AV19" s="111">
        <v>582234.87719999999</v>
      </c>
      <c r="AW19" s="111">
        <v>695519.28419999999</v>
      </c>
      <c r="AX19" s="113">
        <v>473342.77440008934</v>
      </c>
      <c r="AY19" s="113">
        <v>599380.31249999977</v>
      </c>
      <c r="AZ19" s="113">
        <v>533273.01753599988</v>
      </c>
      <c r="BA19" s="113"/>
      <c r="BB19" s="113"/>
      <c r="BC19" s="113"/>
      <c r="BD19" s="113"/>
      <c r="BE19" s="113"/>
      <c r="BF19" s="114">
        <f t="shared" si="48"/>
        <v>473342.77440008934</v>
      </c>
      <c r="BG19" s="114">
        <f t="shared" si="49"/>
        <v>599380.31249999977</v>
      </c>
      <c r="BH19" s="114">
        <f t="shared" si="50"/>
        <v>533273.01753599988</v>
      </c>
      <c r="BI19" s="114">
        <f t="shared" si="51"/>
        <v>0</v>
      </c>
      <c r="BJ19" s="114">
        <f t="shared" si="4"/>
        <v>1605996.1044360891</v>
      </c>
      <c r="BK19" s="115">
        <f t="shared" si="5"/>
        <v>2391117.7319999998</v>
      </c>
      <c r="BL19" s="115">
        <f t="shared" si="52"/>
        <v>2391117.7319999998</v>
      </c>
      <c r="BM19" s="116">
        <f t="shared" si="53"/>
        <v>0.67169999999999996</v>
      </c>
      <c r="BN19" s="126">
        <f t="shared" ca="1" si="6"/>
        <v>0</v>
      </c>
      <c r="BO19" s="117">
        <f t="shared" ca="1" si="7"/>
        <v>0</v>
      </c>
      <c r="BP19" s="118" t="str">
        <f t="shared" si="54"/>
        <v>Uncapped</v>
      </c>
      <c r="BQ19" s="115">
        <f t="shared" ca="1" si="8"/>
        <v>0</v>
      </c>
      <c r="BR19" s="113" t="s">
        <v>700</v>
      </c>
      <c r="BS19" s="161">
        <v>0.3</v>
      </c>
      <c r="BT19" s="113" t="s">
        <v>211</v>
      </c>
      <c r="BU19" s="160" t="s">
        <v>210</v>
      </c>
      <c r="BV19" s="113">
        <v>69322.145062049996</v>
      </c>
      <c r="BW19" s="113">
        <v>78253.770812850009</v>
      </c>
      <c r="BX19" s="113">
        <v>78536.981521050009</v>
      </c>
      <c r="BY19" s="113">
        <v>84973.533204049992</v>
      </c>
      <c r="BZ19" s="113">
        <v>61343.901899999997</v>
      </c>
      <c r="CA19" s="113">
        <v>67081.131900000008</v>
      </c>
      <c r="CB19" s="113">
        <v>51132.515400000004</v>
      </c>
      <c r="CC19" s="113"/>
      <c r="CD19" s="113"/>
      <c r="CE19" s="113"/>
      <c r="CF19" s="113"/>
      <c r="CG19" s="113"/>
      <c r="CH19" s="114">
        <f t="shared" si="55"/>
        <v>61343.901899999997</v>
      </c>
      <c r="CI19" s="114">
        <f t="shared" si="56"/>
        <v>67081.131900000008</v>
      </c>
      <c r="CJ19" s="120">
        <f t="shared" si="57"/>
        <v>51132.515400000004</v>
      </c>
      <c r="CK19" s="114">
        <f t="shared" si="58"/>
        <v>0</v>
      </c>
      <c r="CL19" s="114">
        <f t="shared" si="9"/>
        <v>179557.54920000001</v>
      </c>
      <c r="CM19" s="114">
        <f t="shared" si="10"/>
        <v>311086.43060000002</v>
      </c>
      <c r="CN19" s="114">
        <f t="shared" si="59"/>
        <v>311086.43060000002</v>
      </c>
      <c r="CO19" s="116">
        <f t="shared" si="60"/>
        <v>0.57720000000000005</v>
      </c>
      <c r="CP19" s="126">
        <f t="shared" ca="1" si="61"/>
        <v>0</v>
      </c>
      <c r="CQ19" s="115">
        <f t="shared" ca="1" si="11"/>
        <v>0</v>
      </c>
      <c r="CR19" s="118" t="str">
        <f t="shared" si="12"/>
        <v>Uncapped</v>
      </c>
      <c r="CS19" s="115">
        <f t="shared" ca="1" si="13"/>
        <v>0</v>
      </c>
      <c r="CT19" s="113" t="s">
        <v>695</v>
      </c>
      <c r="CU19" s="119">
        <v>0.2</v>
      </c>
      <c r="CV19" s="113" t="s">
        <v>211</v>
      </c>
      <c r="CW19" s="113" t="s">
        <v>210</v>
      </c>
      <c r="CX19" s="113">
        <v>2244831.5718800002</v>
      </c>
      <c r="CY19" s="113">
        <v>2569364.5547100003</v>
      </c>
      <c r="CZ19" s="113">
        <v>2533443.4844499999</v>
      </c>
      <c r="DA19" s="113">
        <v>3023459.9310699999</v>
      </c>
      <c r="DB19" s="113">
        <v>2652948.4355720901</v>
      </c>
      <c r="DC19" s="113">
        <v>2609712.8228000007</v>
      </c>
      <c r="DD19" s="113">
        <v>2747045.0877474295</v>
      </c>
      <c r="DE19" s="113"/>
      <c r="DF19" s="113"/>
      <c r="DG19" s="113"/>
      <c r="DH19" s="113"/>
      <c r="DI19" s="113"/>
      <c r="DJ19" s="114">
        <f t="shared" si="62"/>
        <v>2652948.4355720901</v>
      </c>
      <c r="DK19" s="114">
        <f t="shared" si="63"/>
        <v>2609712.8228000007</v>
      </c>
      <c r="DL19" s="114">
        <f t="shared" si="64"/>
        <v>2747045.0877474295</v>
      </c>
      <c r="DM19" s="114">
        <f t="shared" si="65"/>
        <v>0</v>
      </c>
      <c r="DN19" s="114">
        <f t="shared" si="66"/>
        <v>8009706.3461195203</v>
      </c>
      <c r="DO19" s="114">
        <f t="shared" si="14"/>
        <v>10371099.54211</v>
      </c>
      <c r="DP19" s="114">
        <f t="shared" si="67"/>
        <v>10371099.54211</v>
      </c>
      <c r="DQ19" s="116">
        <f t="shared" si="68"/>
        <v>0.77229999999999999</v>
      </c>
      <c r="DR19" s="126">
        <f t="shared" ca="1" si="15"/>
        <v>0</v>
      </c>
      <c r="DS19" s="115">
        <f t="shared" ca="1" si="16"/>
        <v>0</v>
      </c>
      <c r="DT19" s="118" t="str">
        <f t="shared" si="17"/>
        <v>Uncapped</v>
      </c>
      <c r="DU19" s="115">
        <f t="shared" ca="1" si="18"/>
        <v>0</v>
      </c>
      <c r="DV19" s="113"/>
      <c r="DW19" s="119">
        <v>0</v>
      </c>
      <c r="DX19" s="113"/>
      <c r="DY19" s="113"/>
      <c r="DZ19" s="113">
        <v>0</v>
      </c>
      <c r="EA19" s="113">
        <v>0</v>
      </c>
      <c r="EB19" s="113">
        <v>0</v>
      </c>
      <c r="EC19" s="113">
        <v>0</v>
      </c>
      <c r="ED19" s="113">
        <v>0</v>
      </c>
      <c r="EE19" s="113">
        <v>0</v>
      </c>
      <c r="EF19" s="113"/>
      <c r="EG19" s="113"/>
      <c r="EH19" s="113"/>
      <c r="EI19" s="113"/>
      <c r="EJ19" s="113"/>
      <c r="EK19" s="113"/>
      <c r="EL19" s="114">
        <f t="shared" si="69"/>
        <v>0</v>
      </c>
      <c r="EM19" s="114">
        <f t="shared" si="70"/>
        <v>0</v>
      </c>
      <c r="EN19" s="114">
        <f t="shared" si="71"/>
        <v>0</v>
      </c>
      <c r="EO19" s="114">
        <f t="shared" si="72"/>
        <v>0</v>
      </c>
      <c r="EP19" s="114">
        <f t="shared" si="19"/>
        <v>0</v>
      </c>
      <c r="EQ19" s="114">
        <f t="shared" si="20"/>
        <v>0</v>
      </c>
      <c r="ER19" s="114">
        <f t="shared" si="73"/>
        <v>0</v>
      </c>
      <c r="ES19" s="116">
        <f t="shared" si="74"/>
        <v>0</v>
      </c>
      <c r="ET19" s="126">
        <f t="shared" ca="1" si="75"/>
        <v>0</v>
      </c>
      <c r="EU19" s="115">
        <f t="shared" ca="1" si="21"/>
        <v>0</v>
      </c>
      <c r="EV19" s="118" t="str">
        <f t="shared" si="22"/>
        <v>Uncapped</v>
      </c>
      <c r="EW19" s="115">
        <f t="shared" ca="1" si="23"/>
        <v>0</v>
      </c>
      <c r="EX19" s="112">
        <f t="shared" ca="1" si="24"/>
        <v>0</v>
      </c>
      <c r="EY19" s="114">
        <f t="shared" ca="1" si="76"/>
        <v>0</v>
      </c>
      <c r="EZ19" s="115">
        <v>120334</v>
      </c>
      <c r="FA19" s="115">
        <v>117000</v>
      </c>
      <c r="FB19" s="115"/>
      <c r="FC19" s="115">
        <v>0</v>
      </c>
      <c r="FD19" s="115">
        <f t="shared" si="25"/>
        <v>237334</v>
      </c>
      <c r="FE19" s="114">
        <f t="shared" si="26"/>
        <v>0</v>
      </c>
      <c r="FF19" s="115">
        <v>0</v>
      </c>
      <c r="FG19" s="115">
        <v>0</v>
      </c>
      <c r="FH19" s="115">
        <v>0</v>
      </c>
      <c r="FI19" s="115">
        <v>0</v>
      </c>
      <c r="FJ19" s="115">
        <f t="shared" si="27"/>
        <v>0</v>
      </c>
      <c r="FK19" s="114">
        <f t="shared" si="28"/>
        <v>0</v>
      </c>
      <c r="FL19" s="113"/>
      <c r="FM19" s="111"/>
      <c r="FN19" s="111"/>
      <c r="FO19" s="111"/>
      <c r="FP19" s="115">
        <f t="shared" si="88"/>
        <v>0</v>
      </c>
      <c r="FQ19" s="115"/>
      <c r="FR19" s="115"/>
      <c r="FS19" s="115"/>
      <c r="FT19" s="114">
        <f t="shared" si="77"/>
        <v>0</v>
      </c>
      <c r="FU19" s="366">
        <f t="shared" ca="1" si="79"/>
        <v>237334</v>
      </c>
      <c r="FV19" s="121">
        <f t="shared" ca="1" si="78"/>
        <v>237334</v>
      </c>
      <c r="FW19" s="114">
        <f t="shared" si="84"/>
        <v>0</v>
      </c>
      <c r="FX19" s="114">
        <f t="shared" si="84"/>
        <v>0</v>
      </c>
      <c r="FY19" s="114">
        <f t="shared" si="84"/>
        <v>0</v>
      </c>
      <c r="FZ19" s="114">
        <f t="shared" si="81"/>
        <v>0</v>
      </c>
      <c r="GA19" s="114">
        <f t="shared" si="89"/>
        <v>0</v>
      </c>
      <c r="GB19" s="114">
        <f t="shared" si="85"/>
        <v>120334</v>
      </c>
      <c r="GC19" s="114">
        <f t="shared" si="85"/>
        <v>117000</v>
      </c>
      <c r="GD19" s="114">
        <f t="shared" si="85"/>
        <v>0</v>
      </c>
      <c r="GE19" s="114">
        <f t="shared" si="82"/>
        <v>0</v>
      </c>
      <c r="GF19" s="114">
        <f t="shared" si="87"/>
        <v>120334</v>
      </c>
      <c r="GG19" s="114">
        <f t="shared" si="87"/>
        <v>117000</v>
      </c>
      <c r="GH19" s="114">
        <f t="shared" si="87"/>
        <v>0</v>
      </c>
      <c r="GI19" s="114">
        <f t="shared" si="86"/>
        <v>0</v>
      </c>
      <c r="GJ19" s="115">
        <f t="shared" si="34"/>
        <v>237334</v>
      </c>
      <c r="GK19" s="114">
        <f t="shared" si="90"/>
        <v>237334</v>
      </c>
      <c r="GL19" s="114">
        <f t="shared" si="36"/>
        <v>0</v>
      </c>
      <c r="GM19" s="114">
        <f t="shared" si="37"/>
        <v>0</v>
      </c>
      <c r="GN19" s="114">
        <f t="shared" si="38"/>
        <v>0</v>
      </c>
      <c r="GO19" s="114">
        <f t="shared" si="39"/>
        <v>0</v>
      </c>
      <c r="GP19" s="114">
        <f t="shared" si="40"/>
        <v>0</v>
      </c>
      <c r="GQ19" s="114">
        <f t="shared" si="91"/>
        <v>0</v>
      </c>
      <c r="GR19" s="193"/>
      <c r="GS19" s="122">
        <f t="shared" si="42"/>
        <v>9795259.9997556098</v>
      </c>
      <c r="GT19" s="122">
        <f t="shared" si="43"/>
        <v>13073303.704709999</v>
      </c>
      <c r="GU19" s="123">
        <f t="shared" si="92"/>
        <v>0.74925667000504326</v>
      </c>
      <c r="GV19" s="124">
        <f t="shared" ca="1" si="45"/>
        <v>0</v>
      </c>
      <c r="GW19" s="124">
        <v>0</v>
      </c>
      <c r="GX19" s="32">
        <f t="shared" ca="1" si="46"/>
        <v>0</v>
      </c>
      <c r="GY19" s="100"/>
    </row>
    <row r="20" spans="1:207" s="125" customFormat="1" ht="15" hidden="1" customHeight="1">
      <c r="A20" s="102"/>
      <c r="B20" s="103"/>
      <c r="C20" s="103"/>
      <c r="D20" s="104"/>
      <c r="E20" s="104" t="s">
        <v>253</v>
      </c>
      <c r="F20" s="104" t="s">
        <v>266</v>
      </c>
      <c r="G20" s="104" t="s">
        <v>226</v>
      </c>
      <c r="H20" s="105" t="s">
        <v>274</v>
      </c>
      <c r="I20" s="164" t="s">
        <v>275</v>
      </c>
      <c r="J20" s="104" t="s">
        <v>212</v>
      </c>
      <c r="K20" s="104" t="s">
        <v>208</v>
      </c>
      <c r="L20" s="104" t="s">
        <v>213</v>
      </c>
      <c r="M20" s="104" t="s">
        <v>713</v>
      </c>
      <c r="N20" s="107"/>
      <c r="O20" s="108">
        <v>43157</v>
      </c>
      <c r="P20" s="108">
        <v>43157</v>
      </c>
      <c r="Q20" s="322">
        <f t="shared" si="0"/>
        <v>0</v>
      </c>
      <c r="R20" s="109">
        <f>IF((P20-VLOOKUP(Q20,month!$A$1:$C$13,3,0))&lt;0,Q20,Q20+1)</f>
        <v>0</v>
      </c>
      <c r="S20" s="108"/>
      <c r="T20" s="127" t="str">
        <f t="shared" si="80"/>
        <v/>
      </c>
      <c r="U20" s="107"/>
      <c r="V20" s="107"/>
      <c r="W20" s="107"/>
      <c r="X20" s="107"/>
      <c r="Y20" s="386"/>
      <c r="Z20" s="386" t="s">
        <v>545</v>
      </c>
      <c r="AA20" s="387">
        <v>1000</v>
      </c>
      <c r="AB20" s="387">
        <v>1000</v>
      </c>
      <c r="AC20" s="387">
        <v>1000</v>
      </c>
      <c r="AD20" s="387">
        <v>1000</v>
      </c>
      <c r="AE20" s="387">
        <v>1000</v>
      </c>
      <c r="AF20" s="387">
        <v>1000</v>
      </c>
      <c r="AG20" s="387">
        <v>1000</v>
      </c>
      <c r="AH20" s="387">
        <v>1000</v>
      </c>
      <c r="AI20" s="387">
        <v>1000</v>
      </c>
      <c r="AJ20" s="387">
        <v>1000</v>
      </c>
      <c r="AK20" s="387">
        <v>1000</v>
      </c>
      <c r="AL20" s="387">
        <v>1000</v>
      </c>
      <c r="AM20" s="388">
        <f t="shared" si="2"/>
        <v>12000</v>
      </c>
      <c r="AN20" s="388">
        <f t="shared" si="3"/>
        <v>12000</v>
      </c>
      <c r="AO20" s="389">
        <f t="shared" si="83"/>
        <v>1000</v>
      </c>
      <c r="AP20" s="498" t="s">
        <v>682</v>
      </c>
      <c r="AQ20" s="159">
        <v>0.5</v>
      </c>
      <c r="AR20" s="160" t="s">
        <v>211</v>
      </c>
      <c r="AS20" s="119" t="s">
        <v>210</v>
      </c>
      <c r="AT20" s="111">
        <v>370585.08322000003</v>
      </c>
      <c r="AU20" s="111">
        <v>420231.40658000001</v>
      </c>
      <c r="AV20" s="111">
        <v>421239.20932000002</v>
      </c>
      <c r="AW20" s="111">
        <v>502245.08487999998</v>
      </c>
      <c r="AX20" s="113">
        <v>330260.45401799999</v>
      </c>
      <c r="AY20" s="113">
        <v>358833.10230000026</v>
      </c>
      <c r="AZ20" s="113">
        <v>459742.50633599993</v>
      </c>
      <c r="BA20" s="113"/>
      <c r="BB20" s="113"/>
      <c r="BC20" s="113"/>
      <c r="BD20" s="113"/>
      <c r="BE20" s="113"/>
      <c r="BF20" s="114">
        <f t="shared" si="48"/>
        <v>330260.45401799999</v>
      </c>
      <c r="BG20" s="114">
        <f t="shared" si="49"/>
        <v>358833.10230000026</v>
      </c>
      <c r="BH20" s="114">
        <f t="shared" si="50"/>
        <v>459742.50633599993</v>
      </c>
      <c r="BI20" s="114">
        <f t="shared" si="51"/>
        <v>0</v>
      </c>
      <c r="BJ20" s="114">
        <f t="shared" si="4"/>
        <v>1148836.0626540002</v>
      </c>
      <c r="BK20" s="115">
        <f t="shared" si="5"/>
        <v>1714300.784</v>
      </c>
      <c r="BL20" s="115">
        <f t="shared" si="52"/>
        <v>1714300.784</v>
      </c>
      <c r="BM20" s="116">
        <f t="shared" si="53"/>
        <v>0.67010000000000003</v>
      </c>
      <c r="BN20" s="126">
        <f t="shared" ca="1" si="6"/>
        <v>0</v>
      </c>
      <c r="BO20" s="117">
        <f t="shared" ca="1" si="7"/>
        <v>0</v>
      </c>
      <c r="BP20" s="118" t="str">
        <f t="shared" si="54"/>
        <v>Uncapped</v>
      </c>
      <c r="BQ20" s="115">
        <f t="shared" ca="1" si="8"/>
        <v>0</v>
      </c>
      <c r="BR20" s="113" t="s">
        <v>700</v>
      </c>
      <c r="BS20" s="161">
        <v>0.3</v>
      </c>
      <c r="BT20" s="113" t="s">
        <v>211</v>
      </c>
      <c r="BU20" s="160" t="s">
        <v>210</v>
      </c>
      <c r="BV20" s="113">
        <v>103086.33131204998</v>
      </c>
      <c r="BW20" s="113">
        <v>114670.44426285</v>
      </c>
      <c r="BX20" s="113">
        <v>114481.22277105</v>
      </c>
      <c r="BY20" s="113">
        <v>129379.83225404998</v>
      </c>
      <c r="BZ20" s="113">
        <v>71115.226200000005</v>
      </c>
      <c r="CA20" s="113">
        <v>131847.94709999999</v>
      </c>
      <c r="CB20" s="113">
        <v>74542.905899999998</v>
      </c>
      <c r="CC20" s="113"/>
      <c r="CD20" s="113"/>
      <c r="CE20" s="113"/>
      <c r="CF20" s="113"/>
      <c r="CG20" s="113"/>
      <c r="CH20" s="114">
        <f t="shared" si="55"/>
        <v>71115.226200000005</v>
      </c>
      <c r="CI20" s="114">
        <f t="shared" si="56"/>
        <v>131847.94709999999</v>
      </c>
      <c r="CJ20" s="120">
        <f t="shared" si="57"/>
        <v>74542.905899999998</v>
      </c>
      <c r="CK20" s="114">
        <f t="shared" si="58"/>
        <v>0</v>
      </c>
      <c r="CL20" s="114">
        <f t="shared" si="9"/>
        <v>277506.07919999998</v>
      </c>
      <c r="CM20" s="114">
        <f t="shared" si="10"/>
        <v>461617.83059999999</v>
      </c>
      <c r="CN20" s="114">
        <f t="shared" si="59"/>
        <v>461617.83059999999</v>
      </c>
      <c r="CO20" s="116">
        <f t="shared" si="60"/>
        <v>0.60119999999999996</v>
      </c>
      <c r="CP20" s="126">
        <f t="shared" ca="1" si="61"/>
        <v>0</v>
      </c>
      <c r="CQ20" s="115">
        <f t="shared" ca="1" si="11"/>
        <v>0</v>
      </c>
      <c r="CR20" s="118" t="str">
        <f t="shared" si="12"/>
        <v>Uncapped</v>
      </c>
      <c r="CS20" s="115">
        <f t="shared" ca="1" si="13"/>
        <v>0</v>
      </c>
      <c r="CT20" s="113" t="s">
        <v>695</v>
      </c>
      <c r="CU20" s="119">
        <v>0.2</v>
      </c>
      <c r="CV20" s="113" t="s">
        <v>211</v>
      </c>
      <c r="CW20" s="113" t="s">
        <v>210</v>
      </c>
      <c r="CX20" s="113">
        <v>2244831.5718800002</v>
      </c>
      <c r="CY20" s="113">
        <v>2569364.5547100003</v>
      </c>
      <c r="CZ20" s="113">
        <v>2533443.4844499999</v>
      </c>
      <c r="DA20" s="113">
        <v>3023459.9310699999</v>
      </c>
      <c r="DB20" s="113">
        <v>2652948.4355720901</v>
      </c>
      <c r="DC20" s="113">
        <v>2609712.8228000007</v>
      </c>
      <c r="DD20" s="113">
        <v>2747045.0877474295</v>
      </c>
      <c r="DE20" s="113"/>
      <c r="DF20" s="113"/>
      <c r="DG20" s="113"/>
      <c r="DH20" s="113"/>
      <c r="DI20" s="113"/>
      <c r="DJ20" s="114">
        <f t="shared" si="62"/>
        <v>2652948.4355720901</v>
      </c>
      <c r="DK20" s="114">
        <f t="shared" si="63"/>
        <v>2609712.8228000007</v>
      </c>
      <c r="DL20" s="114">
        <f t="shared" si="64"/>
        <v>2747045.0877474295</v>
      </c>
      <c r="DM20" s="114">
        <f t="shared" si="65"/>
        <v>0</v>
      </c>
      <c r="DN20" s="114">
        <f t="shared" si="66"/>
        <v>8009706.3461195203</v>
      </c>
      <c r="DO20" s="114">
        <f t="shared" si="14"/>
        <v>10371099.54211</v>
      </c>
      <c r="DP20" s="114">
        <f t="shared" si="67"/>
        <v>10371099.54211</v>
      </c>
      <c r="DQ20" s="116">
        <f t="shared" si="68"/>
        <v>0.77229999999999999</v>
      </c>
      <c r="DR20" s="126">
        <f t="shared" ca="1" si="15"/>
        <v>0</v>
      </c>
      <c r="DS20" s="115">
        <f t="shared" ca="1" si="16"/>
        <v>0</v>
      </c>
      <c r="DT20" s="118" t="str">
        <f t="shared" si="17"/>
        <v>Uncapped</v>
      </c>
      <c r="DU20" s="115">
        <f t="shared" ca="1" si="18"/>
        <v>0</v>
      </c>
      <c r="DV20" s="113"/>
      <c r="DW20" s="119">
        <v>0</v>
      </c>
      <c r="DX20" s="113"/>
      <c r="DY20" s="113"/>
      <c r="DZ20" s="113">
        <v>0</v>
      </c>
      <c r="EA20" s="113">
        <v>0</v>
      </c>
      <c r="EB20" s="113">
        <v>0</v>
      </c>
      <c r="EC20" s="113">
        <v>0</v>
      </c>
      <c r="ED20" s="113">
        <v>0</v>
      </c>
      <c r="EE20" s="113">
        <v>0</v>
      </c>
      <c r="EF20" s="113"/>
      <c r="EG20" s="113"/>
      <c r="EH20" s="113"/>
      <c r="EI20" s="113"/>
      <c r="EJ20" s="113"/>
      <c r="EK20" s="113"/>
      <c r="EL20" s="114">
        <f t="shared" si="69"/>
        <v>0</v>
      </c>
      <c r="EM20" s="114">
        <f t="shared" si="70"/>
        <v>0</v>
      </c>
      <c r="EN20" s="114">
        <f t="shared" si="71"/>
        <v>0</v>
      </c>
      <c r="EO20" s="114">
        <f t="shared" si="72"/>
        <v>0</v>
      </c>
      <c r="EP20" s="114">
        <f t="shared" si="19"/>
        <v>0</v>
      </c>
      <c r="EQ20" s="114">
        <f t="shared" si="20"/>
        <v>0</v>
      </c>
      <c r="ER20" s="114">
        <f t="shared" si="73"/>
        <v>0</v>
      </c>
      <c r="ES20" s="116">
        <f t="shared" si="74"/>
        <v>0</v>
      </c>
      <c r="ET20" s="126">
        <f t="shared" ca="1" si="75"/>
        <v>0</v>
      </c>
      <c r="EU20" s="115">
        <f t="shared" ca="1" si="21"/>
        <v>0</v>
      </c>
      <c r="EV20" s="118" t="str">
        <f t="shared" si="22"/>
        <v>Uncapped</v>
      </c>
      <c r="EW20" s="115">
        <f t="shared" ca="1" si="23"/>
        <v>0</v>
      </c>
      <c r="EX20" s="112">
        <f t="shared" ca="1" si="24"/>
        <v>0</v>
      </c>
      <c r="EY20" s="114">
        <f t="shared" ca="1" si="76"/>
        <v>0</v>
      </c>
      <c r="EZ20" s="115">
        <v>0</v>
      </c>
      <c r="FA20" s="115"/>
      <c r="FB20" s="115"/>
      <c r="FC20" s="115">
        <v>0</v>
      </c>
      <c r="FD20" s="115">
        <f t="shared" si="25"/>
        <v>0</v>
      </c>
      <c r="FE20" s="114">
        <f t="shared" si="26"/>
        <v>0</v>
      </c>
      <c r="FF20" s="115">
        <v>0</v>
      </c>
      <c r="FG20" s="115">
        <v>0</v>
      </c>
      <c r="FH20" s="115">
        <v>0</v>
      </c>
      <c r="FI20" s="115">
        <v>0</v>
      </c>
      <c r="FJ20" s="115">
        <f t="shared" si="27"/>
        <v>0</v>
      </c>
      <c r="FK20" s="114">
        <f t="shared" si="28"/>
        <v>0</v>
      </c>
      <c r="FL20" s="113"/>
      <c r="FM20" s="111"/>
      <c r="FN20" s="111"/>
      <c r="FO20" s="111"/>
      <c r="FP20" s="115">
        <f t="shared" si="88"/>
        <v>0</v>
      </c>
      <c r="FQ20" s="115"/>
      <c r="FR20" s="115"/>
      <c r="FS20" s="115"/>
      <c r="FT20" s="114">
        <f t="shared" si="77"/>
        <v>0</v>
      </c>
      <c r="FU20" s="366">
        <f t="shared" ca="1" si="79"/>
        <v>0</v>
      </c>
      <c r="FV20" s="121">
        <f t="shared" ca="1" si="78"/>
        <v>0</v>
      </c>
      <c r="FW20" s="114">
        <f t="shared" si="84"/>
        <v>0</v>
      </c>
      <c r="FX20" s="114">
        <f t="shared" si="84"/>
        <v>0</v>
      </c>
      <c r="FY20" s="114">
        <f t="shared" si="84"/>
        <v>0</v>
      </c>
      <c r="FZ20" s="114">
        <f t="shared" si="81"/>
        <v>0</v>
      </c>
      <c r="GA20" s="114">
        <f t="shared" si="89"/>
        <v>0</v>
      </c>
      <c r="GB20" s="114">
        <f t="shared" si="85"/>
        <v>0</v>
      </c>
      <c r="GC20" s="114">
        <f t="shared" si="85"/>
        <v>0</v>
      </c>
      <c r="GD20" s="114">
        <f t="shared" si="85"/>
        <v>0</v>
      </c>
      <c r="GE20" s="114">
        <f t="shared" si="82"/>
        <v>0</v>
      </c>
      <c r="GF20" s="114">
        <f t="shared" si="87"/>
        <v>0</v>
      </c>
      <c r="GG20" s="114">
        <f t="shared" si="87"/>
        <v>0</v>
      </c>
      <c r="GH20" s="114">
        <f t="shared" si="87"/>
        <v>0</v>
      </c>
      <c r="GI20" s="114">
        <f t="shared" si="86"/>
        <v>0</v>
      </c>
      <c r="GJ20" s="115">
        <f t="shared" si="34"/>
        <v>0</v>
      </c>
      <c r="GK20" s="114">
        <f t="shared" si="90"/>
        <v>0</v>
      </c>
      <c r="GL20" s="114">
        <f t="shared" si="36"/>
        <v>0</v>
      </c>
      <c r="GM20" s="114">
        <f t="shared" si="37"/>
        <v>0</v>
      </c>
      <c r="GN20" s="114">
        <f t="shared" si="38"/>
        <v>0</v>
      </c>
      <c r="GO20" s="114">
        <f t="shared" si="39"/>
        <v>0</v>
      </c>
      <c r="GP20" s="114">
        <f t="shared" si="40"/>
        <v>0</v>
      </c>
      <c r="GQ20" s="114">
        <f t="shared" si="91"/>
        <v>0</v>
      </c>
      <c r="GR20" s="193"/>
      <c r="GS20" s="122">
        <f t="shared" si="42"/>
        <v>9436048.4879735205</v>
      </c>
      <c r="GT20" s="122">
        <f t="shared" si="43"/>
        <v>12547018.156709999</v>
      </c>
      <c r="GU20" s="123">
        <f t="shared" si="92"/>
        <v>0.75205505962603802</v>
      </c>
      <c r="GV20" s="124">
        <f t="shared" ca="1" si="45"/>
        <v>0</v>
      </c>
      <c r="GW20" s="124">
        <v>0</v>
      </c>
      <c r="GX20" s="32">
        <f t="shared" ca="1" si="46"/>
        <v>0</v>
      </c>
      <c r="GY20" s="100"/>
    </row>
    <row r="21" spans="1:207" s="125" customFormat="1" ht="15" hidden="1" customHeight="1">
      <c r="A21" s="102"/>
      <c r="B21" s="103"/>
      <c r="C21" s="103"/>
      <c r="D21" s="104"/>
      <c r="E21" s="104" t="s">
        <v>253</v>
      </c>
      <c r="F21" s="104" t="s">
        <v>266</v>
      </c>
      <c r="G21" s="104" t="s">
        <v>226</v>
      </c>
      <c r="H21" s="105" t="s">
        <v>276</v>
      </c>
      <c r="I21" s="164" t="s">
        <v>277</v>
      </c>
      <c r="J21" s="104" t="s">
        <v>212</v>
      </c>
      <c r="K21" s="104" t="s">
        <v>208</v>
      </c>
      <c r="L21" s="104" t="s">
        <v>213</v>
      </c>
      <c r="M21" s="104" t="s">
        <v>713</v>
      </c>
      <c r="N21" s="107"/>
      <c r="O21" s="108">
        <v>43409</v>
      </c>
      <c r="P21" s="108">
        <v>43409</v>
      </c>
      <c r="Q21" s="322">
        <f t="shared" si="0"/>
        <v>0</v>
      </c>
      <c r="R21" s="109">
        <f>IF((P21-VLOOKUP(Q21,month!$A$1:$C$13,3,0))&lt;0,Q21,Q21+1)</f>
        <v>0</v>
      </c>
      <c r="S21" s="108"/>
      <c r="T21" s="110" t="str">
        <f t="shared" si="80"/>
        <v/>
      </c>
      <c r="U21" s="320" t="s">
        <v>214</v>
      </c>
      <c r="V21" s="320">
        <v>1</v>
      </c>
      <c r="W21" s="107"/>
      <c r="X21" s="107"/>
      <c r="Y21" s="386"/>
      <c r="Z21" s="386" t="s">
        <v>545</v>
      </c>
      <c r="AA21" s="387">
        <v>1000</v>
      </c>
      <c r="AB21" s="387">
        <v>1000</v>
      </c>
      <c r="AC21" s="387">
        <v>1000</v>
      </c>
      <c r="AD21" s="387">
        <v>1000</v>
      </c>
      <c r="AE21" s="387">
        <v>1000</v>
      </c>
      <c r="AF21" s="387">
        <v>1000</v>
      </c>
      <c r="AG21" s="387">
        <v>1000</v>
      </c>
      <c r="AH21" s="387">
        <v>1000</v>
      </c>
      <c r="AI21" s="387">
        <v>1000</v>
      </c>
      <c r="AJ21" s="387">
        <v>1000</v>
      </c>
      <c r="AK21" s="387">
        <v>1000</v>
      </c>
      <c r="AL21" s="387">
        <v>1000</v>
      </c>
      <c r="AM21" s="388">
        <f t="shared" si="2"/>
        <v>12000</v>
      </c>
      <c r="AN21" s="388">
        <f t="shared" si="3"/>
        <v>12000</v>
      </c>
      <c r="AO21" s="389">
        <f>AA21</f>
        <v>1000</v>
      </c>
      <c r="AP21" s="498" t="s">
        <v>682</v>
      </c>
      <c r="AQ21" s="159">
        <v>0.5</v>
      </c>
      <c r="AR21" s="160" t="s">
        <v>211</v>
      </c>
      <c r="AS21" s="119" t="s">
        <v>210</v>
      </c>
      <c r="AT21" s="111">
        <v>354056.84346</v>
      </c>
      <c r="AU21" s="111">
        <v>416863.55884000001</v>
      </c>
      <c r="AV21" s="111">
        <v>406650.45595999999</v>
      </c>
      <c r="AW21" s="111">
        <v>482319.13673999999</v>
      </c>
      <c r="AX21" s="113">
        <v>533485.52500000049</v>
      </c>
      <c r="AY21" s="113">
        <v>479473.67249999993</v>
      </c>
      <c r="AZ21" s="113">
        <v>501473.10117543023</v>
      </c>
      <c r="BA21" s="113"/>
      <c r="BB21" s="113"/>
      <c r="BC21" s="113"/>
      <c r="BD21" s="113"/>
      <c r="BE21" s="113"/>
      <c r="BF21" s="114">
        <f t="shared" si="48"/>
        <v>533485.52500000049</v>
      </c>
      <c r="BG21" s="114">
        <f t="shared" si="49"/>
        <v>479473.67249999993</v>
      </c>
      <c r="BH21" s="114">
        <f t="shared" si="50"/>
        <v>501473.10117543023</v>
      </c>
      <c r="BI21" s="114">
        <f t="shared" si="51"/>
        <v>0</v>
      </c>
      <c r="BJ21" s="114">
        <f t="shared" si="4"/>
        <v>1514432.2986754307</v>
      </c>
      <c r="BK21" s="115">
        <f t="shared" si="5"/>
        <v>1659889.9949999999</v>
      </c>
      <c r="BL21" s="115">
        <f t="shared" si="52"/>
        <v>1659889.9949999999</v>
      </c>
      <c r="BM21" s="116">
        <f t="shared" si="53"/>
        <v>0.91239999999999999</v>
      </c>
      <c r="BN21" s="126">
        <f t="shared" ca="1" si="6"/>
        <v>0</v>
      </c>
      <c r="BO21" s="117">
        <f t="shared" ca="1" si="7"/>
        <v>0</v>
      </c>
      <c r="BP21" s="118" t="str">
        <f t="shared" si="54"/>
        <v>Uncapped</v>
      </c>
      <c r="BQ21" s="115">
        <f t="shared" ca="1" si="8"/>
        <v>0</v>
      </c>
      <c r="BR21" s="113" t="s">
        <v>700</v>
      </c>
      <c r="BS21" s="161">
        <v>0.3</v>
      </c>
      <c r="BT21" s="113" t="s">
        <v>211</v>
      </c>
      <c r="BU21" s="160" t="s">
        <v>210</v>
      </c>
      <c r="BV21" s="113">
        <v>110222.33479819998</v>
      </c>
      <c r="BW21" s="113">
        <v>129212.0553014</v>
      </c>
      <c r="BX21" s="113">
        <v>131383.8696342</v>
      </c>
      <c r="BY21" s="113">
        <v>126593.46266619998</v>
      </c>
      <c r="BZ21" s="113">
        <v>129345.147</v>
      </c>
      <c r="CA21" s="113">
        <v>116309.29499999998</v>
      </c>
      <c r="CB21" s="113">
        <v>188284.41899999999</v>
      </c>
      <c r="CC21" s="113"/>
      <c r="CD21" s="113"/>
      <c r="CE21" s="113"/>
      <c r="CF21" s="113"/>
      <c r="CG21" s="113"/>
      <c r="CH21" s="114">
        <f t="shared" si="55"/>
        <v>129345.147</v>
      </c>
      <c r="CI21" s="114">
        <f t="shared" si="56"/>
        <v>116309.29499999998</v>
      </c>
      <c r="CJ21" s="120">
        <f t="shared" si="57"/>
        <v>188284.41899999999</v>
      </c>
      <c r="CK21" s="114">
        <f t="shared" si="58"/>
        <v>0</v>
      </c>
      <c r="CL21" s="114">
        <f t="shared" si="9"/>
        <v>433938.86099999998</v>
      </c>
      <c r="CM21" s="114">
        <f t="shared" si="10"/>
        <v>497411.72239999997</v>
      </c>
      <c r="CN21" s="114">
        <f t="shared" si="59"/>
        <v>497411.72239999997</v>
      </c>
      <c r="CO21" s="116">
        <f t="shared" si="60"/>
        <v>0.87239999999999995</v>
      </c>
      <c r="CP21" s="126">
        <f t="shared" ca="1" si="61"/>
        <v>0</v>
      </c>
      <c r="CQ21" s="115">
        <f t="shared" ca="1" si="11"/>
        <v>0</v>
      </c>
      <c r="CR21" s="118" t="str">
        <f t="shared" si="12"/>
        <v>Uncapped</v>
      </c>
      <c r="CS21" s="115">
        <f t="shared" ca="1" si="13"/>
        <v>0</v>
      </c>
      <c r="CT21" s="113" t="s">
        <v>695</v>
      </c>
      <c r="CU21" s="119">
        <v>0.2</v>
      </c>
      <c r="CV21" s="113" t="s">
        <v>211</v>
      </c>
      <c r="CW21" s="113" t="s">
        <v>210</v>
      </c>
      <c r="CX21" s="113">
        <v>2244831.5718800002</v>
      </c>
      <c r="CY21" s="113">
        <v>2569364.5547100003</v>
      </c>
      <c r="CZ21" s="113">
        <v>2533443.4844499999</v>
      </c>
      <c r="DA21" s="113">
        <v>3023459.9310699999</v>
      </c>
      <c r="DB21" s="113">
        <v>2652948.4355720901</v>
      </c>
      <c r="DC21" s="113">
        <v>2609712.8228000007</v>
      </c>
      <c r="DD21" s="113">
        <v>2747045.0877474295</v>
      </c>
      <c r="DE21" s="113"/>
      <c r="DF21" s="113"/>
      <c r="DG21" s="113"/>
      <c r="DH21" s="113"/>
      <c r="DI21" s="113"/>
      <c r="DJ21" s="114">
        <f t="shared" si="62"/>
        <v>2652948.4355720901</v>
      </c>
      <c r="DK21" s="114">
        <f t="shared" si="63"/>
        <v>2609712.8228000007</v>
      </c>
      <c r="DL21" s="114">
        <f t="shared" si="64"/>
        <v>2747045.0877474295</v>
      </c>
      <c r="DM21" s="114">
        <f t="shared" si="65"/>
        <v>0</v>
      </c>
      <c r="DN21" s="114">
        <f t="shared" si="66"/>
        <v>8009706.3461195203</v>
      </c>
      <c r="DO21" s="114">
        <f t="shared" si="14"/>
        <v>10371099.54211</v>
      </c>
      <c r="DP21" s="114">
        <f t="shared" si="67"/>
        <v>10371099.54211</v>
      </c>
      <c r="DQ21" s="116">
        <f t="shared" si="68"/>
        <v>0.77229999999999999</v>
      </c>
      <c r="DR21" s="126">
        <f t="shared" ca="1" si="15"/>
        <v>0</v>
      </c>
      <c r="DS21" s="115">
        <f t="shared" ca="1" si="16"/>
        <v>0</v>
      </c>
      <c r="DT21" s="118" t="str">
        <f t="shared" si="17"/>
        <v>Uncapped</v>
      </c>
      <c r="DU21" s="115">
        <f t="shared" ca="1" si="18"/>
        <v>0</v>
      </c>
      <c r="DV21" s="113"/>
      <c r="DW21" s="119">
        <v>0</v>
      </c>
      <c r="DX21" s="113"/>
      <c r="DY21" s="113"/>
      <c r="DZ21" s="113">
        <v>0</v>
      </c>
      <c r="EA21" s="113">
        <v>0</v>
      </c>
      <c r="EB21" s="113">
        <v>0</v>
      </c>
      <c r="EC21" s="113">
        <v>0</v>
      </c>
      <c r="ED21" s="113">
        <v>0</v>
      </c>
      <c r="EE21" s="113">
        <v>0</v>
      </c>
      <c r="EF21" s="113"/>
      <c r="EG21" s="113"/>
      <c r="EH21" s="113"/>
      <c r="EI21" s="113"/>
      <c r="EJ21" s="113"/>
      <c r="EK21" s="113"/>
      <c r="EL21" s="114">
        <f t="shared" si="69"/>
        <v>0</v>
      </c>
      <c r="EM21" s="114">
        <f t="shared" si="70"/>
        <v>0</v>
      </c>
      <c r="EN21" s="114">
        <f t="shared" si="71"/>
        <v>0</v>
      </c>
      <c r="EO21" s="114">
        <f t="shared" si="72"/>
        <v>0</v>
      </c>
      <c r="EP21" s="114">
        <f t="shared" si="19"/>
        <v>0</v>
      </c>
      <c r="EQ21" s="114">
        <f t="shared" si="20"/>
        <v>0</v>
      </c>
      <c r="ER21" s="114">
        <f t="shared" si="73"/>
        <v>0</v>
      </c>
      <c r="ES21" s="116">
        <f t="shared" si="74"/>
        <v>0</v>
      </c>
      <c r="ET21" s="126">
        <f t="shared" ca="1" si="75"/>
        <v>0</v>
      </c>
      <c r="EU21" s="115">
        <f t="shared" ca="1" si="21"/>
        <v>0</v>
      </c>
      <c r="EV21" s="118" t="str">
        <f t="shared" si="22"/>
        <v>Uncapped</v>
      </c>
      <c r="EW21" s="115">
        <f t="shared" ca="1" si="23"/>
        <v>0</v>
      </c>
      <c r="EX21" s="112">
        <f t="shared" ca="1" si="24"/>
        <v>0</v>
      </c>
      <c r="EY21" s="114">
        <f t="shared" ca="1" si="76"/>
        <v>1000</v>
      </c>
      <c r="EZ21" s="115">
        <v>0</v>
      </c>
      <c r="FA21" s="115">
        <v>180700</v>
      </c>
      <c r="FB21" s="115"/>
      <c r="FC21" s="115">
        <v>0</v>
      </c>
      <c r="FD21" s="115">
        <f t="shared" si="25"/>
        <v>180700</v>
      </c>
      <c r="FE21" s="114">
        <f t="shared" si="26"/>
        <v>0</v>
      </c>
      <c r="FF21" s="115">
        <v>0</v>
      </c>
      <c r="FG21" s="115">
        <v>0</v>
      </c>
      <c r="FH21" s="115">
        <v>0</v>
      </c>
      <c r="FI21" s="115">
        <v>0</v>
      </c>
      <c r="FJ21" s="115">
        <f t="shared" si="27"/>
        <v>0</v>
      </c>
      <c r="FK21" s="114">
        <f t="shared" si="28"/>
        <v>0</v>
      </c>
      <c r="FL21" s="113"/>
      <c r="FM21" s="111"/>
      <c r="FN21" s="111"/>
      <c r="FO21" s="111"/>
      <c r="FP21" s="115">
        <f t="shared" si="88"/>
        <v>0</v>
      </c>
      <c r="FQ21" s="115"/>
      <c r="FR21" s="115"/>
      <c r="FS21" s="115"/>
      <c r="FT21" s="114">
        <f t="shared" si="77"/>
        <v>0</v>
      </c>
      <c r="FU21" s="366">
        <f t="shared" ca="1" si="79"/>
        <v>181700</v>
      </c>
      <c r="FV21" s="121">
        <f t="shared" ca="1" si="78"/>
        <v>181700</v>
      </c>
      <c r="FW21" s="114">
        <f t="shared" si="84"/>
        <v>0</v>
      </c>
      <c r="FX21" s="114">
        <f t="shared" si="84"/>
        <v>0</v>
      </c>
      <c r="FY21" s="114">
        <f t="shared" si="84"/>
        <v>0</v>
      </c>
      <c r="FZ21" s="114">
        <f t="shared" si="81"/>
        <v>0</v>
      </c>
      <c r="GA21" s="114">
        <f>SUM(FW21:FZ21)</f>
        <v>0</v>
      </c>
      <c r="GB21" s="114">
        <f t="shared" si="85"/>
        <v>0</v>
      </c>
      <c r="GC21" s="114">
        <f t="shared" si="85"/>
        <v>180700</v>
      </c>
      <c r="GD21" s="114">
        <f t="shared" si="85"/>
        <v>0</v>
      </c>
      <c r="GE21" s="114">
        <f t="shared" si="82"/>
        <v>0</v>
      </c>
      <c r="GF21" s="114">
        <f>GB21+FW21</f>
        <v>0</v>
      </c>
      <c r="GG21" s="114">
        <f>GC21+FX21</f>
        <v>180700</v>
      </c>
      <c r="GH21" s="114">
        <f>GD21+FY21</f>
        <v>0</v>
      </c>
      <c r="GI21" s="114">
        <f>GE21+FZ21</f>
        <v>0</v>
      </c>
      <c r="GJ21" s="115">
        <f t="shared" si="34"/>
        <v>180700</v>
      </c>
      <c r="GK21" s="114">
        <f>SUM(GF21:GI21)</f>
        <v>180700</v>
      </c>
      <c r="GL21" s="114">
        <f t="shared" si="36"/>
        <v>1000</v>
      </c>
      <c r="GM21" s="114">
        <f t="shared" si="37"/>
        <v>0</v>
      </c>
      <c r="GN21" s="114">
        <f t="shared" si="38"/>
        <v>0</v>
      </c>
      <c r="GO21" s="114">
        <f t="shared" si="39"/>
        <v>0</v>
      </c>
      <c r="GP21" s="114">
        <f t="shared" si="40"/>
        <v>1000</v>
      </c>
      <c r="GQ21" s="114">
        <f>SUM(GL21:GO21)</f>
        <v>1000</v>
      </c>
      <c r="GR21" s="193"/>
      <c r="GS21" s="122">
        <f t="shared" si="42"/>
        <v>9958077.5057949517</v>
      </c>
      <c r="GT21" s="122">
        <f t="shared" si="43"/>
        <v>12528401.259509999</v>
      </c>
      <c r="GU21" s="123">
        <f>IFERROR(GS21/GT21,"")</f>
        <v>0.79484024334198444</v>
      </c>
      <c r="GV21" s="124">
        <f t="shared" ca="1" si="45"/>
        <v>0</v>
      </c>
      <c r="GW21" s="124">
        <v>0</v>
      </c>
      <c r="GX21" s="32">
        <f t="shared" ca="1" si="46"/>
        <v>0</v>
      </c>
      <c r="GY21" s="100"/>
    </row>
    <row r="22" spans="1:207" s="152" customFormat="1" ht="15" hidden="1" customHeight="1">
      <c r="A22" s="129"/>
      <c r="B22" s="130"/>
      <c r="C22" s="130"/>
      <c r="D22" s="131"/>
      <c r="E22" s="131" t="s">
        <v>260</v>
      </c>
      <c r="F22" s="138" t="s">
        <v>261</v>
      </c>
      <c r="G22" s="131" t="s">
        <v>226</v>
      </c>
      <c r="H22" s="132" t="s">
        <v>278</v>
      </c>
      <c r="I22" s="133" t="s">
        <v>279</v>
      </c>
      <c r="J22" s="131" t="s">
        <v>207</v>
      </c>
      <c r="K22" s="131" t="s">
        <v>208</v>
      </c>
      <c r="L22" s="131" t="s">
        <v>264</v>
      </c>
      <c r="M22" s="131" t="s">
        <v>265</v>
      </c>
      <c r="N22" s="134"/>
      <c r="O22" s="155">
        <v>41376</v>
      </c>
      <c r="P22" s="155">
        <v>43009</v>
      </c>
      <c r="Q22" s="321">
        <f t="shared" si="0"/>
        <v>0</v>
      </c>
      <c r="R22" s="109">
        <f>IF((P22-VLOOKUP(Q22,month!$A$1:$C$13,3,0))&lt;0,Q22,Q22+1)</f>
        <v>0</v>
      </c>
      <c r="S22" s="108"/>
      <c r="T22" s="135" t="str">
        <f t="shared" si="80"/>
        <v/>
      </c>
      <c r="U22" s="134"/>
      <c r="V22" s="134"/>
      <c r="W22" s="134"/>
      <c r="X22" s="134"/>
      <c r="Y22" s="383"/>
      <c r="Z22" s="383" t="s">
        <v>545</v>
      </c>
      <c r="AA22" s="371">
        <v>1000</v>
      </c>
      <c r="AB22" s="371">
        <v>1000</v>
      </c>
      <c r="AC22" s="371">
        <v>1000</v>
      </c>
      <c r="AD22" s="371">
        <v>1000</v>
      </c>
      <c r="AE22" s="371">
        <v>1000</v>
      </c>
      <c r="AF22" s="371">
        <v>1000</v>
      </c>
      <c r="AG22" s="371">
        <v>1000</v>
      </c>
      <c r="AH22" s="371">
        <v>1000</v>
      </c>
      <c r="AI22" s="371">
        <v>1000</v>
      </c>
      <c r="AJ22" s="371">
        <v>1000</v>
      </c>
      <c r="AK22" s="371">
        <v>1000</v>
      </c>
      <c r="AL22" s="371">
        <v>1000</v>
      </c>
      <c r="AM22" s="384">
        <f t="shared" si="2"/>
        <v>12000</v>
      </c>
      <c r="AN22" s="384">
        <f t="shared" si="3"/>
        <v>12000</v>
      </c>
      <c r="AO22" s="385">
        <f t="shared" ref="AO22:AO30" si="93">AI22</f>
        <v>1000</v>
      </c>
      <c r="AP22" s="497" t="s">
        <v>682</v>
      </c>
      <c r="AQ22" s="156">
        <v>0.5</v>
      </c>
      <c r="AR22" s="157" t="s">
        <v>211</v>
      </c>
      <c r="AS22" s="146" t="s">
        <v>210</v>
      </c>
      <c r="AT22" s="136">
        <v>2382537.1912000002</v>
      </c>
      <c r="AU22" s="136">
        <v>2735536.2633999996</v>
      </c>
      <c r="AV22" s="136">
        <v>2679273.3525999999</v>
      </c>
      <c r="AW22" s="136">
        <v>3226022.7538000001</v>
      </c>
      <c r="AX22" s="138">
        <v>2499648.717472</v>
      </c>
      <c r="AY22" s="138">
        <v>2774407.4780569817</v>
      </c>
      <c r="AZ22" s="138">
        <v>2820386.492699998</v>
      </c>
      <c r="BA22" s="138"/>
      <c r="BB22" s="138"/>
      <c r="BC22" s="138"/>
      <c r="BD22" s="138"/>
      <c r="BE22" s="138"/>
      <c r="BF22" s="139">
        <f t="shared" si="48"/>
        <v>2499648.717472</v>
      </c>
      <c r="BG22" s="139">
        <f t="shared" si="49"/>
        <v>2774407.4780569817</v>
      </c>
      <c r="BH22" s="139">
        <f t="shared" si="50"/>
        <v>2820386.492699998</v>
      </c>
      <c r="BI22" s="139">
        <f t="shared" si="51"/>
        <v>0</v>
      </c>
      <c r="BJ22" s="139">
        <f t="shared" si="4"/>
        <v>8094442.6882289797</v>
      </c>
      <c r="BK22" s="140">
        <f t="shared" si="5"/>
        <v>11023369.561000001</v>
      </c>
      <c r="BL22" s="140">
        <f t="shared" si="52"/>
        <v>11023369.561000001</v>
      </c>
      <c r="BM22" s="141">
        <f t="shared" si="53"/>
        <v>0.73429999999999995</v>
      </c>
      <c r="BN22" s="142">
        <f t="shared" ca="1" si="6"/>
        <v>0</v>
      </c>
      <c r="BO22" s="143">
        <f t="shared" ca="1" si="7"/>
        <v>0</v>
      </c>
      <c r="BP22" s="144" t="str">
        <f t="shared" si="54"/>
        <v>Uncapped</v>
      </c>
      <c r="BQ22" s="140">
        <f t="shared" ca="1" si="8"/>
        <v>0</v>
      </c>
      <c r="BR22" s="138" t="s">
        <v>700</v>
      </c>
      <c r="BS22" s="158">
        <v>0.3</v>
      </c>
      <c r="BT22" s="138" t="s">
        <v>211</v>
      </c>
      <c r="BU22" s="157" t="s">
        <v>210</v>
      </c>
      <c r="BV22" s="138">
        <v>484727.54814999987</v>
      </c>
      <c r="BW22" s="138">
        <v>544695.40315000003</v>
      </c>
      <c r="BX22" s="138">
        <v>545782.12514999998</v>
      </c>
      <c r="BY22" s="138">
        <v>598587.92354999995</v>
      </c>
      <c r="BZ22" s="138">
        <v>522178.49339999998</v>
      </c>
      <c r="CA22" s="138">
        <v>483739.4402999999</v>
      </c>
      <c r="CB22" s="138">
        <v>515024.22959999996</v>
      </c>
      <c r="CC22" s="138"/>
      <c r="CD22" s="138"/>
      <c r="CE22" s="138"/>
      <c r="CF22" s="138"/>
      <c r="CG22" s="138"/>
      <c r="CH22" s="139">
        <f t="shared" si="55"/>
        <v>522178.49339999998</v>
      </c>
      <c r="CI22" s="139">
        <f t="shared" si="56"/>
        <v>483739.4402999999</v>
      </c>
      <c r="CJ22" s="145">
        <f t="shared" si="57"/>
        <v>515024.22959999996</v>
      </c>
      <c r="CK22" s="139">
        <f t="shared" si="58"/>
        <v>0</v>
      </c>
      <c r="CL22" s="139">
        <f t="shared" si="9"/>
        <v>1520942.1632999999</v>
      </c>
      <c r="CM22" s="139">
        <f t="shared" si="10"/>
        <v>2173793</v>
      </c>
      <c r="CN22" s="139">
        <f t="shared" si="59"/>
        <v>2173793</v>
      </c>
      <c r="CO22" s="141">
        <f t="shared" si="60"/>
        <v>0.69969999999999999</v>
      </c>
      <c r="CP22" s="142">
        <f t="shared" ca="1" si="61"/>
        <v>0</v>
      </c>
      <c r="CQ22" s="140">
        <f t="shared" ca="1" si="11"/>
        <v>0</v>
      </c>
      <c r="CR22" s="144" t="str">
        <f t="shared" si="12"/>
        <v>Uncapped</v>
      </c>
      <c r="CS22" s="140">
        <f t="shared" ca="1" si="13"/>
        <v>0</v>
      </c>
      <c r="CT22" s="138" t="s">
        <v>702</v>
      </c>
      <c r="CU22" s="146">
        <v>0.2</v>
      </c>
      <c r="CV22" s="138" t="s">
        <v>217</v>
      </c>
      <c r="CW22" s="138" t="s">
        <v>210</v>
      </c>
      <c r="CX22" s="138">
        <v>19653413.080999997</v>
      </c>
      <c r="CY22" s="138">
        <v>22848780.235100001</v>
      </c>
      <c r="CZ22" s="138">
        <v>22618799.574099999</v>
      </c>
      <c r="DA22" s="138">
        <v>27098464.121500004</v>
      </c>
      <c r="DB22" s="138">
        <v>19427532.107000571</v>
      </c>
      <c r="DC22" s="138">
        <v>22270538.357580002</v>
      </c>
      <c r="DD22" s="138">
        <v>22879083.486580007</v>
      </c>
      <c r="DE22" s="138"/>
      <c r="DF22" s="138"/>
      <c r="DG22" s="138"/>
      <c r="DH22" s="138"/>
      <c r="DI22" s="138"/>
      <c r="DJ22" s="139">
        <f t="shared" si="62"/>
        <v>19427532.107000571</v>
      </c>
      <c r="DK22" s="139">
        <f t="shared" si="63"/>
        <v>22270538.357580002</v>
      </c>
      <c r="DL22" s="139">
        <f t="shared" si="64"/>
        <v>22879083.486580007</v>
      </c>
      <c r="DM22" s="139">
        <f t="shared" si="65"/>
        <v>0</v>
      </c>
      <c r="DN22" s="139">
        <f t="shared" si="66"/>
        <v>64577153.95116058</v>
      </c>
      <c r="DO22" s="139">
        <f t="shared" si="14"/>
        <v>92219457.011700004</v>
      </c>
      <c r="DP22" s="139">
        <f t="shared" si="67"/>
        <v>92219457.011700004</v>
      </c>
      <c r="DQ22" s="141">
        <f t="shared" si="68"/>
        <v>0.70030000000000003</v>
      </c>
      <c r="DR22" s="142">
        <f t="shared" ca="1" si="15"/>
        <v>0</v>
      </c>
      <c r="DS22" s="140">
        <f t="shared" ca="1" si="16"/>
        <v>0</v>
      </c>
      <c r="DT22" s="144" t="str">
        <f t="shared" si="17"/>
        <v>Uncapped</v>
      </c>
      <c r="DU22" s="140">
        <f t="shared" ca="1" si="18"/>
        <v>0</v>
      </c>
      <c r="DV22" s="138"/>
      <c r="DW22" s="146">
        <v>0</v>
      </c>
      <c r="DX22" s="138"/>
      <c r="DY22" s="138"/>
      <c r="DZ22" s="138">
        <v>0</v>
      </c>
      <c r="EA22" s="138">
        <v>0</v>
      </c>
      <c r="EB22" s="138">
        <v>0</v>
      </c>
      <c r="EC22" s="138">
        <v>0</v>
      </c>
      <c r="ED22" s="138">
        <v>0</v>
      </c>
      <c r="EE22" s="138">
        <v>0</v>
      </c>
      <c r="EF22" s="138"/>
      <c r="EG22" s="138"/>
      <c r="EH22" s="138"/>
      <c r="EI22" s="138"/>
      <c r="EJ22" s="138"/>
      <c r="EK22" s="138"/>
      <c r="EL22" s="139">
        <f t="shared" si="69"/>
        <v>0</v>
      </c>
      <c r="EM22" s="139">
        <f t="shared" si="70"/>
        <v>0</v>
      </c>
      <c r="EN22" s="139">
        <f t="shared" si="71"/>
        <v>0</v>
      </c>
      <c r="EO22" s="139">
        <f t="shared" si="72"/>
        <v>0</v>
      </c>
      <c r="EP22" s="139">
        <f t="shared" si="19"/>
        <v>0</v>
      </c>
      <c r="EQ22" s="139">
        <f t="shared" si="20"/>
        <v>0</v>
      </c>
      <c r="ER22" s="139">
        <f t="shared" si="73"/>
        <v>0</v>
      </c>
      <c r="ES22" s="141">
        <f t="shared" si="74"/>
        <v>0</v>
      </c>
      <c r="ET22" s="142">
        <f t="shared" ca="1" si="75"/>
        <v>0</v>
      </c>
      <c r="EU22" s="140">
        <f t="shared" ca="1" si="21"/>
        <v>0</v>
      </c>
      <c r="EV22" s="144" t="str">
        <f t="shared" si="22"/>
        <v>Uncapped</v>
      </c>
      <c r="EW22" s="140">
        <f t="shared" ca="1" si="23"/>
        <v>0</v>
      </c>
      <c r="EX22" s="137">
        <f t="shared" ca="1" si="24"/>
        <v>0</v>
      </c>
      <c r="EY22" s="139">
        <f t="shared" ca="1" si="76"/>
        <v>0</v>
      </c>
      <c r="EZ22" s="140">
        <v>0</v>
      </c>
      <c r="FA22" s="140"/>
      <c r="FB22" s="140">
        <v>950454</v>
      </c>
      <c r="FC22" s="140">
        <v>0</v>
      </c>
      <c r="FD22" s="140">
        <f t="shared" si="25"/>
        <v>950454</v>
      </c>
      <c r="FE22" s="139">
        <f t="shared" si="26"/>
        <v>0</v>
      </c>
      <c r="FF22" s="140">
        <v>0</v>
      </c>
      <c r="FG22" s="140">
        <v>0</v>
      </c>
      <c r="FH22" s="140">
        <v>0</v>
      </c>
      <c r="FI22" s="140">
        <v>0</v>
      </c>
      <c r="FJ22" s="140">
        <f t="shared" si="27"/>
        <v>0</v>
      </c>
      <c r="FK22" s="139">
        <f t="shared" si="28"/>
        <v>0</v>
      </c>
      <c r="FL22" s="138"/>
      <c r="FM22" s="136"/>
      <c r="FN22" s="136"/>
      <c r="FO22" s="136"/>
      <c r="FP22" s="140">
        <f t="shared" si="88"/>
        <v>0</v>
      </c>
      <c r="FQ22" s="140"/>
      <c r="FR22" s="140"/>
      <c r="FS22" s="140"/>
      <c r="FT22" s="139">
        <f t="shared" si="77"/>
        <v>0</v>
      </c>
      <c r="FU22" s="365">
        <f t="shared" ca="1" si="79"/>
        <v>950454</v>
      </c>
      <c r="FV22" s="147">
        <f t="shared" ca="1" si="78"/>
        <v>950454</v>
      </c>
      <c r="FW22" s="139">
        <f t="shared" si="84"/>
        <v>0</v>
      </c>
      <c r="FX22" s="139">
        <f t="shared" si="84"/>
        <v>0</v>
      </c>
      <c r="FY22" s="139">
        <f t="shared" si="84"/>
        <v>0</v>
      </c>
      <c r="FZ22" s="139">
        <f t="shared" si="81"/>
        <v>0</v>
      </c>
      <c r="GA22" s="139">
        <f t="shared" si="89"/>
        <v>0</v>
      </c>
      <c r="GB22" s="139">
        <f t="shared" si="85"/>
        <v>0</v>
      </c>
      <c r="GC22" s="139">
        <f t="shared" si="85"/>
        <v>0</v>
      </c>
      <c r="GD22" s="139">
        <f t="shared" si="85"/>
        <v>950454</v>
      </c>
      <c r="GE22" s="139">
        <f t="shared" si="82"/>
        <v>0</v>
      </c>
      <c r="GF22" s="139">
        <f t="shared" si="87"/>
        <v>0</v>
      </c>
      <c r="GG22" s="139">
        <f t="shared" si="87"/>
        <v>0</v>
      </c>
      <c r="GH22" s="139">
        <f t="shared" si="87"/>
        <v>950454</v>
      </c>
      <c r="GI22" s="139">
        <f t="shared" si="86"/>
        <v>0</v>
      </c>
      <c r="GJ22" s="140">
        <f t="shared" si="34"/>
        <v>950454</v>
      </c>
      <c r="GK22" s="139">
        <f t="shared" si="90"/>
        <v>950454</v>
      </c>
      <c r="GL22" s="139">
        <f t="shared" si="36"/>
        <v>0</v>
      </c>
      <c r="GM22" s="139">
        <f t="shared" si="37"/>
        <v>0</v>
      </c>
      <c r="GN22" s="139">
        <f t="shared" si="38"/>
        <v>0</v>
      </c>
      <c r="GO22" s="139">
        <f t="shared" si="39"/>
        <v>0</v>
      </c>
      <c r="GP22" s="139">
        <f t="shared" si="40"/>
        <v>0</v>
      </c>
      <c r="GQ22" s="139">
        <f t="shared" si="91"/>
        <v>0</v>
      </c>
      <c r="GR22" s="409"/>
      <c r="GS22" s="148">
        <f t="shared" si="42"/>
        <v>74192538.802689552</v>
      </c>
      <c r="GT22" s="148">
        <f t="shared" si="43"/>
        <v>105416619.57270001</v>
      </c>
      <c r="GU22" s="149">
        <f t="shared" si="92"/>
        <v>0.70380305404806753</v>
      </c>
      <c r="GV22" s="150">
        <f t="shared" ca="1" si="45"/>
        <v>0</v>
      </c>
      <c r="GW22" s="150">
        <v>0</v>
      </c>
      <c r="GX22" s="151">
        <f t="shared" ca="1" si="46"/>
        <v>0</v>
      </c>
      <c r="GY22" s="100"/>
    </row>
    <row r="23" spans="1:207" s="125" customFormat="1" ht="15" hidden="1" customHeight="1">
      <c r="A23" s="102"/>
      <c r="B23" s="103"/>
      <c r="C23" s="103"/>
      <c r="D23" s="104"/>
      <c r="E23" s="104" t="s">
        <v>253</v>
      </c>
      <c r="F23" s="104" t="s">
        <v>266</v>
      </c>
      <c r="G23" s="104" t="s">
        <v>226</v>
      </c>
      <c r="H23" s="105" t="s">
        <v>281</v>
      </c>
      <c r="I23" s="106" t="s">
        <v>282</v>
      </c>
      <c r="J23" s="104" t="s">
        <v>212</v>
      </c>
      <c r="K23" s="104" t="s">
        <v>208</v>
      </c>
      <c r="L23" s="104" t="s">
        <v>213</v>
      </c>
      <c r="M23" s="104" t="s">
        <v>269</v>
      </c>
      <c r="N23" s="107"/>
      <c r="O23" s="108">
        <v>41376</v>
      </c>
      <c r="P23" s="108">
        <v>43009</v>
      </c>
      <c r="Q23" s="322">
        <f t="shared" si="0"/>
        <v>0</v>
      </c>
      <c r="R23" s="109">
        <f>IF((P23-VLOOKUP(Q23,month!$A$1:$C$13,3,0))&lt;0,Q23,Q23+1)</f>
        <v>0</v>
      </c>
      <c r="S23" s="108"/>
      <c r="T23" s="127" t="str">
        <f t="shared" si="80"/>
        <v/>
      </c>
      <c r="U23" s="107"/>
      <c r="V23" s="107"/>
      <c r="W23" s="107"/>
      <c r="X23" s="107"/>
      <c r="Y23" s="386"/>
      <c r="Z23" s="386" t="s">
        <v>545</v>
      </c>
      <c r="AA23" s="387">
        <v>1000</v>
      </c>
      <c r="AB23" s="387">
        <v>1000</v>
      </c>
      <c r="AC23" s="387">
        <v>1000</v>
      </c>
      <c r="AD23" s="387">
        <v>1000</v>
      </c>
      <c r="AE23" s="387">
        <v>1000</v>
      </c>
      <c r="AF23" s="387">
        <v>1000</v>
      </c>
      <c r="AG23" s="387">
        <v>1000</v>
      </c>
      <c r="AH23" s="387">
        <v>1000</v>
      </c>
      <c r="AI23" s="387">
        <v>1000</v>
      </c>
      <c r="AJ23" s="387">
        <v>1000</v>
      </c>
      <c r="AK23" s="387">
        <v>1000</v>
      </c>
      <c r="AL23" s="387">
        <v>1000</v>
      </c>
      <c r="AM23" s="388">
        <f t="shared" si="2"/>
        <v>12000</v>
      </c>
      <c r="AN23" s="388">
        <f t="shared" si="3"/>
        <v>12000</v>
      </c>
      <c r="AO23" s="389">
        <f t="shared" si="93"/>
        <v>1000</v>
      </c>
      <c r="AP23" s="498" t="s">
        <v>682</v>
      </c>
      <c r="AQ23" s="159">
        <v>0.5</v>
      </c>
      <c r="AR23" s="160" t="s">
        <v>211</v>
      </c>
      <c r="AS23" s="119" t="s">
        <v>210</v>
      </c>
      <c r="AT23" s="111">
        <v>599029.07200000004</v>
      </c>
      <c r="AU23" s="111">
        <v>674924.03399999999</v>
      </c>
      <c r="AV23" s="111">
        <v>661574.74300000002</v>
      </c>
      <c r="AW23" s="111">
        <v>814158.93</v>
      </c>
      <c r="AX23" s="113">
        <v>526825.132354</v>
      </c>
      <c r="AY23" s="113">
        <v>660416.69881800015</v>
      </c>
      <c r="AZ23" s="113">
        <v>625149.67230000009</v>
      </c>
      <c r="BA23" s="113"/>
      <c r="BB23" s="113"/>
      <c r="BC23" s="113"/>
      <c r="BD23" s="113"/>
      <c r="BE23" s="113"/>
      <c r="BF23" s="114">
        <f t="shared" si="48"/>
        <v>526825.132354</v>
      </c>
      <c r="BG23" s="114">
        <f t="shared" si="49"/>
        <v>660416.69881800015</v>
      </c>
      <c r="BH23" s="114">
        <f t="shared" si="50"/>
        <v>625149.67230000009</v>
      </c>
      <c r="BI23" s="114">
        <f t="shared" si="51"/>
        <v>0</v>
      </c>
      <c r="BJ23" s="114">
        <f t="shared" si="4"/>
        <v>1812391.5034720004</v>
      </c>
      <c r="BK23" s="115">
        <f t="shared" si="5"/>
        <v>2749686.7790000001</v>
      </c>
      <c r="BL23" s="115">
        <f t="shared" si="52"/>
        <v>2749686.7790000001</v>
      </c>
      <c r="BM23" s="116">
        <f t="shared" si="53"/>
        <v>0.65910000000000002</v>
      </c>
      <c r="BN23" s="126">
        <f t="shared" ca="1" si="6"/>
        <v>0</v>
      </c>
      <c r="BO23" s="117">
        <f t="shared" ca="1" si="7"/>
        <v>0</v>
      </c>
      <c r="BP23" s="118" t="str">
        <f t="shared" si="54"/>
        <v>Uncapped</v>
      </c>
      <c r="BQ23" s="115">
        <f t="shared" ca="1" si="8"/>
        <v>0</v>
      </c>
      <c r="BR23" s="113" t="s">
        <v>700</v>
      </c>
      <c r="BS23" s="161">
        <v>0.3</v>
      </c>
      <c r="BT23" s="113" t="s">
        <v>211</v>
      </c>
      <c r="BU23" s="160" t="s">
        <v>210</v>
      </c>
      <c r="BV23" s="113">
        <v>86491.879950000002</v>
      </c>
      <c r="BW23" s="113">
        <v>99150.388949999993</v>
      </c>
      <c r="BX23" s="113">
        <v>100048.30095</v>
      </c>
      <c r="BY23" s="113">
        <v>103326.43015</v>
      </c>
      <c r="BZ23" s="113">
        <v>92500.451100000006</v>
      </c>
      <c r="CA23" s="113">
        <v>74380.470299999986</v>
      </c>
      <c r="CB23" s="113">
        <v>64585.930500000002</v>
      </c>
      <c r="CC23" s="113"/>
      <c r="CD23" s="113"/>
      <c r="CE23" s="113"/>
      <c r="CF23" s="113"/>
      <c r="CG23" s="113"/>
      <c r="CH23" s="114">
        <f t="shared" si="55"/>
        <v>92500.451100000006</v>
      </c>
      <c r="CI23" s="114">
        <f t="shared" si="56"/>
        <v>74380.470299999986</v>
      </c>
      <c r="CJ23" s="120">
        <f t="shared" si="57"/>
        <v>64585.930500000002</v>
      </c>
      <c r="CK23" s="114">
        <f t="shared" si="58"/>
        <v>0</v>
      </c>
      <c r="CL23" s="114">
        <f t="shared" si="9"/>
        <v>231466.85190000001</v>
      </c>
      <c r="CM23" s="114">
        <f t="shared" si="10"/>
        <v>389017</v>
      </c>
      <c r="CN23" s="114">
        <f t="shared" si="59"/>
        <v>389017</v>
      </c>
      <c r="CO23" s="116">
        <f t="shared" si="60"/>
        <v>0.59499999999999997</v>
      </c>
      <c r="CP23" s="126">
        <f t="shared" ca="1" si="61"/>
        <v>0</v>
      </c>
      <c r="CQ23" s="115">
        <f t="shared" ca="1" si="11"/>
        <v>0</v>
      </c>
      <c r="CR23" s="118" t="str">
        <f t="shared" si="12"/>
        <v>Uncapped</v>
      </c>
      <c r="CS23" s="115">
        <f t="shared" ca="1" si="13"/>
        <v>0</v>
      </c>
      <c r="CT23" s="113" t="s">
        <v>695</v>
      </c>
      <c r="CU23" s="119">
        <v>0.2</v>
      </c>
      <c r="CV23" s="113" t="s">
        <v>211</v>
      </c>
      <c r="CW23" s="113" t="s">
        <v>210</v>
      </c>
      <c r="CX23" s="113">
        <v>2382537.1912000002</v>
      </c>
      <c r="CY23" s="113">
        <v>2735536.2633999996</v>
      </c>
      <c r="CZ23" s="113">
        <v>2679273.3525999999</v>
      </c>
      <c r="DA23" s="113">
        <v>3226022.7538000001</v>
      </c>
      <c r="DB23" s="113">
        <v>2499648.717472</v>
      </c>
      <c r="DC23" s="113">
        <v>2774407.4780569817</v>
      </c>
      <c r="DD23" s="113">
        <v>2820386.492699998</v>
      </c>
      <c r="DE23" s="113"/>
      <c r="DF23" s="113"/>
      <c r="DG23" s="113"/>
      <c r="DH23" s="113"/>
      <c r="DI23" s="113"/>
      <c r="DJ23" s="114">
        <f t="shared" si="62"/>
        <v>2499648.717472</v>
      </c>
      <c r="DK23" s="114">
        <f t="shared" si="63"/>
        <v>2774407.4780569817</v>
      </c>
      <c r="DL23" s="114">
        <f t="shared" si="64"/>
        <v>2820386.492699998</v>
      </c>
      <c r="DM23" s="114">
        <f t="shared" si="65"/>
        <v>0</v>
      </c>
      <c r="DN23" s="114">
        <f t="shared" si="66"/>
        <v>8094442.6882289797</v>
      </c>
      <c r="DO23" s="114">
        <f t="shared" si="14"/>
        <v>11023369.561000001</v>
      </c>
      <c r="DP23" s="114">
        <f t="shared" si="67"/>
        <v>11023369.561000001</v>
      </c>
      <c r="DQ23" s="116">
        <f t="shared" si="68"/>
        <v>0.73429999999999995</v>
      </c>
      <c r="DR23" s="126">
        <f t="shared" ca="1" si="15"/>
        <v>0</v>
      </c>
      <c r="DS23" s="115">
        <f t="shared" ca="1" si="16"/>
        <v>0</v>
      </c>
      <c r="DT23" s="118" t="str">
        <f t="shared" si="17"/>
        <v>Uncapped</v>
      </c>
      <c r="DU23" s="115">
        <f t="shared" ca="1" si="18"/>
        <v>0</v>
      </c>
      <c r="DV23" s="113"/>
      <c r="DW23" s="119">
        <v>0</v>
      </c>
      <c r="DX23" s="113"/>
      <c r="DY23" s="113"/>
      <c r="DZ23" s="113">
        <v>0</v>
      </c>
      <c r="EA23" s="113">
        <v>0</v>
      </c>
      <c r="EB23" s="113">
        <v>0</v>
      </c>
      <c r="EC23" s="113">
        <v>0</v>
      </c>
      <c r="ED23" s="113">
        <v>0</v>
      </c>
      <c r="EE23" s="113">
        <v>0</v>
      </c>
      <c r="EF23" s="113"/>
      <c r="EG23" s="113"/>
      <c r="EH23" s="113"/>
      <c r="EI23" s="113"/>
      <c r="EJ23" s="113"/>
      <c r="EK23" s="113"/>
      <c r="EL23" s="114">
        <f t="shared" si="69"/>
        <v>0</v>
      </c>
      <c r="EM23" s="114">
        <f t="shared" si="70"/>
        <v>0</v>
      </c>
      <c r="EN23" s="114">
        <f t="shared" si="71"/>
        <v>0</v>
      </c>
      <c r="EO23" s="114">
        <f t="shared" si="72"/>
        <v>0</v>
      </c>
      <c r="EP23" s="114">
        <f t="shared" si="19"/>
        <v>0</v>
      </c>
      <c r="EQ23" s="114">
        <f t="shared" si="20"/>
        <v>0</v>
      </c>
      <c r="ER23" s="114">
        <f t="shared" si="73"/>
        <v>0</v>
      </c>
      <c r="ES23" s="116">
        <f t="shared" si="74"/>
        <v>0</v>
      </c>
      <c r="ET23" s="126">
        <f t="shared" ca="1" si="75"/>
        <v>0</v>
      </c>
      <c r="EU23" s="115">
        <f t="shared" ca="1" si="21"/>
        <v>0</v>
      </c>
      <c r="EV23" s="118" t="str">
        <f t="shared" si="22"/>
        <v>Uncapped</v>
      </c>
      <c r="EW23" s="115">
        <f t="shared" ca="1" si="23"/>
        <v>0</v>
      </c>
      <c r="EX23" s="112">
        <f t="shared" ca="1" si="24"/>
        <v>0</v>
      </c>
      <c r="EY23" s="114">
        <f t="shared" ca="1" si="76"/>
        <v>0</v>
      </c>
      <c r="EZ23" s="115">
        <v>1201735</v>
      </c>
      <c r="FA23" s="115">
        <v>819200.6555555556</v>
      </c>
      <c r="FB23" s="115">
        <v>1566452</v>
      </c>
      <c r="FC23" s="115">
        <v>0</v>
      </c>
      <c r="FD23" s="115">
        <f t="shared" si="25"/>
        <v>3587387.6555555556</v>
      </c>
      <c r="FE23" s="114">
        <f t="shared" si="26"/>
        <v>0</v>
      </c>
      <c r="FF23" s="115">
        <v>0</v>
      </c>
      <c r="FG23" s="115">
        <v>0</v>
      </c>
      <c r="FH23" s="115">
        <v>0</v>
      </c>
      <c r="FI23" s="115">
        <v>0</v>
      </c>
      <c r="FJ23" s="115">
        <f t="shared" si="27"/>
        <v>0</v>
      </c>
      <c r="FK23" s="114">
        <f t="shared" si="28"/>
        <v>0</v>
      </c>
      <c r="FL23" s="113"/>
      <c r="FM23" s="111"/>
      <c r="FN23" s="111"/>
      <c r="FO23" s="111"/>
      <c r="FP23" s="115">
        <f t="shared" si="88"/>
        <v>0</v>
      </c>
      <c r="FQ23" s="115"/>
      <c r="FR23" s="115"/>
      <c r="FS23" s="115"/>
      <c r="FT23" s="114">
        <f t="shared" si="77"/>
        <v>0</v>
      </c>
      <c r="FU23" s="366">
        <f t="shared" ca="1" si="79"/>
        <v>3587387.66</v>
      </c>
      <c r="FV23" s="121">
        <f t="shared" ca="1" si="78"/>
        <v>3587387.6555555556</v>
      </c>
      <c r="FW23" s="114">
        <f t="shared" si="84"/>
        <v>0</v>
      </c>
      <c r="FX23" s="114">
        <f t="shared" si="84"/>
        <v>0</v>
      </c>
      <c r="FY23" s="114">
        <f t="shared" si="84"/>
        <v>0</v>
      </c>
      <c r="FZ23" s="114">
        <f t="shared" si="81"/>
        <v>0</v>
      </c>
      <c r="GA23" s="114">
        <f t="shared" si="89"/>
        <v>0</v>
      </c>
      <c r="GB23" s="114">
        <f t="shared" si="85"/>
        <v>1201735</v>
      </c>
      <c r="GC23" s="114">
        <f t="shared" si="85"/>
        <v>819200.6555555556</v>
      </c>
      <c r="GD23" s="114">
        <f t="shared" si="85"/>
        <v>1566452</v>
      </c>
      <c r="GE23" s="114">
        <f t="shared" si="82"/>
        <v>0</v>
      </c>
      <c r="GF23" s="114">
        <f t="shared" si="87"/>
        <v>1201735</v>
      </c>
      <c r="GG23" s="114">
        <f t="shared" si="87"/>
        <v>819200.6555555556</v>
      </c>
      <c r="GH23" s="114">
        <f t="shared" si="87"/>
        <v>1566452</v>
      </c>
      <c r="GI23" s="114">
        <f t="shared" si="86"/>
        <v>0</v>
      </c>
      <c r="GJ23" s="115">
        <f t="shared" si="34"/>
        <v>3587387.6555555556</v>
      </c>
      <c r="GK23" s="114">
        <f t="shared" si="90"/>
        <v>3587387.6555555556</v>
      </c>
      <c r="GL23" s="114">
        <f t="shared" si="36"/>
        <v>0</v>
      </c>
      <c r="GM23" s="114">
        <f t="shared" si="37"/>
        <v>0</v>
      </c>
      <c r="GN23" s="114">
        <f t="shared" si="38"/>
        <v>0</v>
      </c>
      <c r="GO23" s="114">
        <f t="shared" si="39"/>
        <v>0</v>
      </c>
      <c r="GP23" s="114">
        <f t="shared" si="40"/>
        <v>0</v>
      </c>
      <c r="GQ23" s="114">
        <f t="shared" si="91"/>
        <v>0</v>
      </c>
      <c r="GR23" s="193"/>
      <c r="GS23" s="122">
        <f t="shared" si="42"/>
        <v>10138301.04360098</v>
      </c>
      <c r="GT23" s="122">
        <f t="shared" si="43"/>
        <v>14162073.34</v>
      </c>
      <c r="GU23" s="123">
        <f t="shared" si="92"/>
        <v>0.71587689176597502</v>
      </c>
      <c r="GV23" s="124">
        <f t="shared" ca="1" si="45"/>
        <v>0</v>
      </c>
      <c r="GW23" s="124">
        <v>0</v>
      </c>
      <c r="GX23" s="32">
        <f t="shared" ca="1" si="46"/>
        <v>0</v>
      </c>
      <c r="GY23" s="100"/>
    </row>
    <row r="24" spans="1:207" s="165" customFormat="1" ht="15" hidden="1" customHeight="1">
      <c r="A24" s="102"/>
      <c r="B24" s="103"/>
      <c r="C24" s="103"/>
      <c r="D24" s="104"/>
      <c r="E24" s="104" t="s">
        <v>253</v>
      </c>
      <c r="F24" s="104" t="s">
        <v>266</v>
      </c>
      <c r="G24" s="104" t="s">
        <v>226</v>
      </c>
      <c r="H24" s="105" t="s">
        <v>284</v>
      </c>
      <c r="I24" s="106" t="s">
        <v>285</v>
      </c>
      <c r="J24" s="104" t="s">
        <v>212</v>
      </c>
      <c r="K24" s="104" t="s">
        <v>208</v>
      </c>
      <c r="L24" s="104" t="s">
        <v>213</v>
      </c>
      <c r="M24" s="104" t="s">
        <v>269</v>
      </c>
      <c r="N24" s="107"/>
      <c r="O24" s="108">
        <v>42555</v>
      </c>
      <c r="P24" s="108">
        <v>42555</v>
      </c>
      <c r="Q24" s="322">
        <f t="shared" si="0"/>
        <v>0</v>
      </c>
      <c r="R24" s="109">
        <f>IF((P24-VLOOKUP(Q24,month!$A$1:$C$13,3,0))&lt;0,Q24,Q24+1)</f>
        <v>0</v>
      </c>
      <c r="S24" s="108"/>
      <c r="T24" s="110" t="str">
        <f t="shared" si="80"/>
        <v/>
      </c>
      <c r="U24" s="107"/>
      <c r="V24" s="107"/>
      <c r="W24" s="107"/>
      <c r="X24" s="107"/>
      <c r="Y24" s="386"/>
      <c r="Z24" s="386" t="s">
        <v>545</v>
      </c>
      <c r="AA24" s="387">
        <v>1000</v>
      </c>
      <c r="AB24" s="387">
        <v>1000</v>
      </c>
      <c r="AC24" s="387">
        <v>1000</v>
      </c>
      <c r="AD24" s="387">
        <v>1000</v>
      </c>
      <c r="AE24" s="387">
        <v>1000</v>
      </c>
      <c r="AF24" s="387">
        <v>1000</v>
      </c>
      <c r="AG24" s="387">
        <v>1000</v>
      </c>
      <c r="AH24" s="387">
        <v>1000</v>
      </c>
      <c r="AI24" s="387">
        <v>1000</v>
      </c>
      <c r="AJ24" s="387">
        <v>1000</v>
      </c>
      <c r="AK24" s="387">
        <v>1000</v>
      </c>
      <c r="AL24" s="387">
        <v>1000</v>
      </c>
      <c r="AM24" s="388">
        <f t="shared" si="2"/>
        <v>12000</v>
      </c>
      <c r="AN24" s="388">
        <f t="shared" si="3"/>
        <v>12000</v>
      </c>
      <c r="AO24" s="389">
        <f t="shared" si="93"/>
        <v>1000</v>
      </c>
      <c r="AP24" s="498" t="s">
        <v>682</v>
      </c>
      <c r="AQ24" s="159">
        <v>0.5</v>
      </c>
      <c r="AR24" s="160" t="s">
        <v>211</v>
      </c>
      <c r="AS24" s="119" t="s">
        <v>210</v>
      </c>
      <c r="AT24" s="111">
        <v>510704.67350000003</v>
      </c>
      <c r="AU24" s="111">
        <v>588943.92939999991</v>
      </c>
      <c r="AV24" s="111">
        <v>577769.1155999999</v>
      </c>
      <c r="AW24" s="111">
        <v>690871.29550000001</v>
      </c>
      <c r="AX24" s="113">
        <v>668149.86419999995</v>
      </c>
      <c r="AY24" s="113">
        <v>520580.43540000054</v>
      </c>
      <c r="AZ24" s="113">
        <v>709246.9079999997</v>
      </c>
      <c r="BA24" s="113"/>
      <c r="BB24" s="113"/>
      <c r="BC24" s="113"/>
      <c r="BD24" s="113"/>
      <c r="BE24" s="113"/>
      <c r="BF24" s="114">
        <f t="shared" si="48"/>
        <v>668149.86419999995</v>
      </c>
      <c r="BG24" s="114">
        <f t="shared" si="49"/>
        <v>520580.43540000054</v>
      </c>
      <c r="BH24" s="114">
        <f t="shared" si="50"/>
        <v>709246.9079999997</v>
      </c>
      <c r="BI24" s="114">
        <f t="shared" si="51"/>
        <v>0</v>
      </c>
      <c r="BJ24" s="114">
        <f t="shared" si="4"/>
        <v>1897977.2076000003</v>
      </c>
      <c r="BK24" s="115">
        <f t="shared" si="5"/>
        <v>2368289.0139999995</v>
      </c>
      <c r="BL24" s="115">
        <f t="shared" si="52"/>
        <v>2368289.0139999995</v>
      </c>
      <c r="BM24" s="116">
        <f t="shared" si="53"/>
        <v>0.8014</v>
      </c>
      <c r="BN24" s="126">
        <f t="shared" ca="1" si="6"/>
        <v>0</v>
      </c>
      <c r="BO24" s="117">
        <f t="shared" ca="1" si="7"/>
        <v>0</v>
      </c>
      <c r="BP24" s="118" t="str">
        <f t="shared" si="54"/>
        <v>Uncapped</v>
      </c>
      <c r="BQ24" s="115">
        <f t="shared" ca="1" si="8"/>
        <v>0</v>
      </c>
      <c r="BR24" s="113" t="s">
        <v>700</v>
      </c>
      <c r="BS24" s="161">
        <v>0.3</v>
      </c>
      <c r="BT24" s="113" t="s">
        <v>211</v>
      </c>
      <c r="BU24" s="160" t="s">
        <v>210</v>
      </c>
      <c r="BV24" s="113">
        <v>219600.67159999997</v>
      </c>
      <c r="BW24" s="113">
        <v>241095.71359999999</v>
      </c>
      <c r="BX24" s="113">
        <v>239548.59960000002</v>
      </c>
      <c r="BY24" s="113">
        <v>281271.01519999997</v>
      </c>
      <c r="BZ24" s="113">
        <v>229000.17600000001</v>
      </c>
      <c r="CA24" s="113">
        <v>273922.93619999994</v>
      </c>
      <c r="CB24" s="113">
        <v>278333.7291</v>
      </c>
      <c r="CC24" s="113"/>
      <c r="CD24" s="113"/>
      <c r="CE24" s="113"/>
      <c r="CF24" s="113"/>
      <c r="CG24" s="113"/>
      <c r="CH24" s="114">
        <f t="shared" si="55"/>
        <v>229000.17600000001</v>
      </c>
      <c r="CI24" s="114">
        <f t="shared" si="56"/>
        <v>273922.93619999994</v>
      </c>
      <c r="CJ24" s="120">
        <f t="shared" si="57"/>
        <v>278333.7291</v>
      </c>
      <c r="CK24" s="114">
        <f t="shared" si="58"/>
        <v>0</v>
      </c>
      <c r="CL24" s="114">
        <f t="shared" si="9"/>
        <v>781256.84129999997</v>
      </c>
      <c r="CM24" s="114">
        <f t="shared" si="10"/>
        <v>981516</v>
      </c>
      <c r="CN24" s="114">
        <f t="shared" si="59"/>
        <v>981516</v>
      </c>
      <c r="CO24" s="116">
        <f t="shared" si="60"/>
        <v>0.79600000000000004</v>
      </c>
      <c r="CP24" s="126">
        <f t="shared" ca="1" si="61"/>
        <v>0</v>
      </c>
      <c r="CQ24" s="115">
        <f t="shared" ca="1" si="11"/>
        <v>0</v>
      </c>
      <c r="CR24" s="118" t="str">
        <f t="shared" si="12"/>
        <v>Uncapped</v>
      </c>
      <c r="CS24" s="115">
        <f t="shared" ca="1" si="13"/>
        <v>0</v>
      </c>
      <c r="CT24" s="113" t="s">
        <v>695</v>
      </c>
      <c r="CU24" s="119">
        <v>0.2</v>
      </c>
      <c r="CV24" s="113" t="s">
        <v>211</v>
      </c>
      <c r="CW24" s="113" t="s">
        <v>210</v>
      </c>
      <c r="CX24" s="113">
        <v>2382537.1912000002</v>
      </c>
      <c r="CY24" s="113">
        <v>2735536.2633999996</v>
      </c>
      <c r="CZ24" s="113">
        <v>2679273.3525999999</v>
      </c>
      <c r="DA24" s="113">
        <v>3226022.7538000001</v>
      </c>
      <c r="DB24" s="113">
        <v>2499648.717472</v>
      </c>
      <c r="DC24" s="113">
        <v>2774407.4780569817</v>
      </c>
      <c r="DD24" s="113">
        <v>2820386.492699998</v>
      </c>
      <c r="DE24" s="113"/>
      <c r="DF24" s="113"/>
      <c r="DG24" s="113"/>
      <c r="DH24" s="113"/>
      <c r="DI24" s="113"/>
      <c r="DJ24" s="114">
        <f t="shared" si="62"/>
        <v>2499648.717472</v>
      </c>
      <c r="DK24" s="114">
        <f t="shared" si="63"/>
        <v>2774407.4780569817</v>
      </c>
      <c r="DL24" s="114">
        <f t="shared" si="64"/>
        <v>2820386.492699998</v>
      </c>
      <c r="DM24" s="114">
        <f t="shared" si="65"/>
        <v>0</v>
      </c>
      <c r="DN24" s="114">
        <f t="shared" si="66"/>
        <v>8094442.6882289797</v>
      </c>
      <c r="DO24" s="114">
        <f t="shared" si="14"/>
        <v>11023369.561000001</v>
      </c>
      <c r="DP24" s="114">
        <f t="shared" si="67"/>
        <v>11023369.561000001</v>
      </c>
      <c r="DQ24" s="116">
        <f t="shared" si="68"/>
        <v>0.73429999999999995</v>
      </c>
      <c r="DR24" s="126">
        <f t="shared" ca="1" si="15"/>
        <v>0</v>
      </c>
      <c r="DS24" s="115">
        <f t="shared" ca="1" si="16"/>
        <v>0</v>
      </c>
      <c r="DT24" s="118" t="str">
        <f t="shared" si="17"/>
        <v>Uncapped</v>
      </c>
      <c r="DU24" s="115">
        <f t="shared" ca="1" si="18"/>
        <v>0</v>
      </c>
      <c r="DV24" s="113"/>
      <c r="DW24" s="119">
        <v>0</v>
      </c>
      <c r="DX24" s="113"/>
      <c r="DY24" s="113"/>
      <c r="DZ24" s="113">
        <v>0</v>
      </c>
      <c r="EA24" s="113">
        <v>0</v>
      </c>
      <c r="EB24" s="113">
        <v>0</v>
      </c>
      <c r="EC24" s="113">
        <v>0</v>
      </c>
      <c r="ED24" s="113">
        <v>0</v>
      </c>
      <c r="EE24" s="113">
        <v>0</v>
      </c>
      <c r="EF24" s="113"/>
      <c r="EG24" s="113"/>
      <c r="EH24" s="113"/>
      <c r="EI24" s="113"/>
      <c r="EJ24" s="113"/>
      <c r="EK24" s="113"/>
      <c r="EL24" s="114">
        <f t="shared" si="69"/>
        <v>0</v>
      </c>
      <c r="EM24" s="114">
        <f t="shared" si="70"/>
        <v>0</v>
      </c>
      <c r="EN24" s="114">
        <f t="shared" si="71"/>
        <v>0</v>
      </c>
      <c r="EO24" s="114">
        <f t="shared" si="72"/>
        <v>0</v>
      </c>
      <c r="EP24" s="114">
        <f t="shared" si="19"/>
        <v>0</v>
      </c>
      <c r="EQ24" s="114">
        <f t="shared" si="20"/>
        <v>0</v>
      </c>
      <c r="ER24" s="114">
        <f t="shared" si="73"/>
        <v>0</v>
      </c>
      <c r="ES24" s="116">
        <f t="shared" si="74"/>
        <v>0</v>
      </c>
      <c r="ET24" s="126">
        <f t="shared" ca="1" si="75"/>
        <v>0</v>
      </c>
      <c r="EU24" s="115">
        <f t="shared" ca="1" si="21"/>
        <v>0</v>
      </c>
      <c r="EV24" s="118" t="str">
        <f t="shared" si="22"/>
        <v>Uncapped</v>
      </c>
      <c r="EW24" s="115">
        <f t="shared" ca="1" si="23"/>
        <v>0</v>
      </c>
      <c r="EX24" s="112">
        <f t="shared" ca="1" si="24"/>
        <v>0</v>
      </c>
      <c r="EY24" s="114">
        <f t="shared" ca="1" si="76"/>
        <v>0</v>
      </c>
      <c r="EZ24" s="115">
        <v>2774950</v>
      </c>
      <c r="FA24" s="115">
        <f>648678.5+128482</f>
        <v>777160.5</v>
      </c>
      <c r="FB24" s="115">
        <v>781595</v>
      </c>
      <c r="FC24" s="115">
        <v>0</v>
      </c>
      <c r="FD24" s="115">
        <f t="shared" si="25"/>
        <v>4333705.5</v>
      </c>
      <c r="FE24" s="114">
        <f t="shared" si="26"/>
        <v>0</v>
      </c>
      <c r="FF24" s="115">
        <v>0</v>
      </c>
      <c r="FG24" s="115">
        <v>0</v>
      </c>
      <c r="FH24" s="115">
        <v>0</v>
      </c>
      <c r="FI24" s="115">
        <v>0</v>
      </c>
      <c r="FJ24" s="115">
        <f t="shared" si="27"/>
        <v>0</v>
      </c>
      <c r="FK24" s="114">
        <f t="shared" si="28"/>
        <v>0</v>
      </c>
      <c r="FL24" s="113"/>
      <c r="FM24" s="111"/>
      <c r="FN24" s="111"/>
      <c r="FO24" s="111"/>
      <c r="FP24" s="115">
        <f t="shared" si="88"/>
        <v>0</v>
      </c>
      <c r="FQ24" s="115"/>
      <c r="FR24" s="488"/>
      <c r="FS24" s="115"/>
      <c r="FT24" s="114">
        <f t="shared" si="77"/>
        <v>0</v>
      </c>
      <c r="FU24" s="366">
        <f t="shared" ca="1" si="79"/>
        <v>4333705.5</v>
      </c>
      <c r="FV24" s="121">
        <f t="shared" ca="1" si="78"/>
        <v>4333705.5</v>
      </c>
      <c r="FW24" s="114">
        <f t="shared" si="84"/>
        <v>0</v>
      </c>
      <c r="FX24" s="114">
        <f t="shared" si="84"/>
        <v>0</v>
      </c>
      <c r="FY24" s="114">
        <f t="shared" si="84"/>
        <v>0</v>
      </c>
      <c r="FZ24" s="114">
        <f t="shared" si="81"/>
        <v>0</v>
      </c>
      <c r="GA24" s="114">
        <f t="shared" si="89"/>
        <v>0</v>
      </c>
      <c r="GB24" s="114">
        <f t="shared" si="85"/>
        <v>2774950</v>
      </c>
      <c r="GC24" s="114">
        <f t="shared" si="85"/>
        <v>777160.5</v>
      </c>
      <c r="GD24" s="114">
        <f t="shared" si="85"/>
        <v>781595</v>
      </c>
      <c r="GE24" s="114">
        <f t="shared" si="82"/>
        <v>0</v>
      </c>
      <c r="GF24" s="114">
        <f t="shared" si="87"/>
        <v>2774950</v>
      </c>
      <c r="GG24" s="114">
        <f t="shared" si="87"/>
        <v>777160.5</v>
      </c>
      <c r="GH24" s="114">
        <f t="shared" si="87"/>
        <v>781595</v>
      </c>
      <c r="GI24" s="114">
        <f t="shared" si="86"/>
        <v>0</v>
      </c>
      <c r="GJ24" s="115">
        <f t="shared" si="34"/>
        <v>4333705.5</v>
      </c>
      <c r="GK24" s="114">
        <f t="shared" si="90"/>
        <v>4333705.5</v>
      </c>
      <c r="GL24" s="114">
        <f t="shared" si="36"/>
        <v>0</v>
      </c>
      <c r="GM24" s="114">
        <f t="shared" si="37"/>
        <v>0</v>
      </c>
      <c r="GN24" s="114">
        <f t="shared" si="38"/>
        <v>0</v>
      </c>
      <c r="GO24" s="114">
        <f t="shared" si="39"/>
        <v>0</v>
      </c>
      <c r="GP24" s="114">
        <f t="shared" si="40"/>
        <v>0</v>
      </c>
      <c r="GQ24" s="114">
        <f t="shared" si="91"/>
        <v>0</v>
      </c>
      <c r="GR24" s="193"/>
      <c r="GS24" s="122">
        <f t="shared" si="42"/>
        <v>10773676.73712898</v>
      </c>
      <c r="GT24" s="122">
        <f t="shared" si="43"/>
        <v>14373174.574999999</v>
      </c>
      <c r="GU24" s="123">
        <f t="shared" si="92"/>
        <v>0.74956834907357139</v>
      </c>
      <c r="GV24" s="124">
        <f t="shared" ca="1" si="45"/>
        <v>0</v>
      </c>
      <c r="GW24" s="124">
        <v>0</v>
      </c>
      <c r="GX24" s="32">
        <f t="shared" ca="1" si="46"/>
        <v>0</v>
      </c>
      <c r="GY24" s="100"/>
    </row>
    <row r="25" spans="1:207" s="125" customFormat="1" ht="15" hidden="1" customHeight="1">
      <c r="A25" s="102"/>
      <c r="B25" s="103"/>
      <c r="C25" s="103"/>
      <c r="D25" s="104"/>
      <c r="E25" s="104" t="s">
        <v>253</v>
      </c>
      <c r="F25" s="104" t="s">
        <v>266</v>
      </c>
      <c r="G25" s="104" t="s">
        <v>226</v>
      </c>
      <c r="H25" s="105" t="s">
        <v>286</v>
      </c>
      <c r="I25" s="106" t="s">
        <v>287</v>
      </c>
      <c r="J25" s="104" t="s">
        <v>212</v>
      </c>
      <c r="K25" s="104" t="s">
        <v>208</v>
      </c>
      <c r="L25" s="104" t="s">
        <v>213</v>
      </c>
      <c r="M25" s="104" t="s">
        <v>269</v>
      </c>
      <c r="N25" s="107"/>
      <c r="O25" s="108">
        <v>42744</v>
      </c>
      <c r="P25" s="108">
        <v>42744</v>
      </c>
      <c r="Q25" s="322">
        <f t="shared" si="0"/>
        <v>0</v>
      </c>
      <c r="R25" s="109">
        <f>IF((P25-VLOOKUP(Q25,month!$A$1:$C$13,3,0))&lt;0,Q25,Q25+1)</f>
        <v>0</v>
      </c>
      <c r="S25" s="108"/>
      <c r="T25" s="127" t="str">
        <f t="shared" si="80"/>
        <v/>
      </c>
      <c r="U25" s="107"/>
      <c r="V25" s="107"/>
      <c r="W25" s="107"/>
      <c r="X25" s="107"/>
      <c r="Y25" s="386"/>
      <c r="Z25" s="386" t="s">
        <v>545</v>
      </c>
      <c r="AA25" s="387">
        <v>1000</v>
      </c>
      <c r="AB25" s="387">
        <v>1000</v>
      </c>
      <c r="AC25" s="387">
        <v>1000</v>
      </c>
      <c r="AD25" s="387">
        <v>1000</v>
      </c>
      <c r="AE25" s="387">
        <v>1000</v>
      </c>
      <c r="AF25" s="387">
        <v>1000</v>
      </c>
      <c r="AG25" s="387">
        <v>1000</v>
      </c>
      <c r="AH25" s="387">
        <v>1000</v>
      </c>
      <c r="AI25" s="387">
        <v>1000</v>
      </c>
      <c r="AJ25" s="387">
        <v>1000</v>
      </c>
      <c r="AK25" s="387">
        <v>1000</v>
      </c>
      <c r="AL25" s="387">
        <v>1000</v>
      </c>
      <c r="AM25" s="388">
        <f t="shared" si="2"/>
        <v>12000</v>
      </c>
      <c r="AN25" s="388">
        <f t="shared" si="3"/>
        <v>12000</v>
      </c>
      <c r="AO25" s="389">
        <f t="shared" si="93"/>
        <v>1000</v>
      </c>
      <c r="AP25" s="498" t="s">
        <v>682</v>
      </c>
      <c r="AQ25" s="159">
        <v>0.5</v>
      </c>
      <c r="AR25" s="160" t="s">
        <v>211</v>
      </c>
      <c r="AS25" s="119" t="s">
        <v>210</v>
      </c>
      <c r="AT25" s="111">
        <v>451000.84899999999</v>
      </c>
      <c r="AU25" s="111">
        <v>531158.85820000002</v>
      </c>
      <c r="AV25" s="111">
        <v>536069.15179999999</v>
      </c>
      <c r="AW25" s="111">
        <v>631464.94200000004</v>
      </c>
      <c r="AX25" s="113">
        <v>452670.18210000003</v>
      </c>
      <c r="AY25" s="113">
        <v>652791.39573600038</v>
      </c>
      <c r="AZ25" s="113">
        <v>454792.29389999923</v>
      </c>
      <c r="BA25" s="113"/>
      <c r="BB25" s="113"/>
      <c r="BC25" s="113"/>
      <c r="BD25" s="113"/>
      <c r="BE25" s="113"/>
      <c r="BF25" s="114">
        <f t="shared" si="48"/>
        <v>452670.18210000003</v>
      </c>
      <c r="BG25" s="114">
        <f t="shared" si="49"/>
        <v>652791.39573600038</v>
      </c>
      <c r="BH25" s="114">
        <f t="shared" si="50"/>
        <v>454792.29389999923</v>
      </c>
      <c r="BI25" s="114">
        <f t="shared" si="51"/>
        <v>0</v>
      </c>
      <c r="BJ25" s="114">
        <f t="shared" si="4"/>
        <v>1560253.8717359996</v>
      </c>
      <c r="BK25" s="115">
        <f t="shared" si="5"/>
        <v>2149693.801</v>
      </c>
      <c r="BL25" s="115">
        <f t="shared" si="52"/>
        <v>2149693.801</v>
      </c>
      <c r="BM25" s="116">
        <f t="shared" si="53"/>
        <v>0.7258</v>
      </c>
      <c r="BN25" s="126">
        <f t="shared" ca="1" si="6"/>
        <v>0</v>
      </c>
      <c r="BO25" s="117">
        <f t="shared" ca="1" si="7"/>
        <v>0</v>
      </c>
      <c r="BP25" s="118" t="str">
        <f t="shared" si="54"/>
        <v>Uncapped</v>
      </c>
      <c r="BQ25" s="115">
        <f t="shared" ca="1" si="8"/>
        <v>0</v>
      </c>
      <c r="BR25" s="113" t="s">
        <v>700</v>
      </c>
      <c r="BS25" s="161">
        <v>0.3</v>
      </c>
      <c r="BT25" s="113" t="s">
        <v>211</v>
      </c>
      <c r="BU25" s="160" t="s">
        <v>210</v>
      </c>
      <c r="BV25" s="113">
        <v>87886.031199999998</v>
      </c>
      <c r="BW25" s="113">
        <v>100197.2527</v>
      </c>
      <c r="BX25" s="113">
        <v>100911.42720000001</v>
      </c>
      <c r="BY25" s="113">
        <v>105972.28889999999</v>
      </c>
      <c r="BZ25" s="113">
        <v>65658.507299999997</v>
      </c>
      <c r="CA25" s="113">
        <v>81133.030799999979</v>
      </c>
      <c r="CB25" s="113">
        <v>94106.565000000002</v>
      </c>
      <c r="CC25" s="113"/>
      <c r="CD25" s="113"/>
      <c r="CE25" s="113"/>
      <c r="CF25" s="113"/>
      <c r="CG25" s="113"/>
      <c r="CH25" s="114">
        <f t="shared" si="55"/>
        <v>65658.507299999997</v>
      </c>
      <c r="CI25" s="114">
        <f t="shared" si="56"/>
        <v>81133.030799999979</v>
      </c>
      <c r="CJ25" s="120">
        <f t="shared" si="57"/>
        <v>94106.565000000002</v>
      </c>
      <c r="CK25" s="114">
        <f t="shared" si="58"/>
        <v>0</v>
      </c>
      <c r="CL25" s="114">
        <f t="shared" si="9"/>
        <v>240898.10309999998</v>
      </c>
      <c r="CM25" s="114">
        <f t="shared" si="10"/>
        <v>394966.99999999994</v>
      </c>
      <c r="CN25" s="114">
        <f t="shared" si="59"/>
        <v>394966.99999999994</v>
      </c>
      <c r="CO25" s="116">
        <f t="shared" si="60"/>
        <v>0.6099</v>
      </c>
      <c r="CP25" s="126">
        <f t="shared" ca="1" si="61"/>
        <v>0</v>
      </c>
      <c r="CQ25" s="115">
        <f t="shared" ca="1" si="11"/>
        <v>0</v>
      </c>
      <c r="CR25" s="118" t="str">
        <f t="shared" si="12"/>
        <v>Uncapped</v>
      </c>
      <c r="CS25" s="115">
        <f t="shared" ca="1" si="13"/>
        <v>0</v>
      </c>
      <c r="CT25" s="113" t="s">
        <v>695</v>
      </c>
      <c r="CU25" s="119">
        <v>0.2</v>
      </c>
      <c r="CV25" s="113" t="s">
        <v>211</v>
      </c>
      <c r="CW25" s="113" t="s">
        <v>210</v>
      </c>
      <c r="CX25" s="113">
        <v>2382537.1912000002</v>
      </c>
      <c r="CY25" s="113">
        <v>2735536.2633999996</v>
      </c>
      <c r="CZ25" s="113">
        <v>2679273.3525999999</v>
      </c>
      <c r="DA25" s="113">
        <v>3226022.7538000001</v>
      </c>
      <c r="DB25" s="113">
        <v>2499648.717472</v>
      </c>
      <c r="DC25" s="113">
        <v>2774407.4780569817</v>
      </c>
      <c r="DD25" s="113">
        <v>2820386.492699998</v>
      </c>
      <c r="DE25" s="113"/>
      <c r="DF25" s="113"/>
      <c r="DG25" s="113"/>
      <c r="DH25" s="113"/>
      <c r="DI25" s="113"/>
      <c r="DJ25" s="114">
        <f t="shared" si="62"/>
        <v>2499648.717472</v>
      </c>
      <c r="DK25" s="114">
        <f t="shared" si="63"/>
        <v>2774407.4780569817</v>
      </c>
      <c r="DL25" s="114">
        <f t="shared" si="64"/>
        <v>2820386.492699998</v>
      </c>
      <c r="DM25" s="114">
        <f t="shared" si="65"/>
        <v>0</v>
      </c>
      <c r="DN25" s="114">
        <f t="shared" si="66"/>
        <v>8094442.6882289797</v>
      </c>
      <c r="DO25" s="114">
        <f t="shared" si="14"/>
        <v>11023369.561000001</v>
      </c>
      <c r="DP25" s="114">
        <f t="shared" si="67"/>
        <v>11023369.561000001</v>
      </c>
      <c r="DQ25" s="116">
        <f t="shared" si="68"/>
        <v>0.73429999999999995</v>
      </c>
      <c r="DR25" s="126">
        <f t="shared" ca="1" si="15"/>
        <v>0</v>
      </c>
      <c r="DS25" s="115">
        <f t="shared" ca="1" si="16"/>
        <v>0</v>
      </c>
      <c r="DT25" s="118" t="str">
        <f t="shared" si="17"/>
        <v>Uncapped</v>
      </c>
      <c r="DU25" s="115">
        <f t="shared" ca="1" si="18"/>
        <v>0</v>
      </c>
      <c r="DV25" s="113"/>
      <c r="DW25" s="119">
        <v>0</v>
      </c>
      <c r="DX25" s="113"/>
      <c r="DY25" s="113"/>
      <c r="DZ25" s="113">
        <v>0</v>
      </c>
      <c r="EA25" s="113">
        <v>0</v>
      </c>
      <c r="EB25" s="113">
        <v>0</v>
      </c>
      <c r="EC25" s="113">
        <v>0</v>
      </c>
      <c r="ED25" s="113">
        <v>0</v>
      </c>
      <c r="EE25" s="113">
        <v>0</v>
      </c>
      <c r="EF25" s="113"/>
      <c r="EG25" s="113"/>
      <c r="EH25" s="113"/>
      <c r="EI25" s="113"/>
      <c r="EJ25" s="113"/>
      <c r="EK25" s="113"/>
      <c r="EL25" s="114">
        <f t="shared" si="69"/>
        <v>0</v>
      </c>
      <c r="EM25" s="114">
        <f t="shared" si="70"/>
        <v>0</v>
      </c>
      <c r="EN25" s="114">
        <f t="shared" si="71"/>
        <v>0</v>
      </c>
      <c r="EO25" s="114">
        <f t="shared" si="72"/>
        <v>0</v>
      </c>
      <c r="EP25" s="114">
        <f t="shared" si="19"/>
        <v>0</v>
      </c>
      <c r="EQ25" s="114">
        <f t="shared" si="20"/>
        <v>0</v>
      </c>
      <c r="ER25" s="114">
        <f t="shared" si="73"/>
        <v>0</v>
      </c>
      <c r="ES25" s="116">
        <f t="shared" si="74"/>
        <v>0</v>
      </c>
      <c r="ET25" s="126">
        <f t="shared" ca="1" si="75"/>
        <v>0</v>
      </c>
      <c r="EU25" s="115">
        <f t="shared" ca="1" si="21"/>
        <v>0</v>
      </c>
      <c r="EV25" s="118" t="str">
        <f t="shared" si="22"/>
        <v>Uncapped</v>
      </c>
      <c r="EW25" s="115">
        <f t="shared" ca="1" si="23"/>
        <v>0</v>
      </c>
      <c r="EX25" s="112">
        <f t="shared" ca="1" si="24"/>
        <v>0</v>
      </c>
      <c r="EY25" s="114">
        <f t="shared" ca="1" si="76"/>
        <v>0</v>
      </c>
      <c r="EZ25" s="115">
        <v>669300</v>
      </c>
      <c r="FA25" s="115">
        <v>344000</v>
      </c>
      <c r="FB25" s="115">
        <v>753262</v>
      </c>
      <c r="FC25" s="115">
        <v>0</v>
      </c>
      <c r="FD25" s="115">
        <f t="shared" si="25"/>
        <v>1766562</v>
      </c>
      <c r="FE25" s="114">
        <f t="shared" si="26"/>
        <v>0</v>
      </c>
      <c r="FF25" s="115">
        <v>0</v>
      </c>
      <c r="FG25" s="115">
        <v>0</v>
      </c>
      <c r="FH25" s="115">
        <v>0</v>
      </c>
      <c r="FI25" s="115">
        <v>0</v>
      </c>
      <c r="FJ25" s="115">
        <f t="shared" si="27"/>
        <v>0</v>
      </c>
      <c r="FK25" s="114">
        <f t="shared" si="28"/>
        <v>0</v>
      </c>
      <c r="FL25" s="113"/>
      <c r="FM25" s="111"/>
      <c r="FN25" s="111"/>
      <c r="FO25" s="111"/>
      <c r="FP25" s="115">
        <f t="shared" si="88"/>
        <v>0</v>
      </c>
      <c r="FQ25" s="115"/>
      <c r="FR25" s="115"/>
      <c r="FS25" s="115"/>
      <c r="FT25" s="114">
        <f t="shared" si="77"/>
        <v>0</v>
      </c>
      <c r="FU25" s="366">
        <f t="shared" ca="1" si="79"/>
        <v>1766562</v>
      </c>
      <c r="FV25" s="121">
        <f t="shared" ca="1" si="78"/>
        <v>1766562</v>
      </c>
      <c r="FW25" s="114">
        <f t="shared" si="84"/>
        <v>0</v>
      </c>
      <c r="FX25" s="114">
        <f t="shared" si="84"/>
        <v>0</v>
      </c>
      <c r="FY25" s="114">
        <f t="shared" si="84"/>
        <v>0</v>
      </c>
      <c r="FZ25" s="114">
        <f t="shared" si="81"/>
        <v>0</v>
      </c>
      <c r="GA25" s="114">
        <f t="shared" si="89"/>
        <v>0</v>
      </c>
      <c r="GB25" s="114">
        <f t="shared" si="85"/>
        <v>669300</v>
      </c>
      <c r="GC25" s="114">
        <f t="shared" si="85"/>
        <v>344000</v>
      </c>
      <c r="GD25" s="114">
        <f t="shared" si="85"/>
        <v>753262</v>
      </c>
      <c r="GE25" s="114">
        <f t="shared" si="82"/>
        <v>0</v>
      </c>
      <c r="GF25" s="114">
        <f t="shared" si="87"/>
        <v>669300</v>
      </c>
      <c r="GG25" s="114">
        <f t="shared" si="87"/>
        <v>344000</v>
      </c>
      <c r="GH25" s="114">
        <f t="shared" si="87"/>
        <v>753262</v>
      </c>
      <c r="GI25" s="114">
        <f t="shared" si="86"/>
        <v>0</v>
      </c>
      <c r="GJ25" s="115">
        <f t="shared" si="34"/>
        <v>1766562</v>
      </c>
      <c r="GK25" s="114">
        <f t="shared" si="90"/>
        <v>1766562</v>
      </c>
      <c r="GL25" s="114">
        <f t="shared" si="36"/>
        <v>0</v>
      </c>
      <c r="GM25" s="114">
        <f t="shared" si="37"/>
        <v>0</v>
      </c>
      <c r="GN25" s="114">
        <f t="shared" si="38"/>
        <v>0</v>
      </c>
      <c r="GO25" s="114">
        <f t="shared" si="39"/>
        <v>0</v>
      </c>
      <c r="GP25" s="114">
        <f t="shared" si="40"/>
        <v>0</v>
      </c>
      <c r="GQ25" s="114">
        <f t="shared" si="91"/>
        <v>0</v>
      </c>
      <c r="GR25" s="193"/>
      <c r="GS25" s="122">
        <f t="shared" si="42"/>
        <v>9895594.663064979</v>
      </c>
      <c r="GT25" s="122">
        <f t="shared" si="43"/>
        <v>13568030.362</v>
      </c>
      <c r="GU25" s="123">
        <f t="shared" si="92"/>
        <v>0.72933170099468403</v>
      </c>
      <c r="GV25" s="124">
        <f t="shared" ca="1" si="45"/>
        <v>0</v>
      </c>
      <c r="GW25" s="124">
        <v>0</v>
      </c>
      <c r="GX25" s="32">
        <f t="shared" ca="1" si="46"/>
        <v>0</v>
      </c>
      <c r="GY25" s="100"/>
    </row>
    <row r="26" spans="1:207" s="125" customFormat="1" ht="15" hidden="1" customHeight="1">
      <c r="A26" s="102"/>
      <c r="B26" s="103"/>
      <c r="C26" s="103"/>
      <c r="D26" s="104"/>
      <c r="E26" s="104" t="s">
        <v>253</v>
      </c>
      <c r="F26" s="104" t="s">
        <v>266</v>
      </c>
      <c r="G26" s="104" t="s">
        <v>226</v>
      </c>
      <c r="H26" s="105" t="s">
        <v>288</v>
      </c>
      <c r="I26" s="106" t="s">
        <v>289</v>
      </c>
      <c r="J26" s="104" t="s">
        <v>212</v>
      </c>
      <c r="K26" s="104" t="s">
        <v>208</v>
      </c>
      <c r="L26" s="104" t="s">
        <v>213</v>
      </c>
      <c r="M26" s="104" t="s">
        <v>269</v>
      </c>
      <c r="N26" s="107"/>
      <c r="O26" s="108">
        <v>43059</v>
      </c>
      <c r="P26" s="108">
        <v>43059</v>
      </c>
      <c r="Q26" s="322">
        <f t="shared" si="0"/>
        <v>0</v>
      </c>
      <c r="R26" s="109">
        <f>IF((P26-VLOOKUP(Q26,month!$A$1:$C$13,3,0))&lt;0,Q26,Q26+1)</f>
        <v>0</v>
      </c>
      <c r="S26" s="108"/>
      <c r="T26" s="127" t="str">
        <f t="shared" si="80"/>
        <v/>
      </c>
      <c r="U26" s="107"/>
      <c r="V26" s="107"/>
      <c r="W26" s="107"/>
      <c r="X26" s="107"/>
      <c r="Y26" s="386"/>
      <c r="Z26" s="386" t="s">
        <v>545</v>
      </c>
      <c r="AA26" s="387">
        <v>1000</v>
      </c>
      <c r="AB26" s="387">
        <v>1000</v>
      </c>
      <c r="AC26" s="387">
        <v>1000</v>
      </c>
      <c r="AD26" s="387">
        <v>1000</v>
      </c>
      <c r="AE26" s="387">
        <v>1000</v>
      </c>
      <c r="AF26" s="387">
        <v>1000</v>
      </c>
      <c r="AG26" s="387">
        <v>1000</v>
      </c>
      <c r="AH26" s="387">
        <v>1000</v>
      </c>
      <c r="AI26" s="387">
        <v>1000</v>
      </c>
      <c r="AJ26" s="387">
        <v>1000</v>
      </c>
      <c r="AK26" s="387">
        <v>1000</v>
      </c>
      <c r="AL26" s="387">
        <v>1000</v>
      </c>
      <c r="AM26" s="388">
        <f t="shared" si="2"/>
        <v>12000</v>
      </c>
      <c r="AN26" s="388">
        <f t="shared" si="3"/>
        <v>12000</v>
      </c>
      <c r="AO26" s="389">
        <f t="shared" si="93"/>
        <v>1000</v>
      </c>
      <c r="AP26" s="498" t="s">
        <v>682</v>
      </c>
      <c r="AQ26" s="159">
        <v>0.5</v>
      </c>
      <c r="AR26" s="160" t="s">
        <v>211</v>
      </c>
      <c r="AS26" s="119" t="s">
        <v>210</v>
      </c>
      <c r="AT26" s="111">
        <v>434588.13250000001</v>
      </c>
      <c r="AU26" s="111">
        <v>500088.80879999988</v>
      </c>
      <c r="AV26" s="111">
        <v>482591.16220000002</v>
      </c>
      <c r="AW26" s="111">
        <v>582722.17150000005</v>
      </c>
      <c r="AX26" s="113">
        <v>562039.26391800004</v>
      </c>
      <c r="AY26" s="113">
        <v>693626.33960298088</v>
      </c>
      <c r="AZ26" s="113">
        <v>605469.76109999942</v>
      </c>
      <c r="BA26" s="113"/>
      <c r="BB26" s="113"/>
      <c r="BC26" s="113"/>
      <c r="BD26" s="113"/>
      <c r="BE26" s="113"/>
      <c r="BF26" s="114">
        <f t="shared" si="48"/>
        <v>562039.26391800004</v>
      </c>
      <c r="BG26" s="114">
        <f t="shared" si="49"/>
        <v>693626.33960298088</v>
      </c>
      <c r="BH26" s="114">
        <f t="shared" si="50"/>
        <v>605469.76109999942</v>
      </c>
      <c r="BI26" s="114">
        <f t="shared" si="51"/>
        <v>0</v>
      </c>
      <c r="BJ26" s="114">
        <f t="shared" si="4"/>
        <v>1861135.3646209803</v>
      </c>
      <c r="BK26" s="115">
        <f t="shared" si="5"/>
        <v>1999990.2749999999</v>
      </c>
      <c r="BL26" s="115">
        <f t="shared" si="52"/>
        <v>1999990.2749999999</v>
      </c>
      <c r="BM26" s="116">
        <f t="shared" si="53"/>
        <v>0.93059999999999998</v>
      </c>
      <c r="BN26" s="126">
        <f t="shared" ca="1" si="6"/>
        <v>0</v>
      </c>
      <c r="BO26" s="117">
        <f t="shared" ca="1" si="7"/>
        <v>0</v>
      </c>
      <c r="BP26" s="118" t="str">
        <f t="shared" si="54"/>
        <v>Uncapped</v>
      </c>
      <c r="BQ26" s="115">
        <f t="shared" ca="1" si="8"/>
        <v>0</v>
      </c>
      <c r="BR26" s="113" t="s">
        <v>700</v>
      </c>
      <c r="BS26" s="161">
        <v>0.3</v>
      </c>
      <c r="BT26" s="113" t="s">
        <v>211</v>
      </c>
      <c r="BU26" s="160" t="s">
        <v>210</v>
      </c>
      <c r="BV26" s="113">
        <v>64736.135449999987</v>
      </c>
      <c r="BW26" s="113">
        <v>73340.940950000004</v>
      </c>
      <c r="BX26" s="113">
        <v>73700.346449999997</v>
      </c>
      <c r="BY26" s="113">
        <v>78882.577149999997</v>
      </c>
      <c r="BZ26" s="113">
        <v>107872.371</v>
      </c>
      <c r="CA26" s="113">
        <v>36478.323000000004</v>
      </c>
      <c r="CB26" s="113">
        <v>41834.654999999999</v>
      </c>
      <c r="CC26" s="113"/>
      <c r="CD26" s="113"/>
      <c r="CE26" s="113"/>
      <c r="CF26" s="113"/>
      <c r="CG26" s="113"/>
      <c r="CH26" s="114">
        <f t="shared" si="55"/>
        <v>107872.371</v>
      </c>
      <c r="CI26" s="114">
        <f t="shared" si="56"/>
        <v>36478.323000000004</v>
      </c>
      <c r="CJ26" s="120">
        <f t="shared" si="57"/>
        <v>41834.654999999999</v>
      </c>
      <c r="CK26" s="114">
        <f t="shared" si="58"/>
        <v>0</v>
      </c>
      <c r="CL26" s="114">
        <f t="shared" si="9"/>
        <v>186185.34900000002</v>
      </c>
      <c r="CM26" s="114">
        <f t="shared" si="10"/>
        <v>290660</v>
      </c>
      <c r="CN26" s="114">
        <f t="shared" si="59"/>
        <v>290660</v>
      </c>
      <c r="CO26" s="116">
        <f t="shared" si="60"/>
        <v>0.64059999999999995</v>
      </c>
      <c r="CP26" s="126">
        <f t="shared" ca="1" si="61"/>
        <v>0</v>
      </c>
      <c r="CQ26" s="115">
        <f t="shared" ca="1" si="11"/>
        <v>0</v>
      </c>
      <c r="CR26" s="118" t="str">
        <f t="shared" si="12"/>
        <v>Uncapped</v>
      </c>
      <c r="CS26" s="115">
        <f t="shared" ca="1" si="13"/>
        <v>0</v>
      </c>
      <c r="CT26" s="113" t="s">
        <v>695</v>
      </c>
      <c r="CU26" s="119">
        <v>0.2</v>
      </c>
      <c r="CV26" s="113" t="s">
        <v>211</v>
      </c>
      <c r="CW26" s="113" t="s">
        <v>210</v>
      </c>
      <c r="CX26" s="113">
        <v>2382537.1912000002</v>
      </c>
      <c r="CY26" s="113">
        <v>2735536.2633999996</v>
      </c>
      <c r="CZ26" s="113">
        <v>2679273.3525999999</v>
      </c>
      <c r="DA26" s="113">
        <v>3226022.7538000001</v>
      </c>
      <c r="DB26" s="113">
        <v>2499648.717472</v>
      </c>
      <c r="DC26" s="113">
        <v>2774407.4780569817</v>
      </c>
      <c r="DD26" s="113">
        <v>2820386.492699998</v>
      </c>
      <c r="DE26" s="113"/>
      <c r="DF26" s="113"/>
      <c r="DG26" s="113"/>
      <c r="DH26" s="113"/>
      <c r="DI26" s="113"/>
      <c r="DJ26" s="114">
        <f t="shared" si="62"/>
        <v>2499648.717472</v>
      </c>
      <c r="DK26" s="114">
        <f t="shared" si="63"/>
        <v>2774407.4780569817</v>
      </c>
      <c r="DL26" s="114">
        <f t="shared" si="64"/>
        <v>2820386.492699998</v>
      </c>
      <c r="DM26" s="114">
        <f t="shared" si="65"/>
        <v>0</v>
      </c>
      <c r="DN26" s="114">
        <f t="shared" si="66"/>
        <v>8094442.6882289797</v>
      </c>
      <c r="DO26" s="114">
        <f t="shared" si="14"/>
        <v>11023369.561000001</v>
      </c>
      <c r="DP26" s="114">
        <f t="shared" si="67"/>
        <v>11023369.561000001</v>
      </c>
      <c r="DQ26" s="116">
        <f t="shared" si="68"/>
        <v>0.73429999999999995</v>
      </c>
      <c r="DR26" s="126">
        <f t="shared" ca="1" si="15"/>
        <v>0</v>
      </c>
      <c r="DS26" s="115">
        <f t="shared" ca="1" si="16"/>
        <v>0</v>
      </c>
      <c r="DT26" s="118" t="str">
        <f t="shared" si="17"/>
        <v>Uncapped</v>
      </c>
      <c r="DU26" s="115">
        <f t="shared" ca="1" si="18"/>
        <v>0</v>
      </c>
      <c r="DV26" s="113"/>
      <c r="DW26" s="119">
        <v>0</v>
      </c>
      <c r="DX26" s="113"/>
      <c r="DY26" s="113"/>
      <c r="DZ26" s="113">
        <v>0</v>
      </c>
      <c r="EA26" s="113">
        <v>0</v>
      </c>
      <c r="EB26" s="113">
        <v>0</v>
      </c>
      <c r="EC26" s="113">
        <v>0</v>
      </c>
      <c r="ED26" s="113">
        <v>0</v>
      </c>
      <c r="EE26" s="113">
        <v>0</v>
      </c>
      <c r="EF26" s="113"/>
      <c r="EG26" s="113"/>
      <c r="EH26" s="113"/>
      <c r="EI26" s="113"/>
      <c r="EJ26" s="113"/>
      <c r="EK26" s="113"/>
      <c r="EL26" s="114">
        <f t="shared" si="69"/>
        <v>0</v>
      </c>
      <c r="EM26" s="114">
        <f t="shared" si="70"/>
        <v>0</v>
      </c>
      <c r="EN26" s="114">
        <f t="shared" si="71"/>
        <v>0</v>
      </c>
      <c r="EO26" s="114">
        <f t="shared" si="72"/>
        <v>0</v>
      </c>
      <c r="EP26" s="114">
        <f t="shared" si="19"/>
        <v>0</v>
      </c>
      <c r="EQ26" s="114">
        <f t="shared" si="20"/>
        <v>0</v>
      </c>
      <c r="ER26" s="114">
        <f t="shared" si="73"/>
        <v>0</v>
      </c>
      <c r="ES26" s="116">
        <f t="shared" si="74"/>
        <v>0</v>
      </c>
      <c r="ET26" s="126">
        <f t="shared" ca="1" si="75"/>
        <v>0</v>
      </c>
      <c r="EU26" s="115">
        <f t="shared" ca="1" si="21"/>
        <v>0</v>
      </c>
      <c r="EV26" s="118" t="str">
        <f t="shared" si="22"/>
        <v>Uncapped</v>
      </c>
      <c r="EW26" s="115">
        <f t="shared" ca="1" si="23"/>
        <v>0</v>
      </c>
      <c r="EX26" s="112">
        <f t="shared" ca="1" si="24"/>
        <v>0</v>
      </c>
      <c r="EY26" s="114">
        <f t="shared" ca="1" si="76"/>
        <v>0</v>
      </c>
      <c r="EZ26" s="115">
        <v>557800</v>
      </c>
      <c r="FA26" s="115">
        <v>629657.49999999988</v>
      </c>
      <c r="FB26" s="115">
        <v>822110</v>
      </c>
      <c r="FC26" s="115">
        <v>0</v>
      </c>
      <c r="FD26" s="115">
        <f t="shared" si="25"/>
        <v>2009567.5</v>
      </c>
      <c r="FE26" s="114">
        <f t="shared" si="26"/>
        <v>0</v>
      </c>
      <c r="FF26" s="115">
        <v>0</v>
      </c>
      <c r="FG26" s="115">
        <v>0</v>
      </c>
      <c r="FH26" s="115">
        <v>0</v>
      </c>
      <c r="FI26" s="115">
        <v>0</v>
      </c>
      <c r="FJ26" s="115">
        <f t="shared" si="27"/>
        <v>0</v>
      </c>
      <c r="FK26" s="114">
        <f t="shared" si="28"/>
        <v>0</v>
      </c>
      <c r="FL26" s="113"/>
      <c r="FM26" s="111"/>
      <c r="FN26" s="111"/>
      <c r="FO26" s="111"/>
      <c r="FP26" s="115">
        <f t="shared" si="88"/>
        <v>0</v>
      </c>
      <c r="FQ26" s="115"/>
      <c r="FR26" s="115"/>
      <c r="FS26" s="115"/>
      <c r="FT26" s="114">
        <f t="shared" si="77"/>
        <v>0</v>
      </c>
      <c r="FU26" s="366">
        <f t="shared" ca="1" si="79"/>
        <v>2009567.5</v>
      </c>
      <c r="FV26" s="121">
        <f t="shared" ca="1" si="78"/>
        <v>2009567.5</v>
      </c>
      <c r="FW26" s="114">
        <f t="shared" si="84"/>
        <v>0</v>
      </c>
      <c r="FX26" s="114">
        <f t="shared" si="84"/>
        <v>0</v>
      </c>
      <c r="FY26" s="114">
        <f t="shared" si="84"/>
        <v>0</v>
      </c>
      <c r="FZ26" s="114">
        <f t="shared" si="81"/>
        <v>0</v>
      </c>
      <c r="GA26" s="114">
        <f t="shared" si="89"/>
        <v>0</v>
      </c>
      <c r="GB26" s="114">
        <f t="shared" si="85"/>
        <v>557800</v>
      </c>
      <c r="GC26" s="114">
        <f t="shared" si="85"/>
        <v>629657.49999999988</v>
      </c>
      <c r="GD26" s="114">
        <f t="shared" si="85"/>
        <v>822110</v>
      </c>
      <c r="GE26" s="114">
        <f t="shared" si="82"/>
        <v>0</v>
      </c>
      <c r="GF26" s="114">
        <f t="shared" si="87"/>
        <v>557800</v>
      </c>
      <c r="GG26" s="114">
        <f t="shared" si="87"/>
        <v>629657.49999999988</v>
      </c>
      <c r="GH26" s="114">
        <f t="shared" si="87"/>
        <v>822110</v>
      </c>
      <c r="GI26" s="114">
        <f t="shared" si="86"/>
        <v>0</v>
      </c>
      <c r="GJ26" s="115">
        <f t="shared" si="34"/>
        <v>2009567.5</v>
      </c>
      <c r="GK26" s="114">
        <f t="shared" si="90"/>
        <v>2009567.5</v>
      </c>
      <c r="GL26" s="114">
        <f t="shared" si="36"/>
        <v>0</v>
      </c>
      <c r="GM26" s="114">
        <f t="shared" si="37"/>
        <v>0</v>
      </c>
      <c r="GN26" s="114">
        <f t="shared" si="38"/>
        <v>0</v>
      </c>
      <c r="GO26" s="114">
        <f t="shared" si="39"/>
        <v>0</v>
      </c>
      <c r="GP26" s="114">
        <f t="shared" si="40"/>
        <v>0</v>
      </c>
      <c r="GQ26" s="114">
        <f t="shared" si="91"/>
        <v>0</v>
      </c>
      <c r="GR26" s="193"/>
      <c r="GS26" s="122">
        <f t="shared" si="42"/>
        <v>10141763.401849959</v>
      </c>
      <c r="GT26" s="122">
        <f t="shared" si="43"/>
        <v>13314019.836000001</v>
      </c>
      <c r="GU26" s="123">
        <f t="shared" si="92"/>
        <v>0.76173563858057924</v>
      </c>
      <c r="GV26" s="124">
        <f t="shared" ca="1" si="45"/>
        <v>0</v>
      </c>
      <c r="GW26" s="124">
        <v>0</v>
      </c>
      <c r="GX26" s="32">
        <f t="shared" ca="1" si="46"/>
        <v>0</v>
      </c>
      <c r="GY26" s="100"/>
    </row>
    <row r="27" spans="1:207" s="152" customFormat="1" ht="15" hidden="1" customHeight="1">
      <c r="A27" s="129"/>
      <c r="B27" s="130"/>
      <c r="C27" s="130"/>
      <c r="D27" s="131"/>
      <c r="E27" s="131" t="s">
        <v>260</v>
      </c>
      <c r="F27" s="138" t="s">
        <v>261</v>
      </c>
      <c r="G27" s="131" t="s">
        <v>226</v>
      </c>
      <c r="H27" s="132" t="s">
        <v>290</v>
      </c>
      <c r="I27" s="133" t="s">
        <v>291</v>
      </c>
      <c r="J27" s="131" t="s">
        <v>207</v>
      </c>
      <c r="K27" s="131" t="s">
        <v>208</v>
      </c>
      <c r="L27" s="131" t="s">
        <v>264</v>
      </c>
      <c r="M27" s="131" t="s">
        <v>280</v>
      </c>
      <c r="N27" s="134"/>
      <c r="O27" s="155">
        <v>41376</v>
      </c>
      <c r="P27" s="155">
        <v>43009</v>
      </c>
      <c r="Q27" s="321">
        <f t="shared" si="0"/>
        <v>0</v>
      </c>
      <c r="R27" s="109">
        <f>IF((P27-VLOOKUP(Q27,month!$A$1:$C$13,3,0))&lt;0,Q27,Q27+1)</f>
        <v>0</v>
      </c>
      <c r="S27" s="108"/>
      <c r="T27" s="135" t="str">
        <f t="shared" si="80"/>
        <v/>
      </c>
      <c r="U27" s="134"/>
      <c r="V27" s="134"/>
      <c r="W27" s="134"/>
      <c r="X27" s="134"/>
      <c r="Y27" s="383"/>
      <c r="Z27" s="383" t="s">
        <v>545</v>
      </c>
      <c r="AA27" s="371">
        <v>1000</v>
      </c>
      <c r="AB27" s="371">
        <v>1000</v>
      </c>
      <c r="AC27" s="371">
        <v>1000</v>
      </c>
      <c r="AD27" s="371">
        <v>1000</v>
      </c>
      <c r="AE27" s="371">
        <v>1000</v>
      </c>
      <c r="AF27" s="371">
        <v>1000</v>
      </c>
      <c r="AG27" s="371">
        <v>1000</v>
      </c>
      <c r="AH27" s="371">
        <v>1000</v>
      </c>
      <c r="AI27" s="371">
        <v>1000</v>
      </c>
      <c r="AJ27" s="371">
        <v>1000</v>
      </c>
      <c r="AK27" s="371">
        <v>1000</v>
      </c>
      <c r="AL27" s="371">
        <v>1000</v>
      </c>
      <c r="AM27" s="384">
        <f t="shared" si="2"/>
        <v>12000</v>
      </c>
      <c r="AN27" s="384">
        <f t="shared" si="3"/>
        <v>12000</v>
      </c>
      <c r="AO27" s="385">
        <f t="shared" si="93"/>
        <v>1000</v>
      </c>
      <c r="AP27" s="497" t="s">
        <v>682</v>
      </c>
      <c r="AQ27" s="156">
        <v>0.5</v>
      </c>
      <c r="AR27" s="157" t="s">
        <v>211</v>
      </c>
      <c r="AS27" s="146" t="s">
        <v>210</v>
      </c>
      <c r="AT27" s="136">
        <v>2407851.1739999996</v>
      </c>
      <c r="AU27" s="136">
        <v>2810506.1047999999</v>
      </c>
      <c r="AV27" s="136">
        <v>2690624.2152000004</v>
      </c>
      <c r="AW27" s="136">
        <v>3300863.3019999992</v>
      </c>
      <c r="AX27" s="138">
        <v>2554242.6375000007</v>
      </c>
      <c r="AY27" s="138">
        <v>2655941.6627999977</v>
      </c>
      <c r="AZ27" s="138">
        <v>2757733.470720002</v>
      </c>
      <c r="BA27" s="138"/>
      <c r="BB27" s="138"/>
      <c r="BC27" s="138"/>
      <c r="BD27" s="138"/>
      <c r="BE27" s="138"/>
      <c r="BF27" s="139">
        <f t="shared" si="48"/>
        <v>2554242.6375000007</v>
      </c>
      <c r="BG27" s="139">
        <f t="shared" si="49"/>
        <v>2655941.6627999977</v>
      </c>
      <c r="BH27" s="139">
        <f t="shared" si="50"/>
        <v>2757733.470720002</v>
      </c>
      <c r="BI27" s="139">
        <f t="shared" si="51"/>
        <v>0</v>
      </c>
      <c r="BJ27" s="139">
        <f t="shared" si="4"/>
        <v>7967917.7710200008</v>
      </c>
      <c r="BK27" s="140">
        <f t="shared" si="5"/>
        <v>11209844.796</v>
      </c>
      <c r="BL27" s="140">
        <f t="shared" si="52"/>
        <v>11209844.796</v>
      </c>
      <c r="BM27" s="141">
        <f t="shared" si="53"/>
        <v>0.71079999999999999</v>
      </c>
      <c r="BN27" s="142">
        <f t="shared" ca="1" si="6"/>
        <v>0</v>
      </c>
      <c r="BO27" s="143">
        <f t="shared" ca="1" si="7"/>
        <v>0</v>
      </c>
      <c r="BP27" s="144" t="str">
        <f t="shared" si="54"/>
        <v>Uncapped</v>
      </c>
      <c r="BQ27" s="140">
        <f t="shared" ca="1" si="8"/>
        <v>0</v>
      </c>
      <c r="BR27" s="138" t="s">
        <v>700</v>
      </c>
      <c r="BS27" s="158">
        <v>0.3</v>
      </c>
      <c r="BT27" s="138" t="s">
        <v>211</v>
      </c>
      <c r="BU27" s="157" t="s">
        <v>210</v>
      </c>
      <c r="BV27" s="138">
        <v>542480.80524999998</v>
      </c>
      <c r="BW27" s="138">
        <v>645053.66574999993</v>
      </c>
      <c r="BX27" s="138">
        <v>659018.30024999997</v>
      </c>
      <c r="BY27" s="138">
        <v>606853.22874999989</v>
      </c>
      <c r="BZ27" s="138">
        <v>477708.804</v>
      </c>
      <c r="CA27" s="138">
        <v>544690.38509999996</v>
      </c>
      <c r="CB27" s="138">
        <v>731732.81669999997</v>
      </c>
      <c r="CC27" s="138"/>
      <c r="CD27" s="138"/>
      <c r="CE27" s="138"/>
      <c r="CF27" s="138"/>
      <c r="CG27" s="138"/>
      <c r="CH27" s="139">
        <f t="shared" si="55"/>
        <v>477708.804</v>
      </c>
      <c r="CI27" s="139">
        <f t="shared" si="56"/>
        <v>544690.38509999996</v>
      </c>
      <c r="CJ27" s="145">
        <f t="shared" si="57"/>
        <v>731732.81669999997</v>
      </c>
      <c r="CK27" s="139">
        <f t="shared" si="58"/>
        <v>0</v>
      </c>
      <c r="CL27" s="139">
        <f t="shared" si="9"/>
        <v>1754132.0057999999</v>
      </c>
      <c r="CM27" s="139">
        <f t="shared" si="10"/>
        <v>2453405.9999999995</v>
      </c>
      <c r="CN27" s="139">
        <f t="shared" si="59"/>
        <v>2453405.9999999995</v>
      </c>
      <c r="CO27" s="141">
        <f t="shared" si="60"/>
        <v>0.71499999999999997</v>
      </c>
      <c r="CP27" s="142">
        <f t="shared" ca="1" si="61"/>
        <v>0</v>
      </c>
      <c r="CQ27" s="140">
        <f t="shared" ca="1" si="11"/>
        <v>0</v>
      </c>
      <c r="CR27" s="144" t="str">
        <f t="shared" si="12"/>
        <v>Uncapped</v>
      </c>
      <c r="CS27" s="140">
        <f t="shared" ca="1" si="13"/>
        <v>0</v>
      </c>
      <c r="CT27" s="138" t="s">
        <v>702</v>
      </c>
      <c r="CU27" s="146">
        <v>0.2</v>
      </c>
      <c r="CV27" s="138" t="s">
        <v>217</v>
      </c>
      <c r="CW27" s="138" t="s">
        <v>210</v>
      </c>
      <c r="CX27" s="138">
        <v>19653413.080999997</v>
      </c>
      <c r="CY27" s="138">
        <v>22848780.235100001</v>
      </c>
      <c r="CZ27" s="138">
        <v>22618799.574099999</v>
      </c>
      <c r="DA27" s="138">
        <v>27098464.121500004</v>
      </c>
      <c r="DB27" s="138">
        <v>19427532.107000571</v>
      </c>
      <c r="DC27" s="138">
        <v>22270538.357580002</v>
      </c>
      <c r="DD27" s="138">
        <v>22879083.486580007</v>
      </c>
      <c r="DE27" s="138"/>
      <c r="DF27" s="138"/>
      <c r="DG27" s="138"/>
      <c r="DH27" s="138"/>
      <c r="DI27" s="138"/>
      <c r="DJ27" s="139">
        <f t="shared" si="62"/>
        <v>19427532.107000571</v>
      </c>
      <c r="DK27" s="139">
        <f t="shared" si="63"/>
        <v>22270538.357580002</v>
      </c>
      <c r="DL27" s="139">
        <f t="shared" si="64"/>
        <v>22879083.486580007</v>
      </c>
      <c r="DM27" s="139">
        <f t="shared" si="65"/>
        <v>0</v>
      </c>
      <c r="DN27" s="139">
        <f t="shared" si="66"/>
        <v>64577153.95116058</v>
      </c>
      <c r="DO27" s="139">
        <f t="shared" si="14"/>
        <v>92219457.011700004</v>
      </c>
      <c r="DP27" s="139">
        <f t="shared" si="67"/>
        <v>92219457.011700004</v>
      </c>
      <c r="DQ27" s="141">
        <f t="shared" si="68"/>
        <v>0.70030000000000003</v>
      </c>
      <c r="DR27" s="142">
        <f t="shared" ca="1" si="15"/>
        <v>0</v>
      </c>
      <c r="DS27" s="140">
        <f t="shared" ca="1" si="16"/>
        <v>0</v>
      </c>
      <c r="DT27" s="144" t="str">
        <f t="shared" si="17"/>
        <v>Uncapped</v>
      </c>
      <c r="DU27" s="140">
        <f t="shared" ca="1" si="18"/>
        <v>0</v>
      </c>
      <c r="DV27" s="138"/>
      <c r="DW27" s="146">
        <v>0</v>
      </c>
      <c r="DX27" s="138"/>
      <c r="DY27" s="138"/>
      <c r="DZ27" s="138">
        <v>0</v>
      </c>
      <c r="EA27" s="138">
        <v>0</v>
      </c>
      <c r="EB27" s="138">
        <v>0</v>
      </c>
      <c r="EC27" s="138">
        <v>0</v>
      </c>
      <c r="ED27" s="138">
        <v>0</v>
      </c>
      <c r="EE27" s="138">
        <v>0</v>
      </c>
      <c r="EF27" s="138"/>
      <c r="EG27" s="138"/>
      <c r="EH27" s="138"/>
      <c r="EI27" s="138"/>
      <c r="EJ27" s="138"/>
      <c r="EK27" s="138"/>
      <c r="EL27" s="139">
        <f t="shared" si="69"/>
        <v>0</v>
      </c>
      <c r="EM27" s="139">
        <f t="shared" si="70"/>
        <v>0</v>
      </c>
      <c r="EN27" s="139">
        <f t="shared" si="71"/>
        <v>0</v>
      </c>
      <c r="EO27" s="139">
        <f t="shared" si="72"/>
        <v>0</v>
      </c>
      <c r="EP27" s="139">
        <f t="shared" si="19"/>
        <v>0</v>
      </c>
      <c r="EQ27" s="139">
        <f t="shared" si="20"/>
        <v>0</v>
      </c>
      <c r="ER27" s="139">
        <f t="shared" si="73"/>
        <v>0</v>
      </c>
      <c r="ES27" s="141">
        <f t="shared" si="74"/>
        <v>0</v>
      </c>
      <c r="ET27" s="142">
        <f t="shared" ca="1" si="75"/>
        <v>0</v>
      </c>
      <c r="EU27" s="140">
        <f t="shared" ca="1" si="21"/>
        <v>0</v>
      </c>
      <c r="EV27" s="144" t="str">
        <f t="shared" si="22"/>
        <v>Uncapped</v>
      </c>
      <c r="EW27" s="140">
        <f t="shared" ca="1" si="23"/>
        <v>0</v>
      </c>
      <c r="EX27" s="137">
        <f t="shared" ca="1" si="24"/>
        <v>0</v>
      </c>
      <c r="EY27" s="139">
        <f t="shared" ca="1" si="76"/>
        <v>0</v>
      </c>
      <c r="EZ27" s="140">
        <v>0</v>
      </c>
      <c r="FA27" s="140"/>
      <c r="FB27" s="140"/>
      <c r="FC27" s="140">
        <v>0</v>
      </c>
      <c r="FD27" s="140">
        <f t="shared" si="25"/>
        <v>0</v>
      </c>
      <c r="FE27" s="139">
        <f t="shared" si="26"/>
        <v>0</v>
      </c>
      <c r="FF27" s="140">
        <v>0</v>
      </c>
      <c r="FG27" s="140">
        <v>0</v>
      </c>
      <c r="FH27" s="140">
        <v>0</v>
      </c>
      <c r="FI27" s="140">
        <v>0</v>
      </c>
      <c r="FJ27" s="140">
        <f t="shared" si="27"/>
        <v>0</v>
      </c>
      <c r="FK27" s="139">
        <f t="shared" si="28"/>
        <v>0</v>
      </c>
      <c r="FL27" s="138"/>
      <c r="FM27" s="136"/>
      <c r="FN27" s="136"/>
      <c r="FO27" s="136"/>
      <c r="FP27" s="140">
        <f t="shared" si="88"/>
        <v>0</v>
      </c>
      <c r="FQ27" s="140"/>
      <c r="FR27" s="140"/>
      <c r="FS27" s="140"/>
      <c r="FT27" s="139">
        <f t="shared" si="77"/>
        <v>0</v>
      </c>
      <c r="FU27" s="365">
        <f t="shared" ca="1" si="79"/>
        <v>0</v>
      </c>
      <c r="FV27" s="147">
        <f t="shared" ca="1" si="78"/>
        <v>0</v>
      </c>
      <c r="FW27" s="139">
        <f t="shared" si="84"/>
        <v>0</v>
      </c>
      <c r="FX27" s="139">
        <f t="shared" si="84"/>
        <v>0</v>
      </c>
      <c r="FY27" s="139">
        <f t="shared" si="84"/>
        <v>0</v>
      </c>
      <c r="FZ27" s="139">
        <f t="shared" si="81"/>
        <v>0</v>
      </c>
      <c r="GA27" s="139">
        <f t="shared" si="89"/>
        <v>0</v>
      </c>
      <c r="GB27" s="139">
        <f t="shared" si="85"/>
        <v>0</v>
      </c>
      <c r="GC27" s="139">
        <f t="shared" si="85"/>
        <v>0</v>
      </c>
      <c r="GD27" s="139">
        <f t="shared" si="85"/>
        <v>0</v>
      </c>
      <c r="GE27" s="139">
        <f t="shared" si="82"/>
        <v>0</v>
      </c>
      <c r="GF27" s="139">
        <f t="shared" si="87"/>
        <v>0</v>
      </c>
      <c r="GG27" s="139">
        <f t="shared" si="87"/>
        <v>0</v>
      </c>
      <c r="GH27" s="139">
        <f t="shared" si="87"/>
        <v>0</v>
      </c>
      <c r="GI27" s="139">
        <f t="shared" si="86"/>
        <v>0</v>
      </c>
      <c r="GJ27" s="140">
        <f t="shared" si="34"/>
        <v>0</v>
      </c>
      <c r="GK27" s="139">
        <f t="shared" si="90"/>
        <v>0</v>
      </c>
      <c r="GL27" s="139">
        <f t="shared" si="36"/>
        <v>0</v>
      </c>
      <c r="GM27" s="139">
        <f t="shared" si="37"/>
        <v>0</v>
      </c>
      <c r="GN27" s="139">
        <f t="shared" si="38"/>
        <v>0</v>
      </c>
      <c r="GO27" s="139">
        <f t="shared" si="39"/>
        <v>0</v>
      </c>
      <c r="GP27" s="139">
        <f t="shared" si="40"/>
        <v>0</v>
      </c>
      <c r="GQ27" s="139">
        <f t="shared" si="91"/>
        <v>0</v>
      </c>
      <c r="GR27" s="409"/>
      <c r="GS27" s="148">
        <f t="shared" si="42"/>
        <v>74299203.727980584</v>
      </c>
      <c r="GT27" s="148">
        <f t="shared" si="43"/>
        <v>105882707.80770001</v>
      </c>
      <c r="GU27" s="149">
        <f t="shared" si="92"/>
        <v>0.70171235007438482</v>
      </c>
      <c r="GV27" s="150">
        <f t="shared" ca="1" si="45"/>
        <v>0</v>
      </c>
      <c r="GW27" s="150">
        <v>0</v>
      </c>
      <c r="GX27" s="151">
        <f t="shared" ca="1" si="46"/>
        <v>0</v>
      </c>
      <c r="GY27" s="100"/>
    </row>
    <row r="28" spans="1:207" s="165" customFormat="1" ht="15" hidden="1" customHeight="1">
      <c r="A28" s="102"/>
      <c r="B28" s="103"/>
      <c r="C28" s="103"/>
      <c r="D28" s="104"/>
      <c r="E28" s="104" t="s">
        <v>253</v>
      </c>
      <c r="F28" s="104" t="s">
        <v>266</v>
      </c>
      <c r="G28" s="104" t="s">
        <v>226</v>
      </c>
      <c r="H28" s="105" t="s">
        <v>292</v>
      </c>
      <c r="I28" s="106" t="s">
        <v>293</v>
      </c>
      <c r="J28" s="104" t="s">
        <v>212</v>
      </c>
      <c r="K28" s="104" t="s">
        <v>208</v>
      </c>
      <c r="L28" s="104" t="s">
        <v>213</v>
      </c>
      <c r="M28" s="104" t="s">
        <v>283</v>
      </c>
      <c r="N28" s="107"/>
      <c r="O28" s="108">
        <v>41376</v>
      </c>
      <c r="P28" s="108">
        <v>43009</v>
      </c>
      <c r="Q28" s="322">
        <f t="shared" si="0"/>
        <v>0</v>
      </c>
      <c r="R28" s="109">
        <f>IF((P28-VLOOKUP(Q28,month!$A$1:$C$13,3,0))&lt;0,Q28,Q28+1)</f>
        <v>0</v>
      </c>
      <c r="S28" s="108"/>
      <c r="T28" s="127" t="str">
        <f t="shared" si="80"/>
        <v/>
      </c>
      <c r="U28" s="107"/>
      <c r="V28" s="107"/>
      <c r="W28" s="107"/>
      <c r="X28" s="107"/>
      <c r="Y28" s="386"/>
      <c r="Z28" s="386" t="s">
        <v>545</v>
      </c>
      <c r="AA28" s="387">
        <v>1000</v>
      </c>
      <c r="AB28" s="387">
        <v>1000</v>
      </c>
      <c r="AC28" s="387">
        <v>1000</v>
      </c>
      <c r="AD28" s="387">
        <v>1000</v>
      </c>
      <c r="AE28" s="387">
        <v>1000</v>
      </c>
      <c r="AF28" s="387">
        <v>1000</v>
      </c>
      <c r="AG28" s="387">
        <v>1000</v>
      </c>
      <c r="AH28" s="387">
        <v>1000</v>
      </c>
      <c r="AI28" s="387">
        <v>1000</v>
      </c>
      <c r="AJ28" s="387">
        <v>1000</v>
      </c>
      <c r="AK28" s="387">
        <v>1000</v>
      </c>
      <c r="AL28" s="387">
        <v>1000</v>
      </c>
      <c r="AM28" s="388">
        <f t="shared" si="2"/>
        <v>12000</v>
      </c>
      <c r="AN28" s="388">
        <f t="shared" si="3"/>
        <v>12000</v>
      </c>
      <c r="AO28" s="389">
        <f t="shared" si="93"/>
        <v>1000</v>
      </c>
      <c r="AP28" s="498" t="s">
        <v>682</v>
      </c>
      <c r="AQ28" s="159">
        <v>0.5</v>
      </c>
      <c r="AR28" s="160" t="s">
        <v>211</v>
      </c>
      <c r="AS28" s="119" t="s">
        <v>210</v>
      </c>
      <c r="AT28" s="111">
        <v>617897.71150000009</v>
      </c>
      <c r="AU28" s="111">
        <v>731695.44040000008</v>
      </c>
      <c r="AV28" s="111">
        <v>688934.22060000012</v>
      </c>
      <c r="AW28" s="111">
        <v>836657.12249999982</v>
      </c>
      <c r="AX28" s="113">
        <v>753310.77209999948</v>
      </c>
      <c r="AY28" s="113">
        <v>684815.7788999998</v>
      </c>
      <c r="AZ28" s="113">
        <v>731338.73892000131</v>
      </c>
      <c r="BA28" s="113"/>
      <c r="BB28" s="113"/>
      <c r="BC28" s="113"/>
      <c r="BD28" s="113"/>
      <c r="BE28" s="113"/>
      <c r="BF28" s="114">
        <f t="shared" si="48"/>
        <v>753310.77209999948</v>
      </c>
      <c r="BG28" s="114">
        <f t="shared" si="49"/>
        <v>684815.7788999998</v>
      </c>
      <c r="BH28" s="114">
        <f t="shared" si="50"/>
        <v>731338.73892000131</v>
      </c>
      <c r="BI28" s="114">
        <f t="shared" si="51"/>
        <v>0</v>
      </c>
      <c r="BJ28" s="114">
        <f t="shared" si="4"/>
        <v>2169465.2899200004</v>
      </c>
      <c r="BK28" s="115">
        <f t="shared" si="5"/>
        <v>2875184.4950000001</v>
      </c>
      <c r="BL28" s="115">
        <f t="shared" si="52"/>
        <v>2875184.4950000001</v>
      </c>
      <c r="BM28" s="116">
        <f t="shared" si="53"/>
        <v>0.75449999999999995</v>
      </c>
      <c r="BN28" s="126">
        <f t="shared" ca="1" si="6"/>
        <v>0</v>
      </c>
      <c r="BO28" s="117">
        <f t="shared" ca="1" si="7"/>
        <v>0</v>
      </c>
      <c r="BP28" s="118" t="str">
        <f t="shared" si="54"/>
        <v>Uncapped</v>
      </c>
      <c r="BQ28" s="115">
        <f t="shared" ca="1" si="8"/>
        <v>0</v>
      </c>
      <c r="BR28" s="113" t="s">
        <v>700</v>
      </c>
      <c r="BS28" s="161">
        <v>0.3</v>
      </c>
      <c r="BT28" s="113" t="s">
        <v>211</v>
      </c>
      <c r="BU28" s="160" t="s">
        <v>210</v>
      </c>
      <c r="BV28" s="113">
        <v>111879.54</v>
      </c>
      <c r="BW28" s="113">
        <v>134783.64000000001</v>
      </c>
      <c r="BX28" s="113">
        <v>138292.74</v>
      </c>
      <c r="BY28" s="113">
        <v>122044.07999999999</v>
      </c>
      <c r="BZ28" s="113">
        <v>97657.065000000002</v>
      </c>
      <c r="CA28" s="113">
        <v>97232.813999999955</v>
      </c>
      <c r="CB28" s="113">
        <v>131566.23180000001</v>
      </c>
      <c r="CC28" s="113"/>
      <c r="CD28" s="113"/>
      <c r="CE28" s="113"/>
      <c r="CF28" s="113"/>
      <c r="CG28" s="113"/>
      <c r="CH28" s="114">
        <f t="shared" si="55"/>
        <v>97657.065000000002</v>
      </c>
      <c r="CI28" s="114">
        <f t="shared" si="56"/>
        <v>97232.813999999955</v>
      </c>
      <c r="CJ28" s="120">
        <f t="shared" si="57"/>
        <v>131566.23180000001</v>
      </c>
      <c r="CK28" s="114">
        <f t="shared" si="58"/>
        <v>0</v>
      </c>
      <c r="CL28" s="114">
        <f t="shared" si="9"/>
        <v>326456.11079999997</v>
      </c>
      <c r="CM28" s="114">
        <f t="shared" si="10"/>
        <v>507000</v>
      </c>
      <c r="CN28" s="114">
        <f t="shared" si="59"/>
        <v>507000</v>
      </c>
      <c r="CO28" s="116">
        <f t="shared" si="60"/>
        <v>0.64390000000000003</v>
      </c>
      <c r="CP28" s="126">
        <f t="shared" ca="1" si="61"/>
        <v>0</v>
      </c>
      <c r="CQ28" s="115">
        <f t="shared" ca="1" si="11"/>
        <v>0</v>
      </c>
      <c r="CR28" s="118" t="str">
        <f t="shared" si="12"/>
        <v>Uncapped</v>
      </c>
      <c r="CS28" s="115">
        <f t="shared" ca="1" si="13"/>
        <v>0</v>
      </c>
      <c r="CT28" s="113" t="s">
        <v>695</v>
      </c>
      <c r="CU28" s="119">
        <v>0.2</v>
      </c>
      <c r="CV28" s="113" t="s">
        <v>211</v>
      </c>
      <c r="CW28" s="113" t="s">
        <v>210</v>
      </c>
      <c r="CX28" s="113">
        <v>2407851.1739999996</v>
      </c>
      <c r="CY28" s="113">
        <v>2810506.1047999999</v>
      </c>
      <c r="CZ28" s="113">
        <v>2690624.2152000004</v>
      </c>
      <c r="DA28" s="113">
        <v>3300863.3019999992</v>
      </c>
      <c r="DB28" s="113">
        <v>2554242.6375000007</v>
      </c>
      <c r="DC28" s="113">
        <v>2655941.6627999977</v>
      </c>
      <c r="DD28" s="113">
        <v>2757733.470720002</v>
      </c>
      <c r="DE28" s="113"/>
      <c r="DF28" s="113"/>
      <c r="DG28" s="113"/>
      <c r="DH28" s="113"/>
      <c r="DI28" s="113"/>
      <c r="DJ28" s="114">
        <f t="shared" si="62"/>
        <v>2554242.6375000007</v>
      </c>
      <c r="DK28" s="114">
        <f t="shared" si="63"/>
        <v>2655941.6627999977</v>
      </c>
      <c r="DL28" s="114">
        <f t="shared" si="64"/>
        <v>2757733.470720002</v>
      </c>
      <c r="DM28" s="114">
        <f t="shared" si="65"/>
        <v>0</v>
      </c>
      <c r="DN28" s="114">
        <f t="shared" si="66"/>
        <v>7967917.7710200008</v>
      </c>
      <c r="DO28" s="114">
        <f t="shared" si="14"/>
        <v>11209844.796</v>
      </c>
      <c r="DP28" s="114">
        <f t="shared" si="67"/>
        <v>11209844.796</v>
      </c>
      <c r="DQ28" s="116">
        <f t="shared" si="68"/>
        <v>0.71079999999999999</v>
      </c>
      <c r="DR28" s="126">
        <f t="shared" ca="1" si="15"/>
        <v>0</v>
      </c>
      <c r="DS28" s="115">
        <f t="shared" ca="1" si="16"/>
        <v>0</v>
      </c>
      <c r="DT28" s="118" t="str">
        <f t="shared" si="17"/>
        <v>Uncapped</v>
      </c>
      <c r="DU28" s="115">
        <f t="shared" ca="1" si="18"/>
        <v>0</v>
      </c>
      <c r="DV28" s="113"/>
      <c r="DW28" s="119">
        <v>0</v>
      </c>
      <c r="DX28" s="113"/>
      <c r="DY28" s="113"/>
      <c r="DZ28" s="113">
        <v>0</v>
      </c>
      <c r="EA28" s="113">
        <v>0</v>
      </c>
      <c r="EB28" s="113">
        <v>0</v>
      </c>
      <c r="EC28" s="113">
        <v>0</v>
      </c>
      <c r="ED28" s="113">
        <v>0</v>
      </c>
      <c r="EE28" s="113">
        <v>0</v>
      </c>
      <c r="EF28" s="113"/>
      <c r="EG28" s="113"/>
      <c r="EH28" s="113"/>
      <c r="EI28" s="113"/>
      <c r="EJ28" s="113"/>
      <c r="EK28" s="113"/>
      <c r="EL28" s="114">
        <f t="shared" si="69"/>
        <v>0</v>
      </c>
      <c r="EM28" s="114">
        <f t="shared" si="70"/>
        <v>0</v>
      </c>
      <c r="EN28" s="114">
        <f t="shared" si="71"/>
        <v>0</v>
      </c>
      <c r="EO28" s="114">
        <f t="shared" si="72"/>
        <v>0</v>
      </c>
      <c r="EP28" s="114">
        <f t="shared" si="19"/>
        <v>0</v>
      </c>
      <c r="EQ28" s="114">
        <f t="shared" si="20"/>
        <v>0</v>
      </c>
      <c r="ER28" s="114">
        <f t="shared" si="73"/>
        <v>0</v>
      </c>
      <c r="ES28" s="116">
        <f t="shared" si="74"/>
        <v>0</v>
      </c>
      <c r="ET28" s="126">
        <f t="shared" ca="1" si="75"/>
        <v>0</v>
      </c>
      <c r="EU28" s="115">
        <f t="shared" ca="1" si="21"/>
        <v>0</v>
      </c>
      <c r="EV28" s="118" t="str">
        <f t="shared" si="22"/>
        <v>Uncapped</v>
      </c>
      <c r="EW28" s="115">
        <f t="shared" ca="1" si="23"/>
        <v>0</v>
      </c>
      <c r="EX28" s="112">
        <f t="shared" ca="1" si="24"/>
        <v>0</v>
      </c>
      <c r="EY28" s="114">
        <f t="shared" ca="1" si="76"/>
        <v>0</v>
      </c>
      <c r="EZ28" s="115">
        <v>207586</v>
      </c>
      <c r="FA28" s="115">
        <v>286491</v>
      </c>
      <c r="FB28" s="115">
        <v>206750</v>
      </c>
      <c r="FC28" s="115">
        <v>0</v>
      </c>
      <c r="FD28" s="115">
        <f t="shared" si="25"/>
        <v>700827</v>
      </c>
      <c r="FE28" s="114">
        <f t="shared" si="26"/>
        <v>0</v>
      </c>
      <c r="FF28" s="115">
        <v>0</v>
      </c>
      <c r="FG28" s="115">
        <v>0</v>
      </c>
      <c r="FH28" s="115">
        <v>0</v>
      </c>
      <c r="FI28" s="115">
        <v>0</v>
      </c>
      <c r="FJ28" s="115">
        <f t="shared" si="27"/>
        <v>0</v>
      </c>
      <c r="FK28" s="114">
        <f t="shared" si="28"/>
        <v>0</v>
      </c>
      <c r="FL28" s="113"/>
      <c r="FM28" s="111"/>
      <c r="FN28" s="111"/>
      <c r="FO28" s="111"/>
      <c r="FP28" s="115">
        <f t="shared" si="88"/>
        <v>0</v>
      </c>
      <c r="FQ28" s="115"/>
      <c r="FR28" s="115"/>
      <c r="FS28" s="115"/>
      <c r="FT28" s="114">
        <f t="shared" si="77"/>
        <v>0</v>
      </c>
      <c r="FU28" s="366">
        <f t="shared" ca="1" si="79"/>
        <v>700827</v>
      </c>
      <c r="FV28" s="121">
        <f t="shared" ca="1" si="78"/>
        <v>700827</v>
      </c>
      <c r="FW28" s="114">
        <f t="shared" si="84"/>
        <v>0</v>
      </c>
      <c r="FX28" s="114">
        <f t="shared" si="84"/>
        <v>0</v>
      </c>
      <c r="FY28" s="114">
        <f t="shared" si="84"/>
        <v>0</v>
      </c>
      <c r="FZ28" s="114">
        <f t="shared" si="81"/>
        <v>0</v>
      </c>
      <c r="GA28" s="114">
        <f t="shared" si="89"/>
        <v>0</v>
      </c>
      <c r="GB28" s="114">
        <f t="shared" si="85"/>
        <v>207586</v>
      </c>
      <c r="GC28" s="114">
        <f t="shared" si="85"/>
        <v>286491</v>
      </c>
      <c r="GD28" s="114">
        <f t="shared" si="85"/>
        <v>206750</v>
      </c>
      <c r="GE28" s="114">
        <f t="shared" si="82"/>
        <v>0</v>
      </c>
      <c r="GF28" s="114">
        <f t="shared" si="87"/>
        <v>207586</v>
      </c>
      <c r="GG28" s="114">
        <f t="shared" si="87"/>
        <v>286491</v>
      </c>
      <c r="GH28" s="114">
        <f t="shared" si="87"/>
        <v>206750</v>
      </c>
      <c r="GI28" s="114">
        <f t="shared" si="86"/>
        <v>0</v>
      </c>
      <c r="GJ28" s="115">
        <f t="shared" si="34"/>
        <v>700827</v>
      </c>
      <c r="GK28" s="114">
        <f t="shared" si="90"/>
        <v>700827</v>
      </c>
      <c r="GL28" s="114">
        <f t="shared" si="36"/>
        <v>0</v>
      </c>
      <c r="GM28" s="114">
        <f t="shared" si="37"/>
        <v>0</v>
      </c>
      <c r="GN28" s="114">
        <f t="shared" si="38"/>
        <v>0</v>
      </c>
      <c r="GO28" s="114">
        <f t="shared" si="39"/>
        <v>0</v>
      </c>
      <c r="GP28" s="114">
        <f t="shared" si="40"/>
        <v>0</v>
      </c>
      <c r="GQ28" s="114">
        <f t="shared" si="91"/>
        <v>0</v>
      </c>
      <c r="GR28" s="193"/>
      <c r="GS28" s="122">
        <f t="shared" si="42"/>
        <v>10463839.171740001</v>
      </c>
      <c r="GT28" s="122">
        <f t="shared" si="43"/>
        <v>14592029.291000001</v>
      </c>
      <c r="GU28" s="123">
        <f t="shared" si="92"/>
        <v>0.71709280204048353</v>
      </c>
      <c r="GV28" s="124">
        <f t="shared" ca="1" si="45"/>
        <v>0</v>
      </c>
      <c r="GW28" s="124">
        <v>0</v>
      </c>
      <c r="GX28" s="32">
        <f t="shared" ca="1" si="46"/>
        <v>0</v>
      </c>
      <c r="GY28" s="100"/>
    </row>
    <row r="29" spans="1:207" s="125" customFormat="1" ht="15" hidden="1" customHeight="1">
      <c r="A29" s="102"/>
      <c r="B29" s="103"/>
      <c r="C29" s="103"/>
      <c r="D29" s="104"/>
      <c r="E29" s="104" t="s">
        <v>253</v>
      </c>
      <c r="F29" s="104" t="s">
        <v>266</v>
      </c>
      <c r="G29" s="104" t="s">
        <v>226</v>
      </c>
      <c r="H29" s="105" t="s">
        <v>294</v>
      </c>
      <c r="I29" s="106" t="s">
        <v>295</v>
      </c>
      <c r="J29" s="104" t="s">
        <v>212</v>
      </c>
      <c r="K29" s="104" t="s">
        <v>208</v>
      </c>
      <c r="L29" s="104" t="s">
        <v>213</v>
      </c>
      <c r="M29" s="104" t="s">
        <v>283</v>
      </c>
      <c r="N29" s="107"/>
      <c r="O29" s="108">
        <v>43024</v>
      </c>
      <c r="P29" s="108">
        <v>43024</v>
      </c>
      <c r="Q29" s="322">
        <f t="shared" si="0"/>
        <v>0</v>
      </c>
      <c r="R29" s="109">
        <f>IF((P29-VLOOKUP(Q29,month!$A$1:$C$13,3,0))&lt;0,Q29,Q29+1)</f>
        <v>0</v>
      </c>
      <c r="S29" s="108"/>
      <c r="T29" s="127" t="str">
        <f t="shared" si="80"/>
        <v/>
      </c>
      <c r="U29" s="107"/>
      <c r="V29" s="107"/>
      <c r="W29" s="107"/>
      <c r="X29" s="107"/>
      <c r="Y29" s="386"/>
      <c r="Z29" s="386" t="s">
        <v>545</v>
      </c>
      <c r="AA29" s="387">
        <v>1000</v>
      </c>
      <c r="AB29" s="387">
        <v>1000</v>
      </c>
      <c r="AC29" s="387">
        <v>1000</v>
      </c>
      <c r="AD29" s="387">
        <v>1000</v>
      </c>
      <c r="AE29" s="387">
        <v>1000</v>
      </c>
      <c r="AF29" s="387">
        <v>1000</v>
      </c>
      <c r="AG29" s="387">
        <v>1000</v>
      </c>
      <c r="AH29" s="387">
        <v>1000</v>
      </c>
      <c r="AI29" s="387">
        <v>1000</v>
      </c>
      <c r="AJ29" s="387">
        <v>1000</v>
      </c>
      <c r="AK29" s="387">
        <v>1000</v>
      </c>
      <c r="AL29" s="387">
        <v>1000</v>
      </c>
      <c r="AM29" s="388">
        <f t="shared" si="2"/>
        <v>12000</v>
      </c>
      <c r="AN29" s="388">
        <f t="shared" si="3"/>
        <v>12000</v>
      </c>
      <c r="AO29" s="389">
        <f t="shared" si="93"/>
        <v>1000</v>
      </c>
      <c r="AP29" s="498" t="s">
        <v>682</v>
      </c>
      <c r="AQ29" s="159">
        <v>0.5</v>
      </c>
      <c r="AR29" s="160" t="s">
        <v>211</v>
      </c>
      <c r="AS29" s="119" t="s">
        <v>210</v>
      </c>
      <c r="AT29" s="111">
        <v>521470.75299999997</v>
      </c>
      <c r="AU29" s="111">
        <v>605780.36779999989</v>
      </c>
      <c r="AV29" s="111">
        <v>582222.21019999997</v>
      </c>
      <c r="AW29" s="111">
        <v>727015.978</v>
      </c>
      <c r="AX29" s="113">
        <v>556314.85080000106</v>
      </c>
      <c r="AY29" s="113">
        <v>652227.5969999989</v>
      </c>
      <c r="AZ29" s="113">
        <v>582187.85460000113</v>
      </c>
      <c r="BA29" s="113"/>
      <c r="BB29" s="113"/>
      <c r="BC29" s="113"/>
      <c r="BD29" s="113"/>
      <c r="BE29" s="113"/>
      <c r="BF29" s="114">
        <f t="shared" si="48"/>
        <v>556314.85080000106</v>
      </c>
      <c r="BG29" s="114">
        <f t="shared" si="49"/>
        <v>652227.5969999989</v>
      </c>
      <c r="BH29" s="114">
        <f t="shared" si="50"/>
        <v>582187.85460000113</v>
      </c>
      <c r="BI29" s="114">
        <f t="shared" si="51"/>
        <v>0</v>
      </c>
      <c r="BJ29" s="114">
        <f t="shared" si="4"/>
        <v>1790730.3024000011</v>
      </c>
      <c r="BK29" s="115">
        <f t="shared" si="5"/>
        <v>2436489.3089999999</v>
      </c>
      <c r="BL29" s="115">
        <f t="shared" si="52"/>
        <v>2436489.3089999999</v>
      </c>
      <c r="BM29" s="116">
        <f t="shared" si="53"/>
        <v>0.73499999999999999</v>
      </c>
      <c r="BN29" s="126">
        <f t="shared" ca="1" si="6"/>
        <v>0</v>
      </c>
      <c r="BO29" s="117">
        <f t="shared" ca="1" si="7"/>
        <v>0</v>
      </c>
      <c r="BP29" s="118" t="str">
        <f t="shared" si="54"/>
        <v>Uncapped</v>
      </c>
      <c r="BQ29" s="115">
        <f t="shared" ca="1" si="8"/>
        <v>0</v>
      </c>
      <c r="BR29" s="113" t="s">
        <v>700</v>
      </c>
      <c r="BS29" s="161">
        <v>0.3</v>
      </c>
      <c r="BT29" s="113" t="s">
        <v>211</v>
      </c>
      <c r="BU29" s="160" t="s">
        <v>210</v>
      </c>
      <c r="BV29" s="113">
        <v>222789.82500000001</v>
      </c>
      <c r="BW29" s="113">
        <v>268558.42499999999</v>
      </c>
      <c r="BX29" s="113">
        <v>275603.32500000001</v>
      </c>
      <c r="BY29" s="113">
        <v>242748.42499999999</v>
      </c>
      <c r="BZ29" s="113">
        <v>232445.35800000001</v>
      </c>
      <c r="CA29" s="113">
        <v>281203.72199999995</v>
      </c>
      <c r="CB29" s="113">
        <v>398221.56</v>
      </c>
      <c r="CC29" s="113"/>
      <c r="CD29" s="113"/>
      <c r="CE29" s="113"/>
      <c r="CF29" s="113"/>
      <c r="CG29" s="113"/>
      <c r="CH29" s="114">
        <f t="shared" si="55"/>
        <v>232445.35800000001</v>
      </c>
      <c r="CI29" s="114">
        <f t="shared" si="56"/>
        <v>281203.72199999995</v>
      </c>
      <c r="CJ29" s="120">
        <f t="shared" si="57"/>
        <v>398221.56</v>
      </c>
      <c r="CK29" s="114">
        <f t="shared" si="58"/>
        <v>0</v>
      </c>
      <c r="CL29" s="114">
        <f t="shared" si="9"/>
        <v>911870.6399999999</v>
      </c>
      <c r="CM29" s="114">
        <f t="shared" si="10"/>
        <v>1009700</v>
      </c>
      <c r="CN29" s="114">
        <f t="shared" si="59"/>
        <v>1009700</v>
      </c>
      <c r="CO29" s="116">
        <f t="shared" si="60"/>
        <v>0.90310000000000001</v>
      </c>
      <c r="CP29" s="126">
        <f t="shared" ca="1" si="61"/>
        <v>0</v>
      </c>
      <c r="CQ29" s="115">
        <f t="shared" ca="1" si="11"/>
        <v>0</v>
      </c>
      <c r="CR29" s="118" t="str">
        <f t="shared" si="12"/>
        <v>Uncapped</v>
      </c>
      <c r="CS29" s="115">
        <f t="shared" ca="1" si="13"/>
        <v>0</v>
      </c>
      <c r="CT29" s="113" t="s">
        <v>695</v>
      </c>
      <c r="CU29" s="119">
        <v>0.2</v>
      </c>
      <c r="CV29" s="113" t="s">
        <v>211</v>
      </c>
      <c r="CW29" s="113" t="s">
        <v>210</v>
      </c>
      <c r="CX29" s="113">
        <v>2407851.1739999996</v>
      </c>
      <c r="CY29" s="113">
        <v>2810506.1047999999</v>
      </c>
      <c r="CZ29" s="113">
        <v>2690624.2152000004</v>
      </c>
      <c r="DA29" s="113">
        <v>3300863.3019999992</v>
      </c>
      <c r="DB29" s="113">
        <v>2554242.6375000007</v>
      </c>
      <c r="DC29" s="113">
        <v>2655941.6627999977</v>
      </c>
      <c r="DD29" s="113">
        <v>2757733.470720002</v>
      </c>
      <c r="DE29" s="113"/>
      <c r="DF29" s="113"/>
      <c r="DG29" s="113"/>
      <c r="DH29" s="113"/>
      <c r="DI29" s="113"/>
      <c r="DJ29" s="114">
        <f t="shared" si="62"/>
        <v>2554242.6375000007</v>
      </c>
      <c r="DK29" s="114">
        <f t="shared" si="63"/>
        <v>2655941.6627999977</v>
      </c>
      <c r="DL29" s="114">
        <f t="shared" si="64"/>
        <v>2757733.470720002</v>
      </c>
      <c r="DM29" s="114">
        <f t="shared" si="65"/>
        <v>0</v>
      </c>
      <c r="DN29" s="114">
        <f t="shared" si="66"/>
        <v>7967917.7710200008</v>
      </c>
      <c r="DO29" s="114">
        <f t="shared" si="14"/>
        <v>11209844.796</v>
      </c>
      <c r="DP29" s="114">
        <f t="shared" si="67"/>
        <v>11209844.796</v>
      </c>
      <c r="DQ29" s="116">
        <f t="shared" si="68"/>
        <v>0.71079999999999999</v>
      </c>
      <c r="DR29" s="126">
        <f t="shared" ca="1" si="15"/>
        <v>0</v>
      </c>
      <c r="DS29" s="115">
        <f t="shared" ca="1" si="16"/>
        <v>0</v>
      </c>
      <c r="DT29" s="118" t="str">
        <f t="shared" si="17"/>
        <v>Uncapped</v>
      </c>
      <c r="DU29" s="115">
        <f t="shared" ca="1" si="18"/>
        <v>0</v>
      </c>
      <c r="DV29" s="113"/>
      <c r="DW29" s="119">
        <v>0</v>
      </c>
      <c r="DX29" s="113"/>
      <c r="DY29" s="113"/>
      <c r="DZ29" s="113">
        <v>0</v>
      </c>
      <c r="EA29" s="113">
        <v>0</v>
      </c>
      <c r="EB29" s="113">
        <v>0</v>
      </c>
      <c r="EC29" s="113">
        <v>0</v>
      </c>
      <c r="ED29" s="113">
        <v>0</v>
      </c>
      <c r="EE29" s="113">
        <v>0</v>
      </c>
      <c r="EF29" s="113"/>
      <c r="EG29" s="113"/>
      <c r="EH29" s="113"/>
      <c r="EI29" s="113"/>
      <c r="EJ29" s="113"/>
      <c r="EK29" s="113"/>
      <c r="EL29" s="114">
        <f t="shared" si="69"/>
        <v>0</v>
      </c>
      <c r="EM29" s="114">
        <f t="shared" si="70"/>
        <v>0</v>
      </c>
      <c r="EN29" s="114">
        <f t="shared" si="71"/>
        <v>0</v>
      </c>
      <c r="EO29" s="114">
        <f t="shared" si="72"/>
        <v>0</v>
      </c>
      <c r="EP29" s="114">
        <f t="shared" si="19"/>
        <v>0</v>
      </c>
      <c r="EQ29" s="114">
        <f t="shared" si="20"/>
        <v>0</v>
      </c>
      <c r="ER29" s="114">
        <f t="shared" si="73"/>
        <v>0</v>
      </c>
      <c r="ES29" s="116">
        <f t="shared" si="74"/>
        <v>0</v>
      </c>
      <c r="ET29" s="126">
        <f t="shared" ca="1" si="75"/>
        <v>0</v>
      </c>
      <c r="EU29" s="115">
        <f t="shared" ca="1" si="21"/>
        <v>0</v>
      </c>
      <c r="EV29" s="118" t="str">
        <f t="shared" si="22"/>
        <v>Uncapped</v>
      </c>
      <c r="EW29" s="115">
        <f t="shared" ca="1" si="23"/>
        <v>0</v>
      </c>
      <c r="EX29" s="112">
        <f t="shared" ca="1" si="24"/>
        <v>0</v>
      </c>
      <c r="EY29" s="114">
        <f t="shared" ca="1" si="76"/>
        <v>0</v>
      </c>
      <c r="EZ29" s="115">
        <v>235000</v>
      </c>
      <c r="FA29" s="115">
        <v>260000</v>
      </c>
      <c r="FB29" s="115">
        <v>576649</v>
      </c>
      <c r="FC29" s="115">
        <v>0</v>
      </c>
      <c r="FD29" s="115">
        <f t="shared" si="25"/>
        <v>1071649</v>
      </c>
      <c r="FE29" s="114">
        <f t="shared" si="26"/>
        <v>0</v>
      </c>
      <c r="FF29" s="115">
        <v>0</v>
      </c>
      <c r="FG29" s="115">
        <v>0</v>
      </c>
      <c r="FH29" s="115">
        <v>0</v>
      </c>
      <c r="FI29" s="115">
        <v>0</v>
      </c>
      <c r="FJ29" s="115">
        <f t="shared" si="27"/>
        <v>0</v>
      </c>
      <c r="FK29" s="114">
        <f t="shared" si="28"/>
        <v>0</v>
      </c>
      <c r="FL29" s="113"/>
      <c r="FM29" s="111"/>
      <c r="FN29" s="111"/>
      <c r="FO29" s="111"/>
      <c r="FP29" s="115">
        <f t="shared" si="88"/>
        <v>0</v>
      </c>
      <c r="FQ29" s="115"/>
      <c r="FR29" s="115"/>
      <c r="FS29" s="115"/>
      <c r="FT29" s="114">
        <f t="shared" si="77"/>
        <v>0</v>
      </c>
      <c r="FU29" s="366">
        <f t="shared" ca="1" si="79"/>
        <v>1071649</v>
      </c>
      <c r="FV29" s="121">
        <f t="shared" ca="1" si="78"/>
        <v>1071649</v>
      </c>
      <c r="FW29" s="114">
        <f t="shared" si="84"/>
        <v>0</v>
      </c>
      <c r="FX29" s="114">
        <f t="shared" si="84"/>
        <v>0</v>
      </c>
      <c r="FY29" s="114">
        <f t="shared" si="84"/>
        <v>0</v>
      </c>
      <c r="FZ29" s="114">
        <f t="shared" si="81"/>
        <v>0</v>
      </c>
      <c r="GA29" s="114">
        <f t="shared" si="89"/>
        <v>0</v>
      </c>
      <c r="GB29" s="114">
        <f t="shared" si="85"/>
        <v>235000</v>
      </c>
      <c r="GC29" s="114">
        <f t="shared" si="85"/>
        <v>260000</v>
      </c>
      <c r="GD29" s="114">
        <f t="shared" si="85"/>
        <v>576649</v>
      </c>
      <c r="GE29" s="114">
        <f t="shared" si="82"/>
        <v>0</v>
      </c>
      <c r="GF29" s="114">
        <f t="shared" si="87"/>
        <v>235000</v>
      </c>
      <c r="GG29" s="114">
        <f t="shared" si="87"/>
        <v>260000</v>
      </c>
      <c r="GH29" s="114">
        <f t="shared" si="87"/>
        <v>576649</v>
      </c>
      <c r="GI29" s="114">
        <f t="shared" si="86"/>
        <v>0</v>
      </c>
      <c r="GJ29" s="115">
        <f t="shared" si="34"/>
        <v>1071649</v>
      </c>
      <c r="GK29" s="114">
        <f t="shared" si="90"/>
        <v>1071649</v>
      </c>
      <c r="GL29" s="114">
        <f t="shared" si="36"/>
        <v>0</v>
      </c>
      <c r="GM29" s="114">
        <f t="shared" si="37"/>
        <v>0</v>
      </c>
      <c r="GN29" s="114">
        <f t="shared" si="38"/>
        <v>0</v>
      </c>
      <c r="GO29" s="114">
        <f t="shared" si="39"/>
        <v>0</v>
      </c>
      <c r="GP29" s="114">
        <f t="shared" si="40"/>
        <v>0</v>
      </c>
      <c r="GQ29" s="114">
        <f t="shared" si="91"/>
        <v>0</v>
      </c>
      <c r="GR29" s="193"/>
      <c r="GS29" s="122">
        <f t="shared" si="42"/>
        <v>10670518.713420002</v>
      </c>
      <c r="GT29" s="122">
        <f t="shared" si="43"/>
        <v>14656034.105</v>
      </c>
      <c r="GU29" s="123">
        <f t="shared" si="92"/>
        <v>0.72806317431942147</v>
      </c>
      <c r="GV29" s="124">
        <f t="shared" ca="1" si="45"/>
        <v>0</v>
      </c>
      <c r="GW29" s="124">
        <v>0</v>
      </c>
      <c r="GX29" s="32">
        <f t="shared" ca="1" si="46"/>
        <v>0</v>
      </c>
      <c r="GY29" s="100"/>
    </row>
    <row r="30" spans="1:207" s="125" customFormat="1" ht="15" hidden="1" customHeight="1">
      <c r="A30" s="102"/>
      <c r="B30" s="103"/>
      <c r="C30" s="103"/>
      <c r="D30" s="104"/>
      <c r="E30" s="104" t="s">
        <v>253</v>
      </c>
      <c r="F30" s="104" t="s">
        <v>266</v>
      </c>
      <c r="G30" s="104" t="s">
        <v>226</v>
      </c>
      <c r="H30" s="105" t="s">
        <v>296</v>
      </c>
      <c r="I30" s="106" t="s">
        <v>297</v>
      </c>
      <c r="J30" s="104" t="s">
        <v>212</v>
      </c>
      <c r="K30" s="104" t="s">
        <v>208</v>
      </c>
      <c r="L30" s="104" t="s">
        <v>213</v>
      </c>
      <c r="M30" s="104" t="s">
        <v>283</v>
      </c>
      <c r="N30" s="107"/>
      <c r="O30" s="108">
        <v>43282</v>
      </c>
      <c r="P30" s="108">
        <v>43282</v>
      </c>
      <c r="Q30" s="322">
        <f t="shared" si="0"/>
        <v>0</v>
      </c>
      <c r="R30" s="109">
        <f>IF((P30-VLOOKUP(Q30,month!$A$1:$C$13,3,0))&lt;0,Q30,Q30+1)</f>
        <v>0</v>
      </c>
      <c r="S30" s="108"/>
      <c r="T30" s="127" t="str">
        <f t="shared" si="80"/>
        <v/>
      </c>
      <c r="U30" s="107"/>
      <c r="V30" s="107"/>
      <c r="W30" s="107"/>
      <c r="X30" s="107"/>
      <c r="Y30" s="386"/>
      <c r="Z30" s="386" t="s">
        <v>545</v>
      </c>
      <c r="AA30" s="387">
        <v>1000</v>
      </c>
      <c r="AB30" s="387">
        <v>1000</v>
      </c>
      <c r="AC30" s="387">
        <v>1000</v>
      </c>
      <c r="AD30" s="387">
        <v>1000</v>
      </c>
      <c r="AE30" s="387">
        <v>1000</v>
      </c>
      <c r="AF30" s="387">
        <v>1000</v>
      </c>
      <c r="AG30" s="387">
        <v>1000</v>
      </c>
      <c r="AH30" s="387">
        <v>1000</v>
      </c>
      <c r="AI30" s="387">
        <v>1000</v>
      </c>
      <c r="AJ30" s="387">
        <v>1000</v>
      </c>
      <c r="AK30" s="387">
        <v>1000</v>
      </c>
      <c r="AL30" s="387">
        <v>1000</v>
      </c>
      <c r="AM30" s="388">
        <f t="shared" si="2"/>
        <v>12000</v>
      </c>
      <c r="AN30" s="388">
        <f t="shared" si="3"/>
        <v>12000</v>
      </c>
      <c r="AO30" s="389">
        <f t="shared" si="93"/>
        <v>1000</v>
      </c>
      <c r="AP30" s="498" t="s">
        <v>682</v>
      </c>
      <c r="AQ30" s="159">
        <v>0.5</v>
      </c>
      <c r="AR30" s="160" t="s">
        <v>211</v>
      </c>
      <c r="AS30" s="119" t="s">
        <v>210</v>
      </c>
      <c r="AT30" s="111">
        <v>362089.15249999997</v>
      </c>
      <c r="AU30" s="111">
        <v>413339.08760000009</v>
      </c>
      <c r="AV30" s="111">
        <v>400365.91440000001</v>
      </c>
      <c r="AW30" s="111">
        <v>492198.11950000009</v>
      </c>
      <c r="AX30" s="113">
        <v>352862.31239999994</v>
      </c>
      <c r="AY30" s="113">
        <v>468289.77480000001</v>
      </c>
      <c r="AZ30" s="113">
        <v>431644.29479999968</v>
      </c>
      <c r="BA30" s="113"/>
      <c r="BB30" s="113"/>
      <c r="BC30" s="113"/>
      <c r="BD30" s="113"/>
      <c r="BE30" s="113"/>
      <c r="BF30" s="114">
        <f t="shared" si="48"/>
        <v>352862.31239999994</v>
      </c>
      <c r="BG30" s="114">
        <f t="shared" si="49"/>
        <v>468289.77480000001</v>
      </c>
      <c r="BH30" s="114">
        <f t="shared" si="50"/>
        <v>431644.29479999968</v>
      </c>
      <c r="BI30" s="114">
        <f t="shared" si="51"/>
        <v>0</v>
      </c>
      <c r="BJ30" s="114">
        <f t="shared" si="4"/>
        <v>1252796.3819999998</v>
      </c>
      <c r="BK30" s="115">
        <f t="shared" si="5"/>
        <v>1667992.2740000002</v>
      </c>
      <c r="BL30" s="115">
        <f t="shared" si="52"/>
        <v>1667992.2740000002</v>
      </c>
      <c r="BM30" s="116">
        <f t="shared" si="53"/>
        <v>0.75109999999999999</v>
      </c>
      <c r="BN30" s="126">
        <f t="shared" ca="1" si="6"/>
        <v>0</v>
      </c>
      <c r="BO30" s="117">
        <f t="shared" ca="1" si="7"/>
        <v>0</v>
      </c>
      <c r="BP30" s="118" t="str">
        <f t="shared" si="54"/>
        <v>Uncapped</v>
      </c>
      <c r="BQ30" s="115">
        <f t="shared" ca="1" si="8"/>
        <v>0</v>
      </c>
      <c r="BR30" s="113" t="s">
        <v>700</v>
      </c>
      <c r="BS30" s="161">
        <v>0.3</v>
      </c>
      <c r="BT30" s="113" t="s">
        <v>211</v>
      </c>
      <c r="BU30" s="160" t="s">
        <v>210</v>
      </c>
      <c r="BV30" s="113">
        <v>93767.493499999982</v>
      </c>
      <c r="BW30" s="113">
        <v>106448.87599999999</v>
      </c>
      <c r="BX30" s="113">
        <v>107047.72349999999</v>
      </c>
      <c r="BY30" s="113">
        <v>113870.90699999999</v>
      </c>
      <c r="BZ30" s="113">
        <v>41492.123999999996</v>
      </c>
      <c r="CA30" s="113">
        <v>55282.319100000001</v>
      </c>
      <c r="CB30" s="113">
        <v>38987.019899999999</v>
      </c>
      <c r="CC30" s="113"/>
      <c r="CD30" s="113"/>
      <c r="CE30" s="113"/>
      <c r="CF30" s="113"/>
      <c r="CG30" s="113"/>
      <c r="CH30" s="114">
        <f t="shared" si="55"/>
        <v>41492.123999999996</v>
      </c>
      <c r="CI30" s="114">
        <f t="shared" si="56"/>
        <v>55282.319100000001</v>
      </c>
      <c r="CJ30" s="120">
        <f t="shared" si="57"/>
        <v>38987.019899999999</v>
      </c>
      <c r="CK30" s="114">
        <f t="shared" si="58"/>
        <v>0</v>
      </c>
      <c r="CL30" s="114">
        <f t="shared" si="9"/>
        <v>135761.46299999999</v>
      </c>
      <c r="CM30" s="114">
        <f t="shared" si="10"/>
        <v>421135</v>
      </c>
      <c r="CN30" s="114">
        <f t="shared" si="59"/>
        <v>421135</v>
      </c>
      <c r="CO30" s="116">
        <f t="shared" si="60"/>
        <v>0.32240000000000002</v>
      </c>
      <c r="CP30" s="126">
        <f t="shared" ca="1" si="61"/>
        <v>0</v>
      </c>
      <c r="CQ30" s="115">
        <f t="shared" ca="1" si="11"/>
        <v>0</v>
      </c>
      <c r="CR30" s="118" t="str">
        <f t="shared" si="12"/>
        <v>Uncapped</v>
      </c>
      <c r="CS30" s="115">
        <f t="shared" ca="1" si="13"/>
        <v>0</v>
      </c>
      <c r="CT30" s="113" t="s">
        <v>695</v>
      </c>
      <c r="CU30" s="119">
        <v>0.2</v>
      </c>
      <c r="CV30" s="113" t="s">
        <v>211</v>
      </c>
      <c r="CW30" s="113" t="s">
        <v>210</v>
      </c>
      <c r="CX30" s="113">
        <v>2407851.1739999996</v>
      </c>
      <c r="CY30" s="113">
        <v>2810506.1047999999</v>
      </c>
      <c r="CZ30" s="113">
        <v>2690624.2152000004</v>
      </c>
      <c r="DA30" s="113">
        <v>3300863.3019999992</v>
      </c>
      <c r="DB30" s="113">
        <v>2554242.6375000007</v>
      </c>
      <c r="DC30" s="113">
        <v>2655941.6627999977</v>
      </c>
      <c r="DD30" s="113">
        <v>2757733.470720002</v>
      </c>
      <c r="DE30" s="113"/>
      <c r="DF30" s="113"/>
      <c r="DG30" s="113"/>
      <c r="DH30" s="113"/>
      <c r="DI30" s="113"/>
      <c r="DJ30" s="114">
        <f t="shared" si="62"/>
        <v>2554242.6375000007</v>
      </c>
      <c r="DK30" s="114">
        <f t="shared" si="63"/>
        <v>2655941.6627999977</v>
      </c>
      <c r="DL30" s="114">
        <f t="shared" si="64"/>
        <v>2757733.470720002</v>
      </c>
      <c r="DM30" s="114">
        <f t="shared" si="65"/>
        <v>0</v>
      </c>
      <c r="DN30" s="114">
        <f t="shared" si="66"/>
        <v>7967917.7710200008</v>
      </c>
      <c r="DO30" s="114">
        <f t="shared" si="14"/>
        <v>11209844.796</v>
      </c>
      <c r="DP30" s="114">
        <f t="shared" si="67"/>
        <v>11209844.796</v>
      </c>
      <c r="DQ30" s="116">
        <f t="shared" si="68"/>
        <v>0.71079999999999999</v>
      </c>
      <c r="DR30" s="126">
        <f t="shared" ca="1" si="15"/>
        <v>0</v>
      </c>
      <c r="DS30" s="115">
        <f t="shared" ca="1" si="16"/>
        <v>0</v>
      </c>
      <c r="DT30" s="118" t="str">
        <f t="shared" si="17"/>
        <v>Uncapped</v>
      </c>
      <c r="DU30" s="115">
        <f t="shared" ca="1" si="18"/>
        <v>0</v>
      </c>
      <c r="DV30" s="113"/>
      <c r="DW30" s="119">
        <v>0</v>
      </c>
      <c r="DX30" s="113"/>
      <c r="DY30" s="113"/>
      <c r="DZ30" s="113">
        <v>0</v>
      </c>
      <c r="EA30" s="113">
        <v>0</v>
      </c>
      <c r="EB30" s="113">
        <v>0</v>
      </c>
      <c r="EC30" s="113">
        <v>0</v>
      </c>
      <c r="ED30" s="113">
        <v>0</v>
      </c>
      <c r="EE30" s="113">
        <v>0</v>
      </c>
      <c r="EF30" s="113"/>
      <c r="EG30" s="113"/>
      <c r="EH30" s="113"/>
      <c r="EI30" s="113"/>
      <c r="EJ30" s="113"/>
      <c r="EK30" s="113"/>
      <c r="EL30" s="114">
        <f t="shared" si="69"/>
        <v>0</v>
      </c>
      <c r="EM30" s="114">
        <f t="shared" si="70"/>
        <v>0</v>
      </c>
      <c r="EN30" s="114">
        <f t="shared" si="71"/>
        <v>0</v>
      </c>
      <c r="EO30" s="114">
        <f t="shared" si="72"/>
        <v>0</v>
      </c>
      <c r="EP30" s="114">
        <f t="shared" si="19"/>
        <v>0</v>
      </c>
      <c r="EQ30" s="114">
        <f t="shared" si="20"/>
        <v>0</v>
      </c>
      <c r="ER30" s="114">
        <f t="shared" si="73"/>
        <v>0</v>
      </c>
      <c r="ES30" s="116">
        <f t="shared" si="74"/>
        <v>0</v>
      </c>
      <c r="ET30" s="126">
        <f t="shared" ca="1" si="75"/>
        <v>0</v>
      </c>
      <c r="EU30" s="115">
        <f t="shared" ca="1" si="21"/>
        <v>0</v>
      </c>
      <c r="EV30" s="118" t="str">
        <f t="shared" si="22"/>
        <v>Uncapped</v>
      </c>
      <c r="EW30" s="115">
        <f t="shared" ca="1" si="23"/>
        <v>0</v>
      </c>
      <c r="EX30" s="112">
        <f t="shared" ca="1" si="24"/>
        <v>0</v>
      </c>
      <c r="EY30" s="114">
        <f t="shared" ca="1" si="76"/>
        <v>0</v>
      </c>
      <c r="EZ30" s="115">
        <v>50397</v>
      </c>
      <c r="FA30" s="115">
        <v>1575487.9</v>
      </c>
      <c r="FB30" s="115">
        <v>110000</v>
      </c>
      <c r="FC30" s="115">
        <v>0</v>
      </c>
      <c r="FD30" s="115">
        <f t="shared" si="25"/>
        <v>1735884.9</v>
      </c>
      <c r="FE30" s="114">
        <f t="shared" si="26"/>
        <v>0</v>
      </c>
      <c r="FF30" s="115">
        <v>0</v>
      </c>
      <c r="FG30" s="115">
        <v>0</v>
      </c>
      <c r="FH30" s="115">
        <v>0</v>
      </c>
      <c r="FI30" s="115">
        <v>0</v>
      </c>
      <c r="FJ30" s="115">
        <f t="shared" si="27"/>
        <v>0</v>
      </c>
      <c r="FK30" s="114">
        <f t="shared" si="28"/>
        <v>0</v>
      </c>
      <c r="FL30" s="113"/>
      <c r="FM30" s="111"/>
      <c r="FN30" s="111"/>
      <c r="FO30" s="111"/>
      <c r="FP30" s="115">
        <f t="shared" si="88"/>
        <v>0</v>
      </c>
      <c r="FQ30" s="115"/>
      <c r="FR30" s="115"/>
      <c r="FS30" s="115"/>
      <c r="FT30" s="114">
        <f t="shared" si="77"/>
        <v>0</v>
      </c>
      <c r="FU30" s="366">
        <f t="shared" ca="1" si="79"/>
        <v>1735884.9</v>
      </c>
      <c r="FV30" s="121">
        <f t="shared" ca="1" si="78"/>
        <v>1735884.9</v>
      </c>
      <c r="FW30" s="114">
        <f t="shared" si="84"/>
        <v>0</v>
      </c>
      <c r="FX30" s="114">
        <f t="shared" si="84"/>
        <v>0</v>
      </c>
      <c r="FY30" s="114">
        <f t="shared" si="84"/>
        <v>0</v>
      </c>
      <c r="FZ30" s="114">
        <f t="shared" si="81"/>
        <v>0</v>
      </c>
      <c r="GA30" s="114">
        <f>SUM(FW30:FZ30)</f>
        <v>0</v>
      </c>
      <c r="GB30" s="114">
        <f t="shared" si="85"/>
        <v>50397</v>
      </c>
      <c r="GC30" s="114">
        <f t="shared" si="85"/>
        <v>1575487.9</v>
      </c>
      <c r="GD30" s="114">
        <f t="shared" si="85"/>
        <v>110000</v>
      </c>
      <c r="GE30" s="114">
        <f t="shared" si="82"/>
        <v>0</v>
      </c>
      <c r="GF30" s="114">
        <f t="shared" si="87"/>
        <v>50397</v>
      </c>
      <c r="GG30" s="114">
        <f t="shared" si="87"/>
        <v>1575487.9</v>
      </c>
      <c r="GH30" s="114">
        <f t="shared" si="87"/>
        <v>110000</v>
      </c>
      <c r="GI30" s="114">
        <f t="shared" si="87"/>
        <v>0</v>
      </c>
      <c r="GJ30" s="115">
        <f t="shared" si="34"/>
        <v>1735884.9</v>
      </c>
      <c r="GK30" s="114">
        <f>SUM(GF30:GI30)</f>
        <v>1735884.9</v>
      </c>
      <c r="GL30" s="114">
        <f t="shared" si="36"/>
        <v>0</v>
      </c>
      <c r="GM30" s="114">
        <f t="shared" si="37"/>
        <v>0</v>
      </c>
      <c r="GN30" s="114">
        <f t="shared" si="38"/>
        <v>0</v>
      </c>
      <c r="GO30" s="114">
        <f t="shared" si="39"/>
        <v>0</v>
      </c>
      <c r="GP30" s="114">
        <f t="shared" si="40"/>
        <v>0</v>
      </c>
      <c r="GQ30" s="114">
        <f>SUM(GL30:GO30)</f>
        <v>0</v>
      </c>
      <c r="GR30" s="193"/>
      <c r="GS30" s="122">
        <f t="shared" si="42"/>
        <v>9356475.6160200015</v>
      </c>
      <c r="GT30" s="122">
        <f t="shared" si="43"/>
        <v>13298972.07</v>
      </c>
      <c r="GU30" s="123">
        <f>IFERROR(GS30/GT30,"")</f>
        <v>0.70354878307673607</v>
      </c>
      <c r="GV30" s="124">
        <f t="shared" ca="1" si="45"/>
        <v>0</v>
      </c>
      <c r="GW30" s="124">
        <v>0</v>
      </c>
      <c r="GX30" s="32">
        <f t="shared" ca="1" si="46"/>
        <v>0</v>
      </c>
      <c r="GY30" s="100"/>
    </row>
    <row r="31" spans="1:207" s="125" customFormat="1" ht="15" hidden="1" customHeight="1">
      <c r="A31" s="102"/>
      <c r="B31" s="103"/>
      <c r="C31" s="103"/>
      <c r="D31" s="104"/>
      <c r="E31" s="104" t="s">
        <v>253</v>
      </c>
      <c r="F31" s="104" t="s">
        <v>266</v>
      </c>
      <c r="G31" s="104" t="s">
        <v>226</v>
      </c>
      <c r="H31" s="105" t="s">
        <v>298</v>
      </c>
      <c r="I31" s="106" t="s">
        <v>299</v>
      </c>
      <c r="J31" s="104" t="s">
        <v>212</v>
      </c>
      <c r="K31" s="104" t="s">
        <v>208</v>
      </c>
      <c r="L31" s="104" t="s">
        <v>213</v>
      </c>
      <c r="M31" s="104" t="s">
        <v>283</v>
      </c>
      <c r="N31" s="107"/>
      <c r="O31" s="108">
        <v>43430</v>
      </c>
      <c r="P31" s="108">
        <v>43430</v>
      </c>
      <c r="Q31" s="322">
        <f t="shared" si="0"/>
        <v>0</v>
      </c>
      <c r="R31" s="109">
        <f>IF((P31-VLOOKUP(Q31,month!$A$1:$C$13,3,0))&lt;0,Q31,Q31+1)</f>
        <v>0</v>
      </c>
      <c r="S31" s="108"/>
      <c r="T31" s="110" t="str">
        <f t="shared" si="80"/>
        <v/>
      </c>
      <c r="U31" s="320" t="s">
        <v>214</v>
      </c>
      <c r="V31" s="320">
        <v>2</v>
      </c>
      <c r="W31" s="107"/>
      <c r="X31" s="107"/>
      <c r="Y31" s="386"/>
      <c r="Z31" s="386" t="s">
        <v>545</v>
      </c>
      <c r="AA31" s="387">
        <v>1000</v>
      </c>
      <c r="AB31" s="387">
        <v>1000</v>
      </c>
      <c r="AC31" s="387">
        <v>1000</v>
      </c>
      <c r="AD31" s="387">
        <v>1000</v>
      </c>
      <c r="AE31" s="387">
        <v>1000</v>
      </c>
      <c r="AF31" s="387">
        <v>1000</v>
      </c>
      <c r="AG31" s="387">
        <v>1000</v>
      </c>
      <c r="AH31" s="387">
        <v>1000</v>
      </c>
      <c r="AI31" s="387">
        <v>1000</v>
      </c>
      <c r="AJ31" s="387">
        <v>1000</v>
      </c>
      <c r="AK31" s="387">
        <v>1000</v>
      </c>
      <c r="AL31" s="387">
        <v>1000</v>
      </c>
      <c r="AM31" s="388">
        <f t="shared" si="2"/>
        <v>12000</v>
      </c>
      <c r="AN31" s="388">
        <f t="shared" si="3"/>
        <v>12000</v>
      </c>
      <c r="AO31" s="389">
        <f>AI31</f>
        <v>1000</v>
      </c>
      <c r="AP31" s="498" t="s">
        <v>682</v>
      </c>
      <c r="AQ31" s="159">
        <v>0.5</v>
      </c>
      <c r="AR31" s="160" t="s">
        <v>211</v>
      </c>
      <c r="AS31" s="119" t="s">
        <v>210</v>
      </c>
      <c r="AT31" s="111">
        <v>457480.76500000001</v>
      </c>
      <c r="AU31" s="111">
        <v>541312.12939999998</v>
      </c>
      <c r="AV31" s="111">
        <v>520197.51260000002</v>
      </c>
      <c r="AW31" s="111">
        <v>628298.97600000002</v>
      </c>
      <c r="AX31" s="113">
        <v>501685.90200000006</v>
      </c>
      <c r="AY31" s="113">
        <v>623035.83419999888</v>
      </c>
      <c r="AZ31" s="113">
        <v>777814.81739999959</v>
      </c>
      <c r="BA31" s="113"/>
      <c r="BB31" s="113"/>
      <c r="BC31" s="113"/>
      <c r="BD31" s="113"/>
      <c r="BE31" s="113"/>
      <c r="BF31" s="114">
        <f t="shared" si="48"/>
        <v>501685.90200000006</v>
      </c>
      <c r="BG31" s="114">
        <f t="shared" si="49"/>
        <v>623035.83419999888</v>
      </c>
      <c r="BH31" s="114">
        <f t="shared" si="50"/>
        <v>777814.81739999959</v>
      </c>
      <c r="BI31" s="114">
        <f t="shared" si="51"/>
        <v>0</v>
      </c>
      <c r="BJ31" s="114">
        <f t="shared" si="4"/>
        <v>1902536.5535999986</v>
      </c>
      <c r="BK31" s="115">
        <f t="shared" si="5"/>
        <v>2147289.3830000004</v>
      </c>
      <c r="BL31" s="115">
        <f t="shared" si="52"/>
        <v>2147289.3830000004</v>
      </c>
      <c r="BM31" s="116">
        <f t="shared" si="53"/>
        <v>0.88600000000000001</v>
      </c>
      <c r="BN31" s="126">
        <f t="shared" ca="1" si="6"/>
        <v>0</v>
      </c>
      <c r="BO31" s="117">
        <f t="shared" ca="1" si="7"/>
        <v>0</v>
      </c>
      <c r="BP31" s="118" t="str">
        <f t="shared" si="54"/>
        <v>Uncapped</v>
      </c>
      <c r="BQ31" s="115">
        <f t="shared" ca="1" si="8"/>
        <v>0</v>
      </c>
      <c r="BR31" s="113" t="s">
        <v>700</v>
      </c>
      <c r="BS31" s="161">
        <v>0.3</v>
      </c>
      <c r="BT31" s="113" t="s">
        <v>211</v>
      </c>
      <c r="BU31" s="160" t="s">
        <v>210</v>
      </c>
      <c r="BV31" s="113">
        <v>92796.516749999995</v>
      </c>
      <c r="BW31" s="113">
        <v>110501.69475</v>
      </c>
      <c r="BX31" s="113">
        <v>112947.68175</v>
      </c>
      <c r="BY31" s="113">
        <v>103525.10674999999</v>
      </c>
      <c r="BZ31" s="113">
        <v>98338.184999999998</v>
      </c>
      <c r="CA31" s="113">
        <v>104748.83999999998</v>
      </c>
      <c r="CB31" s="113">
        <v>141658.965</v>
      </c>
      <c r="CC31" s="113"/>
      <c r="CD31" s="113"/>
      <c r="CE31" s="113"/>
      <c r="CF31" s="113"/>
      <c r="CG31" s="113"/>
      <c r="CH31" s="114">
        <f t="shared" si="55"/>
        <v>98338.184999999998</v>
      </c>
      <c r="CI31" s="114">
        <f t="shared" si="56"/>
        <v>104748.83999999998</v>
      </c>
      <c r="CJ31" s="120">
        <f t="shared" si="57"/>
        <v>141658.965</v>
      </c>
      <c r="CK31" s="114">
        <f t="shared" si="58"/>
        <v>0</v>
      </c>
      <c r="CL31" s="114">
        <f t="shared" si="9"/>
        <v>344745.99</v>
      </c>
      <c r="CM31" s="114">
        <f t="shared" si="10"/>
        <v>419770.99999999994</v>
      </c>
      <c r="CN31" s="114">
        <f t="shared" si="59"/>
        <v>419770.99999999994</v>
      </c>
      <c r="CO31" s="116">
        <f t="shared" si="60"/>
        <v>0.82130000000000003</v>
      </c>
      <c r="CP31" s="126">
        <f t="shared" ca="1" si="61"/>
        <v>0</v>
      </c>
      <c r="CQ31" s="115">
        <f t="shared" ca="1" si="11"/>
        <v>0</v>
      </c>
      <c r="CR31" s="118" t="str">
        <f t="shared" si="12"/>
        <v>Uncapped</v>
      </c>
      <c r="CS31" s="115">
        <f t="shared" ca="1" si="13"/>
        <v>0</v>
      </c>
      <c r="CT31" s="113" t="s">
        <v>695</v>
      </c>
      <c r="CU31" s="119">
        <v>0.2</v>
      </c>
      <c r="CV31" s="113" t="s">
        <v>211</v>
      </c>
      <c r="CW31" s="113" t="s">
        <v>210</v>
      </c>
      <c r="CX31" s="113">
        <v>2407851.1739999996</v>
      </c>
      <c r="CY31" s="113">
        <v>2810506.1047999999</v>
      </c>
      <c r="CZ31" s="113">
        <v>2690624.2152000004</v>
      </c>
      <c r="DA31" s="113">
        <v>3300863.3019999992</v>
      </c>
      <c r="DB31" s="113">
        <v>2554242.6375000007</v>
      </c>
      <c r="DC31" s="113">
        <v>2655941.6627999977</v>
      </c>
      <c r="DD31" s="113">
        <v>2757733.470720002</v>
      </c>
      <c r="DE31" s="113"/>
      <c r="DF31" s="113"/>
      <c r="DG31" s="113"/>
      <c r="DH31" s="113"/>
      <c r="DI31" s="113"/>
      <c r="DJ31" s="114">
        <f t="shared" si="62"/>
        <v>2554242.6375000007</v>
      </c>
      <c r="DK31" s="114">
        <f t="shared" si="63"/>
        <v>2655941.6627999977</v>
      </c>
      <c r="DL31" s="114">
        <f t="shared" si="64"/>
        <v>2757733.470720002</v>
      </c>
      <c r="DM31" s="114">
        <f t="shared" si="65"/>
        <v>0</v>
      </c>
      <c r="DN31" s="114">
        <f t="shared" si="66"/>
        <v>7967917.7710200008</v>
      </c>
      <c r="DO31" s="114">
        <f t="shared" si="14"/>
        <v>11209844.796</v>
      </c>
      <c r="DP31" s="114">
        <f t="shared" si="67"/>
        <v>11209844.796</v>
      </c>
      <c r="DQ31" s="116">
        <f t="shared" si="68"/>
        <v>0.71079999999999999</v>
      </c>
      <c r="DR31" s="126">
        <f t="shared" ca="1" si="15"/>
        <v>0</v>
      </c>
      <c r="DS31" s="115">
        <f t="shared" ca="1" si="16"/>
        <v>0</v>
      </c>
      <c r="DT31" s="118" t="str">
        <f t="shared" si="17"/>
        <v>Uncapped</v>
      </c>
      <c r="DU31" s="115">
        <f t="shared" ca="1" si="18"/>
        <v>0</v>
      </c>
      <c r="DV31" s="113"/>
      <c r="DW31" s="119">
        <v>0</v>
      </c>
      <c r="DX31" s="113"/>
      <c r="DY31" s="113"/>
      <c r="DZ31" s="113">
        <v>0</v>
      </c>
      <c r="EA31" s="113">
        <v>0</v>
      </c>
      <c r="EB31" s="113">
        <v>0</v>
      </c>
      <c r="EC31" s="113">
        <v>0</v>
      </c>
      <c r="ED31" s="113">
        <v>0</v>
      </c>
      <c r="EE31" s="113">
        <v>0</v>
      </c>
      <c r="EF31" s="113"/>
      <c r="EG31" s="113"/>
      <c r="EH31" s="113"/>
      <c r="EI31" s="113"/>
      <c r="EJ31" s="113"/>
      <c r="EK31" s="113"/>
      <c r="EL31" s="114">
        <f t="shared" si="69"/>
        <v>0</v>
      </c>
      <c r="EM31" s="114">
        <f t="shared" si="70"/>
        <v>0</v>
      </c>
      <c r="EN31" s="114">
        <f t="shared" si="71"/>
        <v>0</v>
      </c>
      <c r="EO31" s="114">
        <f t="shared" si="72"/>
        <v>0</v>
      </c>
      <c r="EP31" s="114">
        <f t="shared" si="19"/>
        <v>0</v>
      </c>
      <c r="EQ31" s="114">
        <f t="shared" si="20"/>
        <v>0</v>
      </c>
      <c r="ER31" s="114">
        <f t="shared" si="73"/>
        <v>0</v>
      </c>
      <c r="ES31" s="116">
        <f t="shared" si="74"/>
        <v>0</v>
      </c>
      <c r="ET31" s="126">
        <f t="shared" ca="1" si="75"/>
        <v>0</v>
      </c>
      <c r="EU31" s="115">
        <f t="shared" ca="1" si="21"/>
        <v>0</v>
      </c>
      <c r="EV31" s="118" t="str">
        <f t="shared" si="22"/>
        <v>Uncapped</v>
      </c>
      <c r="EW31" s="115">
        <f t="shared" ca="1" si="23"/>
        <v>0</v>
      </c>
      <c r="EX31" s="112">
        <f t="shared" ca="1" si="24"/>
        <v>0</v>
      </c>
      <c r="EY31" s="114">
        <f t="shared" ca="1" si="76"/>
        <v>2000</v>
      </c>
      <c r="EZ31" s="115">
        <v>0</v>
      </c>
      <c r="FA31" s="115"/>
      <c r="FB31" s="115"/>
      <c r="FC31" s="115">
        <v>0</v>
      </c>
      <c r="FD31" s="115">
        <f t="shared" si="25"/>
        <v>0</v>
      </c>
      <c r="FE31" s="114">
        <f t="shared" si="26"/>
        <v>0</v>
      </c>
      <c r="FF31" s="115">
        <v>0</v>
      </c>
      <c r="FG31" s="115">
        <v>0</v>
      </c>
      <c r="FH31" s="115">
        <v>0</v>
      </c>
      <c r="FI31" s="115">
        <v>0</v>
      </c>
      <c r="FJ31" s="115">
        <f t="shared" si="27"/>
        <v>0</v>
      </c>
      <c r="FK31" s="114">
        <f t="shared" si="28"/>
        <v>0</v>
      </c>
      <c r="FL31" s="113"/>
      <c r="FM31" s="111"/>
      <c r="FN31" s="111"/>
      <c r="FO31" s="111"/>
      <c r="FP31" s="115">
        <f t="shared" si="88"/>
        <v>0</v>
      </c>
      <c r="FQ31" s="115"/>
      <c r="FR31" s="115"/>
      <c r="FS31" s="115"/>
      <c r="FT31" s="114">
        <f t="shared" si="77"/>
        <v>0</v>
      </c>
      <c r="FU31" s="366">
        <f t="shared" ca="1" si="79"/>
        <v>2000</v>
      </c>
      <c r="FV31" s="121">
        <f t="shared" ca="1" si="78"/>
        <v>2000</v>
      </c>
      <c r="FW31" s="114">
        <f t="shared" si="84"/>
        <v>0</v>
      </c>
      <c r="FX31" s="114">
        <f t="shared" si="84"/>
        <v>0</v>
      </c>
      <c r="FY31" s="114">
        <f t="shared" si="84"/>
        <v>0</v>
      </c>
      <c r="FZ31" s="114">
        <f t="shared" si="81"/>
        <v>0</v>
      </c>
      <c r="GA31" s="114">
        <f>SUM(FW31:FZ31)</f>
        <v>0</v>
      </c>
      <c r="GB31" s="114">
        <f t="shared" si="85"/>
        <v>0</v>
      </c>
      <c r="GC31" s="114">
        <f t="shared" si="85"/>
        <v>0</v>
      </c>
      <c r="GD31" s="114">
        <f t="shared" si="85"/>
        <v>0</v>
      </c>
      <c r="GE31" s="114">
        <f t="shared" si="82"/>
        <v>0</v>
      </c>
      <c r="GF31" s="114">
        <f t="shared" si="87"/>
        <v>0</v>
      </c>
      <c r="GG31" s="114">
        <f t="shared" si="87"/>
        <v>0</v>
      </c>
      <c r="GH31" s="114">
        <f t="shared" si="87"/>
        <v>0</v>
      </c>
      <c r="GI31" s="114">
        <f t="shared" si="87"/>
        <v>0</v>
      </c>
      <c r="GJ31" s="115">
        <f t="shared" si="34"/>
        <v>0</v>
      </c>
      <c r="GK31" s="114">
        <f>SUM(GF31:GI31)</f>
        <v>0</v>
      </c>
      <c r="GL31" s="114">
        <f t="shared" si="36"/>
        <v>2000</v>
      </c>
      <c r="GM31" s="114">
        <f t="shared" si="37"/>
        <v>0</v>
      </c>
      <c r="GN31" s="114">
        <f t="shared" si="38"/>
        <v>0</v>
      </c>
      <c r="GO31" s="114">
        <f t="shared" si="39"/>
        <v>0</v>
      </c>
      <c r="GP31" s="114">
        <f t="shared" si="40"/>
        <v>2000</v>
      </c>
      <c r="GQ31" s="114">
        <f>SUM(GL31:GO31)</f>
        <v>2000</v>
      </c>
      <c r="GR31" s="193"/>
      <c r="GS31" s="122">
        <f t="shared" si="42"/>
        <v>10215200.314619999</v>
      </c>
      <c r="GT31" s="122">
        <f t="shared" si="43"/>
        <v>13776905.179000001</v>
      </c>
      <c r="GU31" s="123">
        <f>IFERROR(GS31/GT31,"")</f>
        <v>0.74147278956313989</v>
      </c>
      <c r="GV31" s="124">
        <f t="shared" ca="1" si="45"/>
        <v>0</v>
      </c>
      <c r="GW31" s="124">
        <v>0</v>
      </c>
      <c r="GX31" s="32">
        <f t="shared" ca="1" si="46"/>
        <v>0</v>
      </c>
      <c r="GY31" s="100"/>
    </row>
    <row r="32" spans="1:207" s="152" customFormat="1" ht="15" hidden="1" customHeight="1">
      <c r="A32" s="129"/>
      <c r="B32" s="130"/>
      <c r="C32" s="130"/>
      <c r="D32" s="131"/>
      <c r="E32" s="131" t="s">
        <v>234</v>
      </c>
      <c r="F32" s="131" t="s">
        <v>235</v>
      </c>
      <c r="G32" s="131" t="s">
        <v>226</v>
      </c>
      <c r="H32" s="132" t="s">
        <v>300</v>
      </c>
      <c r="I32" s="133" t="s">
        <v>649</v>
      </c>
      <c r="J32" s="131" t="s">
        <v>238</v>
      </c>
      <c r="K32" s="131" t="s">
        <v>208</v>
      </c>
      <c r="L32" s="131" t="s">
        <v>301</v>
      </c>
      <c r="M32" s="131" t="s">
        <v>301</v>
      </c>
      <c r="N32" s="134"/>
      <c r="O32" s="551">
        <v>41376</v>
      </c>
      <c r="P32" s="155">
        <v>41640</v>
      </c>
      <c r="Q32" s="321">
        <f t="shared" si="0"/>
        <v>0</v>
      </c>
      <c r="R32" s="109">
        <f>IF((P32-VLOOKUP(Q32,month!$A$1:$C$13,3,0))&lt;0,Q32,Q32+1)</f>
        <v>0</v>
      </c>
      <c r="S32" s="108"/>
      <c r="T32" s="153" t="str">
        <f t="shared" si="80"/>
        <v/>
      </c>
      <c r="U32" s="134"/>
      <c r="V32" s="134"/>
      <c r="W32" s="134"/>
      <c r="X32" s="134"/>
      <c r="Y32" s="383"/>
      <c r="Z32" s="383" t="s">
        <v>545</v>
      </c>
      <c r="AA32" s="371">
        <v>1000</v>
      </c>
      <c r="AB32" s="371">
        <v>1000</v>
      </c>
      <c r="AC32" s="371">
        <v>1000</v>
      </c>
      <c r="AD32" s="371">
        <v>1000</v>
      </c>
      <c r="AE32" s="371">
        <v>1000</v>
      </c>
      <c r="AF32" s="371">
        <v>1000</v>
      </c>
      <c r="AG32" s="371">
        <v>1000</v>
      </c>
      <c r="AH32" s="371">
        <v>1000</v>
      </c>
      <c r="AI32" s="371">
        <v>1000</v>
      </c>
      <c r="AJ32" s="371">
        <v>1000</v>
      </c>
      <c r="AK32" s="371">
        <v>1000</v>
      </c>
      <c r="AL32" s="371">
        <v>1000</v>
      </c>
      <c r="AM32" s="384">
        <f t="shared" si="2"/>
        <v>12000</v>
      </c>
      <c r="AN32" s="384">
        <f t="shared" si="3"/>
        <v>12000</v>
      </c>
      <c r="AO32" s="385">
        <f t="shared" ref="AO32:AO35" si="94">AI32</f>
        <v>1000</v>
      </c>
      <c r="AP32" s="497" t="s">
        <v>682</v>
      </c>
      <c r="AQ32" s="156">
        <v>0.5</v>
      </c>
      <c r="AR32" s="157" t="s">
        <v>211</v>
      </c>
      <c r="AS32" s="146" t="s">
        <v>210</v>
      </c>
      <c r="AT32" s="136">
        <v>5683861.2217000006</v>
      </c>
      <c r="AU32" s="136">
        <v>6556745.5122000007</v>
      </c>
      <c r="AV32" s="136"/>
      <c r="AW32" s="136"/>
      <c r="AX32" s="138">
        <v>4912597.1829361506</v>
      </c>
      <c r="AY32" s="138">
        <v>6251630.6763357902</v>
      </c>
      <c r="AZ32" s="138"/>
      <c r="BA32" s="138"/>
      <c r="BB32" s="138"/>
      <c r="BC32" s="138"/>
      <c r="BD32" s="138"/>
      <c r="BE32" s="138"/>
      <c r="BF32" s="139">
        <f t="shared" si="48"/>
        <v>4912597.1829361506</v>
      </c>
      <c r="BG32" s="139">
        <f t="shared" si="49"/>
        <v>6251630.6763357902</v>
      </c>
      <c r="BH32" s="139">
        <f t="shared" si="50"/>
        <v>0</v>
      </c>
      <c r="BI32" s="139">
        <f t="shared" si="51"/>
        <v>0</v>
      </c>
      <c r="BJ32" s="139">
        <f t="shared" si="4"/>
        <v>11164227.85927194</v>
      </c>
      <c r="BK32" s="140">
        <f t="shared" si="5"/>
        <v>12240606.733900001</v>
      </c>
      <c r="BL32" s="140">
        <f t="shared" si="52"/>
        <v>12240606.733900001</v>
      </c>
      <c r="BM32" s="141">
        <f t="shared" si="53"/>
        <v>0.91210000000000002</v>
      </c>
      <c r="BN32" s="142">
        <f t="shared" ca="1" si="6"/>
        <v>0</v>
      </c>
      <c r="BO32" s="143">
        <f t="shared" ca="1" si="7"/>
        <v>0</v>
      </c>
      <c r="BP32" s="144" t="str">
        <f t="shared" si="54"/>
        <v>Uncapped</v>
      </c>
      <c r="BQ32" s="140">
        <f t="shared" ca="1" si="8"/>
        <v>0</v>
      </c>
      <c r="BR32" s="138" t="s">
        <v>700</v>
      </c>
      <c r="BS32" s="158">
        <v>0.3</v>
      </c>
      <c r="BT32" s="138" t="s">
        <v>211</v>
      </c>
      <c r="BU32" s="157" t="s">
        <v>210</v>
      </c>
      <c r="BV32" s="138">
        <v>530471.73</v>
      </c>
      <c r="BW32" s="138">
        <v>613065.78</v>
      </c>
      <c r="BX32" s="138"/>
      <c r="BY32" s="138"/>
      <c r="BZ32" s="138">
        <v>411033.27259999909</v>
      </c>
      <c r="CA32" s="138">
        <v>422912.27360000001</v>
      </c>
      <c r="CB32" s="138"/>
      <c r="CC32" s="138"/>
      <c r="CD32" s="138"/>
      <c r="CE32" s="138"/>
      <c r="CF32" s="138"/>
      <c r="CG32" s="138"/>
      <c r="CH32" s="139">
        <f t="shared" si="55"/>
        <v>411033.27259999909</v>
      </c>
      <c r="CI32" s="139">
        <f t="shared" si="56"/>
        <v>422912.27360000001</v>
      </c>
      <c r="CJ32" s="145">
        <f t="shared" si="57"/>
        <v>0</v>
      </c>
      <c r="CK32" s="139">
        <f t="shared" si="58"/>
        <v>0</v>
      </c>
      <c r="CL32" s="139">
        <f t="shared" si="9"/>
        <v>833945.54619999905</v>
      </c>
      <c r="CM32" s="139">
        <f t="shared" si="10"/>
        <v>1143537.51</v>
      </c>
      <c r="CN32" s="139">
        <f t="shared" si="59"/>
        <v>1143537.51</v>
      </c>
      <c r="CO32" s="141">
        <f t="shared" si="60"/>
        <v>0.72929999999999995</v>
      </c>
      <c r="CP32" s="142">
        <f t="shared" ca="1" si="61"/>
        <v>0</v>
      </c>
      <c r="CQ32" s="140">
        <f t="shared" ca="1" si="11"/>
        <v>0</v>
      </c>
      <c r="CR32" s="144" t="str">
        <f t="shared" si="12"/>
        <v>Uncapped</v>
      </c>
      <c r="CS32" s="140">
        <f t="shared" ca="1" si="13"/>
        <v>0</v>
      </c>
      <c r="CT32" s="138" t="s">
        <v>696</v>
      </c>
      <c r="CU32" s="146">
        <v>0.2</v>
      </c>
      <c r="CV32" s="138" t="s">
        <v>217</v>
      </c>
      <c r="CW32" s="138" t="s">
        <v>210</v>
      </c>
      <c r="CX32" s="138">
        <v>61881722.047854595</v>
      </c>
      <c r="CY32" s="138">
        <v>72180793.063260496</v>
      </c>
      <c r="CZ32" s="138"/>
      <c r="DA32" s="138"/>
      <c r="DB32" s="138">
        <v>63657388.730680585</v>
      </c>
      <c r="DC32" s="138">
        <v>65995192.891159989</v>
      </c>
      <c r="DD32" s="138"/>
      <c r="DE32" s="138"/>
      <c r="DF32" s="138"/>
      <c r="DG32" s="138"/>
      <c r="DH32" s="138"/>
      <c r="DI32" s="138"/>
      <c r="DJ32" s="139">
        <f t="shared" si="62"/>
        <v>63657388.730680585</v>
      </c>
      <c r="DK32" s="139">
        <f t="shared" si="63"/>
        <v>65995192.891159989</v>
      </c>
      <c r="DL32" s="139">
        <f t="shared" si="64"/>
        <v>0</v>
      </c>
      <c r="DM32" s="139">
        <f t="shared" si="65"/>
        <v>0</v>
      </c>
      <c r="DN32" s="139">
        <f t="shared" si="66"/>
        <v>129652581.62184057</v>
      </c>
      <c r="DO32" s="139">
        <f t="shared" si="14"/>
        <v>134062515.1111151</v>
      </c>
      <c r="DP32" s="139">
        <f t="shared" si="67"/>
        <v>134062515.1111151</v>
      </c>
      <c r="DQ32" s="141">
        <f t="shared" si="68"/>
        <v>0.96709999999999996</v>
      </c>
      <c r="DR32" s="142">
        <f t="shared" ca="1" si="15"/>
        <v>0</v>
      </c>
      <c r="DS32" s="140">
        <f t="shared" ca="1" si="16"/>
        <v>0</v>
      </c>
      <c r="DT32" s="144" t="str">
        <f t="shared" si="17"/>
        <v>Uncapped</v>
      </c>
      <c r="DU32" s="140">
        <f t="shared" ca="1" si="18"/>
        <v>0</v>
      </c>
      <c r="DV32" s="138"/>
      <c r="DW32" s="146">
        <v>0</v>
      </c>
      <c r="DX32" s="138"/>
      <c r="DY32" s="138"/>
      <c r="DZ32" s="138">
        <v>0</v>
      </c>
      <c r="EA32" s="138">
        <v>0</v>
      </c>
      <c r="EB32" s="138">
        <v>0</v>
      </c>
      <c r="EC32" s="138">
        <v>0</v>
      </c>
      <c r="ED32" s="138">
        <v>0</v>
      </c>
      <c r="EE32" s="138">
        <v>0</v>
      </c>
      <c r="EF32" s="138"/>
      <c r="EG32" s="138"/>
      <c r="EH32" s="138"/>
      <c r="EI32" s="138"/>
      <c r="EJ32" s="138"/>
      <c r="EK32" s="138"/>
      <c r="EL32" s="139">
        <f t="shared" si="69"/>
        <v>0</v>
      </c>
      <c r="EM32" s="139">
        <f t="shared" si="70"/>
        <v>0</v>
      </c>
      <c r="EN32" s="139">
        <f t="shared" si="71"/>
        <v>0</v>
      </c>
      <c r="EO32" s="139">
        <f t="shared" si="72"/>
        <v>0</v>
      </c>
      <c r="EP32" s="139">
        <f t="shared" si="19"/>
        <v>0</v>
      </c>
      <c r="EQ32" s="139">
        <f t="shared" si="20"/>
        <v>0</v>
      </c>
      <c r="ER32" s="139">
        <f t="shared" si="73"/>
        <v>0</v>
      </c>
      <c r="ES32" s="141">
        <f t="shared" si="74"/>
        <v>0</v>
      </c>
      <c r="ET32" s="142">
        <f t="shared" ca="1" si="75"/>
        <v>0</v>
      </c>
      <c r="EU32" s="140">
        <f t="shared" ca="1" si="21"/>
        <v>0</v>
      </c>
      <c r="EV32" s="144" t="str">
        <f t="shared" si="22"/>
        <v>Uncapped</v>
      </c>
      <c r="EW32" s="140">
        <f t="shared" ca="1" si="23"/>
        <v>0</v>
      </c>
      <c r="EX32" s="137">
        <f t="shared" ca="1" si="24"/>
        <v>0</v>
      </c>
      <c r="EY32" s="139">
        <f t="shared" ca="1" si="76"/>
        <v>0</v>
      </c>
      <c r="EZ32" s="140">
        <v>0</v>
      </c>
      <c r="FA32" s="140"/>
      <c r="FB32" s="140"/>
      <c r="FC32" s="140">
        <v>0</v>
      </c>
      <c r="FD32" s="140">
        <f t="shared" si="25"/>
        <v>0</v>
      </c>
      <c r="FE32" s="139">
        <f t="shared" si="26"/>
        <v>0</v>
      </c>
      <c r="FF32" s="140">
        <v>0</v>
      </c>
      <c r="FG32" s="140">
        <v>0</v>
      </c>
      <c r="FH32" s="140">
        <v>0</v>
      </c>
      <c r="FI32" s="140">
        <v>0</v>
      </c>
      <c r="FJ32" s="140">
        <f t="shared" si="27"/>
        <v>0</v>
      </c>
      <c r="FK32" s="139">
        <f t="shared" si="28"/>
        <v>0</v>
      </c>
      <c r="FL32" s="138"/>
      <c r="FM32" s="136"/>
      <c r="FN32" s="136"/>
      <c r="FO32" s="136"/>
      <c r="FP32" s="140">
        <f t="shared" si="88"/>
        <v>0</v>
      </c>
      <c r="FQ32" s="140"/>
      <c r="FR32" s="140"/>
      <c r="FS32" s="140"/>
      <c r="FT32" s="139">
        <f t="shared" si="77"/>
        <v>0</v>
      </c>
      <c r="FU32" s="365">
        <f t="shared" ca="1" si="79"/>
        <v>0</v>
      </c>
      <c r="FV32" s="147">
        <f t="shared" ca="1" si="78"/>
        <v>0</v>
      </c>
      <c r="FW32" s="139">
        <f t="shared" si="84"/>
        <v>0</v>
      </c>
      <c r="FX32" s="139">
        <f t="shared" si="84"/>
        <v>0</v>
      </c>
      <c r="FY32" s="139">
        <f t="shared" si="84"/>
        <v>0</v>
      </c>
      <c r="FZ32" s="139">
        <f t="shared" si="81"/>
        <v>0</v>
      </c>
      <c r="GA32" s="139">
        <f t="shared" si="89"/>
        <v>0</v>
      </c>
      <c r="GB32" s="139">
        <f t="shared" si="85"/>
        <v>0</v>
      </c>
      <c r="GC32" s="139">
        <f t="shared" si="85"/>
        <v>0</v>
      </c>
      <c r="GD32" s="139">
        <f t="shared" si="85"/>
        <v>0</v>
      </c>
      <c r="GE32" s="139">
        <f t="shared" si="82"/>
        <v>0</v>
      </c>
      <c r="GF32" s="139">
        <f t="shared" si="87"/>
        <v>0</v>
      </c>
      <c r="GG32" s="139">
        <f t="shared" si="87"/>
        <v>0</v>
      </c>
      <c r="GH32" s="139">
        <f t="shared" si="87"/>
        <v>0</v>
      </c>
      <c r="GI32" s="139">
        <f t="shared" si="86"/>
        <v>0</v>
      </c>
      <c r="GJ32" s="140">
        <f t="shared" si="34"/>
        <v>0</v>
      </c>
      <c r="GK32" s="139">
        <f t="shared" si="90"/>
        <v>0</v>
      </c>
      <c r="GL32" s="139">
        <f t="shared" si="36"/>
        <v>0</v>
      </c>
      <c r="GM32" s="139">
        <f t="shared" si="37"/>
        <v>0</v>
      </c>
      <c r="GN32" s="139">
        <f t="shared" si="38"/>
        <v>0</v>
      </c>
      <c r="GO32" s="139">
        <f t="shared" si="39"/>
        <v>0</v>
      </c>
      <c r="GP32" s="139">
        <f t="shared" si="40"/>
        <v>0</v>
      </c>
      <c r="GQ32" s="139">
        <f t="shared" si="91"/>
        <v>0</v>
      </c>
      <c r="GR32" s="409"/>
      <c r="GS32" s="148">
        <f t="shared" si="42"/>
        <v>141650755.02731252</v>
      </c>
      <c r="GT32" s="148">
        <f t="shared" si="43"/>
        <v>147446659.3550151</v>
      </c>
      <c r="GU32" s="149">
        <f t="shared" si="92"/>
        <v>0.96069151818660414</v>
      </c>
      <c r="GV32" s="150">
        <f t="shared" ca="1" si="45"/>
        <v>0</v>
      </c>
      <c r="GW32" s="150">
        <v>0</v>
      </c>
      <c r="GX32" s="151">
        <f t="shared" ca="1" si="46"/>
        <v>0</v>
      </c>
      <c r="GY32" s="100"/>
    </row>
    <row r="33" spans="1:207" s="125" customFormat="1" ht="15" hidden="1" customHeight="1">
      <c r="A33" s="102"/>
      <c r="B33" s="103"/>
      <c r="C33" s="103"/>
      <c r="D33" s="104"/>
      <c r="E33" s="104" t="s">
        <v>253</v>
      </c>
      <c r="F33" s="104" t="s">
        <v>243</v>
      </c>
      <c r="G33" s="104" t="s">
        <v>226</v>
      </c>
      <c r="H33" s="105" t="s">
        <v>302</v>
      </c>
      <c r="I33" s="106" t="s">
        <v>303</v>
      </c>
      <c r="J33" s="104" t="s">
        <v>207</v>
      </c>
      <c r="K33" s="104" t="s">
        <v>208</v>
      </c>
      <c r="L33" s="104" t="s">
        <v>246</v>
      </c>
      <c r="M33" s="104" t="s">
        <v>247</v>
      </c>
      <c r="N33" s="107"/>
      <c r="O33" s="108">
        <v>41376</v>
      </c>
      <c r="P33" s="108">
        <v>43009</v>
      </c>
      <c r="Q33" s="322">
        <f t="shared" si="0"/>
        <v>0</v>
      </c>
      <c r="R33" s="109">
        <f>IF((P33-VLOOKUP(Q33,month!$A$1:$C$13,3,0))&lt;0,Q33,Q33+1)</f>
        <v>0</v>
      </c>
      <c r="S33" s="108"/>
      <c r="T33" s="127" t="str">
        <f t="shared" si="80"/>
        <v/>
      </c>
      <c r="U33" s="107"/>
      <c r="V33" s="107"/>
      <c r="W33" s="107"/>
      <c r="X33" s="107"/>
      <c r="Y33" s="386"/>
      <c r="Z33" s="386" t="s">
        <v>545</v>
      </c>
      <c r="AA33" s="387">
        <v>1000</v>
      </c>
      <c r="AB33" s="387">
        <v>1000</v>
      </c>
      <c r="AC33" s="387">
        <v>1000</v>
      </c>
      <c r="AD33" s="387">
        <v>1000</v>
      </c>
      <c r="AE33" s="387">
        <v>1000</v>
      </c>
      <c r="AF33" s="387">
        <v>1000</v>
      </c>
      <c r="AG33" s="387">
        <v>1000</v>
      </c>
      <c r="AH33" s="387">
        <v>1000</v>
      </c>
      <c r="AI33" s="387">
        <v>1000</v>
      </c>
      <c r="AJ33" s="387">
        <v>1000</v>
      </c>
      <c r="AK33" s="387">
        <v>1000</v>
      </c>
      <c r="AL33" s="387">
        <v>1000</v>
      </c>
      <c r="AM33" s="388">
        <f t="shared" si="2"/>
        <v>12000</v>
      </c>
      <c r="AN33" s="388">
        <f t="shared" si="3"/>
        <v>12000</v>
      </c>
      <c r="AO33" s="389">
        <f t="shared" si="94"/>
        <v>1000</v>
      </c>
      <c r="AP33" s="498" t="s">
        <v>684</v>
      </c>
      <c r="AQ33" s="159">
        <v>0.8</v>
      </c>
      <c r="AR33" s="160" t="s">
        <v>211</v>
      </c>
      <c r="AS33" s="119" t="s">
        <v>210</v>
      </c>
      <c r="AT33" s="111">
        <v>2705777.0660000001</v>
      </c>
      <c r="AU33" s="111">
        <v>3327898.0589999999</v>
      </c>
      <c r="AV33" s="111">
        <v>3253311.3380000005</v>
      </c>
      <c r="AW33" s="111">
        <v>4253613.5369999995</v>
      </c>
      <c r="AX33" s="113">
        <v>2620944.7416000096</v>
      </c>
      <c r="AY33" s="113">
        <v>3280933.7388000023</v>
      </c>
      <c r="AZ33" s="113">
        <v>3468996.7668000124</v>
      </c>
      <c r="BA33" s="113"/>
      <c r="BB33" s="113"/>
      <c r="BC33" s="113"/>
      <c r="BD33" s="113"/>
      <c r="BE33" s="113"/>
      <c r="BF33" s="114">
        <f t="shared" si="48"/>
        <v>2620944.7416000096</v>
      </c>
      <c r="BG33" s="114">
        <f t="shared" si="49"/>
        <v>3280933.7388000023</v>
      </c>
      <c r="BH33" s="114">
        <f t="shared" si="50"/>
        <v>3468996.7668000124</v>
      </c>
      <c r="BI33" s="114">
        <f t="shared" si="51"/>
        <v>0</v>
      </c>
      <c r="BJ33" s="114">
        <f t="shared" si="4"/>
        <v>9370875.2472000234</v>
      </c>
      <c r="BK33" s="115">
        <f t="shared" si="5"/>
        <v>13540600</v>
      </c>
      <c r="BL33" s="115">
        <f t="shared" si="52"/>
        <v>13540600</v>
      </c>
      <c r="BM33" s="116">
        <f t="shared" si="53"/>
        <v>0.69210000000000005</v>
      </c>
      <c r="BN33" s="126">
        <f t="shared" ca="1" si="6"/>
        <v>0</v>
      </c>
      <c r="BO33" s="117">
        <f t="shared" ca="1" si="7"/>
        <v>0</v>
      </c>
      <c r="BP33" s="118" t="str">
        <f t="shared" si="54"/>
        <v>Uncapped</v>
      </c>
      <c r="BQ33" s="115">
        <f t="shared" ca="1" si="8"/>
        <v>0</v>
      </c>
      <c r="BR33" s="113" t="s">
        <v>688</v>
      </c>
      <c r="BS33" s="161">
        <v>0.2</v>
      </c>
      <c r="BT33" s="113" t="s">
        <v>217</v>
      </c>
      <c r="BU33" s="160" t="s">
        <v>210</v>
      </c>
      <c r="BV33" s="113">
        <v>19653413.080999997</v>
      </c>
      <c r="BW33" s="113">
        <v>22848780.235100001</v>
      </c>
      <c r="BX33" s="113">
        <v>22618799.574099999</v>
      </c>
      <c r="BY33" s="113">
        <v>27098464.121500004</v>
      </c>
      <c r="BZ33" s="113">
        <v>19427532.107000571</v>
      </c>
      <c r="CA33" s="113">
        <v>22270538.357580002</v>
      </c>
      <c r="CB33" s="113">
        <v>22879083.486580007</v>
      </c>
      <c r="CC33" s="113"/>
      <c r="CD33" s="113"/>
      <c r="CE33" s="113"/>
      <c r="CF33" s="113"/>
      <c r="CG33" s="113"/>
      <c r="CH33" s="114">
        <f t="shared" si="55"/>
        <v>19427532.107000571</v>
      </c>
      <c r="CI33" s="114">
        <f t="shared" si="56"/>
        <v>22270538.357580002</v>
      </c>
      <c r="CJ33" s="120">
        <f t="shared" si="57"/>
        <v>22879083.486580007</v>
      </c>
      <c r="CK33" s="114">
        <f t="shared" si="58"/>
        <v>0</v>
      </c>
      <c r="CL33" s="114">
        <f t="shared" si="9"/>
        <v>64577153.95116058</v>
      </c>
      <c r="CM33" s="114">
        <f t="shared" si="10"/>
        <v>92219457.011700004</v>
      </c>
      <c r="CN33" s="114">
        <f t="shared" si="59"/>
        <v>92219457.011700004</v>
      </c>
      <c r="CO33" s="116">
        <f t="shared" si="60"/>
        <v>0.70030000000000003</v>
      </c>
      <c r="CP33" s="126">
        <f t="shared" ca="1" si="61"/>
        <v>0</v>
      </c>
      <c r="CQ33" s="115">
        <f t="shared" ca="1" si="11"/>
        <v>0</v>
      </c>
      <c r="CR33" s="118" t="str">
        <f t="shared" si="12"/>
        <v>Uncapped</v>
      </c>
      <c r="CS33" s="115">
        <f t="shared" ca="1" si="13"/>
        <v>0</v>
      </c>
      <c r="CT33" s="113"/>
      <c r="CU33" s="119">
        <v>0</v>
      </c>
      <c r="CV33" s="113"/>
      <c r="CW33" s="113"/>
      <c r="CX33" s="113">
        <v>0</v>
      </c>
      <c r="CY33" s="113">
        <v>0</v>
      </c>
      <c r="CZ33" s="113">
        <v>0</v>
      </c>
      <c r="DA33" s="113">
        <v>0</v>
      </c>
      <c r="DB33" s="113">
        <v>0</v>
      </c>
      <c r="DC33" s="113">
        <v>0</v>
      </c>
      <c r="DD33" s="113">
        <v>0</v>
      </c>
      <c r="DE33" s="113"/>
      <c r="DF33" s="113"/>
      <c r="DG33" s="113"/>
      <c r="DH33" s="113"/>
      <c r="DI33" s="113"/>
      <c r="DJ33" s="114">
        <f t="shared" si="62"/>
        <v>0</v>
      </c>
      <c r="DK33" s="114">
        <f t="shared" si="63"/>
        <v>0</v>
      </c>
      <c r="DL33" s="114">
        <f t="shared" si="64"/>
        <v>0</v>
      </c>
      <c r="DM33" s="114">
        <f t="shared" si="65"/>
        <v>0</v>
      </c>
      <c r="DN33" s="114">
        <f t="shared" si="66"/>
        <v>0</v>
      </c>
      <c r="DO33" s="114">
        <f t="shared" si="14"/>
        <v>0</v>
      </c>
      <c r="DP33" s="114">
        <f t="shared" si="67"/>
        <v>0</v>
      </c>
      <c r="DQ33" s="116">
        <f t="shared" si="68"/>
        <v>0</v>
      </c>
      <c r="DR33" s="126">
        <f t="shared" ca="1" si="15"/>
        <v>0</v>
      </c>
      <c r="DS33" s="115">
        <f t="shared" ca="1" si="16"/>
        <v>0</v>
      </c>
      <c r="DT33" s="118" t="str">
        <f t="shared" si="17"/>
        <v>Uncapped</v>
      </c>
      <c r="DU33" s="115">
        <f t="shared" ca="1" si="18"/>
        <v>0</v>
      </c>
      <c r="DV33" s="113"/>
      <c r="DW33" s="119">
        <v>0</v>
      </c>
      <c r="DX33" s="113"/>
      <c r="DY33" s="113"/>
      <c r="DZ33" s="113">
        <v>0</v>
      </c>
      <c r="EA33" s="113">
        <v>0</v>
      </c>
      <c r="EB33" s="113">
        <v>0</v>
      </c>
      <c r="EC33" s="113">
        <v>0</v>
      </c>
      <c r="ED33" s="113">
        <v>0</v>
      </c>
      <c r="EE33" s="113">
        <v>0</v>
      </c>
      <c r="EF33" s="113"/>
      <c r="EG33" s="113"/>
      <c r="EH33" s="113"/>
      <c r="EI33" s="113"/>
      <c r="EJ33" s="113"/>
      <c r="EK33" s="113"/>
      <c r="EL33" s="114">
        <f t="shared" si="69"/>
        <v>0</v>
      </c>
      <c r="EM33" s="114">
        <f t="shared" si="70"/>
        <v>0</v>
      </c>
      <c r="EN33" s="114">
        <f t="shared" si="71"/>
        <v>0</v>
      </c>
      <c r="EO33" s="114">
        <f t="shared" si="72"/>
        <v>0</v>
      </c>
      <c r="EP33" s="114">
        <f t="shared" si="19"/>
        <v>0</v>
      </c>
      <c r="EQ33" s="114">
        <f t="shared" si="20"/>
        <v>0</v>
      </c>
      <c r="ER33" s="114">
        <f t="shared" si="73"/>
        <v>0</v>
      </c>
      <c r="ES33" s="116">
        <f t="shared" si="74"/>
        <v>0</v>
      </c>
      <c r="ET33" s="126">
        <f t="shared" ca="1" si="75"/>
        <v>0</v>
      </c>
      <c r="EU33" s="115">
        <f t="shared" ca="1" si="21"/>
        <v>0</v>
      </c>
      <c r="EV33" s="118" t="str">
        <f t="shared" si="22"/>
        <v>Uncapped</v>
      </c>
      <c r="EW33" s="115">
        <f t="shared" ca="1" si="23"/>
        <v>0</v>
      </c>
      <c r="EX33" s="112">
        <f t="shared" ca="1" si="24"/>
        <v>0</v>
      </c>
      <c r="EY33" s="114">
        <f t="shared" ca="1" si="76"/>
        <v>0</v>
      </c>
      <c r="EZ33" s="115">
        <v>0</v>
      </c>
      <c r="FA33" s="115"/>
      <c r="FB33" s="115"/>
      <c r="FC33" s="115">
        <v>0</v>
      </c>
      <c r="FD33" s="115">
        <f t="shared" si="25"/>
        <v>0</v>
      </c>
      <c r="FE33" s="114">
        <f t="shared" si="26"/>
        <v>0</v>
      </c>
      <c r="FF33" s="115">
        <v>0</v>
      </c>
      <c r="FG33" s="115">
        <v>0</v>
      </c>
      <c r="FH33" s="115">
        <v>0</v>
      </c>
      <c r="FI33" s="115">
        <v>0</v>
      </c>
      <c r="FJ33" s="115">
        <f t="shared" si="27"/>
        <v>0</v>
      </c>
      <c r="FK33" s="114">
        <f t="shared" si="28"/>
        <v>0</v>
      </c>
      <c r="FL33" s="113"/>
      <c r="FM33" s="111"/>
      <c r="FN33" s="111"/>
      <c r="FO33" s="111"/>
      <c r="FP33" s="115">
        <f t="shared" si="88"/>
        <v>0</v>
      </c>
      <c r="FQ33" s="115"/>
      <c r="FR33" s="115"/>
      <c r="FS33" s="115"/>
      <c r="FT33" s="114">
        <f t="shared" si="77"/>
        <v>0</v>
      </c>
      <c r="FU33" s="366">
        <f t="shared" ca="1" si="79"/>
        <v>0</v>
      </c>
      <c r="FV33" s="121">
        <f t="shared" ca="1" si="78"/>
        <v>0</v>
      </c>
      <c r="FW33" s="114">
        <f t="shared" si="84"/>
        <v>0</v>
      </c>
      <c r="FX33" s="114">
        <f t="shared" si="84"/>
        <v>0</v>
      </c>
      <c r="FY33" s="114">
        <f t="shared" si="84"/>
        <v>0</v>
      </c>
      <c r="FZ33" s="114">
        <f t="shared" si="81"/>
        <v>0</v>
      </c>
      <c r="GA33" s="114">
        <f t="shared" si="89"/>
        <v>0</v>
      </c>
      <c r="GB33" s="114">
        <f t="shared" si="85"/>
        <v>0</v>
      </c>
      <c r="GC33" s="114">
        <f t="shared" si="85"/>
        <v>0</v>
      </c>
      <c r="GD33" s="114">
        <f t="shared" si="85"/>
        <v>0</v>
      </c>
      <c r="GE33" s="114">
        <f t="shared" si="82"/>
        <v>0</v>
      </c>
      <c r="GF33" s="114">
        <f t="shared" si="87"/>
        <v>0</v>
      </c>
      <c r="GG33" s="114">
        <f t="shared" si="87"/>
        <v>0</v>
      </c>
      <c r="GH33" s="114">
        <f t="shared" si="87"/>
        <v>0</v>
      </c>
      <c r="GI33" s="114">
        <f t="shared" si="86"/>
        <v>0</v>
      </c>
      <c r="GJ33" s="115">
        <f t="shared" si="34"/>
        <v>0</v>
      </c>
      <c r="GK33" s="114">
        <f t="shared" si="90"/>
        <v>0</v>
      </c>
      <c r="GL33" s="114">
        <f t="shared" si="36"/>
        <v>0</v>
      </c>
      <c r="GM33" s="114">
        <f t="shared" si="37"/>
        <v>0</v>
      </c>
      <c r="GN33" s="114">
        <f t="shared" si="38"/>
        <v>0</v>
      </c>
      <c r="GO33" s="114">
        <f t="shared" si="39"/>
        <v>0</v>
      </c>
      <c r="GP33" s="114">
        <f t="shared" si="40"/>
        <v>0</v>
      </c>
      <c r="GQ33" s="114">
        <f t="shared" si="91"/>
        <v>0</v>
      </c>
      <c r="GR33" s="193"/>
      <c r="GS33" s="122">
        <f t="shared" si="42"/>
        <v>73948029.198360607</v>
      </c>
      <c r="GT33" s="122">
        <f t="shared" si="43"/>
        <v>105760057.0117</v>
      </c>
      <c r="GU33" s="123">
        <f t="shared" si="92"/>
        <v>0.69920564802815777</v>
      </c>
      <c r="GV33" s="124">
        <f t="shared" ca="1" si="45"/>
        <v>0</v>
      </c>
      <c r="GW33" s="124">
        <v>0</v>
      </c>
      <c r="GX33" s="32">
        <f t="shared" ca="1" si="46"/>
        <v>0</v>
      </c>
      <c r="GY33" s="100"/>
    </row>
    <row r="34" spans="1:207" s="125" customFormat="1" ht="15" hidden="1" customHeight="1">
      <c r="A34" s="102"/>
      <c r="B34" s="103"/>
      <c r="C34" s="103"/>
      <c r="D34" s="104"/>
      <c r="E34" s="104" t="s">
        <v>253</v>
      </c>
      <c r="F34" s="104" t="s">
        <v>248</v>
      </c>
      <c r="G34" s="104" t="s">
        <v>226</v>
      </c>
      <c r="H34" s="105" t="s">
        <v>304</v>
      </c>
      <c r="I34" s="106" t="s">
        <v>305</v>
      </c>
      <c r="J34" s="104" t="s">
        <v>212</v>
      </c>
      <c r="K34" s="104" t="s">
        <v>208</v>
      </c>
      <c r="L34" s="104" t="s">
        <v>213</v>
      </c>
      <c r="M34" s="104" t="s">
        <v>247</v>
      </c>
      <c r="N34" s="107"/>
      <c r="O34" s="108">
        <v>41426</v>
      </c>
      <c r="P34" s="108">
        <v>41640</v>
      </c>
      <c r="Q34" s="322">
        <f t="shared" si="0"/>
        <v>0</v>
      </c>
      <c r="R34" s="109">
        <f>IF((P34-VLOOKUP(Q34,month!$A$1:$C$13,3,0))&lt;0,Q34,Q34+1)</f>
        <v>0</v>
      </c>
      <c r="S34" s="108"/>
      <c r="T34" s="110" t="str">
        <f t="shared" si="80"/>
        <v/>
      </c>
      <c r="U34" s="107"/>
      <c r="V34" s="107"/>
      <c r="W34" s="107"/>
      <c r="X34" s="107"/>
      <c r="Y34" s="386"/>
      <c r="Z34" s="386" t="s">
        <v>545</v>
      </c>
      <c r="AA34" s="387">
        <v>1000</v>
      </c>
      <c r="AB34" s="387">
        <v>1000</v>
      </c>
      <c r="AC34" s="387">
        <v>1000</v>
      </c>
      <c r="AD34" s="387">
        <v>1000</v>
      </c>
      <c r="AE34" s="387">
        <v>1000</v>
      </c>
      <c r="AF34" s="387">
        <v>1000</v>
      </c>
      <c r="AG34" s="387">
        <v>1000</v>
      </c>
      <c r="AH34" s="387">
        <v>1000</v>
      </c>
      <c r="AI34" s="387">
        <v>1000</v>
      </c>
      <c r="AJ34" s="387">
        <v>1000</v>
      </c>
      <c r="AK34" s="387">
        <v>1000</v>
      </c>
      <c r="AL34" s="387">
        <v>1000</v>
      </c>
      <c r="AM34" s="388">
        <f t="shared" si="2"/>
        <v>12000</v>
      </c>
      <c r="AN34" s="388">
        <f t="shared" si="3"/>
        <v>12000</v>
      </c>
      <c r="AO34" s="390">
        <f t="shared" si="94"/>
        <v>1000</v>
      </c>
      <c r="AP34" s="498" t="s">
        <v>685</v>
      </c>
      <c r="AQ34" s="159">
        <v>0.8</v>
      </c>
      <c r="AR34" s="160" t="s">
        <v>392</v>
      </c>
      <c r="AS34" s="119" t="s">
        <v>210</v>
      </c>
      <c r="AT34" s="111">
        <v>1738400</v>
      </c>
      <c r="AU34" s="111">
        <v>2188100</v>
      </c>
      <c r="AV34" s="111">
        <v>1949300</v>
      </c>
      <c r="AW34" s="111">
        <v>2624400</v>
      </c>
      <c r="AX34" s="113">
        <v>1582586.5941000099</v>
      </c>
      <c r="AY34" s="113">
        <v>2012973.1443</v>
      </c>
      <c r="AZ34" s="113">
        <v>2200654.2429000116</v>
      </c>
      <c r="BA34" s="113"/>
      <c r="BB34" s="113"/>
      <c r="BC34" s="113"/>
      <c r="BD34" s="113"/>
      <c r="BE34" s="113"/>
      <c r="BF34" s="114">
        <f t="shared" si="48"/>
        <v>1582586.5941000099</v>
      </c>
      <c r="BG34" s="114">
        <f t="shared" si="49"/>
        <v>2012973.1443</v>
      </c>
      <c r="BH34" s="114">
        <f t="shared" si="50"/>
        <v>2200654.2429000116</v>
      </c>
      <c r="BI34" s="114">
        <f t="shared" si="51"/>
        <v>0</v>
      </c>
      <c r="BJ34" s="114">
        <f t="shared" si="4"/>
        <v>5796213.9813000215</v>
      </c>
      <c r="BK34" s="115">
        <f t="shared" si="5"/>
        <v>8500200</v>
      </c>
      <c r="BL34" s="115">
        <f t="shared" si="52"/>
        <v>8500200</v>
      </c>
      <c r="BM34" s="116">
        <f t="shared" si="53"/>
        <v>0.68189999999999995</v>
      </c>
      <c r="BN34" s="126">
        <f t="shared" ca="1" si="6"/>
        <v>0</v>
      </c>
      <c r="BO34" s="117">
        <f t="shared" ca="1" si="7"/>
        <v>0</v>
      </c>
      <c r="BP34" s="118" t="str">
        <f t="shared" si="54"/>
        <v>Uncapped</v>
      </c>
      <c r="BQ34" s="115">
        <f t="shared" ca="1" si="8"/>
        <v>0</v>
      </c>
      <c r="BR34" s="113" t="s">
        <v>695</v>
      </c>
      <c r="BS34" s="161">
        <v>0.2</v>
      </c>
      <c r="BT34" s="113" t="s">
        <v>217</v>
      </c>
      <c r="BU34" s="160" t="s">
        <v>210</v>
      </c>
      <c r="BV34" s="113">
        <v>2705777.0660000001</v>
      </c>
      <c r="BW34" s="113">
        <v>3327898.0589999999</v>
      </c>
      <c r="BX34" s="113">
        <v>3253311.3380000005</v>
      </c>
      <c r="BY34" s="113">
        <v>4253613.5369999995</v>
      </c>
      <c r="BZ34" s="113">
        <v>2620944.7416000096</v>
      </c>
      <c r="CA34" s="113">
        <v>3280933.7388000023</v>
      </c>
      <c r="CB34" s="113">
        <v>3468996.7668000124</v>
      </c>
      <c r="CC34" s="113"/>
      <c r="CD34" s="113"/>
      <c r="CE34" s="113"/>
      <c r="CF34" s="113"/>
      <c r="CG34" s="113"/>
      <c r="CH34" s="114">
        <f t="shared" si="55"/>
        <v>2620944.7416000096</v>
      </c>
      <c r="CI34" s="114">
        <f t="shared" si="56"/>
        <v>3280933.7388000023</v>
      </c>
      <c r="CJ34" s="120">
        <f t="shared" si="57"/>
        <v>3468996.7668000124</v>
      </c>
      <c r="CK34" s="114">
        <f t="shared" si="58"/>
        <v>0</v>
      </c>
      <c r="CL34" s="114">
        <f t="shared" si="9"/>
        <v>9370875.2472000234</v>
      </c>
      <c r="CM34" s="114">
        <f t="shared" si="10"/>
        <v>13540600</v>
      </c>
      <c r="CN34" s="114">
        <f t="shared" si="59"/>
        <v>13540600</v>
      </c>
      <c r="CO34" s="116">
        <f t="shared" si="60"/>
        <v>0.69210000000000005</v>
      </c>
      <c r="CP34" s="126">
        <f t="shared" ca="1" si="61"/>
        <v>0</v>
      </c>
      <c r="CQ34" s="115">
        <f t="shared" ca="1" si="11"/>
        <v>0</v>
      </c>
      <c r="CR34" s="118" t="str">
        <f t="shared" si="12"/>
        <v>Uncapped</v>
      </c>
      <c r="CS34" s="115">
        <f t="shared" ca="1" si="13"/>
        <v>0</v>
      </c>
      <c r="CT34" s="113"/>
      <c r="CU34" s="119">
        <v>0</v>
      </c>
      <c r="CV34" s="113"/>
      <c r="CW34" s="113"/>
      <c r="CX34" s="113">
        <v>0</v>
      </c>
      <c r="CY34" s="113">
        <v>0</v>
      </c>
      <c r="CZ34" s="113">
        <v>0</v>
      </c>
      <c r="DA34" s="113">
        <v>0</v>
      </c>
      <c r="DB34" s="113">
        <v>0</v>
      </c>
      <c r="DC34" s="113">
        <v>0</v>
      </c>
      <c r="DD34" s="113">
        <v>0</v>
      </c>
      <c r="DE34" s="166"/>
      <c r="DF34" s="166"/>
      <c r="DG34" s="166"/>
      <c r="DH34" s="166"/>
      <c r="DI34" s="166"/>
      <c r="DJ34" s="114">
        <f t="shared" si="62"/>
        <v>0</v>
      </c>
      <c r="DK34" s="114">
        <f t="shared" si="63"/>
        <v>0</v>
      </c>
      <c r="DL34" s="114">
        <f t="shared" si="64"/>
        <v>0</v>
      </c>
      <c r="DM34" s="114">
        <f t="shared" si="65"/>
        <v>0</v>
      </c>
      <c r="DN34" s="114">
        <f t="shared" si="66"/>
        <v>0</v>
      </c>
      <c r="DO34" s="114">
        <f t="shared" si="14"/>
        <v>0</v>
      </c>
      <c r="DP34" s="114">
        <f t="shared" si="67"/>
        <v>0</v>
      </c>
      <c r="DQ34" s="116">
        <f t="shared" si="68"/>
        <v>0</v>
      </c>
      <c r="DR34" s="126">
        <f t="shared" ca="1" si="15"/>
        <v>0</v>
      </c>
      <c r="DS34" s="115">
        <f t="shared" ca="1" si="16"/>
        <v>0</v>
      </c>
      <c r="DT34" s="118" t="str">
        <f t="shared" si="17"/>
        <v>Uncapped</v>
      </c>
      <c r="DU34" s="115">
        <f t="shared" ca="1" si="18"/>
        <v>0</v>
      </c>
      <c r="DV34" s="113"/>
      <c r="DW34" s="119">
        <v>0</v>
      </c>
      <c r="DX34" s="113"/>
      <c r="DY34" s="113"/>
      <c r="DZ34" s="113">
        <v>0</v>
      </c>
      <c r="EA34" s="113">
        <v>0</v>
      </c>
      <c r="EB34" s="113">
        <v>0</v>
      </c>
      <c r="EC34" s="113">
        <v>0</v>
      </c>
      <c r="ED34" s="113">
        <v>0</v>
      </c>
      <c r="EE34" s="113">
        <v>0</v>
      </c>
      <c r="EF34" s="113"/>
      <c r="EG34" s="166"/>
      <c r="EH34" s="166"/>
      <c r="EI34" s="166"/>
      <c r="EJ34" s="166"/>
      <c r="EK34" s="166"/>
      <c r="EL34" s="114">
        <f t="shared" si="69"/>
        <v>0</v>
      </c>
      <c r="EM34" s="114">
        <f t="shared" si="70"/>
        <v>0</v>
      </c>
      <c r="EN34" s="114">
        <f t="shared" si="71"/>
        <v>0</v>
      </c>
      <c r="EO34" s="114">
        <f t="shared" si="72"/>
        <v>0</v>
      </c>
      <c r="EP34" s="114">
        <f t="shared" si="19"/>
        <v>0</v>
      </c>
      <c r="EQ34" s="114">
        <f t="shared" si="20"/>
        <v>0</v>
      </c>
      <c r="ER34" s="114">
        <f t="shared" si="73"/>
        <v>0</v>
      </c>
      <c r="ES34" s="116">
        <f t="shared" si="74"/>
        <v>0</v>
      </c>
      <c r="ET34" s="126">
        <f t="shared" ca="1" si="75"/>
        <v>0</v>
      </c>
      <c r="EU34" s="115">
        <f t="shared" ca="1" si="21"/>
        <v>0</v>
      </c>
      <c r="EV34" s="118" t="str">
        <f t="shared" si="22"/>
        <v>Uncapped</v>
      </c>
      <c r="EW34" s="115">
        <f t="shared" ca="1" si="23"/>
        <v>0</v>
      </c>
      <c r="EX34" s="112">
        <f t="shared" ca="1" si="24"/>
        <v>0</v>
      </c>
      <c r="EY34" s="114">
        <f t="shared" ca="1" si="76"/>
        <v>0</v>
      </c>
      <c r="EZ34" s="115">
        <v>0</v>
      </c>
      <c r="FA34" s="115"/>
      <c r="FB34" s="115"/>
      <c r="FC34" s="115">
        <v>0</v>
      </c>
      <c r="FD34" s="115">
        <f t="shared" si="25"/>
        <v>0</v>
      </c>
      <c r="FE34" s="114">
        <f t="shared" si="26"/>
        <v>0</v>
      </c>
      <c r="FF34" s="115">
        <v>0</v>
      </c>
      <c r="FG34" s="115">
        <v>0</v>
      </c>
      <c r="FH34" s="115">
        <v>0</v>
      </c>
      <c r="FI34" s="115">
        <v>0</v>
      </c>
      <c r="FJ34" s="115">
        <f t="shared" si="27"/>
        <v>0</v>
      </c>
      <c r="FK34" s="114">
        <f t="shared" si="28"/>
        <v>0</v>
      </c>
      <c r="FL34" s="113"/>
      <c r="FM34" s="111"/>
      <c r="FN34" s="111"/>
      <c r="FO34" s="111"/>
      <c r="FP34" s="115">
        <f t="shared" si="88"/>
        <v>0</v>
      </c>
      <c r="FQ34" s="115"/>
      <c r="FR34" s="115"/>
      <c r="FS34" s="115"/>
      <c r="FT34" s="114">
        <f t="shared" si="77"/>
        <v>0</v>
      </c>
      <c r="FU34" s="366">
        <f t="shared" ca="1" si="79"/>
        <v>0</v>
      </c>
      <c r="FV34" s="121">
        <f t="shared" ca="1" si="78"/>
        <v>0</v>
      </c>
      <c r="FW34" s="114">
        <f t="shared" si="84"/>
        <v>0</v>
      </c>
      <c r="FX34" s="114">
        <f t="shared" si="84"/>
        <v>0</v>
      </c>
      <c r="FY34" s="114">
        <f t="shared" si="84"/>
        <v>0</v>
      </c>
      <c r="FZ34" s="114">
        <f t="shared" si="81"/>
        <v>0</v>
      </c>
      <c r="GA34" s="114">
        <f t="shared" si="89"/>
        <v>0</v>
      </c>
      <c r="GB34" s="114">
        <f t="shared" si="85"/>
        <v>0</v>
      </c>
      <c r="GC34" s="114">
        <f t="shared" si="85"/>
        <v>0</v>
      </c>
      <c r="GD34" s="114">
        <f t="shared" si="85"/>
        <v>0</v>
      </c>
      <c r="GE34" s="114">
        <f t="shared" si="82"/>
        <v>0</v>
      </c>
      <c r="GF34" s="114">
        <f t="shared" si="87"/>
        <v>0</v>
      </c>
      <c r="GG34" s="114">
        <f t="shared" si="87"/>
        <v>0</v>
      </c>
      <c r="GH34" s="114">
        <f t="shared" si="87"/>
        <v>0</v>
      </c>
      <c r="GI34" s="114">
        <f t="shared" si="86"/>
        <v>0</v>
      </c>
      <c r="GJ34" s="115">
        <f t="shared" si="34"/>
        <v>0</v>
      </c>
      <c r="GK34" s="114">
        <f t="shared" si="90"/>
        <v>0</v>
      </c>
      <c r="GL34" s="114">
        <f t="shared" si="36"/>
        <v>0</v>
      </c>
      <c r="GM34" s="114">
        <f t="shared" si="37"/>
        <v>0</v>
      </c>
      <c r="GN34" s="114">
        <f t="shared" si="38"/>
        <v>0</v>
      </c>
      <c r="GO34" s="114">
        <f t="shared" si="39"/>
        <v>0</v>
      </c>
      <c r="GP34" s="114">
        <f t="shared" si="40"/>
        <v>0</v>
      </c>
      <c r="GQ34" s="114">
        <f t="shared" si="91"/>
        <v>0</v>
      </c>
      <c r="GR34" s="193"/>
      <c r="GS34" s="122">
        <f t="shared" si="42"/>
        <v>15167089.228500046</v>
      </c>
      <c r="GT34" s="122">
        <f t="shared" si="43"/>
        <v>22040800</v>
      </c>
      <c r="GU34" s="123">
        <f t="shared" si="92"/>
        <v>0.6881369654685876</v>
      </c>
      <c r="GV34" s="124">
        <f t="shared" ca="1" si="45"/>
        <v>0</v>
      </c>
      <c r="GW34" s="124">
        <v>0</v>
      </c>
      <c r="GX34" s="32">
        <f t="shared" ca="1" si="46"/>
        <v>0</v>
      </c>
      <c r="GY34" s="100"/>
    </row>
    <row r="35" spans="1:207" s="125" customFormat="1" ht="15" hidden="1" customHeight="1">
      <c r="A35" s="102"/>
      <c r="B35" s="103"/>
      <c r="C35" s="103"/>
      <c r="D35" s="104"/>
      <c r="E35" s="104" t="s">
        <v>253</v>
      </c>
      <c r="F35" s="104" t="s">
        <v>248</v>
      </c>
      <c r="G35" s="104" t="s">
        <v>226</v>
      </c>
      <c r="H35" s="105" t="s">
        <v>306</v>
      </c>
      <c r="I35" s="106" t="s">
        <v>307</v>
      </c>
      <c r="J35" s="104" t="s">
        <v>212</v>
      </c>
      <c r="K35" s="104" t="s">
        <v>208</v>
      </c>
      <c r="L35" s="104" t="s">
        <v>213</v>
      </c>
      <c r="M35" s="104" t="s">
        <v>247</v>
      </c>
      <c r="N35" s="107"/>
      <c r="O35" s="108">
        <v>41376</v>
      </c>
      <c r="P35" s="108">
        <v>41640</v>
      </c>
      <c r="Q35" s="322">
        <f t="shared" si="0"/>
        <v>0</v>
      </c>
      <c r="R35" s="109">
        <f>IF((P35-VLOOKUP(Q35,month!$A$1:$C$13,3,0))&lt;0,Q35,Q35+1)</f>
        <v>0</v>
      </c>
      <c r="S35" s="108"/>
      <c r="T35" s="110" t="str">
        <f>IF(S35&gt;0,"Y","")</f>
        <v/>
      </c>
      <c r="U35" s="107"/>
      <c r="V35" s="107"/>
      <c r="W35" s="107"/>
      <c r="X35" s="107"/>
      <c r="Y35" s="386"/>
      <c r="Z35" s="386" t="s">
        <v>545</v>
      </c>
      <c r="AA35" s="387">
        <v>1000</v>
      </c>
      <c r="AB35" s="387">
        <v>1000</v>
      </c>
      <c r="AC35" s="387">
        <v>1000</v>
      </c>
      <c r="AD35" s="387">
        <v>1000</v>
      </c>
      <c r="AE35" s="387">
        <v>1000</v>
      </c>
      <c r="AF35" s="387">
        <v>1000</v>
      </c>
      <c r="AG35" s="387">
        <v>1000</v>
      </c>
      <c r="AH35" s="387">
        <v>1000</v>
      </c>
      <c r="AI35" s="387">
        <v>1000</v>
      </c>
      <c r="AJ35" s="387">
        <v>1000</v>
      </c>
      <c r="AK35" s="387">
        <v>1000</v>
      </c>
      <c r="AL35" s="387">
        <v>1000</v>
      </c>
      <c r="AM35" s="388">
        <f t="shared" si="2"/>
        <v>12000</v>
      </c>
      <c r="AN35" s="388">
        <f t="shared" si="3"/>
        <v>12000</v>
      </c>
      <c r="AO35" s="390">
        <f t="shared" si="94"/>
        <v>1000</v>
      </c>
      <c r="AP35" s="498" t="s">
        <v>685</v>
      </c>
      <c r="AQ35" s="159">
        <v>0.8</v>
      </c>
      <c r="AR35" s="160" t="s">
        <v>392</v>
      </c>
      <c r="AS35" s="119" t="s">
        <v>210</v>
      </c>
      <c r="AT35" s="111">
        <v>529647.62199999997</v>
      </c>
      <c r="AU35" s="111">
        <v>618198.25300000003</v>
      </c>
      <c r="AV35" s="111">
        <v>679430.24600000004</v>
      </c>
      <c r="AW35" s="111">
        <v>848123.87899999996</v>
      </c>
      <c r="AX35" s="113">
        <v>682598.47499999998</v>
      </c>
      <c r="AY35" s="113">
        <v>865729.27800000203</v>
      </c>
      <c r="AZ35" s="113">
        <v>829148.51250000077</v>
      </c>
      <c r="BA35" s="113"/>
      <c r="BB35" s="113"/>
      <c r="BC35" s="113"/>
      <c r="BD35" s="113"/>
      <c r="BE35" s="113"/>
      <c r="BF35" s="114">
        <f t="shared" si="48"/>
        <v>682598.47499999998</v>
      </c>
      <c r="BG35" s="114">
        <f t="shared" si="49"/>
        <v>865729.27800000203</v>
      </c>
      <c r="BH35" s="114">
        <f t="shared" si="50"/>
        <v>829148.51250000077</v>
      </c>
      <c r="BI35" s="114">
        <f t="shared" si="51"/>
        <v>0</v>
      </c>
      <c r="BJ35" s="114">
        <f t="shared" si="4"/>
        <v>2377476.2655000025</v>
      </c>
      <c r="BK35" s="115">
        <f t="shared" si="5"/>
        <v>2675400</v>
      </c>
      <c r="BL35" s="115">
        <f t="shared" si="52"/>
        <v>2675400</v>
      </c>
      <c r="BM35" s="116">
        <f t="shared" si="53"/>
        <v>0.88859999999999995</v>
      </c>
      <c r="BN35" s="126">
        <f t="shared" ca="1" si="6"/>
        <v>0</v>
      </c>
      <c r="BO35" s="117">
        <f t="shared" ca="1" si="7"/>
        <v>0</v>
      </c>
      <c r="BP35" s="118" t="str">
        <f t="shared" si="54"/>
        <v>Uncapped</v>
      </c>
      <c r="BQ35" s="115">
        <f t="shared" ca="1" si="8"/>
        <v>0</v>
      </c>
      <c r="BR35" s="113" t="s">
        <v>695</v>
      </c>
      <c r="BS35" s="161">
        <v>0.2</v>
      </c>
      <c r="BT35" s="113" t="s">
        <v>217</v>
      </c>
      <c r="BU35" s="160" t="s">
        <v>210</v>
      </c>
      <c r="BV35" s="113">
        <v>2705777.0660000001</v>
      </c>
      <c r="BW35" s="113">
        <v>3327898.0589999999</v>
      </c>
      <c r="BX35" s="113">
        <v>3253311.3380000005</v>
      </c>
      <c r="BY35" s="113">
        <v>4253613.5369999995</v>
      </c>
      <c r="BZ35" s="113">
        <v>2620944.7416000096</v>
      </c>
      <c r="CA35" s="113">
        <v>3280933.7388000023</v>
      </c>
      <c r="CB35" s="113">
        <v>3468996.7668000124</v>
      </c>
      <c r="CC35" s="113"/>
      <c r="CD35" s="113"/>
      <c r="CE35" s="113"/>
      <c r="CF35" s="113"/>
      <c r="CG35" s="113"/>
      <c r="CH35" s="114">
        <f t="shared" si="55"/>
        <v>2620944.7416000096</v>
      </c>
      <c r="CI35" s="114">
        <f t="shared" si="56"/>
        <v>3280933.7388000023</v>
      </c>
      <c r="CJ35" s="120">
        <f t="shared" si="57"/>
        <v>3468996.7668000124</v>
      </c>
      <c r="CK35" s="114">
        <f t="shared" si="58"/>
        <v>0</v>
      </c>
      <c r="CL35" s="114">
        <f t="shared" si="9"/>
        <v>9370875.2472000234</v>
      </c>
      <c r="CM35" s="114">
        <f t="shared" si="10"/>
        <v>13540600</v>
      </c>
      <c r="CN35" s="114">
        <f t="shared" si="59"/>
        <v>13540600</v>
      </c>
      <c r="CO35" s="116">
        <f t="shared" si="60"/>
        <v>0.69210000000000005</v>
      </c>
      <c r="CP35" s="126">
        <f t="shared" ca="1" si="61"/>
        <v>0</v>
      </c>
      <c r="CQ35" s="115">
        <f t="shared" ca="1" si="11"/>
        <v>0</v>
      </c>
      <c r="CR35" s="118" t="str">
        <f t="shared" si="12"/>
        <v>Uncapped</v>
      </c>
      <c r="CS35" s="115">
        <f t="shared" ca="1" si="13"/>
        <v>0</v>
      </c>
      <c r="CT35" s="113"/>
      <c r="CU35" s="119">
        <v>0</v>
      </c>
      <c r="CV35" s="113"/>
      <c r="CW35" s="113"/>
      <c r="CX35" s="113">
        <v>0</v>
      </c>
      <c r="CY35" s="113">
        <v>0</v>
      </c>
      <c r="CZ35" s="113">
        <v>0</v>
      </c>
      <c r="DA35" s="113">
        <v>0</v>
      </c>
      <c r="DB35" s="113">
        <v>0</v>
      </c>
      <c r="DC35" s="113">
        <v>0</v>
      </c>
      <c r="DD35" s="113">
        <v>0</v>
      </c>
      <c r="DE35" s="166"/>
      <c r="DF35" s="166"/>
      <c r="DG35" s="166"/>
      <c r="DH35" s="166"/>
      <c r="DI35" s="166"/>
      <c r="DJ35" s="114">
        <f t="shared" si="62"/>
        <v>0</v>
      </c>
      <c r="DK35" s="114">
        <f t="shared" si="63"/>
        <v>0</v>
      </c>
      <c r="DL35" s="114">
        <f t="shared" si="64"/>
        <v>0</v>
      </c>
      <c r="DM35" s="114">
        <f t="shared" si="65"/>
        <v>0</v>
      </c>
      <c r="DN35" s="114">
        <f t="shared" si="66"/>
        <v>0</v>
      </c>
      <c r="DO35" s="114">
        <f t="shared" si="14"/>
        <v>0</v>
      </c>
      <c r="DP35" s="114">
        <f t="shared" si="67"/>
        <v>0</v>
      </c>
      <c r="DQ35" s="116">
        <f t="shared" si="68"/>
        <v>0</v>
      </c>
      <c r="DR35" s="126">
        <f t="shared" ca="1" si="15"/>
        <v>0</v>
      </c>
      <c r="DS35" s="115">
        <f t="shared" ca="1" si="16"/>
        <v>0</v>
      </c>
      <c r="DT35" s="118" t="str">
        <f t="shared" si="17"/>
        <v>Uncapped</v>
      </c>
      <c r="DU35" s="115">
        <f t="shared" ca="1" si="18"/>
        <v>0</v>
      </c>
      <c r="DV35" s="113"/>
      <c r="DW35" s="119">
        <v>0</v>
      </c>
      <c r="DX35" s="113"/>
      <c r="DY35" s="113"/>
      <c r="DZ35" s="113">
        <v>0</v>
      </c>
      <c r="EA35" s="113">
        <v>0</v>
      </c>
      <c r="EB35" s="113">
        <v>0</v>
      </c>
      <c r="EC35" s="113">
        <v>0</v>
      </c>
      <c r="ED35" s="113">
        <v>0</v>
      </c>
      <c r="EE35" s="113">
        <v>0</v>
      </c>
      <c r="EF35" s="113"/>
      <c r="EG35" s="166"/>
      <c r="EH35" s="166"/>
      <c r="EI35" s="166"/>
      <c r="EJ35" s="166"/>
      <c r="EK35" s="166"/>
      <c r="EL35" s="114">
        <f t="shared" si="69"/>
        <v>0</v>
      </c>
      <c r="EM35" s="114">
        <f t="shared" si="70"/>
        <v>0</v>
      </c>
      <c r="EN35" s="114">
        <f t="shared" si="71"/>
        <v>0</v>
      </c>
      <c r="EO35" s="114">
        <f t="shared" si="72"/>
        <v>0</v>
      </c>
      <c r="EP35" s="114">
        <f t="shared" si="19"/>
        <v>0</v>
      </c>
      <c r="EQ35" s="114">
        <f t="shared" si="20"/>
        <v>0</v>
      </c>
      <c r="ER35" s="114">
        <f t="shared" si="73"/>
        <v>0</v>
      </c>
      <c r="ES35" s="116">
        <f t="shared" si="74"/>
        <v>0</v>
      </c>
      <c r="ET35" s="126">
        <f t="shared" ca="1" si="75"/>
        <v>0</v>
      </c>
      <c r="EU35" s="115">
        <f t="shared" ca="1" si="21"/>
        <v>0</v>
      </c>
      <c r="EV35" s="118" t="str">
        <f t="shared" si="22"/>
        <v>Uncapped</v>
      </c>
      <c r="EW35" s="115">
        <f t="shared" ca="1" si="23"/>
        <v>0</v>
      </c>
      <c r="EX35" s="112">
        <f t="shared" ca="1" si="24"/>
        <v>0</v>
      </c>
      <c r="EY35" s="114">
        <f t="shared" ca="1" si="76"/>
        <v>0</v>
      </c>
      <c r="EZ35" s="115">
        <v>0</v>
      </c>
      <c r="FA35" s="115"/>
      <c r="FB35" s="115"/>
      <c r="FC35" s="115">
        <v>0</v>
      </c>
      <c r="FD35" s="115">
        <f t="shared" si="25"/>
        <v>0</v>
      </c>
      <c r="FE35" s="114">
        <f t="shared" si="26"/>
        <v>0</v>
      </c>
      <c r="FF35" s="115">
        <v>0</v>
      </c>
      <c r="FG35" s="115">
        <v>0</v>
      </c>
      <c r="FH35" s="115">
        <v>0</v>
      </c>
      <c r="FI35" s="115">
        <v>0</v>
      </c>
      <c r="FJ35" s="115">
        <f t="shared" si="27"/>
        <v>0</v>
      </c>
      <c r="FK35" s="114">
        <f t="shared" si="28"/>
        <v>0</v>
      </c>
      <c r="FL35" s="113"/>
      <c r="FM35" s="111"/>
      <c r="FN35" s="111"/>
      <c r="FO35" s="111"/>
      <c r="FP35" s="115">
        <f>SUM(FL35:FO35)</f>
        <v>0</v>
      </c>
      <c r="FQ35" s="115"/>
      <c r="FR35" s="115"/>
      <c r="FS35" s="115"/>
      <c r="FT35" s="114">
        <f t="shared" si="77"/>
        <v>0</v>
      </c>
      <c r="FU35" s="366">
        <f t="shared" ca="1" si="79"/>
        <v>0</v>
      </c>
      <c r="FV35" s="121">
        <f t="shared" ca="1" si="78"/>
        <v>0</v>
      </c>
      <c r="FW35" s="114">
        <f t="shared" si="84"/>
        <v>0</v>
      </c>
      <c r="FX35" s="114">
        <f t="shared" si="84"/>
        <v>0</v>
      </c>
      <c r="FY35" s="114">
        <f t="shared" si="84"/>
        <v>0</v>
      </c>
      <c r="FZ35" s="114">
        <f t="shared" si="84"/>
        <v>0</v>
      </c>
      <c r="GA35" s="114">
        <f>SUM(FW35:FZ35)</f>
        <v>0</v>
      </c>
      <c r="GB35" s="114">
        <f t="shared" si="85"/>
        <v>0</v>
      </c>
      <c r="GC35" s="114">
        <f t="shared" si="85"/>
        <v>0</v>
      </c>
      <c r="GD35" s="114">
        <f t="shared" si="85"/>
        <v>0</v>
      </c>
      <c r="GE35" s="114">
        <f t="shared" si="85"/>
        <v>0</v>
      </c>
      <c r="GF35" s="114">
        <f t="shared" si="87"/>
        <v>0</v>
      </c>
      <c r="GG35" s="114">
        <f t="shared" si="87"/>
        <v>0</v>
      </c>
      <c r="GH35" s="114">
        <f t="shared" si="87"/>
        <v>0</v>
      </c>
      <c r="GI35" s="114">
        <f t="shared" si="87"/>
        <v>0</v>
      </c>
      <c r="GJ35" s="115">
        <f t="shared" si="34"/>
        <v>0</v>
      </c>
      <c r="GK35" s="114">
        <f>SUM(GF35:GI35)</f>
        <v>0</v>
      </c>
      <c r="GL35" s="114">
        <f t="shared" si="36"/>
        <v>0</v>
      </c>
      <c r="GM35" s="114">
        <f t="shared" si="37"/>
        <v>0</v>
      </c>
      <c r="GN35" s="114">
        <f t="shared" si="38"/>
        <v>0</v>
      </c>
      <c r="GO35" s="114">
        <f t="shared" si="39"/>
        <v>0</v>
      </c>
      <c r="GP35" s="114">
        <f t="shared" si="40"/>
        <v>0</v>
      </c>
      <c r="GQ35" s="114">
        <f>SUM(GL35:GO35)</f>
        <v>0</v>
      </c>
      <c r="GR35" s="193"/>
      <c r="GS35" s="122">
        <f t="shared" si="42"/>
        <v>11748351.512700025</v>
      </c>
      <c r="GT35" s="122">
        <f t="shared" si="43"/>
        <v>16216000</v>
      </c>
      <c r="GU35" s="123">
        <f>IFERROR(GS35/GT35,"")</f>
        <v>0.72449133650098818</v>
      </c>
      <c r="GV35" s="124">
        <f t="shared" ca="1" si="45"/>
        <v>0</v>
      </c>
      <c r="GW35" s="124">
        <v>0</v>
      </c>
      <c r="GX35" s="32">
        <f t="shared" ca="1" si="46"/>
        <v>0</v>
      </c>
      <c r="GY35" s="100"/>
    </row>
    <row r="36" spans="1:207" s="125" customFormat="1" ht="15" hidden="1" customHeight="1">
      <c r="A36" s="102"/>
      <c r="B36" s="103"/>
      <c r="C36" s="103" t="s">
        <v>75</v>
      </c>
      <c r="D36" s="104"/>
      <c r="E36" s="104"/>
      <c r="F36" s="104" t="s">
        <v>266</v>
      </c>
      <c r="G36" s="104" t="s">
        <v>226</v>
      </c>
      <c r="H36" s="105" t="s">
        <v>308</v>
      </c>
      <c r="I36" s="106" t="s">
        <v>309</v>
      </c>
      <c r="J36" s="104" t="s">
        <v>212</v>
      </c>
      <c r="K36" s="104" t="s">
        <v>208</v>
      </c>
      <c r="L36" s="104" t="s">
        <v>213</v>
      </c>
      <c r="M36" s="104" t="s">
        <v>213</v>
      </c>
      <c r="N36" s="107"/>
      <c r="O36" s="549">
        <v>43556</v>
      </c>
      <c r="P36" s="359">
        <v>43556</v>
      </c>
      <c r="Q36" s="322">
        <f t="shared" si="0"/>
        <v>4</v>
      </c>
      <c r="R36" s="109">
        <f>IF((P36-VLOOKUP(Q36,month!$A$1:$C$13,3,0))&lt;0,Q36,Q36+1)</f>
        <v>4</v>
      </c>
      <c r="S36" s="108"/>
      <c r="T36" s="110" t="str">
        <f>IF(S36&gt;0,"Y","")</f>
        <v/>
      </c>
      <c r="U36" s="320" t="s">
        <v>214</v>
      </c>
      <c r="V36" s="320"/>
      <c r="W36" s="320">
        <v>3</v>
      </c>
      <c r="X36" s="107"/>
      <c r="Y36" s="386"/>
      <c r="Z36" s="386" t="s">
        <v>545</v>
      </c>
      <c r="AA36" s="387">
        <v>1000</v>
      </c>
      <c r="AB36" s="387">
        <v>1000</v>
      </c>
      <c r="AC36" s="387">
        <v>1000</v>
      </c>
      <c r="AD36" s="387">
        <v>1000</v>
      </c>
      <c r="AE36" s="387">
        <v>1000</v>
      </c>
      <c r="AF36" s="387">
        <v>1000</v>
      </c>
      <c r="AG36" s="387">
        <v>1000</v>
      </c>
      <c r="AH36" s="387">
        <v>1000</v>
      </c>
      <c r="AI36" s="387">
        <v>1000</v>
      </c>
      <c r="AJ36" s="387">
        <v>1000</v>
      </c>
      <c r="AK36" s="387">
        <v>1000</v>
      </c>
      <c r="AL36" s="387">
        <v>1000</v>
      </c>
      <c r="AM36" s="388">
        <f t="shared" ref="AM36:AM59" si="95">IF($H$2=1,SUM(AA36:AC36),IF($H$2=2,SUM(AA36:AF36),IF($H$2=3,SUM(AA36:AI36),SUM(AA36:AL36))))</f>
        <v>12000</v>
      </c>
      <c r="AN36" s="388">
        <f t="shared" si="3"/>
        <v>12000</v>
      </c>
      <c r="AO36" s="390">
        <f>AD36</f>
        <v>1000</v>
      </c>
      <c r="AP36" s="498" t="s">
        <v>682</v>
      </c>
      <c r="AQ36" s="159">
        <v>0.8</v>
      </c>
      <c r="AR36" s="160" t="s">
        <v>211</v>
      </c>
      <c r="AS36" s="119" t="s">
        <v>210</v>
      </c>
      <c r="AT36" s="111"/>
      <c r="AU36" s="111">
        <v>321961.30260000005</v>
      </c>
      <c r="AV36" s="111">
        <v>308878.68140000006</v>
      </c>
      <c r="AW36" s="111">
        <v>379728.39430000004</v>
      </c>
      <c r="AX36" s="113"/>
      <c r="AY36" s="113">
        <v>298047.68999999994</v>
      </c>
      <c r="AZ36" s="113">
        <v>268283.27699999971</v>
      </c>
      <c r="BA36" s="113">
        <f>AW36</f>
        <v>379728.39430000004</v>
      </c>
      <c r="BB36" s="113"/>
      <c r="BC36" s="113"/>
      <c r="BD36" s="113"/>
      <c r="BE36" s="113"/>
      <c r="BF36" s="114">
        <f t="shared" si="48"/>
        <v>0</v>
      </c>
      <c r="BG36" s="114">
        <f t="shared" si="49"/>
        <v>298047.68999999994</v>
      </c>
      <c r="BH36" s="114">
        <f t="shared" si="50"/>
        <v>268283.27699999971</v>
      </c>
      <c r="BI36" s="114">
        <f t="shared" si="51"/>
        <v>379728.39430000004</v>
      </c>
      <c r="BJ36" s="114">
        <f t="shared" si="4"/>
        <v>946059.36129999976</v>
      </c>
      <c r="BK36" s="115">
        <f t="shared" ref="BK36:BK59" si="96">IF($H$2=1,AT36,IF($H$2=2,SUM(AT36:AU36),IF($H$2=3,SUM(AT36:AV36),SUM(AT36:AW36))))</f>
        <v>1010568.3783000002</v>
      </c>
      <c r="BL36" s="115">
        <f t="shared" si="52"/>
        <v>1010568.3783000002</v>
      </c>
      <c r="BM36" s="116">
        <f t="shared" si="53"/>
        <v>0.93620000000000003</v>
      </c>
      <c r="BN36" s="126">
        <f t="shared" ca="1" si="6"/>
        <v>0</v>
      </c>
      <c r="BO36" s="117">
        <f t="shared" ca="1" si="7"/>
        <v>0</v>
      </c>
      <c r="BP36" s="118" t="str">
        <f t="shared" si="54"/>
        <v>Uncapped</v>
      </c>
      <c r="BQ36" s="115">
        <f t="shared" ca="1" si="8"/>
        <v>0</v>
      </c>
      <c r="BR36" s="113" t="s">
        <v>696</v>
      </c>
      <c r="BS36" s="161">
        <v>0.2</v>
      </c>
      <c r="BT36" s="113" t="s">
        <v>217</v>
      </c>
      <c r="BU36" s="160" t="s">
        <v>210</v>
      </c>
      <c r="BV36" s="113"/>
      <c r="BW36" s="113">
        <v>72180793.063260496</v>
      </c>
      <c r="BX36" s="113">
        <v>69179032.514420599</v>
      </c>
      <c r="BY36" s="113">
        <v>76323964.015026003</v>
      </c>
      <c r="BZ36" s="113"/>
      <c r="CA36" s="113">
        <v>65995192.891159989</v>
      </c>
      <c r="CB36" s="113">
        <v>66410604.684560001</v>
      </c>
      <c r="CC36" s="113">
        <f>BY36</f>
        <v>76323964.015026003</v>
      </c>
      <c r="CD36" s="113"/>
      <c r="CE36" s="113"/>
      <c r="CF36" s="113"/>
      <c r="CG36" s="113"/>
      <c r="CH36" s="114">
        <f t="shared" si="55"/>
        <v>0</v>
      </c>
      <c r="CI36" s="114">
        <f t="shared" si="56"/>
        <v>65995192.891159989</v>
      </c>
      <c r="CJ36" s="120">
        <f t="shared" si="57"/>
        <v>66410604.684560001</v>
      </c>
      <c r="CK36" s="114">
        <f t="shared" si="58"/>
        <v>76323964.015026003</v>
      </c>
      <c r="CL36" s="114">
        <f t="shared" si="9"/>
        <v>208729761.59074599</v>
      </c>
      <c r="CM36" s="114">
        <f t="shared" ref="CM36:CM59" si="97">IF($H$2=1,BV36,IF($H$2=2,SUM(BV36:BW36),IF($H$2=3,SUM(BV36:BX36),SUM(BV36:BY36))))</f>
        <v>217683789.5927071</v>
      </c>
      <c r="CN36" s="114">
        <f t="shared" si="59"/>
        <v>217683789.5927071</v>
      </c>
      <c r="CO36" s="116">
        <f t="shared" si="60"/>
        <v>0.95889999999999997</v>
      </c>
      <c r="CP36" s="126">
        <f t="shared" ca="1" si="61"/>
        <v>0</v>
      </c>
      <c r="CQ36" s="115">
        <f t="shared" ca="1" si="11"/>
        <v>0</v>
      </c>
      <c r="CR36" s="118">
        <v>1</v>
      </c>
      <c r="CS36" s="115">
        <f t="shared" si="13"/>
        <v>2400</v>
      </c>
      <c r="CT36" s="113"/>
      <c r="CU36" s="119"/>
      <c r="CV36" s="113"/>
      <c r="CW36" s="113"/>
      <c r="CX36" s="113"/>
      <c r="CY36" s="113"/>
      <c r="CZ36" s="113"/>
      <c r="DA36" s="113"/>
      <c r="DB36" s="113"/>
      <c r="DC36" s="113"/>
      <c r="DD36" s="113"/>
      <c r="DE36" s="166"/>
      <c r="DF36" s="166"/>
      <c r="DG36" s="166"/>
      <c r="DH36" s="166"/>
      <c r="DI36" s="166"/>
      <c r="DJ36" s="114">
        <f t="shared" si="62"/>
        <v>0</v>
      </c>
      <c r="DK36" s="114">
        <f t="shared" si="63"/>
        <v>0</v>
      </c>
      <c r="DL36" s="114">
        <f t="shared" si="64"/>
        <v>0</v>
      </c>
      <c r="DM36" s="114">
        <f t="shared" si="65"/>
        <v>0</v>
      </c>
      <c r="DN36" s="114">
        <f t="shared" si="66"/>
        <v>0</v>
      </c>
      <c r="DO36" s="114">
        <f t="shared" ref="DO36:DO59" si="98">IF($H$2=1,CX36,IF($H$2=2,SUM(CX36:CY36),IF($H$2=3,SUM(CX36:CZ36),SUM(CX36:DA36))))</f>
        <v>0</v>
      </c>
      <c r="DP36" s="114">
        <f t="shared" si="67"/>
        <v>0</v>
      </c>
      <c r="DQ36" s="116">
        <f t="shared" si="68"/>
        <v>0</v>
      </c>
      <c r="DR36" s="126">
        <f t="shared" ca="1" si="15"/>
        <v>0</v>
      </c>
      <c r="DS36" s="115">
        <f t="shared" ca="1" si="16"/>
        <v>0</v>
      </c>
      <c r="DT36" s="118">
        <v>1</v>
      </c>
      <c r="DU36" s="115">
        <f t="shared" si="18"/>
        <v>0</v>
      </c>
      <c r="DV36" s="113"/>
      <c r="DW36" s="119">
        <v>0</v>
      </c>
      <c r="DX36" s="113"/>
      <c r="DY36" s="113"/>
      <c r="DZ36" s="113">
        <v>0</v>
      </c>
      <c r="EA36" s="113">
        <v>0</v>
      </c>
      <c r="EB36" s="113">
        <v>0</v>
      </c>
      <c r="EC36" s="113">
        <v>0</v>
      </c>
      <c r="ED36" s="113">
        <v>0</v>
      </c>
      <c r="EE36" s="113">
        <v>0</v>
      </c>
      <c r="EF36" s="113"/>
      <c r="EG36" s="166"/>
      <c r="EH36" s="166"/>
      <c r="EI36" s="166"/>
      <c r="EJ36" s="166"/>
      <c r="EK36" s="166"/>
      <c r="EL36" s="114">
        <f t="shared" si="69"/>
        <v>0</v>
      </c>
      <c r="EM36" s="114">
        <f t="shared" si="70"/>
        <v>0</v>
      </c>
      <c r="EN36" s="114">
        <f t="shared" si="71"/>
        <v>0</v>
      </c>
      <c r="EO36" s="114">
        <f t="shared" si="72"/>
        <v>0</v>
      </c>
      <c r="EP36" s="114">
        <f t="shared" si="19"/>
        <v>0</v>
      </c>
      <c r="EQ36" s="114">
        <f t="shared" ref="EQ36:EQ59" si="99">IF($H$2=1,DZ36,IF($H$2=2,SUM(DZ36:EA36),IF($H$2=3,SUM(DZ36:EB36),SUM(DZ36:EC36))))</f>
        <v>0</v>
      </c>
      <c r="ER36" s="114">
        <f t="shared" si="73"/>
        <v>0</v>
      </c>
      <c r="ES36" s="116">
        <f t="shared" si="74"/>
        <v>0</v>
      </c>
      <c r="ET36" s="126">
        <f t="shared" ca="1" si="75"/>
        <v>0</v>
      </c>
      <c r="EU36" s="115">
        <f t="shared" ca="1" si="21"/>
        <v>0</v>
      </c>
      <c r="EV36" s="118" t="str">
        <f t="shared" si="22"/>
        <v>Uncapped</v>
      </c>
      <c r="EW36" s="115">
        <f t="shared" ca="1" si="23"/>
        <v>0</v>
      </c>
      <c r="EX36" s="112">
        <f t="shared" ca="1" si="24"/>
        <v>0</v>
      </c>
      <c r="EY36" s="114">
        <f t="shared" ca="1" si="76"/>
        <v>3000</v>
      </c>
      <c r="EZ36" s="115">
        <v>0</v>
      </c>
      <c r="FA36" s="115"/>
      <c r="FB36" s="115"/>
      <c r="FC36" s="115">
        <v>0</v>
      </c>
      <c r="FD36" s="115">
        <f t="shared" ref="FD36:FD59" si="100">IF($H$2=1,EZ36,IF($H$2=2,SUM(EZ36:FA36),IF($H$2=3,SUM(EZ36:FB36),SUM(EZ36:FC36))))</f>
        <v>0</v>
      </c>
      <c r="FE36" s="114">
        <f t="shared" si="26"/>
        <v>0</v>
      </c>
      <c r="FF36" s="115">
        <v>0</v>
      </c>
      <c r="FG36" s="115">
        <v>0</v>
      </c>
      <c r="FH36" s="115">
        <v>0</v>
      </c>
      <c r="FI36" s="115">
        <v>0</v>
      </c>
      <c r="FJ36" s="115">
        <f t="shared" ref="FJ36:FJ59" si="101">IF($H$2=1,FF36,IF($H$2=2,SUM(FF36:FG36),IF($H$2=3,SUM(FF36:FH36),SUM(FF36:FI36))))</f>
        <v>0</v>
      </c>
      <c r="FK36" s="114">
        <f t="shared" si="28"/>
        <v>0</v>
      </c>
      <c r="FL36" s="113"/>
      <c r="FM36" s="111"/>
      <c r="FN36" s="111"/>
      <c r="FO36" s="111"/>
      <c r="FP36" s="115">
        <f>SUM(FL36:FO36)</f>
        <v>0</v>
      </c>
      <c r="FQ36" s="115"/>
      <c r="FR36" s="115"/>
      <c r="FS36" s="115"/>
      <c r="FT36" s="114">
        <f t="shared" si="77"/>
        <v>0</v>
      </c>
      <c r="FU36" s="366">
        <f t="shared" ca="1" si="79"/>
        <v>3000</v>
      </c>
      <c r="FV36" s="121">
        <f t="shared" ca="1" si="78"/>
        <v>3000</v>
      </c>
      <c r="FW36" s="114">
        <f t="shared" si="84"/>
        <v>0</v>
      </c>
      <c r="FX36" s="114">
        <f t="shared" si="84"/>
        <v>0</v>
      </c>
      <c r="FY36" s="114">
        <f t="shared" si="84"/>
        <v>0</v>
      </c>
      <c r="FZ36" s="114">
        <f t="shared" si="84"/>
        <v>0</v>
      </c>
      <c r="GA36" s="114">
        <f>SUM(FW36:FZ36)</f>
        <v>0</v>
      </c>
      <c r="GB36" s="114">
        <f t="shared" si="85"/>
        <v>0</v>
      </c>
      <c r="GC36" s="114">
        <f t="shared" si="85"/>
        <v>0</v>
      </c>
      <c r="GD36" s="114">
        <f t="shared" si="85"/>
        <v>0</v>
      </c>
      <c r="GE36" s="114">
        <f t="shared" si="85"/>
        <v>0</v>
      </c>
      <c r="GF36" s="114">
        <f t="shared" si="87"/>
        <v>0</v>
      </c>
      <c r="GG36" s="114">
        <f t="shared" si="87"/>
        <v>0</v>
      </c>
      <c r="GH36" s="114">
        <f t="shared" si="87"/>
        <v>0</v>
      </c>
      <c r="GI36" s="114">
        <f t="shared" si="87"/>
        <v>0</v>
      </c>
      <c r="GJ36" s="115">
        <f t="shared" ref="GJ36:GJ59" si="102">IF($H$2=1,GF36,IF($H$2=2,SUM(GF36:GG36),IF($H$2=3,SUM(GF36:GH36),SUM(GF36:GI36))))</f>
        <v>0</v>
      </c>
      <c r="GK36" s="114">
        <f>SUM(GF36:GI36)</f>
        <v>0</v>
      </c>
      <c r="GL36" s="114">
        <f t="shared" si="36"/>
        <v>0</v>
      </c>
      <c r="GM36" s="114">
        <f t="shared" si="37"/>
        <v>3000</v>
      </c>
      <c r="GN36" s="114">
        <f t="shared" si="38"/>
        <v>0</v>
      </c>
      <c r="GO36" s="114">
        <f t="shared" si="39"/>
        <v>0</v>
      </c>
      <c r="GP36" s="114">
        <f t="shared" ref="GP36:GP59" si="103">IF($H$2=1,GL36,IF($H$2=2,SUM(GL36:GM36),IF($H$2=3,SUM(GL36:GN36),IF($H$2=4,SUM(GL36:GO36)))))</f>
        <v>3000</v>
      </c>
      <c r="GQ36" s="114">
        <f>SUM(GL36:GO36)</f>
        <v>3000</v>
      </c>
      <c r="GR36" s="193"/>
      <c r="GS36" s="122">
        <f t="shared" si="42"/>
        <v>209675820.95204598</v>
      </c>
      <c r="GT36" s="122">
        <f t="shared" si="43"/>
        <v>218694357.97100711</v>
      </c>
      <c r="GU36" s="123">
        <f>IFERROR(GS36/GT36,"")</f>
        <v>0.95876191273230404</v>
      </c>
      <c r="GV36" s="124">
        <f t="shared" ca="1" si="45"/>
        <v>0</v>
      </c>
      <c r="GW36" s="124">
        <v>0</v>
      </c>
      <c r="GX36" s="32">
        <f t="shared" ca="1" si="46"/>
        <v>0</v>
      </c>
      <c r="GY36" s="100"/>
    </row>
    <row r="37" spans="1:207" s="152" customFormat="1" ht="15" hidden="1" customHeight="1">
      <c r="A37" s="129"/>
      <c r="B37" s="130"/>
      <c r="C37" s="130"/>
      <c r="D37" s="131"/>
      <c r="E37" s="131" t="s">
        <v>260</v>
      </c>
      <c r="F37" s="131" t="s">
        <v>261</v>
      </c>
      <c r="G37" s="131" t="s">
        <v>226</v>
      </c>
      <c r="H37" s="132" t="s">
        <v>310</v>
      </c>
      <c r="I37" s="133" t="s">
        <v>311</v>
      </c>
      <c r="J37" s="131" t="s">
        <v>207</v>
      </c>
      <c r="K37" s="508" t="s">
        <v>208</v>
      </c>
      <c r="L37" s="131" t="s">
        <v>264</v>
      </c>
      <c r="M37" s="131" t="s">
        <v>312</v>
      </c>
      <c r="N37" s="134"/>
      <c r="O37" s="155">
        <v>41376</v>
      </c>
      <c r="P37" s="155">
        <v>41640</v>
      </c>
      <c r="Q37" s="321">
        <f t="shared" si="0"/>
        <v>0</v>
      </c>
      <c r="R37" s="109">
        <f>IF((P37-VLOOKUP(Q37,month!$A$1:$C$13,3,0))&lt;0,Q37,Q37+1)</f>
        <v>0</v>
      </c>
      <c r="S37" s="108"/>
      <c r="T37" s="153" t="str">
        <f>IF(S37&gt;0,"Y","")</f>
        <v/>
      </c>
      <c r="U37" s="134"/>
      <c r="V37" s="134"/>
      <c r="W37" s="134"/>
      <c r="X37" s="134"/>
      <c r="Y37" s="383"/>
      <c r="Z37" s="383" t="s">
        <v>545</v>
      </c>
      <c r="AA37" s="371">
        <v>1000</v>
      </c>
      <c r="AB37" s="371">
        <v>1000</v>
      </c>
      <c r="AC37" s="371">
        <v>1000</v>
      </c>
      <c r="AD37" s="371">
        <v>1000</v>
      </c>
      <c r="AE37" s="371">
        <v>1000</v>
      </c>
      <c r="AF37" s="371">
        <v>1000</v>
      </c>
      <c r="AG37" s="371">
        <v>1000</v>
      </c>
      <c r="AH37" s="371">
        <v>1000</v>
      </c>
      <c r="AI37" s="371">
        <v>1000</v>
      </c>
      <c r="AJ37" s="371">
        <v>1000</v>
      </c>
      <c r="AK37" s="371">
        <v>1000</v>
      </c>
      <c r="AL37" s="371">
        <v>1000</v>
      </c>
      <c r="AM37" s="384">
        <f t="shared" si="95"/>
        <v>12000</v>
      </c>
      <c r="AN37" s="384">
        <f t="shared" si="3"/>
        <v>12000</v>
      </c>
      <c r="AO37" s="385">
        <f t="shared" ref="AO37:AO39" si="104">AI37</f>
        <v>1000</v>
      </c>
      <c r="AP37" s="497" t="s">
        <v>682</v>
      </c>
      <c r="AQ37" s="156">
        <v>0.5</v>
      </c>
      <c r="AR37" s="157" t="s">
        <v>211</v>
      </c>
      <c r="AS37" s="146" t="s">
        <v>210</v>
      </c>
      <c r="AT37" s="136">
        <v>553694.41290000011</v>
      </c>
      <c r="AU37" s="136">
        <v>623937.3703999999</v>
      </c>
      <c r="AV37" s="111">
        <v>894989.22646666667</v>
      </c>
      <c r="AW37" s="111">
        <v>1058517.5845666667</v>
      </c>
      <c r="AX37" s="113">
        <v>434643.36120000022</v>
      </c>
      <c r="AY37" s="138">
        <v>685032.60331800021</v>
      </c>
      <c r="AZ37" s="113">
        <v>917033.22018359974</v>
      </c>
      <c r="BA37" s="138"/>
      <c r="BB37" s="138"/>
      <c r="BC37" s="138"/>
      <c r="BD37" s="138"/>
      <c r="BE37" s="138"/>
      <c r="BF37" s="139">
        <f t="shared" si="48"/>
        <v>434643.36120000022</v>
      </c>
      <c r="BG37" s="139">
        <f t="shared" si="49"/>
        <v>685032.60331800021</v>
      </c>
      <c r="BH37" s="139">
        <f t="shared" si="50"/>
        <v>917033.22018359974</v>
      </c>
      <c r="BI37" s="139">
        <f t="shared" si="51"/>
        <v>0</v>
      </c>
      <c r="BJ37" s="139">
        <f t="shared" si="4"/>
        <v>2036709.1847016001</v>
      </c>
      <c r="BK37" s="140">
        <f t="shared" si="96"/>
        <v>3131138.5943333334</v>
      </c>
      <c r="BL37" s="140">
        <f t="shared" si="52"/>
        <v>3131138.5943333334</v>
      </c>
      <c r="BM37" s="141">
        <f t="shared" si="53"/>
        <v>0.65049999999999997</v>
      </c>
      <c r="BN37" s="142">
        <f t="shared" ca="1" si="6"/>
        <v>0</v>
      </c>
      <c r="BO37" s="143">
        <f t="shared" ca="1" si="7"/>
        <v>0</v>
      </c>
      <c r="BP37" s="144" t="str">
        <f t="shared" si="54"/>
        <v>Uncapped</v>
      </c>
      <c r="BQ37" s="140">
        <f t="shared" ca="1" si="8"/>
        <v>0</v>
      </c>
      <c r="BR37" s="138" t="s">
        <v>700</v>
      </c>
      <c r="BS37" s="158">
        <v>0.3</v>
      </c>
      <c r="BT37" s="138" t="s">
        <v>211</v>
      </c>
      <c r="BU37" s="157" t="s">
        <v>210</v>
      </c>
      <c r="BV37" s="138">
        <v>137929.19999999998</v>
      </c>
      <c r="BW37" s="138">
        <v>154730.4</v>
      </c>
      <c r="BX37" s="506">
        <v>188718.8</v>
      </c>
      <c r="BY37" s="506">
        <v>206268</v>
      </c>
      <c r="BZ37" s="138">
        <v>156275.45099999991</v>
      </c>
      <c r="CA37" s="138">
        <v>130742.04689999999</v>
      </c>
      <c r="CB37" s="504">
        <v>147124.02959999998</v>
      </c>
      <c r="CC37" s="138"/>
      <c r="CD37" s="138"/>
      <c r="CE37" s="138"/>
      <c r="CF37" s="138"/>
      <c r="CG37" s="138"/>
      <c r="CH37" s="139">
        <f t="shared" si="55"/>
        <v>156275.45099999991</v>
      </c>
      <c r="CI37" s="139">
        <f t="shared" si="56"/>
        <v>130742.04689999999</v>
      </c>
      <c r="CJ37" s="145">
        <f t="shared" si="57"/>
        <v>147124.02959999998</v>
      </c>
      <c r="CK37" s="139">
        <f t="shared" si="58"/>
        <v>0</v>
      </c>
      <c r="CL37" s="139">
        <f t="shared" si="9"/>
        <v>434141.52749999985</v>
      </c>
      <c r="CM37" s="139">
        <f t="shared" si="97"/>
        <v>687646.39999999991</v>
      </c>
      <c r="CN37" s="139">
        <f t="shared" si="59"/>
        <v>687646.39999999991</v>
      </c>
      <c r="CO37" s="141">
        <f t="shared" si="60"/>
        <v>0.63129999999999997</v>
      </c>
      <c r="CP37" s="142">
        <f t="shared" ca="1" si="61"/>
        <v>0</v>
      </c>
      <c r="CQ37" s="140">
        <f t="shared" ca="1" si="11"/>
        <v>0</v>
      </c>
      <c r="CR37" s="144" t="str">
        <f t="shared" si="12"/>
        <v>Uncapped</v>
      </c>
      <c r="CS37" s="140">
        <f t="shared" ca="1" si="13"/>
        <v>0</v>
      </c>
      <c r="CT37" s="138" t="s">
        <v>702</v>
      </c>
      <c r="CU37" s="146">
        <v>0.2</v>
      </c>
      <c r="CV37" s="138" t="s">
        <v>217</v>
      </c>
      <c r="CW37" s="138" t="s">
        <v>210</v>
      </c>
      <c r="CX37" s="138">
        <v>19653413.080999997</v>
      </c>
      <c r="CY37" s="138">
        <v>22848780.235100001</v>
      </c>
      <c r="CZ37" s="113">
        <v>22618799.574099999</v>
      </c>
      <c r="DA37" s="113">
        <v>27098464.121500004</v>
      </c>
      <c r="DB37" s="138">
        <v>19427532.107000571</v>
      </c>
      <c r="DC37" s="138">
        <v>22270538.357580002</v>
      </c>
      <c r="DD37" s="113">
        <v>22879083.486580007</v>
      </c>
      <c r="DE37" s="138"/>
      <c r="DF37" s="138"/>
      <c r="DG37" s="138"/>
      <c r="DH37" s="138"/>
      <c r="DI37" s="138"/>
      <c r="DJ37" s="139">
        <f t="shared" si="62"/>
        <v>19427532.107000571</v>
      </c>
      <c r="DK37" s="139">
        <f t="shared" si="63"/>
        <v>22270538.357580002</v>
      </c>
      <c r="DL37" s="139">
        <f t="shared" si="64"/>
        <v>22879083.486580007</v>
      </c>
      <c r="DM37" s="139">
        <f t="shared" si="65"/>
        <v>0</v>
      </c>
      <c r="DN37" s="139">
        <f t="shared" si="66"/>
        <v>64577153.95116058</v>
      </c>
      <c r="DO37" s="139">
        <f t="shared" si="98"/>
        <v>92219457.011700004</v>
      </c>
      <c r="DP37" s="139">
        <f t="shared" si="67"/>
        <v>92219457.011700004</v>
      </c>
      <c r="DQ37" s="141">
        <f t="shared" si="68"/>
        <v>0.70030000000000003</v>
      </c>
      <c r="DR37" s="142">
        <f t="shared" ca="1" si="15"/>
        <v>0</v>
      </c>
      <c r="DS37" s="140">
        <f t="shared" ca="1" si="16"/>
        <v>0</v>
      </c>
      <c r="DT37" s="144" t="str">
        <f t="shared" si="17"/>
        <v>Uncapped</v>
      </c>
      <c r="DU37" s="140">
        <f t="shared" ca="1" si="18"/>
        <v>0</v>
      </c>
      <c r="DV37" s="138"/>
      <c r="DW37" s="146">
        <v>0</v>
      </c>
      <c r="DX37" s="138"/>
      <c r="DY37" s="138"/>
      <c r="DZ37" s="138">
        <v>0</v>
      </c>
      <c r="EA37" s="138">
        <v>0</v>
      </c>
      <c r="EB37" s="138">
        <v>0</v>
      </c>
      <c r="EC37" s="138">
        <v>0</v>
      </c>
      <c r="ED37" s="138">
        <v>0</v>
      </c>
      <c r="EE37" s="138">
        <v>0</v>
      </c>
      <c r="EF37" s="138"/>
      <c r="EG37" s="138"/>
      <c r="EH37" s="138"/>
      <c r="EI37" s="138"/>
      <c r="EJ37" s="138"/>
      <c r="EK37" s="138"/>
      <c r="EL37" s="139">
        <f t="shared" si="69"/>
        <v>0</v>
      </c>
      <c r="EM37" s="139">
        <f t="shared" si="70"/>
        <v>0</v>
      </c>
      <c r="EN37" s="139">
        <f t="shared" si="71"/>
        <v>0</v>
      </c>
      <c r="EO37" s="139">
        <f t="shared" si="72"/>
        <v>0</v>
      </c>
      <c r="EP37" s="139">
        <f t="shared" si="19"/>
        <v>0</v>
      </c>
      <c r="EQ37" s="139">
        <f t="shared" si="99"/>
        <v>0</v>
      </c>
      <c r="ER37" s="139">
        <f t="shared" si="73"/>
        <v>0</v>
      </c>
      <c r="ES37" s="141">
        <f t="shared" si="74"/>
        <v>0</v>
      </c>
      <c r="ET37" s="142">
        <f t="shared" ca="1" si="75"/>
        <v>0</v>
      </c>
      <c r="EU37" s="140">
        <f t="shared" ca="1" si="21"/>
        <v>0</v>
      </c>
      <c r="EV37" s="144" t="str">
        <f t="shared" si="22"/>
        <v>Uncapped</v>
      </c>
      <c r="EW37" s="140">
        <f t="shared" ca="1" si="23"/>
        <v>0</v>
      </c>
      <c r="EX37" s="137">
        <f t="shared" ca="1" si="24"/>
        <v>0</v>
      </c>
      <c r="EY37" s="139">
        <f t="shared" ca="1" si="76"/>
        <v>0</v>
      </c>
      <c r="EZ37" s="140">
        <v>0</v>
      </c>
      <c r="FA37" s="140"/>
      <c r="FB37" s="140"/>
      <c r="FC37" s="140">
        <v>0</v>
      </c>
      <c r="FD37" s="140">
        <f t="shared" si="100"/>
        <v>0</v>
      </c>
      <c r="FE37" s="139">
        <f t="shared" si="26"/>
        <v>0</v>
      </c>
      <c r="FF37" s="140">
        <v>0</v>
      </c>
      <c r="FG37" s="140">
        <v>0</v>
      </c>
      <c r="FH37" s="140">
        <v>0</v>
      </c>
      <c r="FI37" s="140">
        <v>0</v>
      </c>
      <c r="FJ37" s="140">
        <f t="shared" si="101"/>
        <v>0</v>
      </c>
      <c r="FK37" s="139">
        <f t="shared" si="28"/>
        <v>0</v>
      </c>
      <c r="FL37" s="138"/>
      <c r="FM37" s="136"/>
      <c r="FN37" s="136"/>
      <c r="FO37" s="136"/>
      <c r="FP37" s="140">
        <f>SUM(FL37:FO37)</f>
        <v>0</v>
      </c>
      <c r="FQ37" s="140"/>
      <c r="FR37" s="140"/>
      <c r="FS37" s="140"/>
      <c r="FT37" s="139">
        <f t="shared" si="77"/>
        <v>0</v>
      </c>
      <c r="FU37" s="365">
        <f t="shared" ca="1" si="79"/>
        <v>0</v>
      </c>
      <c r="FV37" s="147">
        <f t="shared" ca="1" si="78"/>
        <v>0</v>
      </c>
      <c r="FW37" s="139">
        <f t="shared" si="84"/>
        <v>0</v>
      </c>
      <c r="FX37" s="139">
        <f t="shared" si="84"/>
        <v>0</v>
      </c>
      <c r="FY37" s="139">
        <f t="shared" si="84"/>
        <v>0</v>
      </c>
      <c r="FZ37" s="139">
        <f t="shared" si="84"/>
        <v>0</v>
      </c>
      <c r="GA37" s="139">
        <f>SUM(FW37:FZ37)</f>
        <v>0</v>
      </c>
      <c r="GB37" s="139">
        <f t="shared" si="85"/>
        <v>0</v>
      </c>
      <c r="GC37" s="139">
        <f t="shared" si="85"/>
        <v>0</v>
      </c>
      <c r="GD37" s="139">
        <f t="shared" si="85"/>
        <v>0</v>
      </c>
      <c r="GE37" s="139">
        <f t="shared" si="85"/>
        <v>0</v>
      </c>
      <c r="GF37" s="139">
        <f t="shared" si="87"/>
        <v>0</v>
      </c>
      <c r="GG37" s="139">
        <f t="shared" si="87"/>
        <v>0</v>
      </c>
      <c r="GH37" s="139">
        <f t="shared" si="87"/>
        <v>0</v>
      </c>
      <c r="GI37" s="139">
        <f t="shared" si="87"/>
        <v>0</v>
      </c>
      <c r="GJ37" s="140">
        <f t="shared" si="102"/>
        <v>0</v>
      </c>
      <c r="GK37" s="139">
        <f>SUM(GF37:GI37)</f>
        <v>0</v>
      </c>
      <c r="GL37" s="139">
        <f t="shared" si="36"/>
        <v>0</v>
      </c>
      <c r="GM37" s="139">
        <f t="shared" si="37"/>
        <v>0</v>
      </c>
      <c r="GN37" s="139">
        <f t="shared" si="38"/>
        <v>0</v>
      </c>
      <c r="GO37" s="139">
        <f t="shared" si="39"/>
        <v>0</v>
      </c>
      <c r="GP37" s="139">
        <f t="shared" si="103"/>
        <v>0</v>
      </c>
      <c r="GQ37" s="139">
        <f>SUM(GL37:GO37)</f>
        <v>0</v>
      </c>
      <c r="GR37" s="409"/>
      <c r="GS37" s="148">
        <f t="shared" si="42"/>
        <v>67048004.663362183</v>
      </c>
      <c r="GT37" s="148">
        <f t="shared" si="43"/>
        <v>96038242.006033331</v>
      </c>
      <c r="GU37" s="149">
        <f>IFERROR(GS37/GT37,"")</f>
        <v>0.69813860877576328</v>
      </c>
      <c r="GV37" s="150">
        <f t="shared" ca="1" si="45"/>
        <v>0</v>
      </c>
      <c r="GW37" s="150">
        <v>0</v>
      </c>
      <c r="GX37" s="151">
        <f t="shared" ca="1" si="46"/>
        <v>0</v>
      </c>
      <c r="GY37" s="100"/>
    </row>
    <row r="38" spans="1:207" s="125" customFormat="1" ht="15" hidden="1" customHeight="1">
      <c r="A38" s="102"/>
      <c r="B38" s="103"/>
      <c r="C38" s="103"/>
      <c r="D38" s="104"/>
      <c r="E38" s="104" t="s">
        <v>253</v>
      </c>
      <c r="F38" s="104" t="s">
        <v>266</v>
      </c>
      <c r="G38" s="104" t="s">
        <v>226</v>
      </c>
      <c r="H38" s="105" t="s">
        <v>313</v>
      </c>
      <c r="I38" s="106" t="s">
        <v>314</v>
      </c>
      <c r="J38" s="104" t="s">
        <v>212</v>
      </c>
      <c r="K38" s="325" t="s">
        <v>208</v>
      </c>
      <c r="L38" s="104" t="s">
        <v>213</v>
      </c>
      <c r="M38" s="104" t="s">
        <v>315</v>
      </c>
      <c r="N38" s="107"/>
      <c r="O38" s="108">
        <v>41376</v>
      </c>
      <c r="P38" s="108">
        <v>41640</v>
      </c>
      <c r="Q38" s="322">
        <f t="shared" ref="Q38:Q63" si="105">IF(P38&gt;$Q$2,MONTH(P38),0)</f>
        <v>0</v>
      </c>
      <c r="R38" s="109">
        <f>IF((P38-VLOOKUP(Q38,month!$A$1:$C$13,3,0))&lt;0,Q38,Q38+1)</f>
        <v>0</v>
      </c>
      <c r="S38" s="108"/>
      <c r="T38" s="110" t="str">
        <f t="shared" si="80"/>
        <v/>
      </c>
      <c r="U38" s="107"/>
      <c r="V38" s="107"/>
      <c r="W38" s="107"/>
      <c r="X38" s="107"/>
      <c r="Y38" s="386"/>
      <c r="Z38" s="386" t="s">
        <v>545</v>
      </c>
      <c r="AA38" s="387">
        <v>1000</v>
      </c>
      <c r="AB38" s="387">
        <v>1000</v>
      </c>
      <c r="AC38" s="387">
        <v>1000</v>
      </c>
      <c r="AD38" s="387">
        <v>1000</v>
      </c>
      <c r="AE38" s="387">
        <v>1000</v>
      </c>
      <c r="AF38" s="387">
        <v>1000</v>
      </c>
      <c r="AG38" s="387">
        <v>1000</v>
      </c>
      <c r="AH38" s="387">
        <v>1000</v>
      </c>
      <c r="AI38" s="387">
        <v>1000</v>
      </c>
      <c r="AJ38" s="387">
        <v>1000</v>
      </c>
      <c r="AK38" s="387">
        <v>1000</v>
      </c>
      <c r="AL38" s="387">
        <v>1000</v>
      </c>
      <c r="AM38" s="388">
        <f t="shared" si="95"/>
        <v>12000</v>
      </c>
      <c r="AN38" s="388">
        <f t="shared" ref="AN38:AN63" si="106">SUM(AA38:AL38)+INDEX(AA38:AL38,,MATCH($H$3,$AA$5:$AL$5,0))*(12-COUNTA(AA38:AL38))</f>
        <v>12000</v>
      </c>
      <c r="AO38" s="389">
        <f t="shared" si="104"/>
        <v>1000</v>
      </c>
      <c r="AP38" s="498" t="s">
        <v>682</v>
      </c>
      <c r="AQ38" s="159">
        <v>0.5</v>
      </c>
      <c r="AR38" s="160" t="s">
        <v>211</v>
      </c>
      <c r="AS38" s="119" t="s">
        <v>210</v>
      </c>
      <c r="AT38" s="111">
        <v>144315.45515588002</v>
      </c>
      <c r="AU38" s="111">
        <v>165662.51948033998</v>
      </c>
      <c r="AV38" s="111">
        <v>178313.55717060002</v>
      </c>
      <c r="AW38" s="111">
        <v>211887.99559318001</v>
      </c>
      <c r="AX38" s="113">
        <v>114660.32400000011</v>
      </c>
      <c r="AY38" s="113">
        <v>143740.82159999997</v>
      </c>
      <c r="AZ38" s="113">
        <v>118478.91060000006</v>
      </c>
      <c r="BA38" s="113"/>
      <c r="BB38" s="113"/>
      <c r="BC38" s="113"/>
      <c r="BD38" s="113"/>
      <c r="BE38" s="113"/>
      <c r="BF38" s="114">
        <f t="shared" si="48"/>
        <v>114660.32400000011</v>
      </c>
      <c r="BG38" s="114">
        <f t="shared" si="49"/>
        <v>143740.82159999997</v>
      </c>
      <c r="BH38" s="114">
        <f t="shared" si="50"/>
        <v>118478.91060000006</v>
      </c>
      <c r="BI38" s="114">
        <f t="shared" si="51"/>
        <v>0</v>
      </c>
      <c r="BJ38" s="114">
        <f t="shared" ref="BJ38:BJ63" si="107">IF($BB$3="After AR Adjustment",IF($H$2=1,BF38,IF($H$2=2,SUM(BF38:BG38),IF($H$2=3,SUM(BF38:BH38),SUM(BF38:BI38)))),IF($H$2=1,AX38,IF($H$2=2,SUM(AX38:AY38),IF($H$2=3,SUM(AX38:AZ38),SUM(AX38:BA38)))))</f>
        <v>376880.05620000011</v>
      </c>
      <c r="BK38" s="115">
        <f t="shared" si="96"/>
        <v>700179.52740000002</v>
      </c>
      <c r="BL38" s="115">
        <f t="shared" si="52"/>
        <v>700179.52740000002</v>
      </c>
      <c r="BM38" s="116">
        <f t="shared" si="53"/>
        <v>0.5383</v>
      </c>
      <c r="BN38" s="126">
        <f t="shared" ref="BN38:BN64" ca="1" si="108">IF(OR(AP38="MBO",AP38="10% Realized Price"),BM38,SUMPRODUCT(Lower_Payout*(Curve=AR38)*(Lower_Attain&lt;=BM38)*(Upper_Attain&gt;BM38))+(BM38-SUMPRODUCT(Lower_Attain*(Curve=AR38)*(Lower_Attain&lt;=BM38)*(Upper_Attain&gt;BM38)))*SUMPRODUCT(Slope*(Curve=AR38)*(Lower_Attain&lt;=BM38)*(Upper_Attain&gt;BM38)))</f>
        <v>0</v>
      </c>
      <c r="BO38" s="117">
        <f t="shared" ref="BO38:BO64" ca="1" si="109">IFERROR(AM38*AQ38*BN38,0)</f>
        <v>0</v>
      </c>
      <c r="BP38" s="118" t="str">
        <f t="shared" ref="BP38:BP63" si="110">IF($T38="Y","100%",IF($H$2=4,"Uncapped",IF(N38="Y","100%",IF($G38="AA","50%",IF($G38="SA","90%",IF($G38="APJ Regional-AA","50%",IF($G38="APJ Regional-SA","90%",75%)))))))</f>
        <v>Uncapped</v>
      </c>
      <c r="BQ38" s="115">
        <f t="shared" ref="BQ38:BQ64" ca="1" si="111">IF(BP38="Uncapped",BO38,IFERROR(AM38*AQ38*BP38,0))</f>
        <v>0</v>
      </c>
      <c r="BR38" s="113" t="s">
        <v>700</v>
      </c>
      <c r="BS38" s="161">
        <v>0.3</v>
      </c>
      <c r="BT38" s="113" t="s">
        <v>211</v>
      </c>
      <c r="BU38" s="160" t="s">
        <v>210</v>
      </c>
      <c r="BV38" s="113">
        <v>17059.645</v>
      </c>
      <c r="BW38" s="113">
        <v>18817.345000000001</v>
      </c>
      <c r="BX38" s="506">
        <v>18947.145</v>
      </c>
      <c r="BY38" s="506">
        <v>21887.464999999997</v>
      </c>
      <c r="BZ38" s="113">
        <v>17183.380499999999</v>
      </c>
      <c r="CA38" s="113">
        <v>22738.067999999999</v>
      </c>
      <c r="CB38" s="504">
        <v>18224.037</v>
      </c>
      <c r="CC38" s="113"/>
      <c r="CD38" s="113"/>
      <c r="CE38" s="113"/>
      <c r="CF38" s="113"/>
      <c r="CG38" s="113"/>
      <c r="CH38" s="114">
        <f t="shared" si="55"/>
        <v>17183.380499999999</v>
      </c>
      <c r="CI38" s="114">
        <f t="shared" si="56"/>
        <v>22738.067999999999</v>
      </c>
      <c r="CJ38" s="120">
        <f t="shared" si="57"/>
        <v>18224.037</v>
      </c>
      <c r="CK38" s="114">
        <f t="shared" si="58"/>
        <v>0</v>
      </c>
      <c r="CL38" s="114">
        <f t="shared" ref="CL38:CL63" si="112">IF($BB$3="After AR Adjustment",IF($H$2=1,CH38,IF($H$2=2,SUM(CH38:CI38),IF($H$2=3,SUM(CH38:CJ38),SUM(CH38:CK38)))),IF($H$2=1,BZ38,IF($H$2=2,SUM(BZ38:CA38),IF($H$2=3,SUM(BZ38:CB38),SUM(BZ38:CC38)))))</f>
        <v>58145.485499999995</v>
      </c>
      <c r="CM38" s="114">
        <f t="shared" si="97"/>
        <v>76711.600000000006</v>
      </c>
      <c r="CN38" s="114">
        <f t="shared" si="59"/>
        <v>76711.600000000006</v>
      </c>
      <c r="CO38" s="116">
        <f t="shared" si="60"/>
        <v>0.75800000000000001</v>
      </c>
      <c r="CP38" s="126">
        <f t="shared" ca="1" si="61"/>
        <v>0</v>
      </c>
      <c r="CQ38" s="115">
        <f t="shared" ref="CQ38:CQ64" ca="1" si="113">AM38*BS38*CP38</f>
        <v>0</v>
      </c>
      <c r="CR38" s="118" t="str">
        <f t="shared" ref="CR38:CR63" si="114">IF($T38="Y","100%",IF($H$2=4,"Uncapped",IF(N38="Y","100%",IF($G38="AA","50%",IF($G38="SA","90%",IF($G38="APJ Regional-AA","50%",IF($G38="APJ Regional-SA","90%",75%)))))))</f>
        <v>Uncapped</v>
      </c>
      <c r="CS38" s="115">
        <f t="shared" ref="CS38:CS64" ca="1" si="115">IF(CR38="Uncapped",CQ38,IFERROR(AM38*BS38*CR38,0))</f>
        <v>0</v>
      </c>
      <c r="CT38" s="113" t="s">
        <v>695</v>
      </c>
      <c r="CU38" s="119">
        <v>0.2</v>
      </c>
      <c r="CV38" s="113" t="s">
        <v>211</v>
      </c>
      <c r="CW38" s="113" t="s">
        <v>210</v>
      </c>
      <c r="CX38" s="113">
        <v>553694.41290000011</v>
      </c>
      <c r="CY38" s="113">
        <v>623937.3703999999</v>
      </c>
      <c r="CZ38" s="113">
        <v>894989.22646666667</v>
      </c>
      <c r="DA38" s="113">
        <v>1058517.5845666667</v>
      </c>
      <c r="DB38" s="113">
        <v>434643.36120000022</v>
      </c>
      <c r="DC38" s="113">
        <v>685032.60331800021</v>
      </c>
      <c r="DD38" s="113">
        <v>917033.22018359974</v>
      </c>
      <c r="DE38" s="113"/>
      <c r="DF38" s="113"/>
      <c r="DG38" s="113"/>
      <c r="DH38" s="113"/>
      <c r="DI38" s="113"/>
      <c r="DJ38" s="114">
        <f t="shared" si="62"/>
        <v>434643.36120000022</v>
      </c>
      <c r="DK38" s="114">
        <f t="shared" si="63"/>
        <v>685032.60331800021</v>
      </c>
      <c r="DL38" s="114">
        <f t="shared" si="64"/>
        <v>917033.22018359974</v>
      </c>
      <c r="DM38" s="114">
        <f t="shared" si="65"/>
        <v>0</v>
      </c>
      <c r="DN38" s="114">
        <f t="shared" ref="DN38:DN63" si="116">IF($BB$3="After AR Adjustment",IF($H$2=1,DJ38,IF($H$2=2,SUM(DJ38:DK38),IF($H$2=3,SUM(DJ38:DL38),SUM(DJ38:DM38)))),IF($H$2=1,DB38,IF($H$2=2,SUM(DB38:DC38),IF($H$2=3,SUM(DB38:DD38),SUM(DB38:DE38)))))</f>
        <v>2036709.1847016001</v>
      </c>
      <c r="DO38" s="114">
        <f t="shared" si="98"/>
        <v>3131138.5943333334</v>
      </c>
      <c r="DP38" s="114">
        <f t="shared" si="67"/>
        <v>3131138.5943333334</v>
      </c>
      <c r="DQ38" s="116">
        <f t="shared" si="68"/>
        <v>0.65049999999999997</v>
      </c>
      <c r="DR38" s="126">
        <f t="shared" ref="DR38:DR64" ca="1" si="117">IF(OR(CT38="MBO",CT38="10% Realized Price"),DQ38,SUMPRODUCT(Lower_Payout*(Curve=CV38)*(Lower_Attain&lt;=DQ38)*(Upper_Attain&gt;DQ38))+(DQ38-SUMPRODUCT(Lower_Attain*(Curve=CV38)*(Lower_Attain&lt;=DQ38)*(Upper_Attain&gt;DQ38)))*SUMPRODUCT(Slope*(Curve=CV38)*(Lower_Attain&lt;=DQ38)*(Upper_Attain&gt;DQ38)))</f>
        <v>0</v>
      </c>
      <c r="DS38" s="115">
        <f t="shared" ref="DS38:DS64" ca="1" si="118">AM38*CU38*DR38</f>
        <v>0</v>
      </c>
      <c r="DT38" s="118" t="str">
        <f t="shared" ref="DT38:DT63" si="119">IF($T38="Y","100%",IF($H$2=4,"Uncapped",IF(N38="Y","100%",IF($G38="AA","50%",IF($G38="SA","90%",IF($G38="APJ Regional-AA","50%",IF($G38="APJ Regional-SA","90%",75%)))))))</f>
        <v>Uncapped</v>
      </c>
      <c r="DU38" s="115">
        <f t="shared" ref="DU38:DU64" ca="1" si="120">IF(DT38="Uncapped",DS38,IFERROR(AM38*CU38*DT38,0))</f>
        <v>0</v>
      </c>
      <c r="DV38" s="113"/>
      <c r="DW38" s="119">
        <v>0</v>
      </c>
      <c r="DX38" s="113"/>
      <c r="DY38" s="113"/>
      <c r="DZ38" s="113">
        <v>0</v>
      </c>
      <c r="EA38" s="113">
        <v>0</v>
      </c>
      <c r="EB38" s="113">
        <v>0</v>
      </c>
      <c r="EC38" s="113">
        <v>0</v>
      </c>
      <c r="ED38" s="113">
        <v>0</v>
      </c>
      <c r="EE38" s="113">
        <v>0</v>
      </c>
      <c r="EF38" s="113"/>
      <c r="EG38" s="113"/>
      <c r="EH38" s="113"/>
      <c r="EI38" s="113"/>
      <c r="EJ38" s="113"/>
      <c r="EK38" s="113"/>
      <c r="EL38" s="114">
        <f t="shared" si="69"/>
        <v>0</v>
      </c>
      <c r="EM38" s="114">
        <f t="shared" si="70"/>
        <v>0</v>
      </c>
      <c r="EN38" s="114">
        <f t="shared" si="71"/>
        <v>0</v>
      </c>
      <c r="EO38" s="114">
        <f t="shared" si="72"/>
        <v>0</v>
      </c>
      <c r="EP38" s="114">
        <f t="shared" ref="EP38:EP63" si="121">IF($BB$3="After AR Adjustment",IF($H$2=1,EL38,IF($H$2=2,SUM(EL38:EM38),IF($H$2=3,SUM(EL38:EN38),SUM(EL38:EO38)))),IF($H$2=1,ED38,IF($H$2=2,SUM(ED38:EE38),IF($H$2=3,SUM(ED38:EF38),SUM(ED38:EG38)))))</f>
        <v>0</v>
      </c>
      <c r="EQ38" s="114">
        <f t="shared" si="99"/>
        <v>0</v>
      </c>
      <c r="ER38" s="114">
        <f t="shared" si="73"/>
        <v>0</v>
      </c>
      <c r="ES38" s="116">
        <f t="shared" si="74"/>
        <v>0</v>
      </c>
      <c r="ET38" s="126">
        <f t="shared" ca="1" si="75"/>
        <v>0</v>
      </c>
      <c r="EU38" s="115">
        <f t="shared" ref="EU38:EU64" ca="1" si="122">AM38*DW38*ET38</f>
        <v>0</v>
      </c>
      <c r="EV38" s="118" t="str">
        <f t="shared" ref="EV38:EV63" si="123">IF($T38="Y","100%",IF(DX38="T2","200%",IF($H$2=4,"Uncapped",IF($G38="AA","50%",IF($G38="SA","90%",IF($G38="APJ Regional-AA","50%",IF($G38="APJ Regional-SA","90%",75%)))))))</f>
        <v>Uncapped</v>
      </c>
      <c r="EW38" s="115">
        <f t="shared" ref="EW38:EW64" ca="1" si="124">IF(EV38="Uncapped",EU38,IFERROR(AM38*DW38*EV38,0))</f>
        <v>0</v>
      </c>
      <c r="EX38" s="112">
        <f t="shared" ref="EX38:EX64" ca="1" si="125">MIN(BO38,BQ38)+MIN(CQ38,CS38)+MIN(DS38,DU38)+MIN(EU38,EW38)</f>
        <v>0</v>
      </c>
      <c r="EY38" s="114">
        <f t="shared" ca="1" si="76"/>
        <v>0</v>
      </c>
      <c r="EZ38" s="115">
        <v>0</v>
      </c>
      <c r="FA38" s="115"/>
      <c r="FB38" s="115"/>
      <c r="FC38" s="115">
        <v>0</v>
      </c>
      <c r="FD38" s="115">
        <f t="shared" si="100"/>
        <v>0</v>
      </c>
      <c r="FE38" s="114">
        <f>SUMIFS(38:38,$5:$5,"SPIFF payout $ (Local CCY)",$4:$4,CONCATENATE("Q",$H$2))</f>
        <v>0</v>
      </c>
      <c r="FF38" s="115">
        <v>0</v>
      </c>
      <c r="FG38" s="115">
        <v>0</v>
      </c>
      <c r="FH38" s="115">
        <v>0</v>
      </c>
      <c r="FI38" s="115">
        <v>0</v>
      </c>
      <c r="FJ38" s="115">
        <f t="shared" si="101"/>
        <v>0</v>
      </c>
      <c r="FK38" s="114">
        <f>SUMIFS(38:38,$5:$5,"Other payout $ (Local CCY)",$4:$4,CONCATENATE("Q",$H$2))</f>
        <v>0</v>
      </c>
      <c r="FL38" s="113"/>
      <c r="FM38" s="111"/>
      <c r="FN38" s="111"/>
      <c r="FO38" s="111"/>
      <c r="FP38" s="115">
        <f t="shared" si="88"/>
        <v>0</v>
      </c>
      <c r="FQ38" s="115"/>
      <c r="FR38" s="488"/>
      <c r="FS38" s="115"/>
      <c r="FT38" s="114">
        <f t="shared" si="77"/>
        <v>0</v>
      </c>
      <c r="FU38" s="366">
        <f t="shared" ca="1" si="79"/>
        <v>0</v>
      </c>
      <c r="FV38" s="121">
        <f t="shared" ca="1" si="78"/>
        <v>0</v>
      </c>
      <c r="FW38" s="114">
        <f t="shared" si="84"/>
        <v>0</v>
      </c>
      <c r="FX38" s="114">
        <f t="shared" si="84"/>
        <v>0</v>
      </c>
      <c r="FY38" s="114">
        <f t="shared" si="84"/>
        <v>0</v>
      </c>
      <c r="FZ38" s="114">
        <f t="shared" si="81"/>
        <v>0</v>
      </c>
      <c r="GA38" s="114">
        <f t="shared" si="89"/>
        <v>0</v>
      </c>
      <c r="GB38" s="114">
        <f t="shared" si="85"/>
        <v>0</v>
      </c>
      <c r="GC38" s="114">
        <f t="shared" si="85"/>
        <v>0</v>
      </c>
      <c r="GD38" s="114">
        <f t="shared" si="85"/>
        <v>0</v>
      </c>
      <c r="GE38" s="114">
        <f t="shared" si="82"/>
        <v>0</v>
      </c>
      <c r="GF38" s="114">
        <f t="shared" si="87"/>
        <v>0</v>
      </c>
      <c r="GG38" s="114">
        <f t="shared" si="87"/>
        <v>0</v>
      </c>
      <c r="GH38" s="114">
        <f t="shared" si="87"/>
        <v>0</v>
      </c>
      <c r="GI38" s="114">
        <f t="shared" si="86"/>
        <v>0</v>
      </c>
      <c r="GJ38" s="115">
        <f t="shared" si="102"/>
        <v>0</v>
      </c>
      <c r="GK38" s="114">
        <f t="shared" si="90"/>
        <v>0</v>
      </c>
      <c r="GL38" s="114">
        <f t="shared" ref="GL38:GL64" si="126">IF(U38="Y",V38*AO38,0)</f>
        <v>0</v>
      </c>
      <c r="GM38" s="114">
        <f t="shared" ref="GM38:GM64" si="127">IF(U38="Y",W38*AO38,0)</f>
        <v>0</v>
      </c>
      <c r="GN38" s="114">
        <f t="shared" ref="GN38:GN64" si="128">IF(U38="Y",X38*AO38,0)</f>
        <v>0</v>
      </c>
      <c r="GO38" s="114">
        <f t="shared" ref="GO38:GO64" si="129">IF(U38="Y",Y38*AO38,0)</f>
        <v>0</v>
      </c>
      <c r="GP38" s="114">
        <f t="shared" si="103"/>
        <v>0</v>
      </c>
      <c r="GQ38" s="114">
        <f t="shared" si="91"/>
        <v>0</v>
      </c>
      <c r="GR38" s="193"/>
      <c r="GS38" s="122">
        <f t="shared" ref="GS38:GS64" si="130">IFERROR(BJ38+CL38+DN38+EP38,0)</f>
        <v>2471734.7264016001</v>
      </c>
      <c r="GT38" s="122">
        <f t="shared" ref="GT38:GT64" si="131">IFERROR(BK38+CM38+DO38+EQ38,0)</f>
        <v>3908029.7217333335</v>
      </c>
      <c r="GU38" s="123">
        <f t="shared" si="92"/>
        <v>0.63247592838298794</v>
      </c>
      <c r="GV38" s="124">
        <f t="shared" ref="GV38:GV64" ca="1" si="132">BO38+CQ38+DS38+EU38</f>
        <v>0</v>
      </c>
      <c r="GW38" s="124">
        <v>0</v>
      </c>
      <c r="GX38" s="32">
        <f t="shared" ref="GX38:GX64" ca="1" si="133">IFERROR(GV38/AM38,0)</f>
        <v>0</v>
      </c>
      <c r="GY38" s="100"/>
    </row>
    <row r="39" spans="1:207" s="125" customFormat="1" ht="15" hidden="1" customHeight="1">
      <c r="A39" s="102"/>
      <c r="B39" s="103"/>
      <c r="C39" s="103"/>
      <c r="D39" s="104"/>
      <c r="E39" s="104" t="s">
        <v>253</v>
      </c>
      <c r="F39" s="104" t="s">
        <v>266</v>
      </c>
      <c r="G39" s="104" t="s">
        <v>226</v>
      </c>
      <c r="H39" s="105" t="s">
        <v>316</v>
      </c>
      <c r="I39" s="106" t="s">
        <v>317</v>
      </c>
      <c r="J39" s="104" t="s">
        <v>212</v>
      </c>
      <c r="K39" s="325" t="s">
        <v>208</v>
      </c>
      <c r="L39" s="104" t="s">
        <v>213</v>
      </c>
      <c r="M39" s="104" t="s">
        <v>315</v>
      </c>
      <c r="N39" s="107"/>
      <c r="O39" s="108">
        <v>42702</v>
      </c>
      <c r="P39" s="108">
        <v>42702</v>
      </c>
      <c r="Q39" s="322">
        <f t="shared" si="105"/>
        <v>0</v>
      </c>
      <c r="R39" s="109">
        <f>IF((P39-VLOOKUP(Q39,month!$A$1:$C$13,3,0))&lt;0,Q39,Q39+1)</f>
        <v>0</v>
      </c>
      <c r="S39" s="108"/>
      <c r="T39" s="110" t="str">
        <f t="shared" si="80"/>
        <v/>
      </c>
      <c r="U39" s="107"/>
      <c r="V39" s="107"/>
      <c r="W39" s="107"/>
      <c r="X39" s="107"/>
      <c r="Y39" s="386"/>
      <c r="Z39" s="386" t="s">
        <v>545</v>
      </c>
      <c r="AA39" s="387">
        <v>1000</v>
      </c>
      <c r="AB39" s="387">
        <v>1000</v>
      </c>
      <c r="AC39" s="387">
        <v>1000</v>
      </c>
      <c r="AD39" s="387">
        <v>1000</v>
      </c>
      <c r="AE39" s="387">
        <v>1000</v>
      </c>
      <c r="AF39" s="387">
        <v>1000</v>
      </c>
      <c r="AG39" s="387">
        <v>1000</v>
      </c>
      <c r="AH39" s="387">
        <v>1000</v>
      </c>
      <c r="AI39" s="387">
        <v>1000</v>
      </c>
      <c r="AJ39" s="387">
        <v>1000</v>
      </c>
      <c r="AK39" s="387">
        <v>1000</v>
      </c>
      <c r="AL39" s="387">
        <v>1000</v>
      </c>
      <c r="AM39" s="388">
        <f t="shared" si="95"/>
        <v>12000</v>
      </c>
      <c r="AN39" s="388">
        <f t="shared" si="106"/>
        <v>12000</v>
      </c>
      <c r="AO39" s="389">
        <f t="shared" si="104"/>
        <v>1000</v>
      </c>
      <c r="AP39" s="498" t="s">
        <v>682</v>
      </c>
      <c r="AQ39" s="159">
        <v>0.5</v>
      </c>
      <c r="AR39" s="160" t="s">
        <v>211</v>
      </c>
      <c r="AS39" s="119" t="s">
        <v>210</v>
      </c>
      <c r="AT39" s="111">
        <v>145362.02824412004</v>
      </c>
      <c r="AU39" s="111">
        <v>166030.80011966001</v>
      </c>
      <c r="AV39" s="111">
        <v>194336.42742940004</v>
      </c>
      <c r="AW39" s="111">
        <v>225694.32180682005</v>
      </c>
      <c r="AX39" s="113">
        <v>111693.65310000007</v>
      </c>
      <c r="AY39" s="113">
        <v>164568.88799999995</v>
      </c>
      <c r="AZ39" s="113">
        <v>215187.39629999993</v>
      </c>
      <c r="BA39" s="113"/>
      <c r="BB39" s="113"/>
      <c r="BC39" s="113"/>
      <c r="BD39" s="113"/>
      <c r="BE39" s="113"/>
      <c r="BF39" s="114">
        <f t="shared" si="48"/>
        <v>111693.65310000007</v>
      </c>
      <c r="BG39" s="114">
        <f t="shared" si="49"/>
        <v>164568.88799999995</v>
      </c>
      <c r="BH39" s="114">
        <f t="shared" si="50"/>
        <v>215187.39629999993</v>
      </c>
      <c r="BI39" s="114">
        <f t="shared" si="51"/>
        <v>0</v>
      </c>
      <c r="BJ39" s="114">
        <f t="shared" si="107"/>
        <v>491449.93739999994</v>
      </c>
      <c r="BK39" s="115">
        <f t="shared" si="96"/>
        <v>731423.57760000019</v>
      </c>
      <c r="BL39" s="115">
        <f t="shared" si="52"/>
        <v>731423.57760000019</v>
      </c>
      <c r="BM39" s="116">
        <f t="shared" si="53"/>
        <v>0.67190000000000005</v>
      </c>
      <c r="BN39" s="126">
        <f t="shared" ca="1" si="108"/>
        <v>0</v>
      </c>
      <c r="BO39" s="117">
        <f t="shared" ca="1" si="109"/>
        <v>0</v>
      </c>
      <c r="BP39" s="118" t="str">
        <f t="shared" si="110"/>
        <v>Uncapped</v>
      </c>
      <c r="BQ39" s="115">
        <f t="shared" ca="1" si="111"/>
        <v>0</v>
      </c>
      <c r="BR39" s="113" t="s">
        <v>700</v>
      </c>
      <c r="BS39" s="161">
        <v>0.3</v>
      </c>
      <c r="BT39" s="113" t="s">
        <v>211</v>
      </c>
      <c r="BU39" s="160" t="s">
        <v>210</v>
      </c>
      <c r="BV39" s="113">
        <v>13406.445</v>
      </c>
      <c r="BW39" s="113">
        <v>14854.994999999999</v>
      </c>
      <c r="BX39" s="506">
        <v>15027.945</v>
      </c>
      <c r="BY39" s="506">
        <v>17122.214999999997</v>
      </c>
      <c r="BZ39" s="113">
        <v>15722.145</v>
      </c>
      <c r="CA39" s="113">
        <v>16185.420000000002</v>
      </c>
      <c r="CB39" s="504">
        <v>15201.855</v>
      </c>
      <c r="CC39" s="113"/>
      <c r="CD39" s="113"/>
      <c r="CE39" s="113"/>
      <c r="CF39" s="113"/>
      <c r="CG39" s="113"/>
      <c r="CH39" s="114">
        <f t="shared" si="55"/>
        <v>15722.145</v>
      </c>
      <c r="CI39" s="114">
        <f t="shared" si="56"/>
        <v>16185.420000000002</v>
      </c>
      <c r="CJ39" s="120">
        <f t="shared" si="57"/>
        <v>15201.855</v>
      </c>
      <c r="CK39" s="114">
        <f t="shared" si="58"/>
        <v>0</v>
      </c>
      <c r="CL39" s="114">
        <f t="shared" si="112"/>
        <v>47109.42</v>
      </c>
      <c r="CM39" s="114">
        <f t="shared" si="97"/>
        <v>60411.599999999991</v>
      </c>
      <c r="CN39" s="114">
        <f t="shared" si="59"/>
        <v>60411.599999999991</v>
      </c>
      <c r="CO39" s="116">
        <f t="shared" si="60"/>
        <v>0.77980000000000005</v>
      </c>
      <c r="CP39" s="126">
        <f t="shared" ca="1" si="61"/>
        <v>0</v>
      </c>
      <c r="CQ39" s="115">
        <f t="shared" ca="1" si="113"/>
        <v>0</v>
      </c>
      <c r="CR39" s="118" t="str">
        <f t="shared" si="114"/>
        <v>Uncapped</v>
      </c>
      <c r="CS39" s="115">
        <f t="shared" ca="1" si="115"/>
        <v>0</v>
      </c>
      <c r="CT39" s="113" t="s">
        <v>695</v>
      </c>
      <c r="CU39" s="119">
        <v>0.2</v>
      </c>
      <c r="CV39" s="113" t="s">
        <v>211</v>
      </c>
      <c r="CW39" s="113" t="s">
        <v>210</v>
      </c>
      <c r="CX39" s="113">
        <v>553694.41290000011</v>
      </c>
      <c r="CY39" s="113">
        <v>623937.3703999999</v>
      </c>
      <c r="CZ39" s="113">
        <v>894989.22646666667</v>
      </c>
      <c r="DA39" s="113">
        <v>1058517.5845666667</v>
      </c>
      <c r="DB39" s="113">
        <v>434643.36120000022</v>
      </c>
      <c r="DC39" s="113">
        <v>685032.60331800021</v>
      </c>
      <c r="DD39" s="113">
        <v>917033.22018359974</v>
      </c>
      <c r="DE39" s="113"/>
      <c r="DF39" s="113"/>
      <c r="DG39" s="113"/>
      <c r="DH39" s="113"/>
      <c r="DI39" s="113"/>
      <c r="DJ39" s="114">
        <f t="shared" si="62"/>
        <v>434643.36120000022</v>
      </c>
      <c r="DK39" s="114">
        <f t="shared" si="63"/>
        <v>685032.60331800021</v>
      </c>
      <c r="DL39" s="114">
        <f t="shared" si="64"/>
        <v>917033.22018359974</v>
      </c>
      <c r="DM39" s="114">
        <f t="shared" si="65"/>
        <v>0</v>
      </c>
      <c r="DN39" s="114">
        <f t="shared" si="116"/>
        <v>2036709.1847016001</v>
      </c>
      <c r="DO39" s="114">
        <f t="shared" si="98"/>
        <v>3131138.5943333334</v>
      </c>
      <c r="DP39" s="114">
        <f t="shared" si="67"/>
        <v>3131138.5943333334</v>
      </c>
      <c r="DQ39" s="116">
        <f t="shared" si="68"/>
        <v>0.65049999999999997</v>
      </c>
      <c r="DR39" s="126">
        <f t="shared" ca="1" si="117"/>
        <v>0</v>
      </c>
      <c r="DS39" s="115">
        <f t="shared" ca="1" si="118"/>
        <v>0</v>
      </c>
      <c r="DT39" s="118" t="str">
        <f t="shared" si="119"/>
        <v>Uncapped</v>
      </c>
      <c r="DU39" s="115">
        <f t="shared" ca="1" si="120"/>
        <v>0</v>
      </c>
      <c r="DV39" s="113"/>
      <c r="DW39" s="119">
        <v>0</v>
      </c>
      <c r="DX39" s="113"/>
      <c r="DY39" s="113"/>
      <c r="DZ39" s="113">
        <v>0</v>
      </c>
      <c r="EA39" s="113">
        <v>0</v>
      </c>
      <c r="EB39" s="113">
        <v>0</v>
      </c>
      <c r="EC39" s="113">
        <v>0</v>
      </c>
      <c r="ED39" s="113">
        <v>0</v>
      </c>
      <c r="EE39" s="113">
        <v>0</v>
      </c>
      <c r="EF39" s="113"/>
      <c r="EG39" s="113"/>
      <c r="EH39" s="113"/>
      <c r="EI39" s="113"/>
      <c r="EJ39" s="113"/>
      <c r="EK39" s="113"/>
      <c r="EL39" s="114">
        <f t="shared" si="69"/>
        <v>0</v>
      </c>
      <c r="EM39" s="114">
        <f t="shared" si="70"/>
        <v>0</v>
      </c>
      <c r="EN39" s="114">
        <f t="shared" si="71"/>
        <v>0</v>
      </c>
      <c r="EO39" s="114">
        <f t="shared" si="72"/>
        <v>0</v>
      </c>
      <c r="EP39" s="114">
        <f t="shared" si="121"/>
        <v>0</v>
      </c>
      <c r="EQ39" s="114">
        <f t="shared" si="99"/>
        <v>0</v>
      </c>
      <c r="ER39" s="114">
        <f t="shared" si="73"/>
        <v>0</v>
      </c>
      <c r="ES39" s="116">
        <f t="shared" si="74"/>
        <v>0</v>
      </c>
      <c r="ET39" s="126">
        <f t="shared" ca="1" si="75"/>
        <v>0</v>
      </c>
      <c r="EU39" s="115">
        <f t="shared" ca="1" si="122"/>
        <v>0</v>
      </c>
      <c r="EV39" s="118" t="str">
        <f t="shared" si="123"/>
        <v>Uncapped</v>
      </c>
      <c r="EW39" s="115">
        <f t="shared" ca="1" si="124"/>
        <v>0</v>
      </c>
      <c r="EX39" s="112">
        <f t="shared" ca="1" si="125"/>
        <v>0</v>
      </c>
      <c r="EY39" s="114">
        <f t="shared" ca="1" si="76"/>
        <v>0</v>
      </c>
      <c r="EZ39" s="115">
        <v>0</v>
      </c>
      <c r="FA39" s="115"/>
      <c r="FB39" s="115"/>
      <c r="FC39" s="115">
        <v>0</v>
      </c>
      <c r="FD39" s="115">
        <f t="shared" si="100"/>
        <v>0</v>
      </c>
      <c r="FE39" s="114">
        <f>SUMIFS(39:39,$5:$5,"SPIFF payout $ (Local CCY)",$4:$4,CONCATENATE("Q",$H$2))</f>
        <v>0</v>
      </c>
      <c r="FF39" s="115">
        <v>0</v>
      </c>
      <c r="FG39" s="115">
        <v>0</v>
      </c>
      <c r="FH39" s="115">
        <v>0</v>
      </c>
      <c r="FI39" s="115">
        <v>0</v>
      </c>
      <c r="FJ39" s="115">
        <f t="shared" si="101"/>
        <v>0</v>
      </c>
      <c r="FK39" s="114">
        <f>SUMIFS(39:39,$5:$5,"Other payout $ (Local CCY)",$4:$4,CONCATENATE("Q",$H$2))</f>
        <v>0</v>
      </c>
      <c r="FL39" s="113"/>
      <c r="FM39" s="111"/>
      <c r="FN39" s="111"/>
      <c r="FO39" s="111"/>
      <c r="FP39" s="115">
        <f t="shared" si="88"/>
        <v>0</v>
      </c>
      <c r="FQ39" s="115"/>
      <c r="FR39" s="488"/>
      <c r="FS39" s="115"/>
      <c r="FT39" s="114">
        <f t="shared" si="77"/>
        <v>0</v>
      </c>
      <c r="FU39" s="366">
        <f t="shared" ca="1" si="79"/>
        <v>0</v>
      </c>
      <c r="FV39" s="121">
        <f t="shared" ca="1" si="78"/>
        <v>0</v>
      </c>
      <c r="FW39" s="114">
        <f t="shared" si="84"/>
        <v>0</v>
      </c>
      <c r="FX39" s="114">
        <f t="shared" si="84"/>
        <v>0</v>
      </c>
      <c r="FY39" s="114">
        <f t="shared" si="84"/>
        <v>0</v>
      </c>
      <c r="FZ39" s="114">
        <f t="shared" si="81"/>
        <v>0</v>
      </c>
      <c r="GA39" s="114">
        <f t="shared" si="89"/>
        <v>0</v>
      </c>
      <c r="GB39" s="114">
        <f t="shared" si="85"/>
        <v>0</v>
      </c>
      <c r="GC39" s="114">
        <f t="shared" si="85"/>
        <v>0</v>
      </c>
      <c r="GD39" s="114">
        <f t="shared" si="85"/>
        <v>0</v>
      </c>
      <c r="GE39" s="114">
        <f t="shared" si="82"/>
        <v>0</v>
      </c>
      <c r="GF39" s="114">
        <f t="shared" si="87"/>
        <v>0</v>
      </c>
      <c r="GG39" s="114">
        <f t="shared" si="87"/>
        <v>0</v>
      </c>
      <c r="GH39" s="114">
        <f t="shared" si="87"/>
        <v>0</v>
      </c>
      <c r="GI39" s="114">
        <f t="shared" si="86"/>
        <v>0</v>
      </c>
      <c r="GJ39" s="115">
        <f t="shared" si="102"/>
        <v>0</v>
      </c>
      <c r="GK39" s="114">
        <f t="shared" si="90"/>
        <v>0</v>
      </c>
      <c r="GL39" s="114">
        <f t="shared" si="126"/>
        <v>0</v>
      </c>
      <c r="GM39" s="114">
        <f t="shared" si="127"/>
        <v>0</v>
      </c>
      <c r="GN39" s="114">
        <f t="shared" si="128"/>
        <v>0</v>
      </c>
      <c r="GO39" s="114">
        <f t="shared" si="129"/>
        <v>0</v>
      </c>
      <c r="GP39" s="114">
        <f t="shared" si="103"/>
        <v>0</v>
      </c>
      <c r="GQ39" s="114">
        <f t="shared" si="91"/>
        <v>0</v>
      </c>
      <c r="GR39" s="193"/>
      <c r="GS39" s="122">
        <f t="shared" si="130"/>
        <v>2575268.5421016002</v>
      </c>
      <c r="GT39" s="122">
        <f t="shared" si="131"/>
        <v>3922973.7719333335</v>
      </c>
      <c r="GU39" s="123">
        <f t="shared" si="92"/>
        <v>0.65645826146638941</v>
      </c>
      <c r="GV39" s="124">
        <f t="shared" ca="1" si="132"/>
        <v>0</v>
      </c>
      <c r="GW39" s="124">
        <v>0</v>
      </c>
      <c r="GX39" s="32">
        <f t="shared" ca="1" si="133"/>
        <v>0</v>
      </c>
      <c r="GY39" s="100"/>
    </row>
    <row r="40" spans="1:207" s="125" customFormat="1" ht="15" hidden="1" customHeight="1">
      <c r="A40" s="102"/>
      <c r="B40" s="103"/>
      <c r="C40" s="103"/>
      <c r="D40" s="104"/>
      <c r="E40" s="104" t="s">
        <v>253</v>
      </c>
      <c r="F40" s="104" t="s">
        <v>266</v>
      </c>
      <c r="G40" s="104" t="s">
        <v>226</v>
      </c>
      <c r="H40" s="105" t="s">
        <v>318</v>
      </c>
      <c r="I40" s="106" t="s">
        <v>319</v>
      </c>
      <c r="J40" s="104" t="s">
        <v>212</v>
      </c>
      <c r="K40" s="325" t="s">
        <v>208</v>
      </c>
      <c r="L40" s="104" t="s">
        <v>213</v>
      </c>
      <c r="M40" s="104" t="s">
        <v>315</v>
      </c>
      <c r="N40" s="107"/>
      <c r="O40" s="108">
        <v>43435</v>
      </c>
      <c r="P40" s="108">
        <v>43435</v>
      </c>
      <c r="Q40" s="322">
        <f t="shared" si="105"/>
        <v>0</v>
      </c>
      <c r="R40" s="109">
        <f>IF((P40-VLOOKUP(Q40,month!$A$1:$C$13,3,0))&lt;0,Q40,Q40+1)</f>
        <v>0</v>
      </c>
      <c r="S40" s="108"/>
      <c r="T40" s="110" t="str">
        <f>IF(S40&gt;0,"Y","")</f>
        <v/>
      </c>
      <c r="U40" s="320" t="s">
        <v>214</v>
      </c>
      <c r="V40" s="320">
        <v>2</v>
      </c>
      <c r="W40" s="107"/>
      <c r="X40" s="107"/>
      <c r="Y40" s="386"/>
      <c r="Z40" s="386" t="s">
        <v>545</v>
      </c>
      <c r="AA40" s="387">
        <v>1000</v>
      </c>
      <c r="AB40" s="387">
        <v>1000</v>
      </c>
      <c r="AC40" s="387">
        <v>1000</v>
      </c>
      <c r="AD40" s="387">
        <v>1000</v>
      </c>
      <c r="AE40" s="387">
        <v>1000</v>
      </c>
      <c r="AF40" s="387">
        <v>1000</v>
      </c>
      <c r="AG40" s="387">
        <v>1000</v>
      </c>
      <c r="AH40" s="387">
        <v>1000</v>
      </c>
      <c r="AI40" s="387">
        <v>1000</v>
      </c>
      <c r="AJ40" s="387">
        <v>1000</v>
      </c>
      <c r="AK40" s="387">
        <v>1000</v>
      </c>
      <c r="AL40" s="387">
        <v>1000</v>
      </c>
      <c r="AM40" s="388">
        <f t="shared" si="95"/>
        <v>12000</v>
      </c>
      <c r="AN40" s="388">
        <f t="shared" si="106"/>
        <v>12000</v>
      </c>
      <c r="AO40" s="389">
        <f>AA40</f>
        <v>1000</v>
      </c>
      <c r="AP40" s="498" t="s">
        <v>682</v>
      </c>
      <c r="AQ40" s="159">
        <v>0.5</v>
      </c>
      <c r="AR40" s="160" t="s">
        <v>211</v>
      </c>
      <c r="AS40" s="119" t="s">
        <v>210</v>
      </c>
      <c r="AT40" s="111">
        <v>152277.99849999999</v>
      </c>
      <c r="AU40" s="111">
        <v>174179.54120000001</v>
      </c>
      <c r="AV40" s="111">
        <v>190265.76679999998</v>
      </c>
      <c r="AW40" s="111">
        <v>225377.53750000001</v>
      </c>
      <c r="AX40" s="113">
        <v>116320.12200000002</v>
      </c>
      <c r="AY40" s="113">
        <v>117827.17200000006</v>
      </c>
      <c r="AZ40" s="113">
        <v>278312.35679999978</v>
      </c>
      <c r="BA40" s="113"/>
      <c r="BB40" s="113"/>
      <c r="BC40" s="113"/>
      <c r="BD40" s="113"/>
      <c r="BE40" s="113"/>
      <c r="BF40" s="114">
        <f t="shared" si="48"/>
        <v>116320.12200000002</v>
      </c>
      <c r="BG40" s="114">
        <f t="shared" si="49"/>
        <v>117827.17200000006</v>
      </c>
      <c r="BH40" s="114">
        <f t="shared" si="50"/>
        <v>278312.35679999978</v>
      </c>
      <c r="BI40" s="114">
        <f t="shared" si="51"/>
        <v>0</v>
      </c>
      <c r="BJ40" s="114">
        <f t="shared" si="107"/>
        <v>512459.65079999983</v>
      </c>
      <c r="BK40" s="115">
        <f t="shared" si="96"/>
        <v>742100.84399999992</v>
      </c>
      <c r="BL40" s="115">
        <f t="shared" si="52"/>
        <v>742100.84399999992</v>
      </c>
      <c r="BM40" s="116">
        <f t="shared" si="53"/>
        <v>0.69059999999999999</v>
      </c>
      <c r="BN40" s="126">
        <f t="shared" ca="1" si="108"/>
        <v>0</v>
      </c>
      <c r="BO40" s="117">
        <f t="shared" ca="1" si="109"/>
        <v>0</v>
      </c>
      <c r="BP40" s="118" t="str">
        <f t="shared" si="110"/>
        <v>Uncapped</v>
      </c>
      <c r="BQ40" s="115">
        <f t="shared" ca="1" si="111"/>
        <v>0</v>
      </c>
      <c r="BR40" s="113" t="s">
        <v>700</v>
      </c>
      <c r="BS40" s="161">
        <v>0.3</v>
      </c>
      <c r="BT40" s="113" t="s">
        <v>211</v>
      </c>
      <c r="BU40" s="160" t="s">
        <v>210</v>
      </c>
      <c r="BV40" s="113">
        <v>30284.229999999996</v>
      </c>
      <c r="BW40" s="113">
        <v>33838.78</v>
      </c>
      <c r="BX40" s="173">
        <v>34056.03</v>
      </c>
      <c r="BY40" s="173">
        <v>37932.559999999998</v>
      </c>
      <c r="BZ40" s="113">
        <v>9987.9255000000012</v>
      </c>
      <c r="CA40" s="113">
        <v>9357.1623</v>
      </c>
      <c r="CB40" s="504">
        <v>16714.565999999999</v>
      </c>
      <c r="CC40" s="113"/>
      <c r="CD40" s="113"/>
      <c r="CE40" s="113"/>
      <c r="CF40" s="113"/>
      <c r="CG40" s="113"/>
      <c r="CH40" s="114">
        <f t="shared" si="55"/>
        <v>9987.9255000000012</v>
      </c>
      <c r="CI40" s="114">
        <f t="shared" si="56"/>
        <v>9357.1623</v>
      </c>
      <c r="CJ40" s="120">
        <f t="shared" si="57"/>
        <v>16714.565999999999</v>
      </c>
      <c r="CK40" s="114">
        <f t="shared" si="58"/>
        <v>0</v>
      </c>
      <c r="CL40" s="114">
        <f t="shared" si="112"/>
        <v>36059.6538</v>
      </c>
      <c r="CM40" s="114">
        <f t="shared" si="97"/>
        <v>136111.59999999998</v>
      </c>
      <c r="CN40" s="114">
        <f t="shared" si="59"/>
        <v>136111.59999999998</v>
      </c>
      <c r="CO40" s="116">
        <f t="shared" si="60"/>
        <v>0.26490000000000002</v>
      </c>
      <c r="CP40" s="126">
        <f t="shared" ca="1" si="61"/>
        <v>0</v>
      </c>
      <c r="CQ40" s="115">
        <f t="shared" ca="1" si="113"/>
        <v>0</v>
      </c>
      <c r="CR40" s="118" t="str">
        <f t="shared" si="114"/>
        <v>Uncapped</v>
      </c>
      <c r="CS40" s="115">
        <f t="shared" ca="1" si="115"/>
        <v>0</v>
      </c>
      <c r="CT40" s="113" t="s">
        <v>695</v>
      </c>
      <c r="CU40" s="119">
        <v>0.2</v>
      </c>
      <c r="CV40" s="113" t="s">
        <v>211</v>
      </c>
      <c r="CW40" s="113" t="s">
        <v>210</v>
      </c>
      <c r="CX40" s="113">
        <v>553694.41290000011</v>
      </c>
      <c r="CY40" s="113">
        <v>623937.3703999999</v>
      </c>
      <c r="CZ40" s="113">
        <v>894989.22646666667</v>
      </c>
      <c r="DA40" s="113">
        <v>1058517.5845666667</v>
      </c>
      <c r="DB40" s="113">
        <v>434643.36120000022</v>
      </c>
      <c r="DC40" s="113">
        <v>685032.60331800021</v>
      </c>
      <c r="DD40" s="113">
        <v>917033.22018359974</v>
      </c>
      <c r="DE40" s="113"/>
      <c r="DF40" s="113"/>
      <c r="DG40" s="113"/>
      <c r="DH40" s="113"/>
      <c r="DI40" s="113"/>
      <c r="DJ40" s="114">
        <f t="shared" si="62"/>
        <v>434643.36120000022</v>
      </c>
      <c r="DK40" s="114">
        <f t="shared" si="63"/>
        <v>685032.60331800021</v>
      </c>
      <c r="DL40" s="114">
        <f t="shared" si="64"/>
        <v>917033.22018359974</v>
      </c>
      <c r="DM40" s="114">
        <f t="shared" si="65"/>
        <v>0</v>
      </c>
      <c r="DN40" s="114">
        <f t="shared" si="116"/>
        <v>2036709.1847016001</v>
      </c>
      <c r="DO40" s="114">
        <f t="shared" si="98"/>
        <v>3131138.5943333334</v>
      </c>
      <c r="DP40" s="114">
        <f t="shared" si="67"/>
        <v>3131138.5943333334</v>
      </c>
      <c r="DQ40" s="116">
        <f t="shared" si="68"/>
        <v>0.65049999999999997</v>
      </c>
      <c r="DR40" s="126">
        <f t="shared" ca="1" si="117"/>
        <v>0</v>
      </c>
      <c r="DS40" s="115">
        <f t="shared" ca="1" si="118"/>
        <v>0</v>
      </c>
      <c r="DT40" s="118" t="str">
        <f t="shared" si="119"/>
        <v>Uncapped</v>
      </c>
      <c r="DU40" s="115">
        <f t="shared" ca="1" si="120"/>
        <v>0</v>
      </c>
      <c r="DV40" s="113"/>
      <c r="DW40" s="119">
        <v>0</v>
      </c>
      <c r="DX40" s="113"/>
      <c r="DY40" s="113"/>
      <c r="DZ40" s="113">
        <v>0</v>
      </c>
      <c r="EA40" s="113">
        <v>0</v>
      </c>
      <c r="EB40" s="113">
        <v>0</v>
      </c>
      <c r="EC40" s="113">
        <v>0</v>
      </c>
      <c r="ED40" s="113">
        <v>0</v>
      </c>
      <c r="EE40" s="113">
        <v>0</v>
      </c>
      <c r="EF40" s="113"/>
      <c r="EG40" s="113"/>
      <c r="EH40" s="113"/>
      <c r="EI40" s="113"/>
      <c r="EJ40" s="113"/>
      <c r="EK40" s="113"/>
      <c r="EL40" s="114">
        <f t="shared" si="69"/>
        <v>0</v>
      </c>
      <c r="EM40" s="114">
        <f t="shared" si="70"/>
        <v>0</v>
      </c>
      <c r="EN40" s="114">
        <f t="shared" si="71"/>
        <v>0</v>
      </c>
      <c r="EO40" s="114">
        <f t="shared" si="72"/>
        <v>0</v>
      </c>
      <c r="EP40" s="114">
        <f t="shared" si="121"/>
        <v>0</v>
      </c>
      <c r="EQ40" s="114">
        <f t="shared" si="99"/>
        <v>0</v>
      </c>
      <c r="ER40" s="114">
        <f t="shared" si="73"/>
        <v>0</v>
      </c>
      <c r="ES40" s="116">
        <f t="shared" si="74"/>
        <v>0</v>
      </c>
      <c r="ET40" s="126">
        <f t="shared" ca="1" si="75"/>
        <v>0</v>
      </c>
      <c r="EU40" s="115">
        <f t="shared" ca="1" si="122"/>
        <v>0</v>
      </c>
      <c r="EV40" s="118" t="str">
        <f t="shared" si="123"/>
        <v>Uncapped</v>
      </c>
      <c r="EW40" s="115">
        <f t="shared" ca="1" si="124"/>
        <v>0</v>
      </c>
      <c r="EX40" s="112">
        <f t="shared" ca="1" si="125"/>
        <v>0</v>
      </c>
      <c r="EY40" s="114">
        <f t="shared" ca="1" si="76"/>
        <v>2000</v>
      </c>
      <c r="EZ40" s="115">
        <v>0</v>
      </c>
      <c r="FA40" s="115"/>
      <c r="FB40" s="115"/>
      <c r="FC40" s="115">
        <v>0</v>
      </c>
      <c r="FD40" s="115">
        <f t="shared" si="100"/>
        <v>0</v>
      </c>
      <c r="FE40" s="114">
        <f>SUMIFS(40:40,$5:$5,"SPIFF payout $ (Local CCY)",$4:$4,CONCATENATE("Q",$H$2))</f>
        <v>0</v>
      </c>
      <c r="FF40" s="115">
        <v>0</v>
      </c>
      <c r="FG40" s="115">
        <v>0</v>
      </c>
      <c r="FH40" s="115">
        <v>0</v>
      </c>
      <c r="FI40" s="115">
        <v>0</v>
      </c>
      <c r="FJ40" s="115">
        <f t="shared" si="101"/>
        <v>0</v>
      </c>
      <c r="FK40" s="114">
        <f>SUMIFS(40:40,$5:$5,"Other payout $ (Local CCY)",$4:$4,CONCATENATE("Q",$H$2))</f>
        <v>0</v>
      </c>
      <c r="FL40" s="113"/>
      <c r="FM40" s="111"/>
      <c r="FN40" s="111"/>
      <c r="FO40" s="111"/>
      <c r="FP40" s="115">
        <f>SUM(FL40:FO40)</f>
        <v>0</v>
      </c>
      <c r="FQ40" s="115"/>
      <c r="FR40" s="115"/>
      <c r="FS40" s="115"/>
      <c r="FT40" s="114">
        <f t="shared" si="77"/>
        <v>0</v>
      </c>
      <c r="FU40" s="366">
        <f t="shared" ca="1" si="79"/>
        <v>2000</v>
      </c>
      <c r="FV40" s="121">
        <f t="shared" ca="1" si="78"/>
        <v>2000</v>
      </c>
      <c r="FW40" s="114">
        <f t="shared" si="84"/>
        <v>0</v>
      </c>
      <c r="FX40" s="114">
        <f t="shared" si="84"/>
        <v>0</v>
      </c>
      <c r="FY40" s="114">
        <f t="shared" si="84"/>
        <v>0</v>
      </c>
      <c r="FZ40" s="114">
        <f t="shared" si="84"/>
        <v>0</v>
      </c>
      <c r="GA40" s="114">
        <f t="shared" si="89"/>
        <v>0</v>
      </c>
      <c r="GB40" s="114">
        <f t="shared" si="85"/>
        <v>0</v>
      </c>
      <c r="GC40" s="114">
        <f t="shared" si="85"/>
        <v>0</v>
      </c>
      <c r="GD40" s="114">
        <f t="shared" si="85"/>
        <v>0</v>
      </c>
      <c r="GE40" s="114">
        <f t="shared" si="85"/>
        <v>0</v>
      </c>
      <c r="GF40" s="114">
        <f t="shared" si="87"/>
        <v>0</v>
      </c>
      <c r="GG40" s="114">
        <f t="shared" si="87"/>
        <v>0</v>
      </c>
      <c r="GH40" s="114">
        <f t="shared" si="87"/>
        <v>0</v>
      </c>
      <c r="GI40" s="114">
        <f t="shared" si="86"/>
        <v>0</v>
      </c>
      <c r="GJ40" s="115">
        <f t="shared" si="102"/>
        <v>0</v>
      </c>
      <c r="GK40" s="114">
        <f t="shared" si="90"/>
        <v>0</v>
      </c>
      <c r="GL40" s="114">
        <f t="shared" si="126"/>
        <v>2000</v>
      </c>
      <c r="GM40" s="114">
        <f t="shared" si="127"/>
        <v>0</v>
      </c>
      <c r="GN40" s="114">
        <f t="shared" si="128"/>
        <v>0</v>
      </c>
      <c r="GO40" s="114">
        <f t="shared" si="129"/>
        <v>0</v>
      </c>
      <c r="GP40" s="114">
        <f t="shared" si="103"/>
        <v>2000</v>
      </c>
      <c r="GQ40" s="114">
        <f t="shared" si="91"/>
        <v>2000</v>
      </c>
      <c r="GR40" s="193"/>
      <c r="GS40" s="122">
        <f t="shared" si="130"/>
        <v>2585228.4893016</v>
      </c>
      <c r="GT40" s="122">
        <f t="shared" si="131"/>
        <v>4009351.0383333331</v>
      </c>
      <c r="GU40" s="123">
        <f t="shared" si="92"/>
        <v>0.64479973556425396</v>
      </c>
      <c r="GV40" s="124">
        <f t="shared" ca="1" si="132"/>
        <v>0</v>
      </c>
      <c r="GW40" s="124">
        <v>0</v>
      </c>
      <c r="GX40" s="32">
        <f t="shared" ca="1" si="133"/>
        <v>0</v>
      </c>
      <c r="GY40" s="100"/>
    </row>
    <row r="41" spans="1:207" s="125" customFormat="1" ht="15" hidden="1" customHeight="1">
      <c r="A41" s="102"/>
      <c r="B41" s="103"/>
      <c r="C41" s="103"/>
      <c r="D41" s="104"/>
      <c r="E41" s="104" t="s">
        <v>253</v>
      </c>
      <c r="F41" s="104" t="s">
        <v>266</v>
      </c>
      <c r="G41" s="104" t="s">
        <v>226</v>
      </c>
      <c r="H41" s="105" t="s">
        <v>320</v>
      </c>
      <c r="I41" s="106" t="s">
        <v>321</v>
      </c>
      <c r="J41" s="104" t="s">
        <v>212</v>
      </c>
      <c r="K41" s="325" t="s">
        <v>208</v>
      </c>
      <c r="L41" s="104" t="s">
        <v>213</v>
      </c>
      <c r="M41" s="104" t="s">
        <v>315</v>
      </c>
      <c r="N41" s="107"/>
      <c r="O41" s="108">
        <v>41376</v>
      </c>
      <c r="P41" s="108">
        <v>41640</v>
      </c>
      <c r="Q41" s="322">
        <f t="shared" si="105"/>
        <v>0</v>
      </c>
      <c r="R41" s="109">
        <f>IF((P41-VLOOKUP(Q41,month!$A$1:$C$13,3,0))&lt;0,Q41,Q41+1)</f>
        <v>0</v>
      </c>
      <c r="S41" s="108"/>
      <c r="T41" s="110" t="str">
        <f>IF(S41&gt;0,"Y","")</f>
        <v/>
      </c>
      <c r="U41" s="107"/>
      <c r="V41" s="107"/>
      <c r="W41" s="107"/>
      <c r="X41" s="107"/>
      <c r="Y41" s="386"/>
      <c r="Z41" s="386" t="s">
        <v>545</v>
      </c>
      <c r="AA41" s="387">
        <v>1000</v>
      </c>
      <c r="AB41" s="387">
        <v>1000</v>
      </c>
      <c r="AC41" s="387">
        <v>1000</v>
      </c>
      <c r="AD41" s="387">
        <v>1000</v>
      </c>
      <c r="AE41" s="387">
        <v>1000</v>
      </c>
      <c r="AF41" s="387">
        <v>1000</v>
      </c>
      <c r="AG41" s="387">
        <v>1000</v>
      </c>
      <c r="AH41" s="387">
        <v>1000</v>
      </c>
      <c r="AI41" s="387">
        <v>1000</v>
      </c>
      <c r="AJ41" s="387">
        <v>1000</v>
      </c>
      <c r="AK41" s="387">
        <v>1000</v>
      </c>
      <c r="AL41" s="387">
        <v>1000</v>
      </c>
      <c r="AM41" s="388">
        <f t="shared" si="95"/>
        <v>12000</v>
      </c>
      <c r="AN41" s="388">
        <f t="shared" si="106"/>
        <v>12000</v>
      </c>
      <c r="AO41" s="389">
        <f t="shared" ref="AO41:AO49" si="134">AI41</f>
        <v>1000</v>
      </c>
      <c r="AP41" s="498" t="s">
        <v>682</v>
      </c>
      <c r="AQ41" s="159">
        <v>0.5</v>
      </c>
      <c r="AR41" s="160" t="s">
        <v>211</v>
      </c>
      <c r="AS41" s="119" t="s">
        <v>210</v>
      </c>
      <c r="AT41" s="111">
        <v>111738.93100000001</v>
      </c>
      <c r="AU41" s="111">
        <v>118064.50959999999</v>
      </c>
      <c r="AV41" s="111">
        <v>131856.80840000001</v>
      </c>
      <c r="AW41" s="111">
        <v>156341.06300000002</v>
      </c>
      <c r="AX41" s="113">
        <v>91969.262100000022</v>
      </c>
      <c r="AY41" s="113">
        <v>258895.72171800028</v>
      </c>
      <c r="AZ41" s="113">
        <v>305054.55648360006</v>
      </c>
      <c r="BA41" s="113"/>
      <c r="BB41" s="113"/>
      <c r="BC41" s="113"/>
      <c r="BD41" s="113"/>
      <c r="BE41" s="113"/>
      <c r="BF41" s="114">
        <f t="shared" si="48"/>
        <v>91969.262100000022</v>
      </c>
      <c r="BG41" s="114">
        <f t="shared" si="49"/>
        <v>258895.72171800028</v>
      </c>
      <c r="BH41" s="114">
        <f t="shared" si="50"/>
        <v>305054.55648360006</v>
      </c>
      <c r="BI41" s="114">
        <f t="shared" si="51"/>
        <v>0</v>
      </c>
      <c r="BJ41" s="114">
        <f t="shared" si="107"/>
        <v>655919.54030160035</v>
      </c>
      <c r="BK41" s="115">
        <f t="shared" si="96"/>
        <v>518001.31200000003</v>
      </c>
      <c r="BL41" s="115">
        <f t="shared" si="52"/>
        <v>518001.31200000003</v>
      </c>
      <c r="BM41" s="116">
        <f t="shared" si="53"/>
        <v>1.2663</v>
      </c>
      <c r="BN41" s="126">
        <f t="shared" ca="1" si="108"/>
        <v>0</v>
      </c>
      <c r="BO41" s="117">
        <f t="shared" ca="1" si="109"/>
        <v>0</v>
      </c>
      <c r="BP41" s="118" t="str">
        <f t="shared" si="110"/>
        <v>Uncapped</v>
      </c>
      <c r="BQ41" s="115">
        <f t="shared" ca="1" si="111"/>
        <v>0</v>
      </c>
      <c r="BR41" s="113" t="s">
        <v>700</v>
      </c>
      <c r="BS41" s="161">
        <v>0.3</v>
      </c>
      <c r="BT41" s="113" t="s">
        <v>211</v>
      </c>
      <c r="BU41" s="160" t="s">
        <v>210</v>
      </c>
      <c r="BV41" s="113">
        <v>77178.87999999999</v>
      </c>
      <c r="BW41" s="113">
        <v>87219.28</v>
      </c>
      <c r="BX41" s="506">
        <v>87787.68</v>
      </c>
      <c r="BY41" s="506">
        <v>94625.76</v>
      </c>
      <c r="BZ41" s="113">
        <v>113381.9999999999</v>
      </c>
      <c r="CA41" s="113">
        <v>82461.396599999993</v>
      </c>
      <c r="CB41" s="504">
        <v>96983.571599999996</v>
      </c>
      <c r="CC41" s="113"/>
      <c r="CD41" s="113"/>
      <c r="CE41" s="113"/>
      <c r="CF41" s="113"/>
      <c r="CG41" s="113"/>
      <c r="CH41" s="114">
        <f t="shared" si="55"/>
        <v>113381.9999999999</v>
      </c>
      <c r="CI41" s="114">
        <f t="shared" si="56"/>
        <v>82461.396599999993</v>
      </c>
      <c r="CJ41" s="120">
        <f t="shared" si="57"/>
        <v>96983.571599999996</v>
      </c>
      <c r="CK41" s="114">
        <f t="shared" si="58"/>
        <v>0</v>
      </c>
      <c r="CL41" s="114">
        <f t="shared" si="112"/>
        <v>292826.96819999989</v>
      </c>
      <c r="CM41" s="114">
        <f t="shared" si="97"/>
        <v>346811.6</v>
      </c>
      <c r="CN41" s="114">
        <f t="shared" si="59"/>
        <v>346811.6</v>
      </c>
      <c r="CO41" s="116">
        <f t="shared" si="60"/>
        <v>0.84430000000000005</v>
      </c>
      <c r="CP41" s="126">
        <f t="shared" ca="1" si="61"/>
        <v>0</v>
      </c>
      <c r="CQ41" s="115">
        <f t="shared" ca="1" si="113"/>
        <v>0</v>
      </c>
      <c r="CR41" s="118" t="str">
        <f t="shared" si="114"/>
        <v>Uncapped</v>
      </c>
      <c r="CS41" s="115">
        <f t="shared" ca="1" si="115"/>
        <v>0</v>
      </c>
      <c r="CT41" s="113" t="s">
        <v>695</v>
      </c>
      <c r="CU41" s="119">
        <v>0.2</v>
      </c>
      <c r="CV41" s="113" t="s">
        <v>211</v>
      </c>
      <c r="CW41" s="113" t="s">
        <v>210</v>
      </c>
      <c r="CX41" s="113">
        <v>553694.41290000011</v>
      </c>
      <c r="CY41" s="113">
        <v>623937.3703999999</v>
      </c>
      <c r="CZ41" s="113">
        <v>894989.22646666667</v>
      </c>
      <c r="DA41" s="113">
        <v>1058517.5845666667</v>
      </c>
      <c r="DB41" s="113">
        <v>434643.36120000022</v>
      </c>
      <c r="DC41" s="113">
        <v>685032.60331800021</v>
      </c>
      <c r="DD41" s="113">
        <v>917033.22018359974</v>
      </c>
      <c r="DE41" s="113"/>
      <c r="DF41" s="113"/>
      <c r="DG41" s="113"/>
      <c r="DH41" s="113"/>
      <c r="DI41" s="113"/>
      <c r="DJ41" s="114">
        <f t="shared" si="62"/>
        <v>434643.36120000022</v>
      </c>
      <c r="DK41" s="114">
        <f t="shared" si="63"/>
        <v>685032.60331800021</v>
      </c>
      <c r="DL41" s="114">
        <f t="shared" si="64"/>
        <v>917033.22018359974</v>
      </c>
      <c r="DM41" s="114">
        <f t="shared" si="65"/>
        <v>0</v>
      </c>
      <c r="DN41" s="114">
        <f t="shared" si="116"/>
        <v>2036709.1847016001</v>
      </c>
      <c r="DO41" s="114">
        <f t="shared" si="98"/>
        <v>3131138.5943333334</v>
      </c>
      <c r="DP41" s="114">
        <f t="shared" si="67"/>
        <v>3131138.5943333334</v>
      </c>
      <c r="DQ41" s="116">
        <f t="shared" si="68"/>
        <v>0.65049999999999997</v>
      </c>
      <c r="DR41" s="126">
        <f t="shared" ca="1" si="117"/>
        <v>0</v>
      </c>
      <c r="DS41" s="115">
        <f t="shared" ca="1" si="118"/>
        <v>0</v>
      </c>
      <c r="DT41" s="118" t="str">
        <f t="shared" si="119"/>
        <v>Uncapped</v>
      </c>
      <c r="DU41" s="115">
        <f t="shared" ca="1" si="120"/>
        <v>0</v>
      </c>
      <c r="DV41" s="113"/>
      <c r="DW41" s="119">
        <v>0</v>
      </c>
      <c r="DX41" s="113"/>
      <c r="DY41" s="113"/>
      <c r="DZ41" s="113">
        <v>0</v>
      </c>
      <c r="EA41" s="113">
        <v>0</v>
      </c>
      <c r="EB41" s="113">
        <v>0</v>
      </c>
      <c r="EC41" s="113">
        <v>0</v>
      </c>
      <c r="ED41" s="113">
        <v>0</v>
      </c>
      <c r="EE41" s="113">
        <v>0</v>
      </c>
      <c r="EF41" s="113"/>
      <c r="EG41" s="113"/>
      <c r="EH41" s="113"/>
      <c r="EI41" s="113"/>
      <c r="EJ41" s="113"/>
      <c r="EK41" s="113"/>
      <c r="EL41" s="114">
        <f t="shared" si="69"/>
        <v>0</v>
      </c>
      <c r="EM41" s="114">
        <f t="shared" si="70"/>
        <v>0</v>
      </c>
      <c r="EN41" s="114">
        <f t="shared" si="71"/>
        <v>0</v>
      </c>
      <c r="EO41" s="114">
        <f t="shared" si="72"/>
        <v>0</v>
      </c>
      <c r="EP41" s="114">
        <f t="shared" si="121"/>
        <v>0</v>
      </c>
      <c r="EQ41" s="114">
        <f t="shared" si="99"/>
        <v>0</v>
      </c>
      <c r="ER41" s="114">
        <f t="shared" si="73"/>
        <v>0</v>
      </c>
      <c r="ES41" s="116">
        <f t="shared" si="74"/>
        <v>0</v>
      </c>
      <c r="ET41" s="126">
        <f t="shared" ca="1" si="75"/>
        <v>0</v>
      </c>
      <c r="EU41" s="115">
        <f t="shared" ca="1" si="122"/>
        <v>0</v>
      </c>
      <c r="EV41" s="118" t="str">
        <f t="shared" si="123"/>
        <v>Uncapped</v>
      </c>
      <c r="EW41" s="115">
        <f t="shared" ca="1" si="124"/>
        <v>0</v>
      </c>
      <c r="EX41" s="112">
        <f t="shared" ca="1" si="125"/>
        <v>0</v>
      </c>
      <c r="EY41" s="114">
        <f t="shared" ca="1" si="76"/>
        <v>0</v>
      </c>
      <c r="EZ41" s="115">
        <v>740594</v>
      </c>
      <c r="FA41" s="115">
        <f>3710+39936</f>
        <v>43646</v>
      </c>
      <c r="FB41" s="115">
        <v>43590</v>
      </c>
      <c r="FC41" s="115">
        <v>0</v>
      </c>
      <c r="FD41" s="115">
        <f t="shared" si="100"/>
        <v>827830</v>
      </c>
      <c r="FE41" s="114">
        <f>SUMIFS(41:41,$5:$5,"SPIFF payout $ (Local CCY)",$4:$4,CONCATENATE("Q",$H$2))</f>
        <v>0</v>
      </c>
      <c r="FF41" s="115">
        <v>0</v>
      </c>
      <c r="FG41" s="115">
        <v>0</v>
      </c>
      <c r="FH41" s="115">
        <v>0</v>
      </c>
      <c r="FI41" s="115">
        <v>0</v>
      </c>
      <c r="FJ41" s="115">
        <f t="shared" si="101"/>
        <v>0</v>
      </c>
      <c r="FK41" s="114">
        <f>SUMIFS(41:41,$5:$5,"Other payout $ (Local CCY)",$4:$4,CONCATENATE("Q",$H$2))</f>
        <v>0</v>
      </c>
      <c r="FL41" s="113"/>
      <c r="FM41" s="111"/>
      <c r="FN41" s="111"/>
      <c r="FO41" s="111"/>
      <c r="FP41" s="115">
        <f>SUM(FL41:FO41)</f>
        <v>0</v>
      </c>
      <c r="FQ41" s="115"/>
      <c r="FR41" s="488"/>
      <c r="FS41" s="115"/>
      <c r="FT41" s="114">
        <f t="shared" si="77"/>
        <v>0</v>
      </c>
      <c r="FU41" s="366">
        <f t="shared" ca="1" si="79"/>
        <v>827830</v>
      </c>
      <c r="FV41" s="121">
        <f t="shared" ca="1" si="78"/>
        <v>827830</v>
      </c>
      <c r="FW41" s="114">
        <f t="shared" si="84"/>
        <v>0</v>
      </c>
      <c r="FX41" s="114">
        <f t="shared" si="84"/>
        <v>0</v>
      </c>
      <c r="FY41" s="114">
        <f t="shared" si="84"/>
        <v>0</v>
      </c>
      <c r="FZ41" s="114">
        <f t="shared" si="84"/>
        <v>0</v>
      </c>
      <c r="GA41" s="114">
        <f>SUM(FW41:FZ41)</f>
        <v>0</v>
      </c>
      <c r="GB41" s="114">
        <f t="shared" si="85"/>
        <v>740594</v>
      </c>
      <c r="GC41" s="114">
        <f t="shared" si="85"/>
        <v>43646</v>
      </c>
      <c r="GD41" s="114">
        <f t="shared" si="85"/>
        <v>43590</v>
      </c>
      <c r="GE41" s="114">
        <f t="shared" si="85"/>
        <v>0</v>
      </c>
      <c r="GF41" s="114">
        <f>GB41+FW41</f>
        <v>740594</v>
      </c>
      <c r="GG41" s="114">
        <f>GC41+FX41</f>
        <v>43646</v>
      </c>
      <c r="GH41" s="114">
        <f>GD41+FY41</f>
        <v>43590</v>
      </c>
      <c r="GI41" s="114">
        <f>GE41+FZ41</f>
        <v>0</v>
      </c>
      <c r="GJ41" s="115">
        <f t="shared" si="102"/>
        <v>827830</v>
      </c>
      <c r="GK41" s="114">
        <f>SUM(GF41:GI41)</f>
        <v>827830</v>
      </c>
      <c r="GL41" s="114">
        <f t="shared" si="126"/>
        <v>0</v>
      </c>
      <c r="GM41" s="114">
        <f t="shared" si="127"/>
        <v>0</v>
      </c>
      <c r="GN41" s="114">
        <f t="shared" si="128"/>
        <v>0</v>
      </c>
      <c r="GO41" s="114">
        <f t="shared" si="129"/>
        <v>0</v>
      </c>
      <c r="GP41" s="114">
        <f t="shared" si="103"/>
        <v>0</v>
      </c>
      <c r="GQ41" s="114">
        <f>SUM(GL41:GO41)</f>
        <v>0</v>
      </c>
      <c r="GR41" s="193"/>
      <c r="GS41" s="122">
        <f t="shared" si="130"/>
        <v>2985455.6932032006</v>
      </c>
      <c r="GT41" s="122">
        <f t="shared" si="131"/>
        <v>3995951.5063333334</v>
      </c>
      <c r="GU41" s="123">
        <f>IFERROR(GS41/GT41,"")</f>
        <v>0.74712010105013538</v>
      </c>
      <c r="GV41" s="124">
        <f t="shared" ca="1" si="132"/>
        <v>0</v>
      </c>
      <c r="GW41" s="124">
        <v>0</v>
      </c>
      <c r="GX41" s="32">
        <f t="shared" ca="1" si="133"/>
        <v>0</v>
      </c>
      <c r="GY41" s="100"/>
    </row>
    <row r="42" spans="1:207" s="167" customFormat="1" ht="16.5" hidden="1" customHeight="1">
      <c r="A42" s="129"/>
      <c r="B42" s="130"/>
      <c r="C42" s="130"/>
      <c r="D42" s="131"/>
      <c r="E42" s="131" t="s">
        <v>260</v>
      </c>
      <c r="F42" s="131" t="s">
        <v>261</v>
      </c>
      <c r="G42" s="131" t="s">
        <v>226</v>
      </c>
      <c r="H42" s="132" t="s">
        <v>322</v>
      </c>
      <c r="I42" s="133" t="s">
        <v>323</v>
      </c>
      <c r="J42" s="131" t="s">
        <v>207</v>
      </c>
      <c r="K42" s="131" t="s">
        <v>208</v>
      </c>
      <c r="L42" s="131" t="s">
        <v>264</v>
      </c>
      <c r="M42" s="131" t="s">
        <v>312</v>
      </c>
      <c r="N42" s="134"/>
      <c r="O42" s="155">
        <v>41809</v>
      </c>
      <c r="P42" s="155">
        <v>43313</v>
      </c>
      <c r="Q42" s="321">
        <f t="shared" si="105"/>
        <v>0</v>
      </c>
      <c r="R42" s="109">
        <f>IF((P42-VLOOKUP(Q42,month!$A$1:$C$13,3,0))&lt;0,Q42,Q42+1)</f>
        <v>0</v>
      </c>
      <c r="S42" s="108"/>
      <c r="T42" s="135" t="str">
        <f t="shared" si="80"/>
        <v/>
      </c>
      <c r="U42" s="134"/>
      <c r="V42" s="134"/>
      <c r="W42" s="134"/>
      <c r="X42" s="134"/>
      <c r="Y42" s="383"/>
      <c r="Z42" s="383" t="s">
        <v>545</v>
      </c>
      <c r="AA42" s="371">
        <v>1000</v>
      </c>
      <c r="AB42" s="371">
        <v>1000</v>
      </c>
      <c r="AC42" s="371">
        <v>1000</v>
      </c>
      <c r="AD42" s="371">
        <v>1000</v>
      </c>
      <c r="AE42" s="371">
        <v>1000</v>
      </c>
      <c r="AF42" s="371">
        <v>1000</v>
      </c>
      <c r="AG42" s="371">
        <v>1000</v>
      </c>
      <c r="AH42" s="371">
        <v>1000</v>
      </c>
      <c r="AI42" s="371">
        <v>1000</v>
      </c>
      <c r="AJ42" s="371">
        <v>1000</v>
      </c>
      <c r="AK42" s="371">
        <v>1000</v>
      </c>
      <c r="AL42" s="371">
        <v>1000</v>
      </c>
      <c r="AM42" s="384">
        <f t="shared" si="95"/>
        <v>12000</v>
      </c>
      <c r="AN42" s="384">
        <f t="shared" si="106"/>
        <v>12000</v>
      </c>
      <c r="AO42" s="385">
        <f t="shared" si="134"/>
        <v>1000</v>
      </c>
      <c r="AP42" s="497" t="s">
        <v>682</v>
      </c>
      <c r="AQ42" s="156">
        <v>0.5</v>
      </c>
      <c r="AR42" s="157" t="s">
        <v>211</v>
      </c>
      <c r="AS42" s="146" t="s">
        <v>210</v>
      </c>
      <c r="AT42" s="136">
        <v>727316.14100000006</v>
      </c>
      <c r="AU42" s="136">
        <v>819088.96360000013</v>
      </c>
      <c r="AV42" s="136">
        <v>583241.87239999999</v>
      </c>
      <c r="AW42" s="136">
        <v>701050.38899999997</v>
      </c>
      <c r="AX42" s="138">
        <v>603720.87213599868</v>
      </c>
      <c r="AY42" s="138">
        <v>840328.13859999971</v>
      </c>
      <c r="AZ42" s="138">
        <v>613908.57230299932</v>
      </c>
      <c r="BA42" s="138"/>
      <c r="BB42" s="138"/>
      <c r="BC42" s="138"/>
      <c r="BD42" s="138"/>
      <c r="BE42" s="138"/>
      <c r="BF42" s="139">
        <f t="shared" si="48"/>
        <v>603720.87213599868</v>
      </c>
      <c r="BG42" s="139">
        <f t="shared" si="49"/>
        <v>840328.13859999971</v>
      </c>
      <c r="BH42" s="139">
        <f t="shared" si="50"/>
        <v>613908.57230299932</v>
      </c>
      <c r="BI42" s="139">
        <f t="shared" si="51"/>
        <v>0</v>
      </c>
      <c r="BJ42" s="139">
        <f t="shared" si="107"/>
        <v>2057957.5830389978</v>
      </c>
      <c r="BK42" s="140">
        <f t="shared" si="96"/>
        <v>2830697.3659999999</v>
      </c>
      <c r="BL42" s="140">
        <f t="shared" si="52"/>
        <v>2830697.3659999999</v>
      </c>
      <c r="BM42" s="141">
        <f t="shared" si="53"/>
        <v>0.72699999999999998</v>
      </c>
      <c r="BN42" s="142">
        <f t="shared" ca="1" si="108"/>
        <v>0</v>
      </c>
      <c r="BO42" s="143">
        <f t="shared" ca="1" si="109"/>
        <v>0</v>
      </c>
      <c r="BP42" s="144" t="str">
        <f t="shared" si="110"/>
        <v>Uncapped</v>
      </c>
      <c r="BQ42" s="140">
        <f t="shared" ca="1" si="111"/>
        <v>0</v>
      </c>
      <c r="BR42" s="138" t="s">
        <v>700</v>
      </c>
      <c r="BS42" s="158">
        <v>0.3</v>
      </c>
      <c r="BT42" s="138" t="s">
        <v>211</v>
      </c>
      <c r="BU42" s="157" t="s">
        <v>210</v>
      </c>
      <c r="BV42" s="138">
        <v>94334.614999999991</v>
      </c>
      <c r="BW42" s="138">
        <v>107983.565</v>
      </c>
      <c r="BX42" s="138">
        <v>101079.91499999999</v>
      </c>
      <c r="BY42" s="138">
        <v>106148.30499999999</v>
      </c>
      <c r="BZ42" s="138">
        <v>67024.106999999989</v>
      </c>
      <c r="CA42" s="138">
        <v>84978.891000000003</v>
      </c>
      <c r="CB42" s="138">
        <v>103048.092</v>
      </c>
      <c r="CC42" s="138"/>
      <c r="CD42" s="138"/>
      <c r="CE42" s="138"/>
      <c r="CF42" s="138"/>
      <c r="CG42" s="138"/>
      <c r="CH42" s="139">
        <f t="shared" si="55"/>
        <v>67024.106999999989</v>
      </c>
      <c r="CI42" s="139">
        <f t="shared" si="56"/>
        <v>84978.891000000003</v>
      </c>
      <c r="CJ42" s="145">
        <f t="shared" si="57"/>
        <v>103048.092</v>
      </c>
      <c r="CK42" s="139">
        <f t="shared" si="58"/>
        <v>0</v>
      </c>
      <c r="CL42" s="139">
        <f t="shared" si="112"/>
        <v>255051.09</v>
      </c>
      <c r="CM42" s="139">
        <f t="shared" si="97"/>
        <v>409546.39999999997</v>
      </c>
      <c r="CN42" s="139">
        <f t="shared" si="59"/>
        <v>409546.39999999997</v>
      </c>
      <c r="CO42" s="141">
        <f t="shared" si="60"/>
        <v>0.62280000000000002</v>
      </c>
      <c r="CP42" s="142">
        <f t="shared" ca="1" si="61"/>
        <v>0</v>
      </c>
      <c r="CQ42" s="140">
        <f t="shared" ca="1" si="113"/>
        <v>0</v>
      </c>
      <c r="CR42" s="144" t="str">
        <f t="shared" si="114"/>
        <v>Uncapped</v>
      </c>
      <c r="CS42" s="140">
        <f t="shared" ca="1" si="115"/>
        <v>0</v>
      </c>
      <c r="CT42" s="138" t="s">
        <v>702</v>
      </c>
      <c r="CU42" s="146">
        <v>0.2</v>
      </c>
      <c r="CV42" s="138" t="s">
        <v>217</v>
      </c>
      <c r="CW42" s="138" t="s">
        <v>210</v>
      </c>
      <c r="CX42" s="138">
        <v>19653413.080999997</v>
      </c>
      <c r="CY42" s="138">
        <v>22848780.235100001</v>
      </c>
      <c r="CZ42" s="138">
        <v>22618799.574099999</v>
      </c>
      <c r="DA42" s="138">
        <v>27098464.121500004</v>
      </c>
      <c r="DB42" s="138">
        <v>19427532.107000571</v>
      </c>
      <c r="DC42" s="138">
        <v>22270538.357580002</v>
      </c>
      <c r="DD42" s="138">
        <v>22879083.486580007</v>
      </c>
      <c r="DE42" s="138"/>
      <c r="DF42" s="138"/>
      <c r="DG42" s="138"/>
      <c r="DH42" s="138"/>
      <c r="DI42" s="138"/>
      <c r="DJ42" s="139">
        <f t="shared" si="62"/>
        <v>19427532.107000571</v>
      </c>
      <c r="DK42" s="139">
        <f t="shared" si="63"/>
        <v>22270538.357580002</v>
      </c>
      <c r="DL42" s="139">
        <f t="shared" si="64"/>
        <v>22879083.486580007</v>
      </c>
      <c r="DM42" s="139">
        <f t="shared" si="65"/>
        <v>0</v>
      </c>
      <c r="DN42" s="139">
        <f t="shared" si="116"/>
        <v>64577153.95116058</v>
      </c>
      <c r="DO42" s="139">
        <f t="shared" si="98"/>
        <v>92219457.011700004</v>
      </c>
      <c r="DP42" s="139">
        <f t="shared" si="67"/>
        <v>92219457.011700004</v>
      </c>
      <c r="DQ42" s="141">
        <f t="shared" si="68"/>
        <v>0.70030000000000003</v>
      </c>
      <c r="DR42" s="142">
        <f t="shared" ca="1" si="117"/>
        <v>0</v>
      </c>
      <c r="DS42" s="140">
        <f t="shared" ca="1" si="118"/>
        <v>0</v>
      </c>
      <c r="DT42" s="144" t="str">
        <f t="shared" si="119"/>
        <v>Uncapped</v>
      </c>
      <c r="DU42" s="140">
        <f t="shared" ca="1" si="120"/>
        <v>0</v>
      </c>
      <c r="DV42" s="138"/>
      <c r="DW42" s="146">
        <v>0</v>
      </c>
      <c r="DX42" s="138"/>
      <c r="DY42" s="138"/>
      <c r="DZ42" s="138">
        <v>0</v>
      </c>
      <c r="EA42" s="138">
        <v>0</v>
      </c>
      <c r="EB42" s="138">
        <v>0</v>
      </c>
      <c r="EC42" s="138">
        <v>0</v>
      </c>
      <c r="ED42" s="138">
        <v>0</v>
      </c>
      <c r="EE42" s="138">
        <v>0</v>
      </c>
      <c r="EF42" s="138"/>
      <c r="EG42" s="138"/>
      <c r="EH42" s="138"/>
      <c r="EI42" s="138"/>
      <c r="EJ42" s="138"/>
      <c r="EK42" s="138"/>
      <c r="EL42" s="139">
        <f t="shared" si="69"/>
        <v>0</v>
      </c>
      <c r="EM42" s="139">
        <f t="shared" si="70"/>
        <v>0</v>
      </c>
      <c r="EN42" s="139">
        <f t="shared" si="71"/>
        <v>0</v>
      </c>
      <c r="EO42" s="139">
        <f t="shared" si="72"/>
        <v>0</v>
      </c>
      <c r="EP42" s="139">
        <f t="shared" si="121"/>
        <v>0</v>
      </c>
      <c r="EQ42" s="139">
        <f t="shared" si="99"/>
        <v>0</v>
      </c>
      <c r="ER42" s="139">
        <f t="shared" si="73"/>
        <v>0</v>
      </c>
      <c r="ES42" s="141">
        <f t="shared" si="74"/>
        <v>0</v>
      </c>
      <c r="ET42" s="142">
        <f t="shared" ca="1" si="75"/>
        <v>0</v>
      </c>
      <c r="EU42" s="140">
        <f t="shared" ca="1" si="122"/>
        <v>0</v>
      </c>
      <c r="EV42" s="144" t="str">
        <f t="shared" si="123"/>
        <v>Uncapped</v>
      </c>
      <c r="EW42" s="140">
        <f t="shared" ca="1" si="124"/>
        <v>0</v>
      </c>
      <c r="EX42" s="137">
        <f t="shared" ca="1" si="125"/>
        <v>0</v>
      </c>
      <c r="EY42" s="139">
        <f t="shared" ca="1" si="76"/>
        <v>0</v>
      </c>
      <c r="EZ42" s="140">
        <v>0</v>
      </c>
      <c r="FA42" s="140"/>
      <c r="FB42" s="140">
        <v>115362</v>
      </c>
      <c r="FC42" s="140">
        <v>0</v>
      </c>
      <c r="FD42" s="140">
        <f t="shared" si="100"/>
        <v>115362</v>
      </c>
      <c r="FE42" s="139">
        <f>SUMIFS(42:42,$5:$5,"SPIFF payout $ (Local CCY)",$4:$4,CONCATENATE("Q",$H$2))</f>
        <v>0</v>
      </c>
      <c r="FF42" s="140">
        <v>0</v>
      </c>
      <c r="FG42" s="140">
        <v>0</v>
      </c>
      <c r="FH42" s="140">
        <v>0</v>
      </c>
      <c r="FI42" s="140">
        <v>0</v>
      </c>
      <c r="FJ42" s="140">
        <f t="shared" si="101"/>
        <v>0</v>
      </c>
      <c r="FK42" s="139">
        <f>SUMIFS(42:42,$5:$5,"Other payout $ (Local CCY)",$4:$4,CONCATENATE("Q",$H$2))</f>
        <v>0</v>
      </c>
      <c r="FL42" s="138"/>
      <c r="FM42" s="136"/>
      <c r="FN42" s="136"/>
      <c r="FO42" s="136"/>
      <c r="FP42" s="140">
        <f t="shared" si="88"/>
        <v>0</v>
      </c>
      <c r="FQ42" s="140"/>
      <c r="FR42" s="140"/>
      <c r="FS42" s="140"/>
      <c r="FT42" s="139">
        <f t="shared" si="77"/>
        <v>0</v>
      </c>
      <c r="FU42" s="365">
        <f t="shared" ca="1" si="79"/>
        <v>115362</v>
      </c>
      <c r="FV42" s="147">
        <f t="shared" ca="1" si="78"/>
        <v>115362</v>
      </c>
      <c r="FW42" s="139">
        <f t="shared" si="84"/>
        <v>0</v>
      </c>
      <c r="FX42" s="139">
        <f t="shared" si="84"/>
        <v>0</v>
      </c>
      <c r="FY42" s="139">
        <f t="shared" si="84"/>
        <v>0</v>
      </c>
      <c r="FZ42" s="139">
        <f t="shared" si="81"/>
        <v>0</v>
      </c>
      <c r="GA42" s="139">
        <f t="shared" si="89"/>
        <v>0</v>
      </c>
      <c r="GB42" s="139">
        <f t="shared" si="85"/>
        <v>0</v>
      </c>
      <c r="GC42" s="139">
        <f t="shared" si="85"/>
        <v>0</v>
      </c>
      <c r="GD42" s="139">
        <f t="shared" si="85"/>
        <v>115362</v>
      </c>
      <c r="GE42" s="139">
        <f t="shared" si="82"/>
        <v>0</v>
      </c>
      <c r="GF42" s="139">
        <f t="shared" si="87"/>
        <v>0</v>
      </c>
      <c r="GG42" s="139">
        <f t="shared" si="87"/>
        <v>0</v>
      </c>
      <c r="GH42" s="139">
        <f t="shared" si="87"/>
        <v>115362</v>
      </c>
      <c r="GI42" s="139">
        <f t="shared" si="86"/>
        <v>0</v>
      </c>
      <c r="GJ42" s="140">
        <f t="shared" si="102"/>
        <v>115362</v>
      </c>
      <c r="GK42" s="139">
        <f t="shared" si="90"/>
        <v>115362</v>
      </c>
      <c r="GL42" s="139">
        <f t="shared" si="126"/>
        <v>0</v>
      </c>
      <c r="GM42" s="139">
        <f t="shared" si="127"/>
        <v>0</v>
      </c>
      <c r="GN42" s="139">
        <f t="shared" si="128"/>
        <v>0</v>
      </c>
      <c r="GO42" s="139">
        <f t="shared" si="129"/>
        <v>0</v>
      </c>
      <c r="GP42" s="139">
        <f t="shared" si="103"/>
        <v>0</v>
      </c>
      <c r="GQ42" s="139">
        <f t="shared" si="91"/>
        <v>0</v>
      </c>
      <c r="GR42" s="409"/>
      <c r="GS42" s="148">
        <f t="shared" si="130"/>
        <v>66890162.624199577</v>
      </c>
      <c r="GT42" s="148">
        <f t="shared" si="131"/>
        <v>95459700.777700007</v>
      </c>
      <c r="GU42" s="149">
        <f t="shared" si="92"/>
        <v>0.70071624024852952</v>
      </c>
      <c r="GV42" s="150">
        <f t="shared" ca="1" si="132"/>
        <v>0</v>
      </c>
      <c r="GW42" s="150">
        <v>0</v>
      </c>
      <c r="GX42" s="151">
        <f t="shared" ca="1" si="133"/>
        <v>0</v>
      </c>
      <c r="GY42" s="100"/>
    </row>
    <row r="43" spans="1:207" s="125" customFormat="1" ht="15" hidden="1" customHeight="1">
      <c r="A43" s="102"/>
      <c r="B43" s="103"/>
      <c r="C43" s="103"/>
      <c r="D43" s="104"/>
      <c r="E43" s="104" t="s">
        <v>253</v>
      </c>
      <c r="F43" s="104" t="s">
        <v>266</v>
      </c>
      <c r="G43" s="104" t="s">
        <v>226</v>
      </c>
      <c r="H43" s="105" t="s">
        <v>324</v>
      </c>
      <c r="I43" s="164" t="s">
        <v>325</v>
      </c>
      <c r="J43" s="104" t="s">
        <v>212</v>
      </c>
      <c r="K43" s="104" t="s">
        <v>208</v>
      </c>
      <c r="L43" s="104" t="s">
        <v>213</v>
      </c>
      <c r="M43" s="104" t="s">
        <v>315</v>
      </c>
      <c r="N43" s="107"/>
      <c r="O43" s="108">
        <v>43132</v>
      </c>
      <c r="P43" s="108">
        <v>43132</v>
      </c>
      <c r="Q43" s="322">
        <f t="shared" si="105"/>
        <v>0</v>
      </c>
      <c r="R43" s="109">
        <f>IF((P43-VLOOKUP(Q43,month!$A$1:$C$13,3,0))&lt;0,Q43,Q43+1)</f>
        <v>0</v>
      </c>
      <c r="S43" s="108"/>
      <c r="T43" s="127" t="str">
        <f t="shared" si="80"/>
        <v/>
      </c>
      <c r="U43" s="107"/>
      <c r="V43" s="107"/>
      <c r="W43" s="107"/>
      <c r="X43" s="107"/>
      <c r="Y43" s="386"/>
      <c r="Z43" s="386" t="s">
        <v>545</v>
      </c>
      <c r="AA43" s="387">
        <v>1000</v>
      </c>
      <c r="AB43" s="387">
        <v>1000</v>
      </c>
      <c r="AC43" s="387">
        <v>1000</v>
      </c>
      <c r="AD43" s="387">
        <v>1000</v>
      </c>
      <c r="AE43" s="387">
        <v>1000</v>
      </c>
      <c r="AF43" s="387">
        <v>1000</v>
      </c>
      <c r="AG43" s="387">
        <v>1000</v>
      </c>
      <c r="AH43" s="387">
        <v>1000</v>
      </c>
      <c r="AI43" s="387">
        <v>1000</v>
      </c>
      <c r="AJ43" s="387">
        <v>1000</v>
      </c>
      <c r="AK43" s="387">
        <v>1000</v>
      </c>
      <c r="AL43" s="387">
        <v>1000</v>
      </c>
      <c r="AM43" s="388">
        <f t="shared" si="95"/>
        <v>12000</v>
      </c>
      <c r="AN43" s="388">
        <f t="shared" si="106"/>
        <v>12000</v>
      </c>
      <c r="AO43" s="389">
        <f t="shared" si="134"/>
        <v>1000</v>
      </c>
      <c r="AP43" s="498" t="s">
        <v>682</v>
      </c>
      <c r="AQ43" s="159">
        <v>0.5</v>
      </c>
      <c r="AR43" s="160" t="s">
        <v>211</v>
      </c>
      <c r="AS43" s="119" t="s">
        <v>210</v>
      </c>
      <c r="AT43" s="111">
        <v>196185.55350000001</v>
      </c>
      <c r="AU43" s="111">
        <v>222310.29459999996</v>
      </c>
      <c r="AV43" s="111">
        <v>218623.33139999997</v>
      </c>
      <c r="AW43" s="111">
        <v>263578.86349999998</v>
      </c>
      <c r="AX43" s="113">
        <v>175656.15899999987</v>
      </c>
      <c r="AY43" s="113">
        <v>231718.15979999967</v>
      </c>
      <c r="AZ43" s="113">
        <v>206632.69919999968</v>
      </c>
      <c r="BA43" s="113"/>
      <c r="BB43" s="113"/>
      <c r="BC43" s="113"/>
      <c r="BD43" s="113"/>
      <c r="BE43" s="113"/>
      <c r="BF43" s="114">
        <f t="shared" si="48"/>
        <v>175656.15899999987</v>
      </c>
      <c r="BG43" s="114">
        <f t="shared" si="49"/>
        <v>231718.15979999967</v>
      </c>
      <c r="BH43" s="114">
        <f t="shared" si="50"/>
        <v>206632.69919999968</v>
      </c>
      <c r="BI43" s="114">
        <f t="shared" si="51"/>
        <v>0</v>
      </c>
      <c r="BJ43" s="114">
        <f t="shared" si="107"/>
        <v>614007.01799999923</v>
      </c>
      <c r="BK43" s="115">
        <f t="shared" si="96"/>
        <v>900698.04299999983</v>
      </c>
      <c r="BL43" s="115">
        <f t="shared" si="52"/>
        <v>900698.04299999983</v>
      </c>
      <c r="BM43" s="116">
        <f t="shared" si="53"/>
        <v>0.68169999999999997</v>
      </c>
      <c r="BN43" s="126">
        <f t="shared" ca="1" si="108"/>
        <v>0</v>
      </c>
      <c r="BO43" s="117">
        <f t="shared" ca="1" si="109"/>
        <v>0</v>
      </c>
      <c r="BP43" s="118" t="str">
        <f t="shared" si="110"/>
        <v>Uncapped</v>
      </c>
      <c r="BQ43" s="115">
        <f t="shared" ca="1" si="111"/>
        <v>0</v>
      </c>
      <c r="BR43" s="113" t="s">
        <v>700</v>
      </c>
      <c r="BS43" s="161">
        <v>0.3</v>
      </c>
      <c r="BT43" s="113" t="s">
        <v>211</v>
      </c>
      <c r="BU43" s="160" t="s">
        <v>210</v>
      </c>
      <c r="BV43" s="113">
        <v>23754.805</v>
      </c>
      <c r="BW43" s="113">
        <v>26642.005000000001</v>
      </c>
      <c r="BX43" s="113">
        <v>26676.704999999998</v>
      </c>
      <c r="BY43" s="113">
        <v>29426.484999999993</v>
      </c>
      <c r="BZ43" s="113">
        <v>31691.330999999998</v>
      </c>
      <c r="CA43" s="113">
        <v>49203.791999999994</v>
      </c>
      <c r="CB43" s="113">
        <v>44022.528000000006</v>
      </c>
      <c r="CC43" s="113"/>
      <c r="CD43" s="113"/>
      <c r="CE43" s="113"/>
      <c r="CF43" s="113"/>
      <c r="CG43" s="113"/>
      <c r="CH43" s="114">
        <f t="shared" si="55"/>
        <v>31691.330999999998</v>
      </c>
      <c r="CI43" s="114">
        <f t="shared" si="56"/>
        <v>49203.791999999994</v>
      </c>
      <c r="CJ43" s="120">
        <f t="shared" si="57"/>
        <v>44022.528000000006</v>
      </c>
      <c r="CK43" s="114">
        <f t="shared" si="58"/>
        <v>0</v>
      </c>
      <c r="CL43" s="114">
        <f t="shared" si="112"/>
        <v>124917.651</v>
      </c>
      <c r="CM43" s="114">
        <f t="shared" si="97"/>
        <v>106500</v>
      </c>
      <c r="CN43" s="114">
        <f t="shared" si="59"/>
        <v>106500</v>
      </c>
      <c r="CO43" s="116">
        <f t="shared" si="60"/>
        <v>1.1729000000000001</v>
      </c>
      <c r="CP43" s="126">
        <f t="shared" ca="1" si="61"/>
        <v>0</v>
      </c>
      <c r="CQ43" s="115">
        <f t="shared" ca="1" si="113"/>
        <v>0</v>
      </c>
      <c r="CR43" s="118" t="str">
        <f t="shared" si="114"/>
        <v>Uncapped</v>
      </c>
      <c r="CS43" s="115">
        <f t="shared" ca="1" si="115"/>
        <v>0</v>
      </c>
      <c r="CT43" s="113" t="s">
        <v>695</v>
      </c>
      <c r="CU43" s="119">
        <v>0.2</v>
      </c>
      <c r="CV43" s="113" t="s">
        <v>211</v>
      </c>
      <c r="CW43" s="113" t="s">
        <v>210</v>
      </c>
      <c r="CX43" s="113">
        <v>727316.14100000006</v>
      </c>
      <c r="CY43" s="113">
        <v>819088.96360000013</v>
      </c>
      <c r="CZ43" s="113">
        <v>583241.87239999999</v>
      </c>
      <c r="DA43" s="113">
        <v>701050.38899999997</v>
      </c>
      <c r="DB43" s="113">
        <v>603720.87213599868</v>
      </c>
      <c r="DC43" s="113">
        <v>840328.13859999971</v>
      </c>
      <c r="DD43" s="113">
        <v>613908.57230299932</v>
      </c>
      <c r="DE43" s="113"/>
      <c r="DF43" s="113"/>
      <c r="DG43" s="113"/>
      <c r="DH43" s="113"/>
      <c r="DI43" s="113"/>
      <c r="DJ43" s="114">
        <f t="shared" si="62"/>
        <v>603720.87213599868</v>
      </c>
      <c r="DK43" s="114">
        <f t="shared" si="63"/>
        <v>840328.13859999971</v>
      </c>
      <c r="DL43" s="114">
        <f t="shared" si="64"/>
        <v>613908.57230299932</v>
      </c>
      <c r="DM43" s="114">
        <f t="shared" si="65"/>
        <v>0</v>
      </c>
      <c r="DN43" s="114">
        <f t="shared" si="116"/>
        <v>2057957.5830389978</v>
      </c>
      <c r="DO43" s="114">
        <f t="shared" si="98"/>
        <v>2830697.3659999999</v>
      </c>
      <c r="DP43" s="114">
        <f t="shared" si="67"/>
        <v>2830697.3659999999</v>
      </c>
      <c r="DQ43" s="116">
        <f t="shared" si="68"/>
        <v>0.72699999999999998</v>
      </c>
      <c r="DR43" s="126">
        <f t="shared" ca="1" si="117"/>
        <v>0</v>
      </c>
      <c r="DS43" s="115">
        <f t="shared" ca="1" si="118"/>
        <v>0</v>
      </c>
      <c r="DT43" s="118" t="str">
        <f t="shared" si="119"/>
        <v>Uncapped</v>
      </c>
      <c r="DU43" s="115">
        <f t="shared" ca="1" si="120"/>
        <v>0</v>
      </c>
      <c r="DV43" s="113"/>
      <c r="DW43" s="119">
        <v>0</v>
      </c>
      <c r="DX43" s="113"/>
      <c r="DY43" s="113"/>
      <c r="DZ43" s="113">
        <v>0</v>
      </c>
      <c r="EA43" s="113">
        <v>0</v>
      </c>
      <c r="EB43" s="113">
        <v>0</v>
      </c>
      <c r="EC43" s="113">
        <v>0</v>
      </c>
      <c r="ED43" s="113">
        <v>0</v>
      </c>
      <c r="EE43" s="113">
        <v>0</v>
      </c>
      <c r="EF43" s="113"/>
      <c r="EG43" s="113"/>
      <c r="EH43" s="113"/>
      <c r="EI43" s="113"/>
      <c r="EJ43" s="113"/>
      <c r="EK43" s="113"/>
      <c r="EL43" s="114">
        <f t="shared" si="69"/>
        <v>0</v>
      </c>
      <c r="EM43" s="114">
        <f t="shared" si="70"/>
        <v>0</v>
      </c>
      <c r="EN43" s="114">
        <f t="shared" si="71"/>
        <v>0</v>
      </c>
      <c r="EO43" s="114">
        <f t="shared" si="72"/>
        <v>0</v>
      </c>
      <c r="EP43" s="114">
        <f t="shared" si="121"/>
        <v>0</v>
      </c>
      <c r="EQ43" s="114">
        <f t="shared" si="99"/>
        <v>0</v>
      </c>
      <c r="ER43" s="114">
        <f t="shared" si="73"/>
        <v>0</v>
      </c>
      <c r="ES43" s="116">
        <f t="shared" si="74"/>
        <v>0</v>
      </c>
      <c r="ET43" s="126">
        <f t="shared" ca="1" si="75"/>
        <v>0</v>
      </c>
      <c r="EU43" s="115">
        <f t="shared" ca="1" si="122"/>
        <v>0</v>
      </c>
      <c r="EV43" s="118" t="str">
        <f t="shared" si="123"/>
        <v>Uncapped</v>
      </c>
      <c r="EW43" s="115">
        <f t="shared" ca="1" si="124"/>
        <v>0</v>
      </c>
      <c r="EX43" s="112">
        <f t="shared" ca="1" si="125"/>
        <v>0</v>
      </c>
      <c r="EY43" s="114">
        <f t="shared" ca="1" si="76"/>
        <v>0</v>
      </c>
      <c r="EZ43" s="115">
        <v>0</v>
      </c>
      <c r="FA43" s="115"/>
      <c r="FB43" s="115">
        <v>684000</v>
      </c>
      <c r="FC43" s="115">
        <v>0</v>
      </c>
      <c r="FD43" s="115">
        <f t="shared" si="100"/>
        <v>684000</v>
      </c>
      <c r="FE43" s="114">
        <f t="shared" ref="FE43:FE58" si="135">SUMIFS(43:43,$5:$5,"SPIFF payout $ (Local CCY)",$4:$4,CONCATENATE("Q",$H$2))</f>
        <v>0</v>
      </c>
      <c r="FF43" s="115">
        <v>0</v>
      </c>
      <c r="FG43" s="115">
        <v>0</v>
      </c>
      <c r="FH43" s="115">
        <v>0</v>
      </c>
      <c r="FI43" s="115">
        <v>0</v>
      </c>
      <c r="FJ43" s="115">
        <f t="shared" si="101"/>
        <v>0</v>
      </c>
      <c r="FK43" s="114">
        <f t="shared" ref="FK43:FK58" si="136">SUMIFS(43:43,$5:$5,"Other payout $ (Local CCY)",$4:$4,CONCATENATE("Q",$H$2))</f>
        <v>0</v>
      </c>
      <c r="FL43" s="113"/>
      <c r="FM43" s="111"/>
      <c r="FN43" s="111"/>
      <c r="FO43" s="111"/>
      <c r="FP43" s="115">
        <f t="shared" si="88"/>
        <v>0</v>
      </c>
      <c r="FQ43" s="115"/>
      <c r="FR43" s="115"/>
      <c r="FS43" s="115"/>
      <c r="FT43" s="114">
        <f t="shared" si="77"/>
        <v>0</v>
      </c>
      <c r="FU43" s="366">
        <f t="shared" ca="1" si="79"/>
        <v>684000</v>
      </c>
      <c r="FV43" s="121">
        <f t="shared" ca="1" si="78"/>
        <v>684000</v>
      </c>
      <c r="FW43" s="114">
        <f t="shared" si="84"/>
        <v>0</v>
      </c>
      <c r="FX43" s="114">
        <f t="shared" si="84"/>
        <v>0</v>
      </c>
      <c r="FY43" s="114">
        <f t="shared" si="84"/>
        <v>0</v>
      </c>
      <c r="FZ43" s="114">
        <f t="shared" si="81"/>
        <v>0</v>
      </c>
      <c r="GA43" s="114">
        <f t="shared" si="89"/>
        <v>0</v>
      </c>
      <c r="GB43" s="114">
        <f t="shared" si="85"/>
        <v>0</v>
      </c>
      <c r="GC43" s="114">
        <f t="shared" si="85"/>
        <v>0</v>
      </c>
      <c r="GD43" s="114">
        <f t="shared" si="85"/>
        <v>684000</v>
      </c>
      <c r="GE43" s="114">
        <f t="shared" si="82"/>
        <v>0</v>
      </c>
      <c r="GF43" s="114">
        <f t="shared" si="87"/>
        <v>0</v>
      </c>
      <c r="GG43" s="114">
        <f t="shared" si="87"/>
        <v>0</v>
      </c>
      <c r="GH43" s="114">
        <f t="shared" si="87"/>
        <v>684000</v>
      </c>
      <c r="GI43" s="114">
        <f t="shared" si="86"/>
        <v>0</v>
      </c>
      <c r="GJ43" s="115">
        <f t="shared" si="102"/>
        <v>684000</v>
      </c>
      <c r="GK43" s="114">
        <f t="shared" si="90"/>
        <v>684000</v>
      </c>
      <c r="GL43" s="114">
        <f t="shared" si="126"/>
        <v>0</v>
      </c>
      <c r="GM43" s="114">
        <f t="shared" si="127"/>
        <v>0</v>
      </c>
      <c r="GN43" s="114">
        <f t="shared" si="128"/>
        <v>0</v>
      </c>
      <c r="GO43" s="114">
        <f t="shared" si="129"/>
        <v>0</v>
      </c>
      <c r="GP43" s="114">
        <f t="shared" si="103"/>
        <v>0</v>
      </c>
      <c r="GQ43" s="114">
        <f t="shared" si="91"/>
        <v>0</v>
      </c>
      <c r="GR43" s="193"/>
      <c r="GS43" s="122">
        <f t="shared" si="130"/>
        <v>2796882.2520389971</v>
      </c>
      <c r="GT43" s="122">
        <f t="shared" si="131"/>
        <v>3837895.409</v>
      </c>
      <c r="GU43" s="123">
        <f t="shared" si="92"/>
        <v>0.72875416184615394</v>
      </c>
      <c r="GV43" s="124">
        <f t="shared" ca="1" si="132"/>
        <v>0</v>
      </c>
      <c r="GW43" s="124">
        <v>0</v>
      </c>
      <c r="GX43" s="32">
        <f t="shared" ca="1" si="133"/>
        <v>0</v>
      </c>
      <c r="GY43" s="100"/>
    </row>
    <row r="44" spans="1:207" s="152" customFormat="1" ht="15" hidden="1" customHeight="1">
      <c r="A44" s="129"/>
      <c r="B44" s="130"/>
      <c r="C44" s="130"/>
      <c r="D44" s="131"/>
      <c r="E44" s="131" t="s">
        <v>260</v>
      </c>
      <c r="F44" s="131" t="s">
        <v>261</v>
      </c>
      <c r="G44" s="131" t="s">
        <v>226</v>
      </c>
      <c r="H44" s="132" t="s">
        <v>326</v>
      </c>
      <c r="I44" s="133" t="s">
        <v>327</v>
      </c>
      <c r="J44" s="131" t="s">
        <v>207</v>
      </c>
      <c r="K44" s="131" t="s">
        <v>208</v>
      </c>
      <c r="L44" s="131" t="s">
        <v>264</v>
      </c>
      <c r="M44" s="131" t="s">
        <v>312</v>
      </c>
      <c r="N44" s="134"/>
      <c r="O44" s="155">
        <v>41376</v>
      </c>
      <c r="P44" s="155">
        <v>43313</v>
      </c>
      <c r="Q44" s="321">
        <f t="shared" si="105"/>
        <v>0</v>
      </c>
      <c r="R44" s="109">
        <f>IF((P44-VLOOKUP(Q44,month!$A$1:$C$13,3,0))&lt;0,Q44,Q44+1)</f>
        <v>0</v>
      </c>
      <c r="S44" s="108"/>
      <c r="T44" s="135" t="str">
        <f t="shared" si="80"/>
        <v/>
      </c>
      <c r="U44" s="134"/>
      <c r="V44" s="134"/>
      <c r="W44" s="134"/>
      <c r="X44" s="134"/>
      <c r="Y44" s="383"/>
      <c r="Z44" s="383" t="s">
        <v>545</v>
      </c>
      <c r="AA44" s="371">
        <v>1000</v>
      </c>
      <c r="AB44" s="371">
        <v>1000</v>
      </c>
      <c r="AC44" s="371">
        <v>1000</v>
      </c>
      <c r="AD44" s="371">
        <v>1000</v>
      </c>
      <c r="AE44" s="371">
        <v>1000</v>
      </c>
      <c r="AF44" s="371">
        <v>1000</v>
      </c>
      <c r="AG44" s="371">
        <v>1000</v>
      </c>
      <c r="AH44" s="371">
        <v>1000</v>
      </c>
      <c r="AI44" s="371">
        <v>1000</v>
      </c>
      <c r="AJ44" s="371">
        <v>1000</v>
      </c>
      <c r="AK44" s="371">
        <v>1000</v>
      </c>
      <c r="AL44" s="371">
        <v>1000</v>
      </c>
      <c r="AM44" s="384">
        <f t="shared" si="95"/>
        <v>12000</v>
      </c>
      <c r="AN44" s="384">
        <f t="shared" si="106"/>
        <v>12000</v>
      </c>
      <c r="AO44" s="385">
        <f t="shared" si="134"/>
        <v>1000</v>
      </c>
      <c r="AP44" s="497" t="s">
        <v>682</v>
      </c>
      <c r="AQ44" s="156">
        <v>0.5</v>
      </c>
      <c r="AR44" s="157" t="s">
        <v>211</v>
      </c>
      <c r="AS44" s="146" t="s">
        <v>210</v>
      </c>
      <c r="AT44" s="136">
        <v>804743.47850000008</v>
      </c>
      <c r="AU44" s="136">
        <v>918812.05920000002</v>
      </c>
      <c r="AV44" s="136">
        <v>924782.75520000013</v>
      </c>
      <c r="AW44" s="136">
        <v>1112566.3257999998</v>
      </c>
      <c r="AX44" s="138">
        <v>891012.76593406429</v>
      </c>
      <c r="AY44" s="138">
        <v>1009048.1644025138</v>
      </c>
      <c r="AZ44" s="138">
        <v>617884.41610000026</v>
      </c>
      <c r="BA44" s="138"/>
      <c r="BB44" s="138"/>
      <c r="BC44" s="138"/>
      <c r="BD44" s="138"/>
      <c r="BE44" s="138"/>
      <c r="BF44" s="139">
        <f t="shared" si="48"/>
        <v>891012.76593406429</v>
      </c>
      <c r="BG44" s="139">
        <f t="shared" si="49"/>
        <v>1009048.1644025138</v>
      </c>
      <c r="BH44" s="139">
        <f t="shared" si="50"/>
        <v>617884.41610000026</v>
      </c>
      <c r="BI44" s="139">
        <f t="shared" si="51"/>
        <v>0</v>
      </c>
      <c r="BJ44" s="139">
        <f t="shared" si="107"/>
        <v>2517945.3464365783</v>
      </c>
      <c r="BK44" s="140">
        <f t="shared" si="96"/>
        <v>3760904.6187</v>
      </c>
      <c r="BL44" s="140">
        <f t="shared" si="52"/>
        <v>3760904.6187</v>
      </c>
      <c r="BM44" s="141">
        <f t="shared" si="53"/>
        <v>0.66949999999999998</v>
      </c>
      <c r="BN44" s="142">
        <f t="shared" ca="1" si="108"/>
        <v>0</v>
      </c>
      <c r="BO44" s="143">
        <f t="shared" ca="1" si="109"/>
        <v>0</v>
      </c>
      <c r="BP44" s="144" t="str">
        <f t="shared" si="110"/>
        <v>Uncapped</v>
      </c>
      <c r="BQ44" s="140">
        <f t="shared" ca="1" si="111"/>
        <v>0</v>
      </c>
      <c r="BR44" s="138" t="s">
        <v>700</v>
      </c>
      <c r="BS44" s="158">
        <v>0.3</v>
      </c>
      <c r="BT44" s="138" t="s">
        <v>211</v>
      </c>
      <c r="BU44" s="157" t="s">
        <v>210</v>
      </c>
      <c r="BV44" s="138">
        <v>71156.054999999993</v>
      </c>
      <c r="BW44" s="138">
        <v>80124.10500000001</v>
      </c>
      <c r="BX44" s="138">
        <v>67116.554999999935</v>
      </c>
      <c r="BY44" s="138">
        <v>76249.685000000056</v>
      </c>
      <c r="BZ44" s="138">
        <v>45772.904700446401</v>
      </c>
      <c r="CA44" s="138">
        <v>66029.726700330473</v>
      </c>
      <c r="CB44" s="138">
        <v>37913.182200000003</v>
      </c>
      <c r="CC44" s="138"/>
      <c r="CD44" s="138"/>
      <c r="CE44" s="138"/>
      <c r="CF44" s="138"/>
      <c r="CG44" s="138"/>
      <c r="CH44" s="139">
        <f t="shared" si="55"/>
        <v>45772.904700446401</v>
      </c>
      <c r="CI44" s="139">
        <f t="shared" si="56"/>
        <v>66029.726700330473</v>
      </c>
      <c r="CJ44" s="145">
        <f t="shared" si="57"/>
        <v>37913.182200000003</v>
      </c>
      <c r="CK44" s="139">
        <f t="shared" si="58"/>
        <v>0</v>
      </c>
      <c r="CL44" s="139">
        <f t="shared" si="112"/>
        <v>149715.81360077689</v>
      </c>
      <c r="CM44" s="139">
        <f t="shared" si="97"/>
        <v>294646.40000000002</v>
      </c>
      <c r="CN44" s="139">
        <f t="shared" si="59"/>
        <v>294646.40000000002</v>
      </c>
      <c r="CO44" s="141">
        <f t="shared" si="60"/>
        <v>0.5081</v>
      </c>
      <c r="CP44" s="142">
        <f t="shared" ca="1" si="61"/>
        <v>0</v>
      </c>
      <c r="CQ44" s="140">
        <f t="shared" ca="1" si="113"/>
        <v>0</v>
      </c>
      <c r="CR44" s="144" t="str">
        <f t="shared" si="114"/>
        <v>Uncapped</v>
      </c>
      <c r="CS44" s="140">
        <f t="shared" ca="1" si="115"/>
        <v>0</v>
      </c>
      <c r="CT44" s="138" t="s">
        <v>702</v>
      </c>
      <c r="CU44" s="146">
        <v>0.2</v>
      </c>
      <c r="CV44" s="138" t="s">
        <v>217</v>
      </c>
      <c r="CW44" s="138" t="s">
        <v>210</v>
      </c>
      <c r="CX44" s="138">
        <v>19653413.080999997</v>
      </c>
      <c r="CY44" s="138">
        <v>22848780.235100001</v>
      </c>
      <c r="CZ44" s="138">
        <v>22618799.574099999</v>
      </c>
      <c r="DA44" s="138">
        <v>27098464.121500004</v>
      </c>
      <c r="DB44" s="138">
        <v>19427532.107000571</v>
      </c>
      <c r="DC44" s="138">
        <v>22270538.357580002</v>
      </c>
      <c r="DD44" s="138">
        <v>22879083.486580007</v>
      </c>
      <c r="DE44" s="138"/>
      <c r="DF44" s="138"/>
      <c r="DG44" s="138"/>
      <c r="DH44" s="138"/>
      <c r="DI44" s="138"/>
      <c r="DJ44" s="139">
        <f t="shared" si="62"/>
        <v>19427532.107000571</v>
      </c>
      <c r="DK44" s="139">
        <f t="shared" si="63"/>
        <v>22270538.357580002</v>
      </c>
      <c r="DL44" s="139">
        <f t="shared" si="64"/>
        <v>22879083.486580007</v>
      </c>
      <c r="DM44" s="139">
        <f t="shared" si="65"/>
        <v>0</v>
      </c>
      <c r="DN44" s="139">
        <f t="shared" si="116"/>
        <v>64577153.95116058</v>
      </c>
      <c r="DO44" s="139">
        <f t="shared" si="98"/>
        <v>92219457.011700004</v>
      </c>
      <c r="DP44" s="139">
        <f t="shared" si="67"/>
        <v>92219457.011700004</v>
      </c>
      <c r="DQ44" s="141">
        <f t="shared" si="68"/>
        <v>0.70030000000000003</v>
      </c>
      <c r="DR44" s="142">
        <f t="shared" ca="1" si="117"/>
        <v>0</v>
      </c>
      <c r="DS44" s="140">
        <f t="shared" ca="1" si="118"/>
        <v>0</v>
      </c>
      <c r="DT44" s="144" t="str">
        <f t="shared" si="119"/>
        <v>Uncapped</v>
      </c>
      <c r="DU44" s="140">
        <f t="shared" ca="1" si="120"/>
        <v>0</v>
      </c>
      <c r="DV44" s="138"/>
      <c r="DW44" s="146">
        <v>0</v>
      </c>
      <c r="DX44" s="138"/>
      <c r="DY44" s="138"/>
      <c r="DZ44" s="138">
        <v>0</v>
      </c>
      <c r="EA44" s="138">
        <v>0</v>
      </c>
      <c r="EB44" s="138">
        <v>0</v>
      </c>
      <c r="EC44" s="138">
        <v>0</v>
      </c>
      <c r="ED44" s="138">
        <v>0</v>
      </c>
      <c r="EE44" s="138">
        <v>0</v>
      </c>
      <c r="EF44" s="138"/>
      <c r="EG44" s="138"/>
      <c r="EH44" s="138"/>
      <c r="EI44" s="138"/>
      <c r="EJ44" s="138"/>
      <c r="EK44" s="138"/>
      <c r="EL44" s="139">
        <f t="shared" si="69"/>
        <v>0</v>
      </c>
      <c r="EM44" s="139">
        <f t="shared" si="70"/>
        <v>0</v>
      </c>
      <c r="EN44" s="139">
        <f t="shared" si="71"/>
        <v>0</v>
      </c>
      <c r="EO44" s="139">
        <f t="shared" si="72"/>
        <v>0</v>
      </c>
      <c r="EP44" s="139">
        <f t="shared" si="121"/>
        <v>0</v>
      </c>
      <c r="EQ44" s="139">
        <f t="shared" si="99"/>
        <v>0</v>
      </c>
      <c r="ER44" s="139">
        <f t="shared" si="73"/>
        <v>0</v>
      </c>
      <c r="ES44" s="141">
        <f t="shared" si="74"/>
        <v>0</v>
      </c>
      <c r="ET44" s="142">
        <f t="shared" ca="1" si="75"/>
        <v>0</v>
      </c>
      <c r="EU44" s="140">
        <f t="shared" ca="1" si="122"/>
        <v>0</v>
      </c>
      <c r="EV44" s="144" t="str">
        <f t="shared" si="123"/>
        <v>Uncapped</v>
      </c>
      <c r="EW44" s="140">
        <f t="shared" ca="1" si="124"/>
        <v>0</v>
      </c>
      <c r="EX44" s="137">
        <f t="shared" ca="1" si="125"/>
        <v>0</v>
      </c>
      <c r="EY44" s="139">
        <f t="shared" ca="1" si="76"/>
        <v>0</v>
      </c>
      <c r="EZ44" s="140">
        <v>0</v>
      </c>
      <c r="FA44" s="140">
        <v>55674</v>
      </c>
      <c r="FB44" s="140"/>
      <c r="FC44" s="140">
        <v>0</v>
      </c>
      <c r="FD44" s="140">
        <f t="shared" si="100"/>
        <v>55674</v>
      </c>
      <c r="FE44" s="139">
        <f t="shared" si="135"/>
        <v>0</v>
      </c>
      <c r="FF44" s="140">
        <v>0</v>
      </c>
      <c r="FG44" s="140">
        <v>0</v>
      </c>
      <c r="FH44" s="140">
        <v>0</v>
      </c>
      <c r="FI44" s="140">
        <v>0</v>
      </c>
      <c r="FJ44" s="140">
        <f t="shared" si="101"/>
        <v>0</v>
      </c>
      <c r="FK44" s="139">
        <f t="shared" si="136"/>
        <v>0</v>
      </c>
      <c r="FL44" s="138"/>
      <c r="FM44" s="136"/>
      <c r="FN44" s="136"/>
      <c r="FO44" s="136"/>
      <c r="FP44" s="140">
        <f t="shared" si="88"/>
        <v>0</v>
      </c>
      <c r="FQ44" s="140"/>
      <c r="FR44" s="140"/>
      <c r="FS44" s="140"/>
      <c r="FT44" s="139">
        <f t="shared" si="77"/>
        <v>0</v>
      </c>
      <c r="FU44" s="365">
        <f t="shared" ca="1" si="79"/>
        <v>55674</v>
      </c>
      <c r="FV44" s="147">
        <f t="shared" ca="1" si="78"/>
        <v>55674</v>
      </c>
      <c r="FW44" s="139">
        <f t="shared" si="84"/>
        <v>0</v>
      </c>
      <c r="FX44" s="139">
        <f t="shared" si="84"/>
        <v>0</v>
      </c>
      <c r="FY44" s="139">
        <f t="shared" si="84"/>
        <v>0</v>
      </c>
      <c r="FZ44" s="139">
        <f t="shared" si="81"/>
        <v>0</v>
      </c>
      <c r="GA44" s="139">
        <f t="shared" si="89"/>
        <v>0</v>
      </c>
      <c r="GB44" s="139">
        <f t="shared" si="85"/>
        <v>0</v>
      </c>
      <c r="GC44" s="139">
        <f t="shared" si="85"/>
        <v>55674</v>
      </c>
      <c r="GD44" s="139">
        <f t="shared" si="85"/>
        <v>0</v>
      </c>
      <c r="GE44" s="139">
        <f t="shared" si="82"/>
        <v>0</v>
      </c>
      <c r="GF44" s="139">
        <f t="shared" si="87"/>
        <v>0</v>
      </c>
      <c r="GG44" s="139">
        <f t="shared" si="87"/>
        <v>55674</v>
      </c>
      <c r="GH44" s="139">
        <f t="shared" si="87"/>
        <v>0</v>
      </c>
      <c r="GI44" s="139">
        <f t="shared" si="86"/>
        <v>0</v>
      </c>
      <c r="GJ44" s="140">
        <f t="shared" si="102"/>
        <v>55674</v>
      </c>
      <c r="GK44" s="139">
        <f t="shared" si="90"/>
        <v>55674</v>
      </c>
      <c r="GL44" s="139">
        <f t="shared" si="126"/>
        <v>0</v>
      </c>
      <c r="GM44" s="139">
        <f t="shared" si="127"/>
        <v>0</v>
      </c>
      <c r="GN44" s="139">
        <f t="shared" si="128"/>
        <v>0</v>
      </c>
      <c r="GO44" s="139">
        <f t="shared" si="129"/>
        <v>0</v>
      </c>
      <c r="GP44" s="139">
        <f t="shared" si="103"/>
        <v>0</v>
      </c>
      <c r="GQ44" s="139">
        <f t="shared" si="91"/>
        <v>0</v>
      </c>
      <c r="GR44" s="409"/>
      <c r="GS44" s="148">
        <f t="shared" si="130"/>
        <v>67244815.111197934</v>
      </c>
      <c r="GT44" s="148">
        <f t="shared" si="131"/>
        <v>96275008.030400008</v>
      </c>
      <c r="GU44" s="149">
        <f t="shared" si="92"/>
        <v>0.69846595172409187</v>
      </c>
      <c r="GV44" s="150">
        <f t="shared" ca="1" si="132"/>
        <v>0</v>
      </c>
      <c r="GW44" s="150">
        <v>0</v>
      </c>
      <c r="GX44" s="151">
        <f t="shared" ca="1" si="133"/>
        <v>0</v>
      </c>
      <c r="GY44" s="100"/>
    </row>
    <row r="45" spans="1:207" s="125" customFormat="1" ht="15" hidden="1" customHeight="1">
      <c r="A45" s="102"/>
      <c r="B45" s="103"/>
      <c r="C45" s="103"/>
      <c r="D45" s="104"/>
      <c r="E45" s="104" t="s">
        <v>253</v>
      </c>
      <c r="F45" s="104" t="s">
        <v>266</v>
      </c>
      <c r="G45" s="104" t="s">
        <v>226</v>
      </c>
      <c r="H45" s="105" t="s">
        <v>328</v>
      </c>
      <c r="I45" s="106" t="s">
        <v>329</v>
      </c>
      <c r="J45" s="104" t="s">
        <v>212</v>
      </c>
      <c r="K45" s="104" t="s">
        <v>208</v>
      </c>
      <c r="L45" s="104" t="s">
        <v>213</v>
      </c>
      <c r="M45" s="104" t="s">
        <v>315</v>
      </c>
      <c r="N45" s="107"/>
      <c r="O45" s="108">
        <v>43228</v>
      </c>
      <c r="P45" s="108">
        <v>43228</v>
      </c>
      <c r="Q45" s="322">
        <f t="shared" si="105"/>
        <v>0</v>
      </c>
      <c r="R45" s="109">
        <f>IF((P45-VLOOKUP(Q45,month!$A$1:$C$13,3,0))&lt;0,Q45,Q45+1)</f>
        <v>0</v>
      </c>
      <c r="S45" s="108"/>
      <c r="T45" s="127" t="str">
        <f t="shared" si="80"/>
        <v/>
      </c>
      <c r="U45" s="107"/>
      <c r="V45" s="107"/>
      <c r="W45" s="107"/>
      <c r="X45" s="107"/>
      <c r="Y45" s="386"/>
      <c r="Z45" s="386" t="s">
        <v>545</v>
      </c>
      <c r="AA45" s="387">
        <v>1000</v>
      </c>
      <c r="AB45" s="387">
        <v>1000</v>
      </c>
      <c r="AC45" s="387">
        <v>1000</v>
      </c>
      <c r="AD45" s="387">
        <v>1000</v>
      </c>
      <c r="AE45" s="387">
        <v>1000</v>
      </c>
      <c r="AF45" s="387">
        <v>1000</v>
      </c>
      <c r="AG45" s="387">
        <v>1000</v>
      </c>
      <c r="AH45" s="387">
        <v>1000</v>
      </c>
      <c r="AI45" s="387">
        <v>1000</v>
      </c>
      <c r="AJ45" s="387">
        <v>1000</v>
      </c>
      <c r="AK45" s="387">
        <v>1000</v>
      </c>
      <c r="AL45" s="387">
        <v>1000</v>
      </c>
      <c r="AM45" s="388">
        <f t="shared" si="95"/>
        <v>12000</v>
      </c>
      <c r="AN45" s="388">
        <f t="shared" si="106"/>
        <v>12000</v>
      </c>
      <c r="AO45" s="389">
        <f t="shared" si="134"/>
        <v>1000</v>
      </c>
      <c r="AP45" s="498" t="s">
        <v>682</v>
      </c>
      <c r="AQ45" s="159">
        <v>0.5</v>
      </c>
      <c r="AR45" s="160" t="s">
        <v>211</v>
      </c>
      <c r="AS45" s="119" t="s">
        <v>210</v>
      </c>
      <c r="AT45" s="111">
        <v>159734.33200000002</v>
      </c>
      <c r="AU45" s="111">
        <v>182357.02719999998</v>
      </c>
      <c r="AV45" s="111">
        <v>181494.07580000002</v>
      </c>
      <c r="AW45" s="111">
        <v>215811.74799999999</v>
      </c>
      <c r="AX45" s="113">
        <v>176387.41352875839</v>
      </c>
      <c r="AY45" s="113">
        <v>195413.41800269368</v>
      </c>
      <c r="AZ45" s="113">
        <v>235114.94880000001</v>
      </c>
      <c r="BA45" s="113"/>
      <c r="BB45" s="113"/>
      <c r="BC45" s="113"/>
      <c r="BD45" s="113"/>
      <c r="BE45" s="113"/>
      <c r="BF45" s="114">
        <f t="shared" si="48"/>
        <v>176387.41352875839</v>
      </c>
      <c r="BG45" s="114">
        <f t="shared" si="49"/>
        <v>195413.41800269368</v>
      </c>
      <c r="BH45" s="114">
        <f t="shared" si="50"/>
        <v>235114.94880000001</v>
      </c>
      <c r="BI45" s="114">
        <f t="shared" si="51"/>
        <v>0</v>
      </c>
      <c r="BJ45" s="114">
        <f t="shared" si="107"/>
        <v>606915.78033145214</v>
      </c>
      <c r="BK45" s="115">
        <f t="shared" si="96"/>
        <v>739397.18300000008</v>
      </c>
      <c r="BL45" s="115">
        <f t="shared" si="52"/>
        <v>739397.18300000008</v>
      </c>
      <c r="BM45" s="116">
        <f t="shared" si="53"/>
        <v>0.82079999999999997</v>
      </c>
      <c r="BN45" s="126">
        <f t="shared" ca="1" si="108"/>
        <v>0</v>
      </c>
      <c r="BO45" s="117">
        <f t="shared" ca="1" si="109"/>
        <v>0</v>
      </c>
      <c r="BP45" s="118" t="str">
        <f t="shared" si="110"/>
        <v>Uncapped</v>
      </c>
      <c r="BQ45" s="115">
        <f t="shared" ca="1" si="111"/>
        <v>0</v>
      </c>
      <c r="BR45" s="113" t="s">
        <v>700</v>
      </c>
      <c r="BS45" s="161">
        <v>0.3</v>
      </c>
      <c r="BT45" s="113" t="s">
        <v>211</v>
      </c>
      <c r="BU45" s="160" t="s">
        <v>210</v>
      </c>
      <c r="BV45" s="113">
        <v>20167.204999999998</v>
      </c>
      <c r="BW45" s="113">
        <v>22591.355</v>
      </c>
      <c r="BX45" s="113">
        <v>22611.105</v>
      </c>
      <c r="BY45" s="113">
        <v>25030.334999999995</v>
      </c>
      <c r="BZ45" s="113">
        <v>16943.591700446399</v>
      </c>
      <c r="CA45" s="113">
        <v>18183.089700330482</v>
      </c>
      <c r="CB45" s="113">
        <v>22790.835000000003</v>
      </c>
      <c r="CC45" s="113"/>
      <c r="CD45" s="113"/>
      <c r="CE45" s="113"/>
      <c r="CF45" s="113"/>
      <c r="CG45" s="113"/>
      <c r="CH45" s="114">
        <f t="shared" si="55"/>
        <v>16943.591700446399</v>
      </c>
      <c r="CI45" s="114">
        <f t="shared" si="56"/>
        <v>18183.089700330482</v>
      </c>
      <c r="CJ45" s="120">
        <f t="shared" si="57"/>
        <v>22790.835000000003</v>
      </c>
      <c r="CK45" s="114">
        <f t="shared" si="58"/>
        <v>0</v>
      </c>
      <c r="CL45" s="114">
        <f t="shared" si="112"/>
        <v>57917.516400776891</v>
      </c>
      <c r="CM45" s="114">
        <f t="shared" si="97"/>
        <v>90399.999999999985</v>
      </c>
      <c r="CN45" s="114">
        <f t="shared" si="59"/>
        <v>90399.999999999985</v>
      </c>
      <c r="CO45" s="116">
        <f t="shared" si="60"/>
        <v>0.64070000000000005</v>
      </c>
      <c r="CP45" s="126">
        <f t="shared" ca="1" si="61"/>
        <v>0</v>
      </c>
      <c r="CQ45" s="115">
        <f t="shared" ca="1" si="113"/>
        <v>0</v>
      </c>
      <c r="CR45" s="118" t="str">
        <f t="shared" si="114"/>
        <v>Uncapped</v>
      </c>
      <c r="CS45" s="115">
        <f t="shared" ca="1" si="115"/>
        <v>0</v>
      </c>
      <c r="CT45" s="113" t="s">
        <v>695</v>
      </c>
      <c r="CU45" s="119">
        <v>0.2</v>
      </c>
      <c r="CV45" s="113" t="s">
        <v>211</v>
      </c>
      <c r="CW45" s="113" t="s">
        <v>210</v>
      </c>
      <c r="CX45" s="113">
        <v>804743.47850000008</v>
      </c>
      <c r="CY45" s="113">
        <v>918812.05920000002</v>
      </c>
      <c r="CZ45" s="113">
        <v>924782.75520000013</v>
      </c>
      <c r="DA45" s="113">
        <v>1112566.3257999998</v>
      </c>
      <c r="DB45" s="113">
        <v>891012.76593406429</v>
      </c>
      <c r="DC45" s="113">
        <v>1009048.1644025138</v>
      </c>
      <c r="DD45" s="113">
        <v>617884.41610000026</v>
      </c>
      <c r="DE45" s="113"/>
      <c r="DF45" s="113"/>
      <c r="DG45" s="113"/>
      <c r="DH45" s="113"/>
      <c r="DI45" s="113"/>
      <c r="DJ45" s="114">
        <f t="shared" si="62"/>
        <v>891012.76593406429</v>
      </c>
      <c r="DK45" s="114">
        <f t="shared" si="63"/>
        <v>1009048.1644025138</v>
      </c>
      <c r="DL45" s="114">
        <f t="shared" si="64"/>
        <v>617884.41610000026</v>
      </c>
      <c r="DM45" s="114">
        <f t="shared" si="65"/>
        <v>0</v>
      </c>
      <c r="DN45" s="114">
        <f t="shared" si="116"/>
        <v>2517945.3464365783</v>
      </c>
      <c r="DO45" s="114">
        <f t="shared" si="98"/>
        <v>3760904.6187</v>
      </c>
      <c r="DP45" s="114">
        <f t="shared" si="67"/>
        <v>3760904.6187</v>
      </c>
      <c r="DQ45" s="116">
        <f t="shared" si="68"/>
        <v>0.66949999999999998</v>
      </c>
      <c r="DR45" s="126">
        <f t="shared" ca="1" si="117"/>
        <v>0</v>
      </c>
      <c r="DS45" s="115">
        <f t="shared" ca="1" si="118"/>
        <v>0</v>
      </c>
      <c r="DT45" s="118" t="str">
        <f t="shared" si="119"/>
        <v>Uncapped</v>
      </c>
      <c r="DU45" s="115">
        <f t="shared" ca="1" si="120"/>
        <v>0</v>
      </c>
      <c r="DV45" s="113"/>
      <c r="DW45" s="119">
        <v>0</v>
      </c>
      <c r="DX45" s="113"/>
      <c r="DY45" s="113"/>
      <c r="DZ45" s="113">
        <v>0</v>
      </c>
      <c r="EA45" s="113">
        <v>0</v>
      </c>
      <c r="EB45" s="113">
        <v>0</v>
      </c>
      <c r="EC45" s="113">
        <v>0</v>
      </c>
      <c r="ED45" s="113">
        <v>0</v>
      </c>
      <c r="EE45" s="113">
        <v>0</v>
      </c>
      <c r="EF45" s="113"/>
      <c r="EG45" s="113"/>
      <c r="EH45" s="113"/>
      <c r="EI45" s="113"/>
      <c r="EJ45" s="113"/>
      <c r="EK45" s="113"/>
      <c r="EL45" s="114">
        <f t="shared" si="69"/>
        <v>0</v>
      </c>
      <c r="EM45" s="114">
        <f t="shared" si="70"/>
        <v>0</v>
      </c>
      <c r="EN45" s="114">
        <f t="shared" si="71"/>
        <v>0</v>
      </c>
      <c r="EO45" s="114">
        <f t="shared" si="72"/>
        <v>0</v>
      </c>
      <c r="EP45" s="114">
        <f t="shared" si="121"/>
        <v>0</v>
      </c>
      <c r="EQ45" s="114">
        <f t="shared" si="99"/>
        <v>0</v>
      </c>
      <c r="ER45" s="114">
        <f t="shared" si="73"/>
        <v>0</v>
      </c>
      <c r="ES45" s="116">
        <f t="shared" si="74"/>
        <v>0</v>
      </c>
      <c r="ET45" s="126">
        <f t="shared" ca="1" si="75"/>
        <v>0</v>
      </c>
      <c r="EU45" s="115">
        <f t="shared" ca="1" si="122"/>
        <v>0</v>
      </c>
      <c r="EV45" s="118" t="str">
        <f t="shared" si="123"/>
        <v>Uncapped</v>
      </c>
      <c r="EW45" s="115">
        <f t="shared" ca="1" si="124"/>
        <v>0</v>
      </c>
      <c r="EX45" s="112">
        <f t="shared" ca="1" si="125"/>
        <v>0</v>
      </c>
      <c r="EY45" s="114">
        <f t="shared" ca="1" si="76"/>
        <v>0</v>
      </c>
      <c r="EZ45" s="115">
        <v>0</v>
      </c>
      <c r="FA45" s="115"/>
      <c r="FB45" s="115"/>
      <c r="FC45" s="115">
        <v>0</v>
      </c>
      <c r="FD45" s="115">
        <f t="shared" si="100"/>
        <v>0</v>
      </c>
      <c r="FE45" s="114">
        <f t="shared" si="135"/>
        <v>0</v>
      </c>
      <c r="FF45" s="115">
        <v>0</v>
      </c>
      <c r="FG45" s="115">
        <v>0</v>
      </c>
      <c r="FH45" s="115">
        <v>0</v>
      </c>
      <c r="FI45" s="115">
        <v>0</v>
      </c>
      <c r="FJ45" s="115">
        <f t="shared" si="101"/>
        <v>0</v>
      </c>
      <c r="FK45" s="114">
        <f t="shared" si="136"/>
        <v>0</v>
      </c>
      <c r="FL45" s="113"/>
      <c r="FM45" s="111"/>
      <c r="FN45" s="111"/>
      <c r="FO45" s="111"/>
      <c r="FP45" s="115">
        <f t="shared" si="88"/>
        <v>0</v>
      </c>
      <c r="FQ45" s="115"/>
      <c r="FR45" s="115"/>
      <c r="FS45" s="115"/>
      <c r="FT45" s="114">
        <f t="shared" si="77"/>
        <v>0</v>
      </c>
      <c r="FU45" s="366">
        <f t="shared" ca="1" si="79"/>
        <v>0</v>
      </c>
      <c r="FV45" s="121">
        <f t="shared" ca="1" si="78"/>
        <v>0</v>
      </c>
      <c r="FW45" s="114">
        <f t="shared" si="84"/>
        <v>0</v>
      </c>
      <c r="FX45" s="114">
        <f t="shared" si="84"/>
        <v>0</v>
      </c>
      <c r="FY45" s="114">
        <f t="shared" si="84"/>
        <v>0</v>
      </c>
      <c r="FZ45" s="114">
        <f t="shared" si="81"/>
        <v>0</v>
      </c>
      <c r="GA45" s="114">
        <f>SUM(FW45:FZ45)</f>
        <v>0</v>
      </c>
      <c r="GB45" s="114">
        <f t="shared" si="85"/>
        <v>0</v>
      </c>
      <c r="GC45" s="114">
        <f t="shared" si="85"/>
        <v>0</v>
      </c>
      <c r="GD45" s="114">
        <f t="shared" si="85"/>
        <v>0</v>
      </c>
      <c r="GE45" s="114">
        <f t="shared" si="82"/>
        <v>0</v>
      </c>
      <c r="GF45" s="114">
        <f>GB45+FW45</f>
        <v>0</v>
      </c>
      <c r="GG45" s="114">
        <f>GC45+FX45</f>
        <v>0</v>
      </c>
      <c r="GH45" s="114">
        <f>GD45+FY45</f>
        <v>0</v>
      </c>
      <c r="GI45" s="114">
        <f>GE45+FZ45</f>
        <v>0</v>
      </c>
      <c r="GJ45" s="115">
        <f t="shared" si="102"/>
        <v>0</v>
      </c>
      <c r="GK45" s="114">
        <f>SUM(GF45:GI45)</f>
        <v>0</v>
      </c>
      <c r="GL45" s="114">
        <f t="shared" si="126"/>
        <v>0</v>
      </c>
      <c r="GM45" s="114">
        <f t="shared" si="127"/>
        <v>0</v>
      </c>
      <c r="GN45" s="114">
        <f t="shared" si="128"/>
        <v>0</v>
      </c>
      <c r="GO45" s="114">
        <f t="shared" si="129"/>
        <v>0</v>
      </c>
      <c r="GP45" s="114">
        <f t="shared" si="103"/>
        <v>0</v>
      </c>
      <c r="GQ45" s="114">
        <f>SUM(GL45:GO45)</f>
        <v>0</v>
      </c>
      <c r="GR45" s="193"/>
      <c r="GS45" s="122">
        <f t="shared" si="130"/>
        <v>3182778.6431688075</v>
      </c>
      <c r="GT45" s="122">
        <f t="shared" si="131"/>
        <v>4590701.8016999997</v>
      </c>
      <c r="GU45" s="123">
        <f>IFERROR(GS45/GT45,"")</f>
        <v>0.69330982073158853</v>
      </c>
      <c r="GV45" s="124">
        <f t="shared" ca="1" si="132"/>
        <v>0</v>
      </c>
      <c r="GW45" s="124">
        <v>0</v>
      </c>
      <c r="GX45" s="32">
        <f t="shared" ca="1" si="133"/>
        <v>0</v>
      </c>
      <c r="GY45" s="100"/>
    </row>
    <row r="46" spans="1:207" s="152" customFormat="1" ht="15" hidden="1" customHeight="1">
      <c r="A46" s="129"/>
      <c r="B46" s="130"/>
      <c r="C46" s="130"/>
      <c r="D46" s="131"/>
      <c r="E46" s="131" t="s">
        <v>260</v>
      </c>
      <c r="F46" s="131" t="s">
        <v>261</v>
      </c>
      <c r="G46" s="131" t="s">
        <v>226</v>
      </c>
      <c r="H46" s="132" t="s">
        <v>330</v>
      </c>
      <c r="I46" s="133" t="s">
        <v>331</v>
      </c>
      <c r="J46" s="131" t="s">
        <v>207</v>
      </c>
      <c r="K46" s="131" t="s">
        <v>208</v>
      </c>
      <c r="L46" s="131" t="s">
        <v>264</v>
      </c>
      <c r="M46" s="131" t="s">
        <v>312</v>
      </c>
      <c r="N46" s="134"/>
      <c r="O46" s="551">
        <v>42954</v>
      </c>
      <c r="P46" s="155">
        <v>42954</v>
      </c>
      <c r="Q46" s="321">
        <f t="shared" si="105"/>
        <v>0</v>
      </c>
      <c r="R46" s="109">
        <f>IF((P46-VLOOKUP(Q46,month!$A$1:$C$13,3,0))&lt;0,Q46,Q46+1)</f>
        <v>0</v>
      </c>
      <c r="S46" s="108"/>
      <c r="T46" s="135" t="str">
        <f t="shared" si="80"/>
        <v/>
      </c>
      <c r="U46" s="134"/>
      <c r="V46" s="134"/>
      <c r="W46" s="134"/>
      <c r="X46" s="134"/>
      <c r="Y46" s="383"/>
      <c r="Z46" s="383" t="s">
        <v>545</v>
      </c>
      <c r="AA46" s="371">
        <v>1000</v>
      </c>
      <c r="AB46" s="371">
        <v>1000</v>
      </c>
      <c r="AC46" s="371">
        <v>1000</v>
      </c>
      <c r="AD46" s="371">
        <v>1000</v>
      </c>
      <c r="AE46" s="371">
        <v>1000</v>
      </c>
      <c r="AF46" s="371">
        <v>1000</v>
      </c>
      <c r="AG46" s="371">
        <v>1000</v>
      </c>
      <c r="AH46" s="371">
        <v>1000</v>
      </c>
      <c r="AI46" s="371">
        <v>1000</v>
      </c>
      <c r="AJ46" s="371">
        <v>1000</v>
      </c>
      <c r="AK46" s="371">
        <v>1000</v>
      </c>
      <c r="AL46" s="371">
        <v>1000</v>
      </c>
      <c r="AM46" s="384">
        <f t="shared" si="95"/>
        <v>12000</v>
      </c>
      <c r="AN46" s="384">
        <f t="shared" si="106"/>
        <v>12000</v>
      </c>
      <c r="AO46" s="385">
        <f t="shared" si="134"/>
        <v>1000</v>
      </c>
      <c r="AP46" s="497" t="s">
        <v>682</v>
      </c>
      <c r="AQ46" s="156">
        <v>0.5</v>
      </c>
      <c r="AR46" s="157" t="s">
        <v>211</v>
      </c>
      <c r="AS46" s="146" t="s">
        <v>210</v>
      </c>
      <c r="AT46" s="136">
        <v>2454027.4075000002</v>
      </c>
      <c r="AU46" s="136">
        <v>2799125.9108000002</v>
      </c>
      <c r="AV46" s="136"/>
      <c r="AW46" s="136"/>
      <c r="AX46" s="138">
        <v>2309707.9470700622</v>
      </c>
      <c r="AY46" s="138">
        <v>2825727.3710025134</v>
      </c>
      <c r="AZ46" s="138"/>
      <c r="BA46" s="138"/>
      <c r="BB46" s="138"/>
      <c r="BC46" s="138"/>
      <c r="BD46" s="138"/>
      <c r="BE46" s="138"/>
      <c r="BF46" s="139">
        <f t="shared" si="48"/>
        <v>2309707.9470700622</v>
      </c>
      <c r="BG46" s="139">
        <f t="shared" si="49"/>
        <v>2825727.3710025134</v>
      </c>
      <c r="BH46" s="139">
        <f t="shared" si="50"/>
        <v>0</v>
      </c>
      <c r="BI46" s="139">
        <f t="shared" si="51"/>
        <v>0</v>
      </c>
      <c r="BJ46" s="139">
        <f t="shared" si="107"/>
        <v>5135435.3180725761</v>
      </c>
      <c r="BK46" s="140">
        <f t="shared" si="96"/>
        <v>5253153.3183000004</v>
      </c>
      <c r="BL46" s="140">
        <f t="shared" si="52"/>
        <v>5253153.3183000004</v>
      </c>
      <c r="BM46" s="141">
        <f t="shared" si="53"/>
        <v>0.97760000000000002</v>
      </c>
      <c r="BN46" s="142">
        <f t="shared" ca="1" si="108"/>
        <v>0</v>
      </c>
      <c r="BO46" s="143">
        <f t="shared" ca="1" si="109"/>
        <v>0</v>
      </c>
      <c r="BP46" s="144" t="str">
        <f t="shared" si="110"/>
        <v>Uncapped</v>
      </c>
      <c r="BQ46" s="140">
        <f t="shared" ca="1" si="111"/>
        <v>0</v>
      </c>
      <c r="BR46" s="138" t="s">
        <v>700</v>
      </c>
      <c r="BS46" s="158">
        <v>0.3</v>
      </c>
      <c r="BT46" s="138" t="s">
        <v>211</v>
      </c>
      <c r="BU46" s="157" t="s">
        <v>210</v>
      </c>
      <c r="BV46" s="138">
        <v>241900.15499999997</v>
      </c>
      <c r="BW46" s="138">
        <v>280569.55499999999</v>
      </c>
      <c r="BX46" s="138"/>
      <c r="BY46" s="138"/>
      <c r="BZ46" s="138">
        <v>153571.9437004464</v>
      </c>
      <c r="CA46" s="138">
        <v>185627.81070033048</v>
      </c>
      <c r="CB46" s="138"/>
      <c r="CC46" s="138"/>
      <c r="CD46" s="138"/>
      <c r="CE46" s="138"/>
      <c r="CF46" s="138"/>
      <c r="CG46" s="138"/>
      <c r="CH46" s="139">
        <f t="shared" si="55"/>
        <v>153571.9437004464</v>
      </c>
      <c r="CI46" s="139">
        <f t="shared" si="56"/>
        <v>185627.81070033048</v>
      </c>
      <c r="CJ46" s="145">
        <f t="shared" si="57"/>
        <v>0</v>
      </c>
      <c r="CK46" s="139">
        <f t="shared" si="58"/>
        <v>0</v>
      </c>
      <c r="CL46" s="139">
        <f t="shared" si="112"/>
        <v>339199.75440077687</v>
      </c>
      <c r="CM46" s="139">
        <f t="shared" si="97"/>
        <v>522469.70999999996</v>
      </c>
      <c r="CN46" s="139">
        <f t="shared" si="59"/>
        <v>522469.70999999996</v>
      </c>
      <c r="CO46" s="141">
        <f t="shared" si="60"/>
        <v>0.6492</v>
      </c>
      <c r="CP46" s="142">
        <f t="shared" ca="1" si="61"/>
        <v>0</v>
      </c>
      <c r="CQ46" s="140">
        <f t="shared" ca="1" si="113"/>
        <v>0</v>
      </c>
      <c r="CR46" s="144" t="str">
        <f t="shared" si="114"/>
        <v>Uncapped</v>
      </c>
      <c r="CS46" s="140">
        <f t="shared" ca="1" si="115"/>
        <v>0</v>
      </c>
      <c r="CT46" s="138" t="s">
        <v>702</v>
      </c>
      <c r="CU46" s="146">
        <v>0.2</v>
      </c>
      <c r="CV46" s="138" t="s">
        <v>217</v>
      </c>
      <c r="CW46" s="138" t="s">
        <v>210</v>
      </c>
      <c r="CX46" s="138">
        <v>19653413.080999997</v>
      </c>
      <c r="CY46" s="138">
        <v>22848780.235100001</v>
      </c>
      <c r="CZ46" s="138"/>
      <c r="DA46" s="138"/>
      <c r="DB46" s="138">
        <v>19427532.107000571</v>
      </c>
      <c r="DC46" s="138">
        <v>22270538.357580002</v>
      </c>
      <c r="DD46" s="138"/>
      <c r="DE46" s="138"/>
      <c r="DF46" s="138"/>
      <c r="DG46" s="138"/>
      <c r="DH46" s="138"/>
      <c r="DI46" s="138"/>
      <c r="DJ46" s="139">
        <f t="shared" si="62"/>
        <v>19427532.107000571</v>
      </c>
      <c r="DK46" s="139">
        <f t="shared" si="63"/>
        <v>22270538.357580002</v>
      </c>
      <c r="DL46" s="139">
        <f t="shared" si="64"/>
        <v>0</v>
      </c>
      <c r="DM46" s="139">
        <f t="shared" si="65"/>
        <v>0</v>
      </c>
      <c r="DN46" s="139">
        <f t="shared" si="116"/>
        <v>41698070.464580573</v>
      </c>
      <c r="DO46" s="139">
        <f t="shared" si="98"/>
        <v>42502193.316100001</v>
      </c>
      <c r="DP46" s="139">
        <f t="shared" si="67"/>
        <v>42502193.316100001</v>
      </c>
      <c r="DQ46" s="141">
        <f t="shared" si="68"/>
        <v>0.98109999999999997</v>
      </c>
      <c r="DR46" s="142">
        <f t="shared" ca="1" si="117"/>
        <v>0</v>
      </c>
      <c r="DS46" s="140">
        <f t="shared" ca="1" si="118"/>
        <v>0</v>
      </c>
      <c r="DT46" s="144" t="str">
        <f t="shared" si="119"/>
        <v>Uncapped</v>
      </c>
      <c r="DU46" s="140">
        <f t="shared" ca="1" si="120"/>
        <v>0</v>
      </c>
      <c r="DV46" s="138"/>
      <c r="DW46" s="146">
        <v>0</v>
      </c>
      <c r="DX46" s="138"/>
      <c r="DY46" s="138"/>
      <c r="DZ46" s="138">
        <v>0</v>
      </c>
      <c r="EA46" s="138">
        <v>0</v>
      </c>
      <c r="EB46" s="138">
        <v>0</v>
      </c>
      <c r="EC46" s="138">
        <v>0</v>
      </c>
      <c r="ED46" s="138">
        <v>0</v>
      </c>
      <c r="EE46" s="138">
        <v>0</v>
      </c>
      <c r="EF46" s="138"/>
      <c r="EG46" s="138"/>
      <c r="EH46" s="138"/>
      <c r="EI46" s="138"/>
      <c r="EJ46" s="138"/>
      <c r="EK46" s="138"/>
      <c r="EL46" s="139">
        <f t="shared" si="69"/>
        <v>0</v>
      </c>
      <c r="EM46" s="139">
        <f t="shared" si="70"/>
        <v>0</v>
      </c>
      <c r="EN46" s="139">
        <f t="shared" si="71"/>
        <v>0</v>
      </c>
      <c r="EO46" s="139">
        <f t="shared" si="72"/>
        <v>0</v>
      </c>
      <c r="EP46" s="139">
        <f t="shared" si="121"/>
        <v>0</v>
      </c>
      <c r="EQ46" s="139">
        <f t="shared" si="99"/>
        <v>0</v>
      </c>
      <c r="ER46" s="139">
        <f t="shared" si="73"/>
        <v>0</v>
      </c>
      <c r="ES46" s="141">
        <f t="shared" si="74"/>
        <v>0</v>
      </c>
      <c r="ET46" s="142">
        <f t="shared" ca="1" si="75"/>
        <v>0</v>
      </c>
      <c r="EU46" s="140">
        <f t="shared" ca="1" si="122"/>
        <v>0</v>
      </c>
      <c r="EV46" s="144" t="str">
        <f t="shared" si="123"/>
        <v>Uncapped</v>
      </c>
      <c r="EW46" s="140">
        <f t="shared" ca="1" si="124"/>
        <v>0</v>
      </c>
      <c r="EX46" s="137">
        <f t="shared" ca="1" si="125"/>
        <v>0</v>
      </c>
      <c r="EY46" s="139">
        <f t="shared" ca="1" si="76"/>
        <v>0</v>
      </c>
      <c r="EZ46" s="140">
        <v>0</v>
      </c>
      <c r="FA46" s="140"/>
      <c r="FB46" s="140"/>
      <c r="FC46" s="140">
        <v>0</v>
      </c>
      <c r="FD46" s="140">
        <f t="shared" si="100"/>
        <v>0</v>
      </c>
      <c r="FE46" s="139">
        <f t="shared" si="135"/>
        <v>0</v>
      </c>
      <c r="FF46" s="140">
        <v>0</v>
      </c>
      <c r="FG46" s="140">
        <v>0</v>
      </c>
      <c r="FH46" s="140">
        <v>0</v>
      </c>
      <c r="FI46" s="140">
        <v>0</v>
      </c>
      <c r="FJ46" s="140">
        <f t="shared" si="101"/>
        <v>0</v>
      </c>
      <c r="FK46" s="139">
        <f t="shared" si="136"/>
        <v>0</v>
      </c>
      <c r="FL46" s="138"/>
      <c r="FM46" s="136"/>
      <c r="FN46" s="136"/>
      <c r="FO46" s="136"/>
      <c r="FP46" s="140">
        <f t="shared" si="88"/>
        <v>0</v>
      </c>
      <c r="FQ46" s="140"/>
      <c r="FR46" s="140"/>
      <c r="FS46" s="140"/>
      <c r="FT46" s="139">
        <f t="shared" si="77"/>
        <v>0</v>
      </c>
      <c r="FU46" s="365">
        <f t="shared" ca="1" si="79"/>
        <v>0</v>
      </c>
      <c r="FV46" s="147">
        <f t="shared" ca="1" si="78"/>
        <v>0</v>
      </c>
      <c r="FW46" s="139">
        <f t="shared" si="84"/>
        <v>0</v>
      </c>
      <c r="FX46" s="139">
        <f t="shared" si="84"/>
        <v>0</v>
      </c>
      <c r="FY46" s="139">
        <f t="shared" si="84"/>
        <v>0</v>
      </c>
      <c r="FZ46" s="139">
        <f t="shared" si="81"/>
        <v>0</v>
      </c>
      <c r="GA46" s="139">
        <f t="shared" si="89"/>
        <v>0</v>
      </c>
      <c r="GB46" s="139">
        <f t="shared" si="85"/>
        <v>0</v>
      </c>
      <c r="GC46" s="139">
        <f t="shared" si="85"/>
        <v>0</v>
      </c>
      <c r="GD46" s="139">
        <f t="shared" si="85"/>
        <v>0</v>
      </c>
      <c r="GE46" s="139">
        <f t="shared" si="82"/>
        <v>0</v>
      </c>
      <c r="GF46" s="139">
        <f t="shared" si="87"/>
        <v>0</v>
      </c>
      <c r="GG46" s="139">
        <f t="shared" si="87"/>
        <v>0</v>
      </c>
      <c r="GH46" s="139">
        <f t="shared" si="87"/>
        <v>0</v>
      </c>
      <c r="GI46" s="139">
        <f t="shared" si="86"/>
        <v>0</v>
      </c>
      <c r="GJ46" s="140">
        <f t="shared" si="102"/>
        <v>0</v>
      </c>
      <c r="GK46" s="139">
        <f t="shared" si="90"/>
        <v>0</v>
      </c>
      <c r="GL46" s="139">
        <f t="shared" si="126"/>
        <v>0</v>
      </c>
      <c r="GM46" s="139">
        <f t="shared" si="127"/>
        <v>0</v>
      </c>
      <c r="GN46" s="139">
        <f t="shared" si="128"/>
        <v>0</v>
      </c>
      <c r="GO46" s="139">
        <f t="shared" si="129"/>
        <v>0</v>
      </c>
      <c r="GP46" s="139">
        <f t="shared" si="103"/>
        <v>0</v>
      </c>
      <c r="GQ46" s="139">
        <f t="shared" si="91"/>
        <v>0</v>
      </c>
      <c r="GR46" s="409"/>
      <c r="GS46" s="148">
        <f t="shared" si="130"/>
        <v>47172705.537053928</v>
      </c>
      <c r="GT46" s="148">
        <f t="shared" si="131"/>
        <v>48277816.344400004</v>
      </c>
      <c r="GU46" s="149">
        <f t="shared" si="92"/>
        <v>0.97710934563687524</v>
      </c>
      <c r="GV46" s="150">
        <f t="shared" ca="1" si="132"/>
        <v>0</v>
      </c>
      <c r="GW46" s="150">
        <v>0</v>
      </c>
      <c r="GX46" s="151">
        <f t="shared" ca="1" si="133"/>
        <v>0</v>
      </c>
      <c r="GY46" s="100"/>
    </row>
    <row r="47" spans="1:207" s="163" customFormat="1" ht="15" hidden="1" customHeight="1">
      <c r="A47" s="129"/>
      <c r="B47" s="130"/>
      <c r="C47" s="130"/>
      <c r="D47" s="131"/>
      <c r="E47" s="131" t="s">
        <v>256</v>
      </c>
      <c r="F47" s="169" t="s">
        <v>256</v>
      </c>
      <c r="G47" s="131" t="s">
        <v>226</v>
      </c>
      <c r="H47" s="132" t="s">
        <v>332</v>
      </c>
      <c r="I47" s="133" t="s">
        <v>333</v>
      </c>
      <c r="J47" s="131" t="s">
        <v>212</v>
      </c>
      <c r="K47" s="131" t="s">
        <v>208</v>
      </c>
      <c r="L47" s="131" t="s">
        <v>223</v>
      </c>
      <c r="M47" s="131" t="s">
        <v>256</v>
      </c>
      <c r="N47" s="134"/>
      <c r="O47" s="155">
        <v>42562</v>
      </c>
      <c r="P47" s="155">
        <v>43191</v>
      </c>
      <c r="Q47" s="321">
        <f t="shared" si="105"/>
        <v>0</v>
      </c>
      <c r="R47" s="109">
        <f>IF((P47-VLOOKUP(Q47,month!$A$1:$C$13,3,0))&lt;0,Q47,Q47+1)</f>
        <v>0</v>
      </c>
      <c r="S47" s="108"/>
      <c r="T47" s="135" t="str">
        <f t="shared" si="80"/>
        <v/>
      </c>
      <c r="U47" s="134"/>
      <c r="V47" s="134"/>
      <c r="W47" s="134"/>
      <c r="X47" s="134"/>
      <c r="Y47" s="383"/>
      <c r="Z47" s="383" t="s">
        <v>545</v>
      </c>
      <c r="AA47" s="371">
        <v>1000</v>
      </c>
      <c r="AB47" s="371">
        <v>1000</v>
      </c>
      <c r="AC47" s="371">
        <v>1000</v>
      </c>
      <c r="AD47" s="371">
        <v>1000</v>
      </c>
      <c r="AE47" s="371">
        <v>1000</v>
      </c>
      <c r="AF47" s="371">
        <v>1000</v>
      </c>
      <c r="AG47" s="371">
        <v>1000</v>
      </c>
      <c r="AH47" s="371">
        <v>1000</v>
      </c>
      <c r="AI47" s="371">
        <v>1000</v>
      </c>
      <c r="AJ47" s="371">
        <v>1000</v>
      </c>
      <c r="AK47" s="371">
        <v>1000</v>
      </c>
      <c r="AL47" s="371">
        <v>1000</v>
      </c>
      <c r="AM47" s="384">
        <f t="shared" si="95"/>
        <v>12000</v>
      </c>
      <c r="AN47" s="384">
        <f t="shared" si="106"/>
        <v>12000</v>
      </c>
      <c r="AO47" s="385">
        <f t="shared" si="134"/>
        <v>1000</v>
      </c>
      <c r="AP47" s="497" t="s">
        <v>676</v>
      </c>
      <c r="AQ47" s="156">
        <v>0.6</v>
      </c>
      <c r="AR47" s="157" t="s">
        <v>211</v>
      </c>
      <c r="AS47" s="146" t="s">
        <v>210</v>
      </c>
      <c r="AT47" s="136">
        <v>6650900</v>
      </c>
      <c r="AU47" s="136">
        <v>7954900</v>
      </c>
      <c r="AV47" s="136">
        <v>8628329</v>
      </c>
      <c r="AW47" s="136">
        <v>10373410</v>
      </c>
      <c r="AX47" s="138">
        <v>6915282.3080999181</v>
      </c>
      <c r="AY47" s="138">
        <v>7920401.2478999048</v>
      </c>
      <c r="AZ47" s="138">
        <v>8011755.53880296</v>
      </c>
      <c r="BA47" s="138"/>
      <c r="BB47" s="138"/>
      <c r="BC47" s="138"/>
      <c r="BD47" s="138"/>
      <c r="BE47" s="138"/>
      <c r="BF47" s="139">
        <f t="shared" si="48"/>
        <v>6915282.3080999181</v>
      </c>
      <c r="BG47" s="139">
        <f t="shared" si="49"/>
        <v>7920401.2478999048</v>
      </c>
      <c r="BH47" s="139">
        <f t="shared" si="50"/>
        <v>8011755.53880296</v>
      </c>
      <c r="BI47" s="139">
        <f t="shared" si="51"/>
        <v>0</v>
      </c>
      <c r="BJ47" s="139">
        <f t="shared" si="107"/>
        <v>22847439.094802782</v>
      </c>
      <c r="BK47" s="140">
        <f t="shared" si="96"/>
        <v>33607539</v>
      </c>
      <c r="BL47" s="140">
        <f t="shared" si="52"/>
        <v>33607539</v>
      </c>
      <c r="BM47" s="141">
        <f t="shared" si="53"/>
        <v>0.67979999999999996</v>
      </c>
      <c r="BN47" s="142">
        <f t="shared" ca="1" si="108"/>
        <v>0</v>
      </c>
      <c r="BO47" s="143">
        <f t="shared" ca="1" si="109"/>
        <v>0</v>
      </c>
      <c r="BP47" s="144" t="str">
        <f t="shared" si="110"/>
        <v>Uncapped</v>
      </c>
      <c r="BQ47" s="140">
        <f t="shared" ca="1" si="111"/>
        <v>0</v>
      </c>
      <c r="BR47" s="138" t="s">
        <v>688</v>
      </c>
      <c r="BS47" s="158">
        <v>0.2</v>
      </c>
      <c r="BT47" s="138" t="s">
        <v>211</v>
      </c>
      <c r="BU47" s="157" t="s">
        <v>210</v>
      </c>
      <c r="BV47" s="138">
        <v>19653413.080999997</v>
      </c>
      <c r="BW47" s="138">
        <v>22848780.235100001</v>
      </c>
      <c r="BX47" s="138">
        <v>22618799.574099999</v>
      </c>
      <c r="BY47" s="138">
        <v>27098464.121500004</v>
      </c>
      <c r="BZ47" s="138">
        <v>19427532.107000571</v>
      </c>
      <c r="CA47" s="138">
        <v>22270538.357580002</v>
      </c>
      <c r="CB47" s="138">
        <v>22879083.486580007</v>
      </c>
      <c r="CC47" s="138"/>
      <c r="CD47" s="138"/>
      <c r="CE47" s="138"/>
      <c r="CF47" s="138"/>
      <c r="CG47" s="138"/>
      <c r="CH47" s="139">
        <f t="shared" si="55"/>
        <v>19427532.107000571</v>
      </c>
      <c r="CI47" s="139">
        <f t="shared" si="56"/>
        <v>22270538.357580002</v>
      </c>
      <c r="CJ47" s="145">
        <f t="shared" si="57"/>
        <v>22879083.486580007</v>
      </c>
      <c r="CK47" s="139">
        <f t="shared" si="58"/>
        <v>0</v>
      </c>
      <c r="CL47" s="139">
        <f t="shared" si="112"/>
        <v>64577153.95116058</v>
      </c>
      <c r="CM47" s="139">
        <f t="shared" si="97"/>
        <v>92219457.011700004</v>
      </c>
      <c r="CN47" s="139">
        <f t="shared" si="59"/>
        <v>92219457.011700004</v>
      </c>
      <c r="CO47" s="141">
        <f t="shared" si="60"/>
        <v>0.70030000000000003</v>
      </c>
      <c r="CP47" s="142">
        <f t="shared" ca="1" si="61"/>
        <v>0</v>
      </c>
      <c r="CQ47" s="140">
        <f t="shared" ca="1" si="113"/>
        <v>0</v>
      </c>
      <c r="CR47" s="144" t="str">
        <f t="shared" si="114"/>
        <v>Uncapped</v>
      </c>
      <c r="CS47" s="140">
        <f t="shared" ca="1" si="115"/>
        <v>0</v>
      </c>
      <c r="CT47" s="138" t="s">
        <v>696</v>
      </c>
      <c r="CU47" s="146">
        <v>0.2</v>
      </c>
      <c r="CV47" s="138" t="s">
        <v>217</v>
      </c>
      <c r="CW47" s="138" t="s">
        <v>210</v>
      </c>
      <c r="CX47" s="138">
        <v>61881722.047854595</v>
      </c>
      <c r="CY47" s="138">
        <v>72180793.063260496</v>
      </c>
      <c r="CZ47" s="138">
        <v>69179032.514420599</v>
      </c>
      <c r="DA47" s="138">
        <v>76323964.015026003</v>
      </c>
      <c r="DB47" s="138">
        <v>63657388.730680585</v>
      </c>
      <c r="DC47" s="138">
        <v>65995192.891159989</v>
      </c>
      <c r="DD47" s="138">
        <v>66410604.684560001</v>
      </c>
      <c r="DE47" s="138"/>
      <c r="DF47" s="138"/>
      <c r="DG47" s="138"/>
      <c r="DH47" s="138"/>
      <c r="DI47" s="138"/>
      <c r="DJ47" s="139">
        <f t="shared" si="62"/>
        <v>63657388.730680585</v>
      </c>
      <c r="DK47" s="139">
        <f t="shared" si="63"/>
        <v>65995192.891159989</v>
      </c>
      <c r="DL47" s="139">
        <f t="shared" si="64"/>
        <v>66410604.684560001</v>
      </c>
      <c r="DM47" s="139">
        <f t="shared" si="65"/>
        <v>0</v>
      </c>
      <c r="DN47" s="139">
        <f t="shared" si="116"/>
        <v>196063186.30640057</v>
      </c>
      <c r="DO47" s="139">
        <f t="shared" si="98"/>
        <v>279565511.6405617</v>
      </c>
      <c r="DP47" s="139">
        <f t="shared" si="67"/>
        <v>279565511.6405617</v>
      </c>
      <c r="DQ47" s="141">
        <f t="shared" si="68"/>
        <v>0.70130000000000003</v>
      </c>
      <c r="DR47" s="142">
        <f t="shared" ca="1" si="117"/>
        <v>0</v>
      </c>
      <c r="DS47" s="140">
        <f t="shared" ca="1" si="118"/>
        <v>0</v>
      </c>
      <c r="DT47" s="144" t="str">
        <f t="shared" si="119"/>
        <v>Uncapped</v>
      </c>
      <c r="DU47" s="140">
        <f t="shared" ca="1" si="120"/>
        <v>0</v>
      </c>
      <c r="DV47" s="138"/>
      <c r="DW47" s="146">
        <v>0</v>
      </c>
      <c r="DX47" s="138"/>
      <c r="DY47" s="138"/>
      <c r="DZ47" s="138">
        <v>0</v>
      </c>
      <c r="EA47" s="138">
        <v>0</v>
      </c>
      <c r="EB47" s="138">
        <v>0</v>
      </c>
      <c r="EC47" s="138">
        <v>0</v>
      </c>
      <c r="ED47" s="138">
        <v>0</v>
      </c>
      <c r="EE47" s="138">
        <v>0</v>
      </c>
      <c r="EF47" s="138"/>
      <c r="EG47" s="138"/>
      <c r="EH47" s="138"/>
      <c r="EI47" s="138"/>
      <c r="EJ47" s="138"/>
      <c r="EK47" s="138"/>
      <c r="EL47" s="139">
        <f t="shared" si="69"/>
        <v>0</v>
      </c>
      <c r="EM47" s="139">
        <f t="shared" si="70"/>
        <v>0</v>
      </c>
      <c r="EN47" s="139">
        <f t="shared" si="71"/>
        <v>0</v>
      </c>
      <c r="EO47" s="139">
        <f t="shared" si="72"/>
        <v>0</v>
      </c>
      <c r="EP47" s="139">
        <f t="shared" si="121"/>
        <v>0</v>
      </c>
      <c r="EQ47" s="139">
        <f t="shared" si="99"/>
        <v>0</v>
      </c>
      <c r="ER47" s="139">
        <f t="shared" si="73"/>
        <v>0</v>
      </c>
      <c r="ES47" s="141">
        <f t="shared" si="74"/>
        <v>0</v>
      </c>
      <c r="ET47" s="142">
        <f t="shared" ca="1" si="75"/>
        <v>0</v>
      </c>
      <c r="EU47" s="140">
        <f t="shared" ca="1" si="122"/>
        <v>0</v>
      </c>
      <c r="EV47" s="144" t="str">
        <f t="shared" si="123"/>
        <v>Uncapped</v>
      </c>
      <c r="EW47" s="140">
        <f t="shared" ca="1" si="124"/>
        <v>0</v>
      </c>
      <c r="EX47" s="137">
        <f t="shared" ca="1" si="125"/>
        <v>0</v>
      </c>
      <c r="EY47" s="139">
        <f t="shared" ca="1" si="76"/>
        <v>0</v>
      </c>
      <c r="EZ47" s="140">
        <v>0</v>
      </c>
      <c r="FA47" s="140"/>
      <c r="FB47" s="140"/>
      <c r="FC47" s="140">
        <v>0</v>
      </c>
      <c r="FD47" s="140">
        <f t="shared" si="100"/>
        <v>0</v>
      </c>
      <c r="FE47" s="139">
        <f t="shared" si="135"/>
        <v>0</v>
      </c>
      <c r="FF47" s="140">
        <v>0</v>
      </c>
      <c r="FG47" s="140">
        <v>0</v>
      </c>
      <c r="FH47" s="140">
        <v>0</v>
      </c>
      <c r="FI47" s="140">
        <v>0</v>
      </c>
      <c r="FJ47" s="140">
        <f t="shared" si="101"/>
        <v>0</v>
      </c>
      <c r="FK47" s="139">
        <f t="shared" si="136"/>
        <v>0</v>
      </c>
      <c r="FL47" s="138"/>
      <c r="FM47" s="136"/>
      <c r="FN47" s="136"/>
      <c r="FO47" s="136"/>
      <c r="FP47" s="140">
        <f t="shared" si="88"/>
        <v>0</v>
      </c>
      <c r="FQ47" s="140"/>
      <c r="FR47" s="140"/>
      <c r="FS47" s="140"/>
      <c r="FT47" s="139">
        <f t="shared" si="77"/>
        <v>0</v>
      </c>
      <c r="FU47" s="365">
        <f t="shared" ca="1" si="79"/>
        <v>0</v>
      </c>
      <c r="FV47" s="147">
        <f t="shared" ca="1" si="78"/>
        <v>0</v>
      </c>
      <c r="FW47" s="139">
        <f t="shared" si="84"/>
        <v>0</v>
      </c>
      <c r="FX47" s="139">
        <f t="shared" si="84"/>
        <v>0</v>
      </c>
      <c r="FY47" s="139">
        <f t="shared" si="84"/>
        <v>0</v>
      </c>
      <c r="FZ47" s="139">
        <f t="shared" si="81"/>
        <v>0</v>
      </c>
      <c r="GA47" s="139">
        <f t="shared" si="89"/>
        <v>0</v>
      </c>
      <c r="GB47" s="139">
        <f t="shared" si="85"/>
        <v>0</v>
      </c>
      <c r="GC47" s="139">
        <f t="shared" si="85"/>
        <v>0</v>
      </c>
      <c r="GD47" s="139">
        <f t="shared" si="85"/>
        <v>0</v>
      </c>
      <c r="GE47" s="139">
        <f t="shared" si="82"/>
        <v>0</v>
      </c>
      <c r="GF47" s="139">
        <f t="shared" si="87"/>
        <v>0</v>
      </c>
      <c r="GG47" s="139">
        <f t="shared" si="87"/>
        <v>0</v>
      </c>
      <c r="GH47" s="139">
        <f t="shared" si="87"/>
        <v>0</v>
      </c>
      <c r="GI47" s="139">
        <f t="shared" si="86"/>
        <v>0</v>
      </c>
      <c r="GJ47" s="140">
        <f t="shared" si="102"/>
        <v>0</v>
      </c>
      <c r="GK47" s="139">
        <f t="shared" si="90"/>
        <v>0</v>
      </c>
      <c r="GL47" s="139">
        <f t="shared" si="126"/>
        <v>0</v>
      </c>
      <c r="GM47" s="139">
        <f t="shared" si="127"/>
        <v>0</v>
      </c>
      <c r="GN47" s="139">
        <f t="shared" si="128"/>
        <v>0</v>
      </c>
      <c r="GO47" s="139">
        <f t="shared" si="129"/>
        <v>0</v>
      </c>
      <c r="GP47" s="139">
        <f t="shared" si="103"/>
        <v>0</v>
      </c>
      <c r="GQ47" s="139">
        <f t="shared" si="91"/>
        <v>0</v>
      </c>
      <c r="GR47" s="409"/>
      <c r="GS47" s="148">
        <f t="shared" si="130"/>
        <v>283487779.35236394</v>
      </c>
      <c r="GT47" s="148">
        <f t="shared" si="131"/>
        <v>405392507.65226173</v>
      </c>
      <c r="GU47" s="149">
        <f t="shared" si="92"/>
        <v>0.69929210333491054</v>
      </c>
      <c r="GV47" s="150">
        <f t="shared" ca="1" si="132"/>
        <v>0</v>
      </c>
      <c r="GW47" s="150">
        <v>0</v>
      </c>
      <c r="GX47" s="151">
        <f t="shared" ca="1" si="133"/>
        <v>0</v>
      </c>
      <c r="GY47" s="100"/>
    </row>
    <row r="48" spans="1:207" s="125" customFormat="1" ht="15" hidden="1" customHeight="1">
      <c r="A48" s="102"/>
      <c r="B48" s="103"/>
      <c r="C48" s="103"/>
      <c r="D48" s="104"/>
      <c r="E48" s="104" t="s">
        <v>256</v>
      </c>
      <c r="F48" s="104" t="s">
        <v>256</v>
      </c>
      <c r="G48" s="104" t="s">
        <v>226</v>
      </c>
      <c r="H48" s="105" t="s">
        <v>334</v>
      </c>
      <c r="I48" s="106" t="s">
        <v>335</v>
      </c>
      <c r="J48" s="104" t="s">
        <v>212</v>
      </c>
      <c r="K48" s="104" t="s">
        <v>208</v>
      </c>
      <c r="L48" s="104" t="s">
        <v>223</v>
      </c>
      <c r="M48" s="104" t="s">
        <v>256</v>
      </c>
      <c r="N48" s="107"/>
      <c r="O48" s="108">
        <v>42737</v>
      </c>
      <c r="P48" s="108">
        <v>42737</v>
      </c>
      <c r="Q48" s="322">
        <f t="shared" si="105"/>
        <v>0</v>
      </c>
      <c r="R48" s="109">
        <f>IF((P48-VLOOKUP(Q48,month!$A$1:$C$13,3,0))&lt;0,Q48,Q48+1)</f>
        <v>0</v>
      </c>
      <c r="S48" s="108"/>
      <c r="T48" s="127" t="str">
        <f t="shared" si="80"/>
        <v/>
      </c>
      <c r="U48" s="107"/>
      <c r="V48" s="107"/>
      <c r="W48" s="107"/>
      <c r="X48" s="107"/>
      <c r="Y48" s="386"/>
      <c r="Z48" s="386" t="s">
        <v>545</v>
      </c>
      <c r="AA48" s="387">
        <v>1000</v>
      </c>
      <c r="AB48" s="387">
        <v>1000</v>
      </c>
      <c r="AC48" s="387">
        <v>1000</v>
      </c>
      <c r="AD48" s="387">
        <v>1000</v>
      </c>
      <c r="AE48" s="387">
        <v>1000</v>
      </c>
      <c r="AF48" s="387">
        <v>1000</v>
      </c>
      <c r="AG48" s="387">
        <v>1000</v>
      </c>
      <c r="AH48" s="387">
        <v>1000</v>
      </c>
      <c r="AI48" s="387">
        <v>1000</v>
      </c>
      <c r="AJ48" s="387">
        <v>1000</v>
      </c>
      <c r="AK48" s="387">
        <v>1000</v>
      </c>
      <c r="AL48" s="387">
        <v>1000</v>
      </c>
      <c r="AM48" s="388">
        <f t="shared" si="95"/>
        <v>12000</v>
      </c>
      <c r="AN48" s="388">
        <f t="shared" si="106"/>
        <v>12000</v>
      </c>
      <c r="AO48" s="389">
        <f t="shared" si="134"/>
        <v>1000</v>
      </c>
      <c r="AP48" s="498" t="s">
        <v>676</v>
      </c>
      <c r="AQ48" s="159">
        <v>0.6</v>
      </c>
      <c r="AR48" s="160" t="s">
        <v>211</v>
      </c>
      <c r="AS48" s="119" t="s">
        <v>210</v>
      </c>
      <c r="AT48" s="111">
        <v>1429700</v>
      </c>
      <c r="AU48" s="111">
        <v>1766500</v>
      </c>
      <c r="AV48" s="111">
        <v>1628400</v>
      </c>
      <c r="AW48" s="111">
        <v>1954100</v>
      </c>
      <c r="AX48" s="113">
        <v>1731934.5723000003</v>
      </c>
      <c r="AY48" s="113">
        <v>1961011.0872000034</v>
      </c>
      <c r="AZ48" s="113">
        <v>1786147.4393999951</v>
      </c>
      <c r="BA48" s="113"/>
      <c r="BB48" s="113"/>
      <c r="BC48" s="113"/>
      <c r="BD48" s="113"/>
      <c r="BE48" s="113"/>
      <c r="BF48" s="114">
        <f t="shared" si="48"/>
        <v>1731934.5723000003</v>
      </c>
      <c r="BG48" s="114">
        <f t="shared" si="49"/>
        <v>1961011.0872000034</v>
      </c>
      <c r="BH48" s="114">
        <f t="shared" si="50"/>
        <v>1786147.4393999951</v>
      </c>
      <c r="BI48" s="114">
        <f t="shared" si="51"/>
        <v>0</v>
      </c>
      <c r="BJ48" s="114">
        <f t="shared" si="107"/>
        <v>5479093.0988999987</v>
      </c>
      <c r="BK48" s="115">
        <f t="shared" si="96"/>
        <v>6778700</v>
      </c>
      <c r="BL48" s="115">
        <f t="shared" si="52"/>
        <v>6778700</v>
      </c>
      <c r="BM48" s="116">
        <f t="shared" si="53"/>
        <v>0.80830000000000002</v>
      </c>
      <c r="BN48" s="126">
        <f t="shared" ca="1" si="108"/>
        <v>0</v>
      </c>
      <c r="BO48" s="117">
        <f t="shared" ca="1" si="109"/>
        <v>0</v>
      </c>
      <c r="BP48" s="118" t="str">
        <f t="shared" si="110"/>
        <v>Uncapped</v>
      </c>
      <c r="BQ48" s="115">
        <f t="shared" ca="1" si="111"/>
        <v>0</v>
      </c>
      <c r="BR48" s="113" t="s">
        <v>688</v>
      </c>
      <c r="BS48" s="161">
        <v>0.2</v>
      </c>
      <c r="BT48" s="113" t="s">
        <v>211</v>
      </c>
      <c r="BU48" s="160" t="s">
        <v>210</v>
      </c>
      <c r="BV48" s="113">
        <v>19653413.080999997</v>
      </c>
      <c r="BW48" s="113">
        <v>22848780.235100001</v>
      </c>
      <c r="BX48" s="113">
        <v>22618799.574099999</v>
      </c>
      <c r="BY48" s="113">
        <v>27098464.121500004</v>
      </c>
      <c r="BZ48" s="113">
        <v>19427532.107000571</v>
      </c>
      <c r="CA48" s="113">
        <v>22270538.357580002</v>
      </c>
      <c r="CB48" s="113">
        <v>22879083.486580007</v>
      </c>
      <c r="CC48" s="113"/>
      <c r="CD48" s="113"/>
      <c r="CE48" s="113"/>
      <c r="CF48" s="113"/>
      <c r="CG48" s="113"/>
      <c r="CH48" s="114">
        <f t="shared" si="55"/>
        <v>19427532.107000571</v>
      </c>
      <c r="CI48" s="114">
        <f t="shared" si="56"/>
        <v>22270538.357580002</v>
      </c>
      <c r="CJ48" s="120">
        <f t="shared" si="57"/>
        <v>22879083.486580007</v>
      </c>
      <c r="CK48" s="114">
        <f t="shared" si="58"/>
        <v>0</v>
      </c>
      <c r="CL48" s="114">
        <f t="shared" si="112"/>
        <v>64577153.95116058</v>
      </c>
      <c r="CM48" s="114">
        <f t="shared" si="97"/>
        <v>92219457.011700004</v>
      </c>
      <c r="CN48" s="114">
        <f t="shared" si="59"/>
        <v>92219457.011700004</v>
      </c>
      <c r="CO48" s="116">
        <f t="shared" si="60"/>
        <v>0.70030000000000003</v>
      </c>
      <c r="CP48" s="126">
        <f t="shared" ca="1" si="61"/>
        <v>0</v>
      </c>
      <c r="CQ48" s="115">
        <f t="shared" ca="1" si="113"/>
        <v>0</v>
      </c>
      <c r="CR48" s="118" t="str">
        <f t="shared" si="114"/>
        <v>Uncapped</v>
      </c>
      <c r="CS48" s="115">
        <f t="shared" ca="1" si="115"/>
        <v>0</v>
      </c>
      <c r="CT48" s="113" t="s">
        <v>696</v>
      </c>
      <c r="CU48" s="119">
        <v>0.2</v>
      </c>
      <c r="CV48" s="113" t="s">
        <v>217</v>
      </c>
      <c r="CW48" s="113" t="s">
        <v>210</v>
      </c>
      <c r="CX48" s="113">
        <v>61881722.047854595</v>
      </c>
      <c r="CY48" s="113">
        <v>72180793.063260496</v>
      </c>
      <c r="CZ48" s="113">
        <v>69179032.514420599</v>
      </c>
      <c r="DA48" s="113">
        <v>76323964.015026003</v>
      </c>
      <c r="DB48" s="113">
        <v>63657388.730680585</v>
      </c>
      <c r="DC48" s="113">
        <v>65995192.891159989</v>
      </c>
      <c r="DD48" s="113">
        <v>66410604.684560001</v>
      </c>
      <c r="DE48" s="113"/>
      <c r="DF48" s="113"/>
      <c r="DG48" s="113"/>
      <c r="DH48" s="113"/>
      <c r="DI48" s="113"/>
      <c r="DJ48" s="114">
        <f t="shared" si="62"/>
        <v>63657388.730680585</v>
      </c>
      <c r="DK48" s="114">
        <f t="shared" si="63"/>
        <v>65995192.891159989</v>
      </c>
      <c r="DL48" s="114">
        <f t="shared" si="64"/>
        <v>66410604.684560001</v>
      </c>
      <c r="DM48" s="114">
        <f t="shared" si="65"/>
        <v>0</v>
      </c>
      <c r="DN48" s="114">
        <f t="shared" si="116"/>
        <v>196063186.30640057</v>
      </c>
      <c r="DO48" s="114">
        <f t="shared" si="98"/>
        <v>279565511.6405617</v>
      </c>
      <c r="DP48" s="114">
        <f t="shared" si="67"/>
        <v>279565511.6405617</v>
      </c>
      <c r="DQ48" s="116">
        <f t="shared" si="68"/>
        <v>0.70130000000000003</v>
      </c>
      <c r="DR48" s="126">
        <f t="shared" ca="1" si="117"/>
        <v>0</v>
      </c>
      <c r="DS48" s="115">
        <f t="shared" ca="1" si="118"/>
        <v>0</v>
      </c>
      <c r="DT48" s="118" t="str">
        <f t="shared" si="119"/>
        <v>Uncapped</v>
      </c>
      <c r="DU48" s="115">
        <f t="shared" ca="1" si="120"/>
        <v>0</v>
      </c>
      <c r="DV48" s="113"/>
      <c r="DW48" s="119">
        <v>0</v>
      </c>
      <c r="DX48" s="113"/>
      <c r="DY48" s="113"/>
      <c r="DZ48" s="113">
        <v>0</v>
      </c>
      <c r="EA48" s="113">
        <v>0</v>
      </c>
      <c r="EB48" s="113">
        <v>0</v>
      </c>
      <c r="EC48" s="113">
        <v>0</v>
      </c>
      <c r="ED48" s="113">
        <v>0</v>
      </c>
      <c r="EE48" s="113">
        <v>0</v>
      </c>
      <c r="EF48" s="113"/>
      <c r="EG48" s="113"/>
      <c r="EH48" s="113"/>
      <c r="EI48" s="113"/>
      <c r="EJ48" s="113"/>
      <c r="EK48" s="113"/>
      <c r="EL48" s="114">
        <f t="shared" si="69"/>
        <v>0</v>
      </c>
      <c r="EM48" s="114">
        <f t="shared" si="70"/>
        <v>0</v>
      </c>
      <c r="EN48" s="114">
        <f t="shared" si="71"/>
        <v>0</v>
      </c>
      <c r="EO48" s="114">
        <f t="shared" si="72"/>
        <v>0</v>
      </c>
      <c r="EP48" s="114">
        <f t="shared" si="121"/>
        <v>0</v>
      </c>
      <c r="EQ48" s="114">
        <f t="shared" si="99"/>
        <v>0</v>
      </c>
      <c r="ER48" s="114">
        <f t="shared" si="73"/>
        <v>0</v>
      </c>
      <c r="ES48" s="116">
        <f t="shared" si="74"/>
        <v>0</v>
      </c>
      <c r="ET48" s="126">
        <f t="shared" ca="1" si="75"/>
        <v>0</v>
      </c>
      <c r="EU48" s="115">
        <f t="shared" ca="1" si="122"/>
        <v>0</v>
      </c>
      <c r="EV48" s="118" t="str">
        <f t="shared" si="123"/>
        <v>Uncapped</v>
      </c>
      <c r="EW48" s="115">
        <f t="shared" ca="1" si="124"/>
        <v>0</v>
      </c>
      <c r="EX48" s="112">
        <f t="shared" ca="1" si="125"/>
        <v>0</v>
      </c>
      <c r="EY48" s="114">
        <f t="shared" ca="1" si="76"/>
        <v>0</v>
      </c>
      <c r="EZ48" s="115">
        <v>0</v>
      </c>
      <c r="FA48" s="115"/>
      <c r="FB48" s="115"/>
      <c r="FC48" s="115">
        <v>0</v>
      </c>
      <c r="FD48" s="115">
        <f t="shared" si="100"/>
        <v>0</v>
      </c>
      <c r="FE48" s="114">
        <f t="shared" si="135"/>
        <v>0</v>
      </c>
      <c r="FF48" s="115">
        <v>0</v>
      </c>
      <c r="FG48" s="115">
        <v>0</v>
      </c>
      <c r="FH48" s="115">
        <v>0</v>
      </c>
      <c r="FI48" s="115">
        <v>0</v>
      </c>
      <c r="FJ48" s="115">
        <f t="shared" si="101"/>
        <v>0</v>
      </c>
      <c r="FK48" s="114">
        <f t="shared" si="136"/>
        <v>0</v>
      </c>
      <c r="FL48" s="113"/>
      <c r="FM48" s="111"/>
      <c r="FN48" s="111"/>
      <c r="FO48" s="111"/>
      <c r="FP48" s="115">
        <f t="shared" si="88"/>
        <v>0</v>
      </c>
      <c r="FQ48" s="115"/>
      <c r="FR48" s="115"/>
      <c r="FS48" s="115"/>
      <c r="FT48" s="114">
        <f t="shared" si="77"/>
        <v>0</v>
      </c>
      <c r="FU48" s="366">
        <f t="shared" ca="1" si="79"/>
        <v>0</v>
      </c>
      <c r="FV48" s="121">
        <f t="shared" ca="1" si="78"/>
        <v>0</v>
      </c>
      <c r="FW48" s="114">
        <f t="shared" si="84"/>
        <v>0</v>
      </c>
      <c r="FX48" s="114">
        <f t="shared" si="84"/>
        <v>0</v>
      </c>
      <c r="FY48" s="114">
        <f t="shared" si="84"/>
        <v>0</v>
      </c>
      <c r="FZ48" s="114">
        <f t="shared" si="81"/>
        <v>0</v>
      </c>
      <c r="GA48" s="114">
        <f t="shared" si="89"/>
        <v>0</v>
      </c>
      <c r="GB48" s="114">
        <f t="shared" si="85"/>
        <v>0</v>
      </c>
      <c r="GC48" s="114">
        <f t="shared" si="85"/>
        <v>0</v>
      </c>
      <c r="GD48" s="114">
        <f t="shared" si="85"/>
        <v>0</v>
      </c>
      <c r="GE48" s="114">
        <f t="shared" si="82"/>
        <v>0</v>
      </c>
      <c r="GF48" s="114">
        <f t="shared" si="87"/>
        <v>0</v>
      </c>
      <c r="GG48" s="114">
        <f t="shared" si="87"/>
        <v>0</v>
      </c>
      <c r="GH48" s="114">
        <f t="shared" si="87"/>
        <v>0</v>
      </c>
      <c r="GI48" s="114">
        <f t="shared" si="86"/>
        <v>0</v>
      </c>
      <c r="GJ48" s="115">
        <f t="shared" si="102"/>
        <v>0</v>
      </c>
      <c r="GK48" s="114">
        <f t="shared" si="90"/>
        <v>0</v>
      </c>
      <c r="GL48" s="114">
        <f t="shared" si="126"/>
        <v>0</v>
      </c>
      <c r="GM48" s="114">
        <f t="shared" si="127"/>
        <v>0</v>
      </c>
      <c r="GN48" s="114">
        <f t="shared" si="128"/>
        <v>0</v>
      </c>
      <c r="GO48" s="114">
        <f t="shared" si="129"/>
        <v>0</v>
      </c>
      <c r="GP48" s="114">
        <f t="shared" si="103"/>
        <v>0</v>
      </c>
      <c r="GQ48" s="114">
        <f t="shared" si="91"/>
        <v>0</v>
      </c>
      <c r="GR48" s="193"/>
      <c r="GS48" s="122">
        <f t="shared" si="130"/>
        <v>266119433.35646117</v>
      </c>
      <c r="GT48" s="122">
        <f t="shared" si="131"/>
        <v>378563668.65226173</v>
      </c>
      <c r="GU48" s="123">
        <f t="shared" si="92"/>
        <v>0.70297140320908935</v>
      </c>
      <c r="GV48" s="124">
        <f t="shared" ca="1" si="132"/>
        <v>0</v>
      </c>
      <c r="GW48" s="124">
        <v>0</v>
      </c>
      <c r="GX48" s="32">
        <f t="shared" ca="1" si="133"/>
        <v>0</v>
      </c>
      <c r="GY48" s="100"/>
    </row>
    <row r="49" spans="1:207" s="125" customFormat="1" ht="15" hidden="1" customHeight="1">
      <c r="A49" s="102"/>
      <c r="B49" s="103"/>
      <c r="C49" s="103"/>
      <c r="D49" s="104"/>
      <c r="E49" s="104" t="s">
        <v>256</v>
      </c>
      <c r="F49" s="104" t="s">
        <v>256</v>
      </c>
      <c r="G49" s="104" t="s">
        <v>226</v>
      </c>
      <c r="H49" s="105" t="s">
        <v>336</v>
      </c>
      <c r="I49" s="106" t="s">
        <v>337</v>
      </c>
      <c r="J49" s="104" t="s">
        <v>212</v>
      </c>
      <c r="K49" s="104" t="s">
        <v>208</v>
      </c>
      <c r="L49" s="104" t="s">
        <v>223</v>
      </c>
      <c r="M49" s="104" t="s">
        <v>256</v>
      </c>
      <c r="N49" s="107"/>
      <c r="O49" s="108">
        <v>42737</v>
      </c>
      <c r="P49" s="108">
        <v>42737</v>
      </c>
      <c r="Q49" s="322">
        <f t="shared" si="105"/>
        <v>0</v>
      </c>
      <c r="R49" s="109">
        <f>IF((P49-VLOOKUP(Q49,month!$A$1:$C$13,3,0))&lt;0,Q49,Q49+1)</f>
        <v>0</v>
      </c>
      <c r="S49" s="108"/>
      <c r="T49" s="127" t="str">
        <f t="shared" si="80"/>
        <v/>
      </c>
      <c r="U49" s="107"/>
      <c r="V49" s="107"/>
      <c r="W49" s="107"/>
      <c r="X49" s="107"/>
      <c r="Y49" s="386"/>
      <c r="Z49" s="386" t="s">
        <v>545</v>
      </c>
      <c r="AA49" s="387">
        <v>1000</v>
      </c>
      <c r="AB49" s="387">
        <v>1000</v>
      </c>
      <c r="AC49" s="387">
        <v>1000</v>
      </c>
      <c r="AD49" s="387">
        <v>1000</v>
      </c>
      <c r="AE49" s="387">
        <v>1000</v>
      </c>
      <c r="AF49" s="387">
        <v>1000</v>
      </c>
      <c r="AG49" s="387">
        <v>1000</v>
      </c>
      <c r="AH49" s="387">
        <v>1000</v>
      </c>
      <c r="AI49" s="387">
        <v>1000</v>
      </c>
      <c r="AJ49" s="387">
        <v>1000</v>
      </c>
      <c r="AK49" s="387">
        <v>1000</v>
      </c>
      <c r="AL49" s="387">
        <v>1000</v>
      </c>
      <c r="AM49" s="388">
        <f t="shared" si="95"/>
        <v>12000</v>
      </c>
      <c r="AN49" s="388">
        <f t="shared" si="106"/>
        <v>12000</v>
      </c>
      <c r="AO49" s="389">
        <f t="shared" si="134"/>
        <v>1000</v>
      </c>
      <c r="AP49" s="498" t="s">
        <v>676</v>
      </c>
      <c r="AQ49" s="159">
        <v>0.6</v>
      </c>
      <c r="AR49" s="160" t="s">
        <v>211</v>
      </c>
      <c r="AS49" s="119" t="s">
        <v>210</v>
      </c>
      <c r="AT49" s="111">
        <v>3073100</v>
      </c>
      <c r="AU49" s="111">
        <v>3748400</v>
      </c>
      <c r="AV49" s="111">
        <v>3524300</v>
      </c>
      <c r="AW49" s="111">
        <v>4448100</v>
      </c>
      <c r="AX49" s="113">
        <v>3191079.17970001</v>
      </c>
      <c r="AY49" s="113">
        <v>3628733.7114000255</v>
      </c>
      <c r="AZ49" s="113">
        <v>3575801.9949030578</v>
      </c>
      <c r="BA49" s="113"/>
      <c r="BB49" s="113"/>
      <c r="BC49" s="113"/>
      <c r="BD49" s="113"/>
      <c r="BE49" s="113"/>
      <c r="BF49" s="114">
        <f t="shared" si="48"/>
        <v>3191079.17970001</v>
      </c>
      <c r="BG49" s="114">
        <f t="shared" si="49"/>
        <v>3628733.7114000255</v>
      </c>
      <c r="BH49" s="114">
        <f t="shared" si="50"/>
        <v>3575801.9949030578</v>
      </c>
      <c r="BI49" s="114">
        <f t="shared" si="51"/>
        <v>0</v>
      </c>
      <c r="BJ49" s="114">
        <f t="shared" si="107"/>
        <v>10395614.886003094</v>
      </c>
      <c r="BK49" s="115">
        <f t="shared" si="96"/>
        <v>14793900</v>
      </c>
      <c r="BL49" s="115">
        <f t="shared" si="52"/>
        <v>14793900</v>
      </c>
      <c r="BM49" s="116">
        <f t="shared" si="53"/>
        <v>0.70269999999999999</v>
      </c>
      <c r="BN49" s="126">
        <f t="shared" ca="1" si="108"/>
        <v>0</v>
      </c>
      <c r="BO49" s="117">
        <f t="shared" ca="1" si="109"/>
        <v>0</v>
      </c>
      <c r="BP49" s="118" t="str">
        <f t="shared" si="110"/>
        <v>Uncapped</v>
      </c>
      <c r="BQ49" s="115">
        <f t="shared" ca="1" si="111"/>
        <v>0</v>
      </c>
      <c r="BR49" s="113" t="s">
        <v>688</v>
      </c>
      <c r="BS49" s="161">
        <v>0.2</v>
      </c>
      <c r="BT49" s="113" t="s">
        <v>211</v>
      </c>
      <c r="BU49" s="160" t="s">
        <v>210</v>
      </c>
      <c r="BV49" s="113">
        <v>19653413.080999997</v>
      </c>
      <c r="BW49" s="113">
        <v>22848780.235100001</v>
      </c>
      <c r="BX49" s="113">
        <v>22618799.574099999</v>
      </c>
      <c r="BY49" s="113">
        <v>27098464.121500004</v>
      </c>
      <c r="BZ49" s="113">
        <v>19427532.107000571</v>
      </c>
      <c r="CA49" s="113">
        <v>22270538.357580002</v>
      </c>
      <c r="CB49" s="113">
        <v>22879083.486580007</v>
      </c>
      <c r="CC49" s="113"/>
      <c r="CD49" s="113"/>
      <c r="CE49" s="113"/>
      <c r="CF49" s="113"/>
      <c r="CG49" s="113"/>
      <c r="CH49" s="114">
        <f t="shared" si="55"/>
        <v>19427532.107000571</v>
      </c>
      <c r="CI49" s="114">
        <f t="shared" si="56"/>
        <v>22270538.357580002</v>
      </c>
      <c r="CJ49" s="120">
        <f t="shared" si="57"/>
        <v>22879083.486580007</v>
      </c>
      <c r="CK49" s="114">
        <f t="shared" si="58"/>
        <v>0</v>
      </c>
      <c r="CL49" s="114">
        <f t="shared" si="112"/>
        <v>64577153.95116058</v>
      </c>
      <c r="CM49" s="114">
        <f t="shared" si="97"/>
        <v>92219457.011700004</v>
      </c>
      <c r="CN49" s="114">
        <f t="shared" si="59"/>
        <v>92219457.011700004</v>
      </c>
      <c r="CO49" s="116">
        <f t="shared" si="60"/>
        <v>0.70030000000000003</v>
      </c>
      <c r="CP49" s="126">
        <f t="shared" ca="1" si="61"/>
        <v>0</v>
      </c>
      <c r="CQ49" s="115">
        <f t="shared" ca="1" si="113"/>
        <v>0</v>
      </c>
      <c r="CR49" s="118" t="str">
        <f t="shared" si="114"/>
        <v>Uncapped</v>
      </c>
      <c r="CS49" s="115">
        <f t="shared" ca="1" si="115"/>
        <v>0</v>
      </c>
      <c r="CT49" s="113" t="s">
        <v>696</v>
      </c>
      <c r="CU49" s="119">
        <v>0.2</v>
      </c>
      <c r="CV49" s="113" t="s">
        <v>217</v>
      </c>
      <c r="CW49" s="113" t="s">
        <v>210</v>
      </c>
      <c r="CX49" s="113">
        <v>61881722.047854595</v>
      </c>
      <c r="CY49" s="113">
        <v>72180793.063260496</v>
      </c>
      <c r="CZ49" s="113">
        <v>69179032.514420599</v>
      </c>
      <c r="DA49" s="113">
        <v>76323964.015026003</v>
      </c>
      <c r="DB49" s="113">
        <v>63657388.730680585</v>
      </c>
      <c r="DC49" s="113">
        <v>65995192.891159989</v>
      </c>
      <c r="DD49" s="113">
        <v>66410604.684560001</v>
      </c>
      <c r="DE49" s="113"/>
      <c r="DF49" s="113"/>
      <c r="DG49" s="113"/>
      <c r="DH49" s="113"/>
      <c r="DI49" s="113"/>
      <c r="DJ49" s="114">
        <f t="shared" si="62"/>
        <v>63657388.730680585</v>
      </c>
      <c r="DK49" s="114">
        <f t="shared" si="63"/>
        <v>65995192.891159989</v>
      </c>
      <c r="DL49" s="114">
        <f t="shared" si="64"/>
        <v>66410604.684560001</v>
      </c>
      <c r="DM49" s="114">
        <f t="shared" si="65"/>
        <v>0</v>
      </c>
      <c r="DN49" s="114">
        <f t="shared" si="116"/>
        <v>196063186.30640057</v>
      </c>
      <c r="DO49" s="114">
        <f t="shared" si="98"/>
        <v>279565511.6405617</v>
      </c>
      <c r="DP49" s="114">
        <f t="shared" si="67"/>
        <v>279565511.6405617</v>
      </c>
      <c r="DQ49" s="116">
        <f t="shared" si="68"/>
        <v>0.70130000000000003</v>
      </c>
      <c r="DR49" s="126">
        <f t="shared" ca="1" si="117"/>
        <v>0</v>
      </c>
      <c r="DS49" s="115">
        <f t="shared" ca="1" si="118"/>
        <v>0</v>
      </c>
      <c r="DT49" s="118" t="str">
        <f t="shared" si="119"/>
        <v>Uncapped</v>
      </c>
      <c r="DU49" s="115">
        <f t="shared" ca="1" si="120"/>
        <v>0</v>
      </c>
      <c r="DV49" s="113"/>
      <c r="DW49" s="119">
        <v>0</v>
      </c>
      <c r="DX49" s="113"/>
      <c r="DY49" s="113"/>
      <c r="DZ49" s="113">
        <v>0</v>
      </c>
      <c r="EA49" s="113">
        <v>0</v>
      </c>
      <c r="EB49" s="113">
        <v>0</v>
      </c>
      <c r="EC49" s="113">
        <v>0</v>
      </c>
      <c r="ED49" s="113">
        <v>0</v>
      </c>
      <c r="EE49" s="113">
        <v>0</v>
      </c>
      <c r="EF49" s="113"/>
      <c r="EG49" s="113"/>
      <c r="EH49" s="113"/>
      <c r="EI49" s="113"/>
      <c r="EJ49" s="113"/>
      <c r="EK49" s="113"/>
      <c r="EL49" s="114">
        <f t="shared" si="69"/>
        <v>0</v>
      </c>
      <c r="EM49" s="114">
        <f t="shared" si="70"/>
        <v>0</v>
      </c>
      <c r="EN49" s="114">
        <f t="shared" si="71"/>
        <v>0</v>
      </c>
      <c r="EO49" s="114">
        <f t="shared" si="72"/>
        <v>0</v>
      </c>
      <c r="EP49" s="114">
        <f t="shared" si="121"/>
        <v>0</v>
      </c>
      <c r="EQ49" s="114">
        <f t="shared" si="99"/>
        <v>0</v>
      </c>
      <c r="ER49" s="114">
        <f t="shared" si="73"/>
        <v>0</v>
      </c>
      <c r="ES49" s="116">
        <f t="shared" si="74"/>
        <v>0</v>
      </c>
      <c r="ET49" s="126">
        <f t="shared" ca="1" si="75"/>
        <v>0</v>
      </c>
      <c r="EU49" s="115">
        <f t="shared" ca="1" si="122"/>
        <v>0</v>
      </c>
      <c r="EV49" s="118" t="str">
        <f t="shared" si="123"/>
        <v>Uncapped</v>
      </c>
      <c r="EW49" s="115">
        <f t="shared" ca="1" si="124"/>
        <v>0</v>
      </c>
      <c r="EX49" s="112">
        <f t="shared" ca="1" si="125"/>
        <v>0</v>
      </c>
      <c r="EY49" s="114">
        <f t="shared" ca="1" si="76"/>
        <v>0</v>
      </c>
      <c r="EZ49" s="115">
        <v>0</v>
      </c>
      <c r="FA49" s="115">
        <v>807500</v>
      </c>
      <c r="FB49" s="115"/>
      <c r="FC49" s="115">
        <v>0</v>
      </c>
      <c r="FD49" s="115">
        <f t="shared" si="100"/>
        <v>807500</v>
      </c>
      <c r="FE49" s="114">
        <f t="shared" si="135"/>
        <v>0</v>
      </c>
      <c r="FF49" s="115">
        <v>0</v>
      </c>
      <c r="FG49" s="115">
        <v>0</v>
      </c>
      <c r="FH49" s="115">
        <v>0</v>
      </c>
      <c r="FI49" s="115">
        <v>0</v>
      </c>
      <c r="FJ49" s="115">
        <f t="shared" si="101"/>
        <v>0</v>
      </c>
      <c r="FK49" s="114">
        <f t="shared" si="136"/>
        <v>0</v>
      </c>
      <c r="FL49" s="113"/>
      <c r="FM49" s="111"/>
      <c r="FN49" s="111"/>
      <c r="FO49" s="111"/>
      <c r="FP49" s="115">
        <f t="shared" si="88"/>
        <v>0</v>
      </c>
      <c r="FQ49" s="115"/>
      <c r="FR49" s="115"/>
      <c r="FS49" s="115"/>
      <c r="FT49" s="114">
        <f t="shared" si="77"/>
        <v>0</v>
      </c>
      <c r="FU49" s="366">
        <f t="shared" ca="1" si="79"/>
        <v>807500</v>
      </c>
      <c r="FV49" s="121">
        <f t="shared" ca="1" si="78"/>
        <v>807500</v>
      </c>
      <c r="FW49" s="114">
        <f t="shared" si="84"/>
        <v>0</v>
      </c>
      <c r="FX49" s="114">
        <f t="shared" si="84"/>
        <v>0</v>
      </c>
      <c r="FY49" s="114">
        <f t="shared" si="84"/>
        <v>0</v>
      </c>
      <c r="FZ49" s="114">
        <f t="shared" si="81"/>
        <v>0</v>
      </c>
      <c r="GA49" s="114">
        <f t="shared" si="89"/>
        <v>0</v>
      </c>
      <c r="GB49" s="114">
        <f t="shared" si="85"/>
        <v>0</v>
      </c>
      <c r="GC49" s="114">
        <f t="shared" si="85"/>
        <v>807500</v>
      </c>
      <c r="GD49" s="114">
        <f t="shared" si="85"/>
        <v>0</v>
      </c>
      <c r="GE49" s="114">
        <f t="shared" si="82"/>
        <v>0</v>
      </c>
      <c r="GF49" s="114">
        <f t="shared" si="87"/>
        <v>0</v>
      </c>
      <c r="GG49" s="114">
        <f t="shared" si="87"/>
        <v>807500</v>
      </c>
      <c r="GH49" s="114">
        <f t="shared" si="87"/>
        <v>0</v>
      </c>
      <c r="GI49" s="114">
        <f t="shared" si="86"/>
        <v>0</v>
      </c>
      <c r="GJ49" s="115">
        <f t="shared" si="102"/>
        <v>807500</v>
      </c>
      <c r="GK49" s="114">
        <f t="shared" si="90"/>
        <v>807500</v>
      </c>
      <c r="GL49" s="114">
        <f t="shared" si="126"/>
        <v>0</v>
      </c>
      <c r="GM49" s="114">
        <f t="shared" si="127"/>
        <v>0</v>
      </c>
      <c r="GN49" s="114">
        <f t="shared" si="128"/>
        <v>0</v>
      </c>
      <c r="GO49" s="114">
        <f t="shared" si="129"/>
        <v>0</v>
      </c>
      <c r="GP49" s="114">
        <f t="shared" si="103"/>
        <v>0</v>
      </c>
      <c r="GQ49" s="114">
        <f t="shared" si="91"/>
        <v>0</v>
      </c>
      <c r="GR49" s="193"/>
      <c r="GS49" s="122">
        <f t="shared" si="130"/>
        <v>271035955.14356422</v>
      </c>
      <c r="GT49" s="122">
        <f t="shared" si="131"/>
        <v>386578868.65226173</v>
      </c>
      <c r="GU49" s="123">
        <f t="shared" si="92"/>
        <v>0.70111425409382244</v>
      </c>
      <c r="GV49" s="124">
        <f t="shared" ca="1" si="132"/>
        <v>0</v>
      </c>
      <c r="GW49" s="124">
        <v>0</v>
      </c>
      <c r="GX49" s="32">
        <f t="shared" ca="1" si="133"/>
        <v>0</v>
      </c>
      <c r="GY49" s="100"/>
    </row>
    <row r="50" spans="1:207" s="125" customFormat="1" ht="15" hidden="1" customHeight="1">
      <c r="A50" s="102"/>
      <c r="B50" s="103"/>
      <c r="C50" s="103"/>
      <c r="D50" s="104"/>
      <c r="E50" s="104"/>
      <c r="F50" s="104" t="s">
        <v>256</v>
      </c>
      <c r="G50" s="104" t="s">
        <v>226</v>
      </c>
      <c r="H50" s="154" t="s">
        <v>338</v>
      </c>
      <c r="I50" s="106" t="s">
        <v>339</v>
      </c>
      <c r="J50" s="104" t="s">
        <v>212</v>
      </c>
      <c r="K50" s="104" t="s">
        <v>208</v>
      </c>
      <c r="L50" s="104" t="s">
        <v>223</v>
      </c>
      <c r="M50" s="104" t="s">
        <v>256</v>
      </c>
      <c r="N50" s="107"/>
      <c r="O50" s="108">
        <v>43460</v>
      </c>
      <c r="P50" s="108">
        <v>43460</v>
      </c>
      <c r="Q50" s="322">
        <f t="shared" si="105"/>
        <v>0</v>
      </c>
      <c r="R50" s="109">
        <f>IF((P50-VLOOKUP(Q50,month!$A$1:$C$13,3,0))&lt;0,Q50,Q50+1)</f>
        <v>0</v>
      </c>
      <c r="S50" s="108"/>
      <c r="T50" s="127" t="str">
        <f>IF(S50&gt;0,"Y","")</f>
        <v/>
      </c>
      <c r="U50" s="320" t="s">
        <v>652</v>
      </c>
      <c r="V50" s="320">
        <v>3</v>
      </c>
      <c r="W50" s="107"/>
      <c r="X50" s="107"/>
      <c r="Y50" s="386"/>
      <c r="Z50" s="386" t="s">
        <v>545</v>
      </c>
      <c r="AA50" s="387">
        <v>1000</v>
      </c>
      <c r="AB50" s="387">
        <v>1000</v>
      </c>
      <c r="AC50" s="387">
        <v>1000</v>
      </c>
      <c r="AD50" s="387">
        <v>1000</v>
      </c>
      <c r="AE50" s="387">
        <v>1000</v>
      </c>
      <c r="AF50" s="387">
        <v>1000</v>
      </c>
      <c r="AG50" s="387">
        <v>1000</v>
      </c>
      <c r="AH50" s="387">
        <v>1000</v>
      </c>
      <c r="AI50" s="387">
        <v>1000</v>
      </c>
      <c r="AJ50" s="387">
        <v>1000</v>
      </c>
      <c r="AK50" s="387">
        <v>1000</v>
      </c>
      <c r="AL50" s="387">
        <v>1000</v>
      </c>
      <c r="AM50" s="388">
        <f t="shared" si="95"/>
        <v>12000</v>
      </c>
      <c r="AN50" s="388">
        <f t="shared" si="106"/>
        <v>12000</v>
      </c>
      <c r="AO50" s="389">
        <f>AA50</f>
        <v>1000</v>
      </c>
      <c r="AP50" s="498" t="s">
        <v>676</v>
      </c>
      <c r="AQ50" s="159">
        <v>0.6</v>
      </c>
      <c r="AR50" s="160" t="s">
        <v>211</v>
      </c>
      <c r="AS50" s="119" t="s">
        <v>210</v>
      </c>
      <c r="AT50" s="111">
        <v>2496900</v>
      </c>
      <c r="AU50" s="111">
        <v>3095600</v>
      </c>
      <c r="AV50" s="111">
        <v>3345500</v>
      </c>
      <c r="AW50" s="111">
        <v>4206500</v>
      </c>
      <c r="AX50" s="113">
        <v>2320537.4603999974</v>
      </c>
      <c r="AY50" s="113">
        <v>2947478.1957000238</v>
      </c>
      <c r="AZ50" s="113">
        <v>3426499.5741000576</v>
      </c>
      <c r="BA50" s="113"/>
      <c r="BB50" s="113"/>
      <c r="BC50" s="113"/>
      <c r="BD50" s="113"/>
      <c r="BE50" s="113"/>
      <c r="BF50" s="114">
        <f t="shared" si="48"/>
        <v>2320537.4603999974</v>
      </c>
      <c r="BG50" s="114">
        <f t="shared" si="49"/>
        <v>2947478.1957000238</v>
      </c>
      <c r="BH50" s="114">
        <f t="shared" si="50"/>
        <v>3426499.5741000576</v>
      </c>
      <c r="BI50" s="114">
        <f t="shared" si="51"/>
        <v>0</v>
      </c>
      <c r="BJ50" s="114">
        <f t="shared" si="107"/>
        <v>8694515.2302000783</v>
      </c>
      <c r="BK50" s="115">
        <f t="shared" si="96"/>
        <v>13144500</v>
      </c>
      <c r="BL50" s="115">
        <f t="shared" si="52"/>
        <v>13144500</v>
      </c>
      <c r="BM50" s="116">
        <f t="shared" si="53"/>
        <v>0.66149999999999998</v>
      </c>
      <c r="BN50" s="126">
        <f t="shared" ca="1" si="108"/>
        <v>0</v>
      </c>
      <c r="BO50" s="117">
        <f t="shared" ca="1" si="109"/>
        <v>0</v>
      </c>
      <c r="BP50" s="118" t="str">
        <f t="shared" si="110"/>
        <v>Uncapped</v>
      </c>
      <c r="BQ50" s="115">
        <f t="shared" ca="1" si="111"/>
        <v>0</v>
      </c>
      <c r="BR50" s="113" t="s">
        <v>688</v>
      </c>
      <c r="BS50" s="161">
        <v>0.2</v>
      </c>
      <c r="BT50" s="113" t="s">
        <v>211</v>
      </c>
      <c r="BU50" s="160" t="s">
        <v>210</v>
      </c>
      <c r="BV50" s="113">
        <v>19653413.080999997</v>
      </c>
      <c r="BW50" s="113">
        <v>22848780.235100001</v>
      </c>
      <c r="BX50" s="113">
        <v>22618799.574099999</v>
      </c>
      <c r="BY50" s="113">
        <v>27098464.121500004</v>
      </c>
      <c r="BZ50" s="113">
        <v>19427532.107000571</v>
      </c>
      <c r="CA50" s="113">
        <v>22270538.357580002</v>
      </c>
      <c r="CB50" s="113">
        <v>22879083.486580007</v>
      </c>
      <c r="CC50" s="113"/>
      <c r="CD50" s="113"/>
      <c r="CE50" s="113"/>
      <c r="CF50" s="113"/>
      <c r="CG50" s="113"/>
      <c r="CH50" s="114">
        <f t="shared" si="55"/>
        <v>19427532.107000571</v>
      </c>
      <c r="CI50" s="114">
        <f t="shared" si="56"/>
        <v>22270538.357580002</v>
      </c>
      <c r="CJ50" s="120">
        <f t="shared" si="57"/>
        <v>22879083.486580007</v>
      </c>
      <c r="CK50" s="114">
        <f t="shared" si="58"/>
        <v>0</v>
      </c>
      <c r="CL50" s="114">
        <f t="shared" si="112"/>
        <v>64577153.95116058</v>
      </c>
      <c r="CM50" s="114">
        <f t="shared" si="97"/>
        <v>92219457.011700004</v>
      </c>
      <c r="CN50" s="114">
        <f t="shared" si="59"/>
        <v>92219457.011700004</v>
      </c>
      <c r="CO50" s="116">
        <f t="shared" si="60"/>
        <v>0.70030000000000003</v>
      </c>
      <c r="CP50" s="126">
        <f t="shared" ca="1" si="61"/>
        <v>0</v>
      </c>
      <c r="CQ50" s="115">
        <f t="shared" ca="1" si="113"/>
        <v>0</v>
      </c>
      <c r="CR50" s="118" t="str">
        <f t="shared" si="114"/>
        <v>Uncapped</v>
      </c>
      <c r="CS50" s="115">
        <f t="shared" ca="1" si="115"/>
        <v>0</v>
      </c>
      <c r="CT50" s="113" t="s">
        <v>696</v>
      </c>
      <c r="CU50" s="119">
        <v>0.2</v>
      </c>
      <c r="CV50" s="113" t="s">
        <v>217</v>
      </c>
      <c r="CW50" s="113" t="s">
        <v>210</v>
      </c>
      <c r="CX50" s="113">
        <v>61881722.047854595</v>
      </c>
      <c r="CY50" s="113">
        <v>72180793.063260496</v>
      </c>
      <c r="CZ50" s="113">
        <v>69179032.514420599</v>
      </c>
      <c r="DA50" s="113">
        <v>76323964.015026003</v>
      </c>
      <c r="DB50" s="113">
        <v>63657388.730680585</v>
      </c>
      <c r="DC50" s="113">
        <v>65995192.891159989</v>
      </c>
      <c r="DD50" s="113">
        <v>66410604.684560001</v>
      </c>
      <c r="DE50" s="113"/>
      <c r="DF50" s="113"/>
      <c r="DG50" s="113"/>
      <c r="DH50" s="113"/>
      <c r="DI50" s="113"/>
      <c r="DJ50" s="114">
        <f t="shared" si="62"/>
        <v>63657388.730680585</v>
      </c>
      <c r="DK50" s="114">
        <f t="shared" si="63"/>
        <v>65995192.891159989</v>
      </c>
      <c r="DL50" s="114">
        <f t="shared" si="64"/>
        <v>66410604.684560001</v>
      </c>
      <c r="DM50" s="114">
        <f t="shared" si="65"/>
        <v>0</v>
      </c>
      <c r="DN50" s="114">
        <f t="shared" si="116"/>
        <v>196063186.30640057</v>
      </c>
      <c r="DO50" s="114">
        <f t="shared" si="98"/>
        <v>279565511.6405617</v>
      </c>
      <c r="DP50" s="114">
        <f t="shared" si="67"/>
        <v>279565511.6405617</v>
      </c>
      <c r="DQ50" s="116">
        <f t="shared" si="68"/>
        <v>0.70130000000000003</v>
      </c>
      <c r="DR50" s="126">
        <f t="shared" ca="1" si="117"/>
        <v>0</v>
      </c>
      <c r="DS50" s="115">
        <f t="shared" ca="1" si="118"/>
        <v>0</v>
      </c>
      <c r="DT50" s="118" t="str">
        <f t="shared" si="119"/>
        <v>Uncapped</v>
      </c>
      <c r="DU50" s="115">
        <f t="shared" ca="1" si="120"/>
        <v>0</v>
      </c>
      <c r="DV50" s="113"/>
      <c r="DW50" s="119">
        <v>0</v>
      </c>
      <c r="DX50" s="113"/>
      <c r="DY50" s="113"/>
      <c r="DZ50" s="113">
        <v>0</v>
      </c>
      <c r="EA50" s="113">
        <v>0</v>
      </c>
      <c r="EB50" s="113">
        <v>0</v>
      </c>
      <c r="EC50" s="113">
        <v>0</v>
      </c>
      <c r="ED50" s="113">
        <v>0</v>
      </c>
      <c r="EE50" s="113">
        <v>0</v>
      </c>
      <c r="EF50" s="113"/>
      <c r="EG50" s="113"/>
      <c r="EH50" s="113"/>
      <c r="EI50" s="113"/>
      <c r="EJ50" s="113"/>
      <c r="EK50" s="113"/>
      <c r="EL50" s="114">
        <f t="shared" si="69"/>
        <v>0</v>
      </c>
      <c r="EM50" s="114">
        <f t="shared" si="70"/>
        <v>0</v>
      </c>
      <c r="EN50" s="114">
        <f t="shared" si="71"/>
        <v>0</v>
      </c>
      <c r="EO50" s="114">
        <f t="shared" si="72"/>
        <v>0</v>
      </c>
      <c r="EP50" s="114">
        <f t="shared" si="121"/>
        <v>0</v>
      </c>
      <c r="EQ50" s="114">
        <f t="shared" si="99"/>
        <v>0</v>
      </c>
      <c r="ER50" s="114">
        <f t="shared" si="73"/>
        <v>0</v>
      </c>
      <c r="ES50" s="116">
        <f t="shared" si="74"/>
        <v>0</v>
      </c>
      <c r="ET50" s="126">
        <f t="shared" ca="1" si="75"/>
        <v>0</v>
      </c>
      <c r="EU50" s="115">
        <f t="shared" ca="1" si="122"/>
        <v>0</v>
      </c>
      <c r="EV50" s="118" t="str">
        <f t="shared" si="123"/>
        <v>Uncapped</v>
      </c>
      <c r="EW50" s="115">
        <f t="shared" ca="1" si="124"/>
        <v>0</v>
      </c>
      <c r="EX50" s="112">
        <f t="shared" ca="1" si="125"/>
        <v>0</v>
      </c>
      <c r="EY50" s="114">
        <f t="shared" ca="1" si="76"/>
        <v>3000</v>
      </c>
      <c r="EZ50" s="115">
        <v>0</v>
      </c>
      <c r="FA50" s="115"/>
      <c r="FB50" s="115"/>
      <c r="FC50" s="115">
        <v>0</v>
      </c>
      <c r="FD50" s="115">
        <f t="shared" si="100"/>
        <v>0</v>
      </c>
      <c r="FE50" s="114">
        <f t="shared" si="135"/>
        <v>0</v>
      </c>
      <c r="FF50" s="115">
        <v>0</v>
      </c>
      <c r="FG50" s="115">
        <v>0</v>
      </c>
      <c r="FH50" s="115">
        <v>0</v>
      </c>
      <c r="FI50" s="115">
        <v>0</v>
      </c>
      <c r="FJ50" s="115">
        <f t="shared" si="101"/>
        <v>0</v>
      </c>
      <c r="FK50" s="114">
        <f t="shared" si="136"/>
        <v>0</v>
      </c>
      <c r="FL50" s="113"/>
      <c r="FM50" s="111"/>
      <c r="FN50" s="111"/>
      <c r="FO50" s="111"/>
      <c r="FP50" s="115">
        <f>SUM(FL50:FO50)</f>
        <v>0</v>
      </c>
      <c r="FQ50" s="488"/>
      <c r="FR50" s="115"/>
      <c r="FS50" s="115"/>
      <c r="FT50" s="114">
        <f t="shared" si="77"/>
        <v>0</v>
      </c>
      <c r="FU50" s="366">
        <f t="shared" ca="1" si="79"/>
        <v>3000</v>
      </c>
      <c r="FV50" s="121">
        <f t="shared" ca="1" si="78"/>
        <v>3000</v>
      </c>
      <c r="FW50" s="114">
        <f>FF50</f>
        <v>0</v>
      </c>
      <c r="FX50" s="114">
        <f>FG50</f>
        <v>0</v>
      </c>
      <c r="FY50" s="114">
        <f>FH50</f>
        <v>0</v>
      </c>
      <c r="FZ50" s="114">
        <f>FI50</f>
        <v>0</v>
      </c>
      <c r="GA50" s="114">
        <f>SUM(FW50:FZ50)</f>
        <v>0</v>
      </c>
      <c r="GB50" s="114">
        <f>EZ50</f>
        <v>0</v>
      </c>
      <c r="GC50" s="114">
        <f>FA50</f>
        <v>0</v>
      </c>
      <c r="GD50" s="114">
        <f>FB50</f>
        <v>0</v>
      </c>
      <c r="GE50" s="114">
        <f>FC50</f>
        <v>0</v>
      </c>
      <c r="GF50" s="114">
        <f>GB50+FW50</f>
        <v>0</v>
      </c>
      <c r="GG50" s="114">
        <f>GC50+FX50</f>
        <v>0</v>
      </c>
      <c r="GH50" s="114">
        <f>GD50+FY50</f>
        <v>0</v>
      </c>
      <c r="GI50" s="114">
        <f>GE50+FZ50</f>
        <v>0</v>
      </c>
      <c r="GJ50" s="115">
        <f t="shared" si="102"/>
        <v>0</v>
      </c>
      <c r="GK50" s="114">
        <f>SUM(GF50:GI50)</f>
        <v>0</v>
      </c>
      <c r="GL50" s="114">
        <f t="shared" si="126"/>
        <v>3000</v>
      </c>
      <c r="GM50" s="114">
        <f t="shared" si="127"/>
        <v>0</v>
      </c>
      <c r="GN50" s="114">
        <f t="shared" si="128"/>
        <v>0</v>
      </c>
      <c r="GO50" s="114">
        <f t="shared" si="129"/>
        <v>0</v>
      </c>
      <c r="GP50" s="114">
        <f t="shared" si="103"/>
        <v>3000</v>
      </c>
      <c r="GQ50" s="114">
        <f>SUM(GL50:GO50)</f>
        <v>3000</v>
      </c>
      <c r="GR50" s="216"/>
      <c r="GS50" s="122">
        <f t="shared" si="130"/>
        <v>269334855.48776126</v>
      </c>
      <c r="GT50" s="122">
        <f t="shared" si="131"/>
        <v>384929468.65226173</v>
      </c>
      <c r="GU50" s="123">
        <f>IFERROR(GS50/GT50,"")</f>
        <v>0.699699236929749</v>
      </c>
      <c r="GV50" s="124">
        <f t="shared" ca="1" si="132"/>
        <v>0</v>
      </c>
      <c r="GW50" s="124">
        <v>0</v>
      </c>
      <c r="GX50" s="32">
        <f t="shared" ca="1" si="133"/>
        <v>0</v>
      </c>
      <c r="GY50" s="100"/>
    </row>
    <row r="51" spans="1:207" s="125" customFormat="1" ht="15" hidden="1" customHeight="1">
      <c r="A51" s="102"/>
      <c r="B51" s="103"/>
      <c r="C51" s="103"/>
      <c r="D51" s="104"/>
      <c r="E51" s="104" t="s">
        <v>256</v>
      </c>
      <c r="F51" s="104" t="s">
        <v>256</v>
      </c>
      <c r="G51" s="104" t="s">
        <v>226</v>
      </c>
      <c r="H51" s="105" t="s">
        <v>340</v>
      </c>
      <c r="I51" s="106" t="s">
        <v>341</v>
      </c>
      <c r="J51" s="104" t="s">
        <v>212</v>
      </c>
      <c r="K51" s="104" t="s">
        <v>208</v>
      </c>
      <c r="L51" s="104" t="s">
        <v>223</v>
      </c>
      <c r="M51" s="104" t="s">
        <v>256</v>
      </c>
      <c r="N51" s="107"/>
      <c r="O51" s="108">
        <v>42954</v>
      </c>
      <c r="P51" s="108">
        <v>42954</v>
      </c>
      <c r="Q51" s="322">
        <f t="shared" si="105"/>
        <v>0</v>
      </c>
      <c r="R51" s="109">
        <f>IF((P51-VLOOKUP(Q51,month!$A$1:$C$13,3,0))&lt;0,Q51,Q51+1)</f>
        <v>0</v>
      </c>
      <c r="S51" s="108"/>
      <c r="T51" s="127" t="str">
        <f t="shared" si="80"/>
        <v/>
      </c>
      <c r="U51" s="107"/>
      <c r="V51" s="107"/>
      <c r="W51" s="107"/>
      <c r="X51" s="107"/>
      <c r="Y51" s="386"/>
      <c r="Z51" s="386" t="s">
        <v>545</v>
      </c>
      <c r="AA51" s="387">
        <v>1000</v>
      </c>
      <c r="AB51" s="387">
        <v>1000</v>
      </c>
      <c r="AC51" s="387">
        <v>1000</v>
      </c>
      <c r="AD51" s="387">
        <v>1000</v>
      </c>
      <c r="AE51" s="387">
        <v>1000</v>
      </c>
      <c r="AF51" s="387">
        <v>1000</v>
      </c>
      <c r="AG51" s="387">
        <v>1000</v>
      </c>
      <c r="AH51" s="387">
        <v>1000</v>
      </c>
      <c r="AI51" s="387">
        <v>1000</v>
      </c>
      <c r="AJ51" s="387">
        <v>1000</v>
      </c>
      <c r="AK51" s="387">
        <v>1000</v>
      </c>
      <c r="AL51" s="387">
        <v>1000</v>
      </c>
      <c r="AM51" s="388">
        <f t="shared" si="95"/>
        <v>12000</v>
      </c>
      <c r="AN51" s="388">
        <f t="shared" si="106"/>
        <v>12000</v>
      </c>
      <c r="AO51" s="389">
        <f>AI51</f>
        <v>1000</v>
      </c>
      <c r="AP51" s="498" t="s">
        <v>676</v>
      </c>
      <c r="AQ51" s="159">
        <v>0.6</v>
      </c>
      <c r="AR51" s="160" t="s">
        <v>211</v>
      </c>
      <c r="AS51" s="119" t="s">
        <v>210</v>
      </c>
      <c r="AT51" s="111">
        <v>1111500</v>
      </c>
      <c r="AU51" s="111">
        <v>1317400</v>
      </c>
      <c r="AV51" s="111">
        <v>1580800</v>
      </c>
      <c r="AW51" s="111">
        <v>1979100</v>
      </c>
      <c r="AX51" s="113">
        <v>1064686.301099997</v>
      </c>
      <c r="AY51" s="113">
        <v>1238302.0899000012</v>
      </c>
      <c r="AZ51" s="113">
        <v>1287952.4492999986</v>
      </c>
      <c r="BA51" s="113"/>
      <c r="BB51" s="113"/>
      <c r="BC51" s="113"/>
      <c r="BD51" s="113"/>
      <c r="BE51" s="113"/>
      <c r="BF51" s="114">
        <f t="shared" si="48"/>
        <v>1064686.301099997</v>
      </c>
      <c r="BG51" s="114">
        <f t="shared" si="49"/>
        <v>1238302.0899000012</v>
      </c>
      <c r="BH51" s="114">
        <f t="shared" si="50"/>
        <v>1287952.4492999986</v>
      </c>
      <c r="BI51" s="114">
        <f t="shared" si="51"/>
        <v>0</v>
      </c>
      <c r="BJ51" s="114">
        <f t="shared" si="107"/>
        <v>3590940.8402999965</v>
      </c>
      <c r="BK51" s="115">
        <f t="shared" si="96"/>
        <v>5988800</v>
      </c>
      <c r="BL51" s="115">
        <f t="shared" si="52"/>
        <v>5988800</v>
      </c>
      <c r="BM51" s="116">
        <f t="shared" si="53"/>
        <v>0.59960000000000002</v>
      </c>
      <c r="BN51" s="126">
        <f t="shared" ca="1" si="108"/>
        <v>0</v>
      </c>
      <c r="BO51" s="117">
        <f t="shared" ca="1" si="109"/>
        <v>0</v>
      </c>
      <c r="BP51" s="118" t="str">
        <f t="shared" si="110"/>
        <v>Uncapped</v>
      </c>
      <c r="BQ51" s="115">
        <f t="shared" ca="1" si="111"/>
        <v>0</v>
      </c>
      <c r="BR51" s="113" t="s">
        <v>688</v>
      </c>
      <c r="BS51" s="161">
        <v>0.2</v>
      </c>
      <c r="BT51" s="113" t="s">
        <v>211</v>
      </c>
      <c r="BU51" s="160" t="s">
        <v>210</v>
      </c>
      <c r="BV51" s="113">
        <v>19653413.080999997</v>
      </c>
      <c r="BW51" s="113">
        <v>22848780.235100001</v>
      </c>
      <c r="BX51" s="113">
        <v>22618799.574099999</v>
      </c>
      <c r="BY51" s="113">
        <v>27098464.121500004</v>
      </c>
      <c r="BZ51" s="113">
        <v>19427532.107000571</v>
      </c>
      <c r="CA51" s="113">
        <v>22270538.357580002</v>
      </c>
      <c r="CB51" s="113">
        <v>22879083.486580007</v>
      </c>
      <c r="CC51" s="113"/>
      <c r="CD51" s="113"/>
      <c r="CE51" s="113"/>
      <c r="CF51" s="113"/>
      <c r="CG51" s="113"/>
      <c r="CH51" s="114">
        <f t="shared" si="55"/>
        <v>19427532.107000571</v>
      </c>
      <c r="CI51" s="114">
        <f t="shared" si="56"/>
        <v>22270538.357580002</v>
      </c>
      <c r="CJ51" s="120">
        <f t="shared" si="57"/>
        <v>22879083.486580007</v>
      </c>
      <c r="CK51" s="114">
        <f t="shared" si="58"/>
        <v>0</v>
      </c>
      <c r="CL51" s="114">
        <f t="shared" si="112"/>
        <v>64577153.95116058</v>
      </c>
      <c r="CM51" s="114">
        <f t="shared" si="97"/>
        <v>92219457.011700004</v>
      </c>
      <c r="CN51" s="114">
        <f t="shared" si="59"/>
        <v>92219457.011700004</v>
      </c>
      <c r="CO51" s="116">
        <f t="shared" si="60"/>
        <v>0.70030000000000003</v>
      </c>
      <c r="CP51" s="126">
        <f t="shared" ca="1" si="61"/>
        <v>0</v>
      </c>
      <c r="CQ51" s="115">
        <f t="shared" ca="1" si="113"/>
        <v>0</v>
      </c>
      <c r="CR51" s="118" t="str">
        <f t="shared" si="114"/>
        <v>Uncapped</v>
      </c>
      <c r="CS51" s="115">
        <f t="shared" ca="1" si="115"/>
        <v>0</v>
      </c>
      <c r="CT51" s="113" t="s">
        <v>696</v>
      </c>
      <c r="CU51" s="119">
        <v>0.2</v>
      </c>
      <c r="CV51" s="113" t="s">
        <v>217</v>
      </c>
      <c r="CW51" s="113" t="s">
        <v>210</v>
      </c>
      <c r="CX51" s="113">
        <v>61881722.047854595</v>
      </c>
      <c r="CY51" s="113">
        <v>72180793.063260496</v>
      </c>
      <c r="CZ51" s="113">
        <v>69179032.514420599</v>
      </c>
      <c r="DA51" s="113">
        <v>76323964.015026003</v>
      </c>
      <c r="DB51" s="113">
        <v>63657388.730680585</v>
      </c>
      <c r="DC51" s="113">
        <v>65995192.891159989</v>
      </c>
      <c r="DD51" s="113">
        <v>66410604.684560001</v>
      </c>
      <c r="DE51" s="113"/>
      <c r="DF51" s="113"/>
      <c r="DG51" s="113"/>
      <c r="DH51" s="113"/>
      <c r="DI51" s="113"/>
      <c r="DJ51" s="114">
        <f t="shared" si="62"/>
        <v>63657388.730680585</v>
      </c>
      <c r="DK51" s="114">
        <f t="shared" si="63"/>
        <v>65995192.891159989</v>
      </c>
      <c r="DL51" s="114">
        <f t="shared" si="64"/>
        <v>66410604.684560001</v>
      </c>
      <c r="DM51" s="114">
        <f t="shared" si="65"/>
        <v>0</v>
      </c>
      <c r="DN51" s="114">
        <f t="shared" si="116"/>
        <v>196063186.30640057</v>
      </c>
      <c r="DO51" s="114">
        <f t="shared" si="98"/>
        <v>279565511.6405617</v>
      </c>
      <c r="DP51" s="114">
        <f t="shared" si="67"/>
        <v>279565511.6405617</v>
      </c>
      <c r="DQ51" s="116">
        <f t="shared" si="68"/>
        <v>0.70130000000000003</v>
      </c>
      <c r="DR51" s="126">
        <f t="shared" ca="1" si="117"/>
        <v>0</v>
      </c>
      <c r="DS51" s="115">
        <f t="shared" ca="1" si="118"/>
        <v>0</v>
      </c>
      <c r="DT51" s="118" t="str">
        <f t="shared" si="119"/>
        <v>Uncapped</v>
      </c>
      <c r="DU51" s="115">
        <f t="shared" ca="1" si="120"/>
        <v>0</v>
      </c>
      <c r="DV51" s="113"/>
      <c r="DW51" s="119">
        <v>0</v>
      </c>
      <c r="DX51" s="113"/>
      <c r="DY51" s="113"/>
      <c r="DZ51" s="113">
        <v>0</v>
      </c>
      <c r="EA51" s="113">
        <v>0</v>
      </c>
      <c r="EB51" s="113">
        <v>0</v>
      </c>
      <c r="EC51" s="113">
        <v>0</v>
      </c>
      <c r="ED51" s="113">
        <v>0</v>
      </c>
      <c r="EE51" s="113">
        <v>0</v>
      </c>
      <c r="EF51" s="113"/>
      <c r="EG51" s="113"/>
      <c r="EH51" s="113"/>
      <c r="EI51" s="113"/>
      <c r="EJ51" s="113"/>
      <c r="EK51" s="113"/>
      <c r="EL51" s="114">
        <f t="shared" si="69"/>
        <v>0</v>
      </c>
      <c r="EM51" s="114">
        <f t="shared" si="70"/>
        <v>0</v>
      </c>
      <c r="EN51" s="114">
        <f t="shared" si="71"/>
        <v>0</v>
      </c>
      <c r="EO51" s="114">
        <f t="shared" si="72"/>
        <v>0</v>
      </c>
      <c r="EP51" s="114">
        <f t="shared" si="121"/>
        <v>0</v>
      </c>
      <c r="EQ51" s="114">
        <f t="shared" si="99"/>
        <v>0</v>
      </c>
      <c r="ER51" s="114">
        <f t="shared" si="73"/>
        <v>0</v>
      </c>
      <c r="ES51" s="116">
        <f t="shared" si="74"/>
        <v>0</v>
      </c>
      <c r="ET51" s="126">
        <f t="shared" ca="1" si="75"/>
        <v>0</v>
      </c>
      <c r="EU51" s="115">
        <f t="shared" ca="1" si="122"/>
        <v>0</v>
      </c>
      <c r="EV51" s="118" t="str">
        <f t="shared" si="123"/>
        <v>Uncapped</v>
      </c>
      <c r="EW51" s="115">
        <f t="shared" ca="1" si="124"/>
        <v>0</v>
      </c>
      <c r="EX51" s="112">
        <f t="shared" ca="1" si="125"/>
        <v>0</v>
      </c>
      <c r="EY51" s="114">
        <f t="shared" ca="1" si="76"/>
        <v>0</v>
      </c>
      <c r="EZ51" s="115">
        <v>0</v>
      </c>
      <c r="FA51" s="115"/>
      <c r="FB51" s="115"/>
      <c r="FC51" s="115">
        <v>0</v>
      </c>
      <c r="FD51" s="115">
        <f t="shared" si="100"/>
        <v>0</v>
      </c>
      <c r="FE51" s="114">
        <f t="shared" si="135"/>
        <v>0</v>
      </c>
      <c r="FF51" s="115">
        <v>0</v>
      </c>
      <c r="FG51" s="115">
        <v>0</v>
      </c>
      <c r="FH51" s="115">
        <v>0</v>
      </c>
      <c r="FI51" s="115">
        <v>0</v>
      </c>
      <c r="FJ51" s="115">
        <f t="shared" si="101"/>
        <v>0</v>
      </c>
      <c r="FK51" s="114">
        <f t="shared" si="136"/>
        <v>0</v>
      </c>
      <c r="FL51" s="113"/>
      <c r="FM51" s="111"/>
      <c r="FN51" s="111"/>
      <c r="FO51" s="111"/>
      <c r="FP51" s="115">
        <f t="shared" si="88"/>
        <v>0</v>
      </c>
      <c r="FQ51" s="115"/>
      <c r="FR51" s="115"/>
      <c r="FS51" s="115"/>
      <c r="FT51" s="114">
        <f t="shared" si="77"/>
        <v>0</v>
      </c>
      <c r="FU51" s="366">
        <f t="shared" ca="1" si="79"/>
        <v>0</v>
      </c>
      <c r="FV51" s="121">
        <f t="shared" ca="1" si="78"/>
        <v>0</v>
      </c>
      <c r="FW51" s="114">
        <f t="shared" si="84"/>
        <v>0</v>
      </c>
      <c r="FX51" s="114">
        <f t="shared" si="84"/>
        <v>0</v>
      </c>
      <c r="FY51" s="114">
        <f t="shared" si="84"/>
        <v>0</v>
      </c>
      <c r="FZ51" s="114">
        <f t="shared" si="81"/>
        <v>0</v>
      </c>
      <c r="GA51" s="114">
        <f t="shared" si="89"/>
        <v>0</v>
      </c>
      <c r="GB51" s="114">
        <f t="shared" si="85"/>
        <v>0</v>
      </c>
      <c r="GC51" s="114">
        <f t="shared" si="85"/>
        <v>0</v>
      </c>
      <c r="GD51" s="114">
        <f t="shared" si="85"/>
        <v>0</v>
      </c>
      <c r="GE51" s="114">
        <f t="shared" si="82"/>
        <v>0</v>
      </c>
      <c r="GF51" s="114">
        <f t="shared" si="87"/>
        <v>0</v>
      </c>
      <c r="GG51" s="114">
        <f t="shared" si="87"/>
        <v>0</v>
      </c>
      <c r="GH51" s="114">
        <f t="shared" si="87"/>
        <v>0</v>
      </c>
      <c r="GI51" s="114">
        <f t="shared" si="86"/>
        <v>0</v>
      </c>
      <c r="GJ51" s="115">
        <f t="shared" si="102"/>
        <v>0</v>
      </c>
      <c r="GK51" s="114">
        <f t="shared" si="90"/>
        <v>0</v>
      </c>
      <c r="GL51" s="114">
        <f t="shared" si="126"/>
        <v>0</v>
      </c>
      <c r="GM51" s="114">
        <f t="shared" si="127"/>
        <v>0</v>
      </c>
      <c r="GN51" s="114">
        <f t="shared" si="128"/>
        <v>0</v>
      </c>
      <c r="GO51" s="114">
        <f t="shared" si="129"/>
        <v>0</v>
      </c>
      <c r="GP51" s="114">
        <f t="shared" si="103"/>
        <v>0</v>
      </c>
      <c r="GQ51" s="114">
        <f t="shared" si="91"/>
        <v>0</v>
      </c>
      <c r="GR51" s="193"/>
      <c r="GS51" s="122">
        <f t="shared" si="130"/>
        <v>264231281.09786114</v>
      </c>
      <c r="GT51" s="122">
        <f t="shared" si="131"/>
        <v>377773768.65226173</v>
      </c>
      <c r="GU51" s="123">
        <f t="shared" si="92"/>
        <v>0.6994431668469927</v>
      </c>
      <c r="GV51" s="124">
        <f t="shared" ca="1" si="132"/>
        <v>0</v>
      </c>
      <c r="GW51" s="124">
        <v>0</v>
      </c>
      <c r="GX51" s="32">
        <f t="shared" ca="1" si="133"/>
        <v>0</v>
      </c>
      <c r="GY51" s="100"/>
    </row>
    <row r="52" spans="1:207" s="481" customFormat="1" ht="15" hidden="1" customHeight="1">
      <c r="A52" s="447"/>
      <c r="B52" s="448"/>
      <c r="C52" s="448"/>
      <c r="D52" s="449"/>
      <c r="E52" s="449" t="s">
        <v>256</v>
      </c>
      <c r="F52" s="449" t="s">
        <v>256</v>
      </c>
      <c r="G52" s="449" t="s">
        <v>226</v>
      </c>
      <c r="H52" s="450" t="s">
        <v>342</v>
      </c>
      <c r="I52" s="451" t="s">
        <v>343</v>
      </c>
      <c r="J52" s="449" t="s">
        <v>212</v>
      </c>
      <c r="K52" s="449" t="s">
        <v>208</v>
      </c>
      <c r="L52" s="449" t="s">
        <v>223</v>
      </c>
      <c r="M52" s="449" t="s">
        <v>256</v>
      </c>
      <c r="N52" s="452"/>
      <c r="O52" s="420">
        <v>43444</v>
      </c>
      <c r="P52" s="420">
        <v>43444</v>
      </c>
      <c r="Q52" s="453">
        <f t="shared" si="105"/>
        <v>0</v>
      </c>
      <c r="R52" s="419">
        <f>IF((P52-VLOOKUP(Q52,month!$A$1:$C$13,3,0))&lt;0,Q52,Q52+1)</f>
        <v>0</v>
      </c>
      <c r="S52" s="420"/>
      <c r="T52" s="454" t="str">
        <f t="shared" si="80"/>
        <v/>
      </c>
      <c r="U52" s="455" t="s">
        <v>214</v>
      </c>
      <c r="V52" s="455">
        <v>2</v>
      </c>
      <c r="W52" s="452"/>
      <c r="X52" s="452"/>
      <c r="Y52" s="456"/>
      <c r="Z52" s="456" t="s">
        <v>545</v>
      </c>
      <c r="AA52" s="457">
        <v>1000</v>
      </c>
      <c r="AB52" s="457">
        <v>1000</v>
      </c>
      <c r="AC52" s="457">
        <v>1000</v>
      </c>
      <c r="AD52" s="457">
        <v>1000</v>
      </c>
      <c r="AE52" s="457">
        <v>1000</v>
      </c>
      <c r="AF52" s="457">
        <v>1000</v>
      </c>
      <c r="AG52" s="457">
        <v>1000</v>
      </c>
      <c r="AH52" s="457">
        <v>1000</v>
      </c>
      <c r="AI52" s="457">
        <v>1000</v>
      </c>
      <c r="AJ52" s="457">
        <v>1000</v>
      </c>
      <c r="AK52" s="457">
        <v>1000</v>
      </c>
      <c r="AL52" s="457">
        <v>1000</v>
      </c>
      <c r="AM52" s="458">
        <f t="shared" si="95"/>
        <v>12000</v>
      </c>
      <c r="AN52" s="458">
        <f t="shared" si="106"/>
        <v>12000</v>
      </c>
      <c r="AO52" s="459">
        <f t="shared" ref="AO52:AO53" si="137">AA52</f>
        <v>1000</v>
      </c>
      <c r="AP52" s="500" t="s">
        <v>676</v>
      </c>
      <c r="AQ52" s="461">
        <v>0.6</v>
      </c>
      <c r="AR52" s="462" t="s">
        <v>211</v>
      </c>
      <c r="AS52" s="463" t="s">
        <v>210</v>
      </c>
      <c r="AT52" s="464">
        <v>4118500</v>
      </c>
      <c r="AU52" s="464">
        <v>4989900</v>
      </c>
      <c r="AV52" s="464">
        <v>5155000</v>
      </c>
      <c r="AW52" s="464">
        <v>6186000</v>
      </c>
      <c r="AX52" s="460">
        <v>4251074.9426999986</v>
      </c>
      <c r="AY52" s="460">
        <v>4886162.9081999864</v>
      </c>
      <c r="AZ52" s="460">
        <v>5730789.0032999786</v>
      </c>
      <c r="BA52" s="460"/>
      <c r="BB52" s="460"/>
      <c r="BC52" s="460"/>
      <c r="BD52" s="460"/>
      <c r="BE52" s="460"/>
      <c r="BF52" s="465">
        <f t="shared" si="48"/>
        <v>4251074.9426999986</v>
      </c>
      <c r="BG52" s="465">
        <f t="shared" si="49"/>
        <v>4886162.9081999864</v>
      </c>
      <c r="BH52" s="465">
        <f t="shared" si="50"/>
        <v>5730789.0032999786</v>
      </c>
      <c r="BI52" s="465">
        <f t="shared" si="51"/>
        <v>0</v>
      </c>
      <c r="BJ52" s="465">
        <f t="shared" si="107"/>
        <v>14868026.854199965</v>
      </c>
      <c r="BK52" s="466">
        <f t="shared" si="96"/>
        <v>20449400</v>
      </c>
      <c r="BL52" s="466">
        <f t="shared" si="52"/>
        <v>20449400</v>
      </c>
      <c r="BM52" s="467">
        <f t="shared" si="53"/>
        <v>0.72709999999999997</v>
      </c>
      <c r="BN52" s="468">
        <f t="shared" ca="1" si="108"/>
        <v>0</v>
      </c>
      <c r="BO52" s="469">
        <f t="shared" ca="1" si="109"/>
        <v>0</v>
      </c>
      <c r="BP52" s="470" t="str">
        <f t="shared" si="110"/>
        <v>Uncapped</v>
      </c>
      <c r="BQ52" s="466">
        <f t="shared" ca="1" si="111"/>
        <v>0</v>
      </c>
      <c r="BR52" s="460" t="s">
        <v>688</v>
      </c>
      <c r="BS52" s="471">
        <v>0.2</v>
      </c>
      <c r="BT52" s="460" t="s">
        <v>211</v>
      </c>
      <c r="BU52" s="462" t="s">
        <v>210</v>
      </c>
      <c r="BV52" s="460">
        <v>19653413.080999997</v>
      </c>
      <c r="BW52" s="460">
        <v>22848780.235100001</v>
      </c>
      <c r="BX52" s="460">
        <v>22618799.574099999</v>
      </c>
      <c r="BY52" s="460">
        <v>27098464.121500004</v>
      </c>
      <c r="BZ52" s="460">
        <v>19427532.107000571</v>
      </c>
      <c r="CA52" s="460">
        <v>22270538.357580002</v>
      </c>
      <c r="CB52" s="460">
        <v>22879083.486580007</v>
      </c>
      <c r="CC52" s="460"/>
      <c r="CD52" s="460"/>
      <c r="CE52" s="460"/>
      <c r="CF52" s="460"/>
      <c r="CG52" s="460"/>
      <c r="CH52" s="465">
        <f t="shared" si="55"/>
        <v>19427532.107000571</v>
      </c>
      <c r="CI52" s="465">
        <f t="shared" si="56"/>
        <v>22270538.357580002</v>
      </c>
      <c r="CJ52" s="472">
        <f t="shared" si="57"/>
        <v>22879083.486580007</v>
      </c>
      <c r="CK52" s="465">
        <f t="shared" si="58"/>
        <v>0</v>
      </c>
      <c r="CL52" s="465">
        <f t="shared" si="112"/>
        <v>64577153.95116058</v>
      </c>
      <c r="CM52" s="465">
        <f t="shared" si="97"/>
        <v>92219457.011700004</v>
      </c>
      <c r="CN52" s="465">
        <f t="shared" si="59"/>
        <v>92219457.011700004</v>
      </c>
      <c r="CO52" s="467">
        <f t="shared" si="60"/>
        <v>0.70030000000000003</v>
      </c>
      <c r="CP52" s="468">
        <f t="shared" ca="1" si="61"/>
        <v>0</v>
      </c>
      <c r="CQ52" s="466">
        <f t="shared" ca="1" si="113"/>
        <v>0</v>
      </c>
      <c r="CR52" s="470" t="str">
        <f t="shared" si="114"/>
        <v>Uncapped</v>
      </c>
      <c r="CS52" s="466">
        <f t="shared" ca="1" si="115"/>
        <v>0</v>
      </c>
      <c r="CT52" s="460" t="s">
        <v>696</v>
      </c>
      <c r="CU52" s="463">
        <v>0.2</v>
      </c>
      <c r="CV52" s="460" t="s">
        <v>217</v>
      </c>
      <c r="CW52" s="460" t="s">
        <v>210</v>
      </c>
      <c r="CX52" s="460">
        <v>61881722.047854595</v>
      </c>
      <c r="CY52" s="460">
        <v>72180793.063260496</v>
      </c>
      <c r="CZ52" s="460">
        <v>69179032.514420599</v>
      </c>
      <c r="DA52" s="460">
        <v>76323964.015026003</v>
      </c>
      <c r="DB52" s="460">
        <v>63657388.730680585</v>
      </c>
      <c r="DC52" s="460">
        <v>65995192.891159989</v>
      </c>
      <c r="DD52" s="460">
        <v>66410604.684560001</v>
      </c>
      <c r="DE52" s="460"/>
      <c r="DF52" s="460"/>
      <c r="DG52" s="460"/>
      <c r="DH52" s="460"/>
      <c r="DI52" s="460"/>
      <c r="DJ52" s="465">
        <f t="shared" si="62"/>
        <v>63657388.730680585</v>
      </c>
      <c r="DK52" s="465">
        <f t="shared" si="63"/>
        <v>65995192.891159989</v>
      </c>
      <c r="DL52" s="465">
        <f t="shared" si="64"/>
        <v>66410604.684560001</v>
      </c>
      <c r="DM52" s="465">
        <f t="shared" si="65"/>
        <v>0</v>
      </c>
      <c r="DN52" s="465">
        <f t="shared" si="116"/>
        <v>196063186.30640057</v>
      </c>
      <c r="DO52" s="465">
        <f t="shared" si="98"/>
        <v>279565511.6405617</v>
      </c>
      <c r="DP52" s="465">
        <f t="shared" si="67"/>
        <v>279565511.6405617</v>
      </c>
      <c r="DQ52" s="467">
        <f t="shared" si="68"/>
        <v>0.70130000000000003</v>
      </c>
      <c r="DR52" s="468">
        <f t="shared" ca="1" si="117"/>
        <v>0</v>
      </c>
      <c r="DS52" s="466">
        <f t="shared" ca="1" si="118"/>
        <v>0</v>
      </c>
      <c r="DT52" s="470" t="str">
        <f t="shared" si="119"/>
        <v>Uncapped</v>
      </c>
      <c r="DU52" s="466">
        <f t="shared" ca="1" si="120"/>
        <v>0</v>
      </c>
      <c r="DV52" s="460"/>
      <c r="DW52" s="463">
        <v>0</v>
      </c>
      <c r="DX52" s="460"/>
      <c r="DY52" s="460"/>
      <c r="DZ52" s="460">
        <v>0</v>
      </c>
      <c r="EA52" s="460">
        <v>0</v>
      </c>
      <c r="EB52" s="460">
        <v>0</v>
      </c>
      <c r="EC52" s="460">
        <v>0</v>
      </c>
      <c r="ED52" s="460">
        <v>0</v>
      </c>
      <c r="EE52" s="460">
        <v>0</v>
      </c>
      <c r="EF52" s="460"/>
      <c r="EG52" s="460"/>
      <c r="EH52" s="460"/>
      <c r="EI52" s="460"/>
      <c r="EJ52" s="460"/>
      <c r="EK52" s="460"/>
      <c r="EL52" s="465">
        <f t="shared" si="69"/>
        <v>0</v>
      </c>
      <c r="EM52" s="465">
        <f t="shared" si="70"/>
        <v>0</v>
      </c>
      <c r="EN52" s="465">
        <f t="shared" si="71"/>
        <v>0</v>
      </c>
      <c r="EO52" s="465">
        <f t="shared" si="72"/>
        <v>0</v>
      </c>
      <c r="EP52" s="465">
        <f t="shared" si="121"/>
        <v>0</v>
      </c>
      <c r="EQ52" s="465">
        <f t="shared" si="99"/>
        <v>0</v>
      </c>
      <c r="ER52" s="465">
        <f t="shared" si="73"/>
        <v>0</v>
      </c>
      <c r="ES52" s="467">
        <f t="shared" si="74"/>
        <v>0</v>
      </c>
      <c r="ET52" s="468">
        <f t="shared" ca="1" si="75"/>
        <v>0</v>
      </c>
      <c r="EU52" s="466">
        <f t="shared" ca="1" si="122"/>
        <v>0</v>
      </c>
      <c r="EV52" s="470" t="str">
        <f t="shared" si="123"/>
        <v>Uncapped</v>
      </c>
      <c r="EW52" s="466">
        <f t="shared" ca="1" si="124"/>
        <v>0</v>
      </c>
      <c r="EX52" s="473">
        <f t="shared" ca="1" si="125"/>
        <v>0</v>
      </c>
      <c r="EY52" s="465">
        <f t="shared" ca="1" si="76"/>
        <v>2000</v>
      </c>
      <c r="EZ52" s="466">
        <v>0</v>
      </c>
      <c r="FA52" s="466"/>
      <c r="FB52" s="466"/>
      <c r="FC52" s="466">
        <v>0</v>
      </c>
      <c r="FD52" s="466">
        <f t="shared" si="100"/>
        <v>0</v>
      </c>
      <c r="FE52" s="465">
        <f t="shared" si="135"/>
        <v>0</v>
      </c>
      <c r="FF52" s="466">
        <v>0</v>
      </c>
      <c r="FG52" s="466">
        <v>0</v>
      </c>
      <c r="FH52" s="466">
        <v>0</v>
      </c>
      <c r="FI52" s="466">
        <v>0</v>
      </c>
      <c r="FJ52" s="466">
        <f t="shared" si="101"/>
        <v>0</v>
      </c>
      <c r="FK52" s="465">
        <f t="shared" si="136"/>
        <v>0</v>
      </c>
      <c r="FL52" s="460"/>
      <c r="FM52" s="464"/>
      <c r="FN52" s="464"/>
      <c r="FO52" s="464"/>
      <c r="FP52" s="466">
        <f t="shared" si="88"/>
        <v>0</v>
      </c>
      <c r="FQ52" s="466"/>
      <c r="FR52" s="466"/>
      <c r="FS52" s="466"/>
      <c r="FT52" s="465">
        <f t="shared" si="77"/>
        <v>0</v>
      </c>
      <c r="FU52" s="474">
        <f t="shared" ca="1" si="79"/>
        <v>2000</v>
      </c>
      <c r="FV52" s="475">
        <f t="shared" ca="1" si="78"/>
        <v>2000</v>
      </c>
      <c r="FW52" s="465">
        <f t="shared" si="84"/>
        <v>0</v>
      </c>
      <c r="FX52" s="465">
        <f t="shared" si="84"/>
        <v>0</v>
      </c>
      <c r="FY52" s="465">
        <f t="shared" si="84"/>
        <v>0</v>
      </c>
      <c r="FZ52" s="465">
        <f t="shared" si="81"/>
        <v>0</v>
      </c>
      <c r="GA52" s="465">
        <f t="shared" si="89"/>
        <v>0</v>
      </c>
      <c r="GB52" s="465">
        <f t="shared" si="85"/>
        <v>0</v>
      </c>
      <c r="GC52" s="465">
        <f t="shared" si="85"/>
        <v>0</v>
      </c>
      <c r="GD52" s="465">
        <f t="shared" si="85"/>
        <v>0</v>
      </c>
      <c r="GE52" s="465">
        <f t="shared" si="82"/>
        <v>0</v>
      </c>
      <c r="GF52" s="465">
        <f t="shared" si="87"/>
        <v>0</v>
      </c>
      <c r="GG52" s="465">
        <f t="shared" si="87"/>
        <v>0</v>
      </c>
      <c r="GH52" s="465">
        <f t="shared" si="87"/>
        <v>0</v>
      </c>
      <c r="GI52" s="465">
        <f t="shared" si="86"/>
        <v>0</v>
      </c>
      <c r="GJ52" s="466">
        <f t="shared" si="102"/>
        <v>0</v>
      </c>
      <c r="GK52" s="465">
        <f t="shared" si="90"/>
        <v>0</v>
      </c>
      <c r="GL52" s="465">
        <f t="shared" si="126"/>
        <v>2000</v>
      </c>
      <c r="GM52" s="465">
        <f t="shared" si="127"/>
        <v>0</v>
      </c>
      <c r="GN52" s="465">
        <f t="shared" si="128"/>
        <v>0</v>
      </c>
      <c r="GO52" s="465">
        <f t="shared" si="129"/>
        <v>0</v>
      </c>
      <c r="GP52" s="465">
        <f t="shared" si="103"/>
        <v>2000</v>
      </c>
      <c r="GQ52" s="465">
        <f t="shared" si="91"/>
        <v>2000</v>
      </c>
      <c r="GR52" s="476"/>
      <c r="GS52" s="477">
        <f t="shared" si="130"/>
        <v>275508367.11176109</v>
      </c>
      <c r="GT52" s="477">
        <f t="shared" si="131"/>
        <v>392234368.65226173</v>
      </c>
      <c r="GU52" s="478">
        <f t="shared" si="92"/>
        <v>0.70240751226982623</v>
      </c>
      <c r="GV52" s="479">
        <f t="shared" ca="1" si="132"/>
        <v>0</v>
      </c>
      <c r="GW52" s="479">
        <v>0</v>
      </c>
      <c r="GX52" s="480">
        <f t="shared" ca="1" si="133"/>
        <v>0</v>
      </c>
      <c r="GY52" s="100"/>
    </row>
    <row r="53" spans="1:207" s="125" customFormat="1" ht="15" hidden="1" customHeight="1">
      <c r="A53" s="102"/>
      <c r="B53" s="103"/>
      <c r="C53" s="103"/>
      <c r="D53" s="104"/>
      <c r="E53" s="104"/>
      <c r="F53" s="104" t="s">
        <v>256</v>
      </c>
      <c r="G53" s="104" t="s">
        <v>226</v>
      </c>
      <c r="H53" s="105" t="s">
        <v>344</v>
      </c>
      <c r="I53" s="106" t="s">
        <v>345</v>
      </c>
      <c r="J53" s="104" t="s">
        <v>212</v>
      </c>
      <c r="K53" s="104" t="s">
        <v>208</v>
      </c>
      <c r="L53" s="104" t="s">
        <v>223</v>
      </c>
      <c r="M53" s="104" t="s">
        <v>256</v>
      </c>
      <c r="N53" s="107"/>
      <c r="O53" s="549">
        <v>43435</v>
      </c>
      <c r="P53" s="108">
        <v>43435</v>
      </c>
      <c r="Q53" s="322">
        <f t="shared" si="105"/>
        <v>0</v>
      </c>
      <c r="R53" s="109">
        <f>IF((P53-VLOOKUP(Q53,month!$A$1:$C$13,3,0))&lt;0,Q53,Q53+1)</f>
        <v>0</v>
      </c>
      <c r="S53" s="108"/>
      <c r="T53" s="110" t="str">
        <f t="shared" si="80"/>
        <v/>
      </c>
      <c r="U53" s="320" t="s">
        <v>214</v>
      </c>
      <c r="V53" s="320">
        <v>2</v>
      </c>
      <c r="W53" s="107"/>
      <c r="X53" s="107"/>
      <c r="Y53" s="386"/>
      <c r="Z53" s="386" t="s">
        <v>545</v>
      </c>
      <c r="AA53" s="387">
        <v>1000</v>
      </c>
      <c r="AB53" s="387">
        <v>1000</v>
      </c>
      <c r="AC53" s="387">
        <v>1000</v>
      </c>
      <c r="AD53" s="387">
        <v>1000</v>
      </c>
      <c r="AE53" s="387">
        <v>1000</v>
      </c>
      <c r="AF53" s="387">
        <v>1000</v>
      </c>
      <c r="AG53" s="387">
        <v>1000</v>
      </c>
      <c r="AH53" s="387">
        <v>1000</v>
      </c>
      <c r="AI53" s="387">
        <v>1000</v>
      </c>
      <c r="AJ53" s="387">
        <v>1000</v>
      </c>
      <c r="AK53" s="387">
        <v>1000</v>
      </c>
      <c r="AL53" s="387">
        <v>1000</v>
      </c>
      <c r="AM53" s="388">
        <f t="shared" si="95"/>
        <v>12000</v>
      </c>
      <c r="AN53" s="388">
        <f t="shared" si="106"/>
        <v>12000</v>
      </c>
      <c r="AO53" s="389">
        <f t="shared" si="137"/>
        <v>1000</v>
      </c>
      <c r="AP53" s="498" t="s">
        <v>676</v>
      </c>
      <c r="AQ53" s="159">
        <v>0.6</v>
      </c>
      <c r="AR53" s="160" t="s">
        <v>211</v>
      </c>
      <c r="AS53" s="119" t="s">
        <v>210</v>
      </c>
      <c r="AT53" s="111">
        <v>693200</v>
      </c>
      <c r="AU53" s="111">
        <v>900900</v>
      </c>
      <c r="AV53" s="111"/>
      <c r="AW53" s="111"/>
      <c r="AX53" s="113">
        <v>729261.88023617992</v>
      </c>
      <c r="AY53" s="113">
        <v>819595.76583581918</v>
      </c>
      <c r="AZ53" s="113"/>
      <c r="BA53" s="113"/>
      <c r="BB53" s="113"/>
      <c r="BC53" s="113"/>
      <c r="BD53" s="113"/>
      <c r="BE53" s="113"/>
      <c r="BF53" s="114">
        <f t="shared" si="48"/>
        <v>729261.88023617992</v>
      </c>
      <c r="BG53" s="114">
        <f t="shared" si="49"/>
        <v>819595.76583581918</v>
      </c>
      <c r="BH53" s="114">
        <f t="shared" si="50"/>
        <v>0</v>
      </c>
      <c r="BI53" s="114">
        <f t="shared" si="51"/>
        <v>0</v>
      </c>
      <c r="BJ53" s="114">
        <f t="shared" si="107"/>
        <v>1548857.6460719991</v>
      </c>
      <c r="BK53" s="115">
        <f t="shared" si="96"/>
        <v>1594100</v>
      </c>
      <c r="BL53" s="115">
        <f t="shared" si="52"/>
        <v>1594100</v>
      </c>
      <c r="BM53" s="116">
        <f t="shared" si="53"/>
        <v>0.97160000000000002</v>
      </c>
      <c r="BN53" s="126">
        <f t="shared" ca="1" si="108"/>
        <v>0</v>
      </c>
      <c r="BO53" s="117">
        <f t="shared" ca="1" si="109"/>
        <v>0</v>
      </c>
      <c r="BP53" s="118" t="str">
        <f t="shared" si="110"/>
        <v>Uncapped</v>
      </c>
      <c r="BQ53" s="115">
        <f t="shared" ca="1" si="111"/>
        <v>0</v>
      </c>
      <c r="BR53" s="113" t="s">
        <v>688</v>
      </c>
      <c r="BS53" s="161">
        <v>0.2</v>
      </c>
      <c r="BT53" s="113" t="s">
        <v>211</v>
      </c>
      <c r="BU53" s="160" t="s">
        <v>210</v>
      </c>
      <c r="BV53" s="113">
        <v>19653413.080999997</v>
      </c>
      <c r="BW53" s="113">
        <v>22848780.235100001</v>
      </c>
      <c r="BX53" s="113"/>
      <c r="BY53" s="113"/>
      <c r="BZ53" s="113">
        <v>19427532.107000571</v>
      </c>
      <c r="CA53" s="113">
        <v>22270538.357580002</v>
      </c>
      <c r="CB53" s="113"/>
      <c r="CC53" s="113"/>
      <c r="CD53" s="113"/>
      <c r="CE53" s="113"/>
      <c r="CF53" s="113"/>
      <c r="CG53" s="113"/>
      <c r="CH53" s="114">
        <f t="shared" si="55"/>
        <v>19427532.107000571</v>
      </c>
      <c r="CI53" s="114">
        <f t="shared" si="56"/>
        <v>22270538.357580002</v>
      </c>
      <c r="CJ53" s="120">
        <f t="shared" si="57"/>
        <v>0</v>
      </c>
      <c r="CK53" s="114">
        <f t="shared" si="58"/>
        <v>0</v>
      </c>
      <c r="CL53" s="114">
        <f t="shared" si="112"/>
        <v>41698070.464580573</v>
      </c>
      <c r="CM53" s="114">
        <f t="shared" si="97"/>
        <v>42502193.316100001</v>
      </c>
      <c r="CN53" s="114">
        <f t="shared" si="59"/>
        <v>42502193.316100001</v>
      </c>
      <c r="CO53" s="116">
        <f t="shared" si="60"/>
        <v>0.98109999999999997</v>
      </c>
      <c r="CP53" s="126">
        <f t="shared" ca="1" si="61"/>
        <v>0</v>
      </c>
      <c r="CQ53" s="115">
        <f t="shared" ca="1" si="113"/>
        <v>0</v>
      </c>
      <c r="CR53" s="118" t="str">
        <f t="shared" si="114"/>
        <v>Uncapped</v>
      </c>
      <c r="CS53" s="115">
        <f t="shared" ca="1" si="115"/>
        <v>0</v>
      </c>
      <c r="CT53" s="113" t="s">
        <v>696</v>
      </c>
      <c r="CU53" s="119">
        <v>0.2</v>
      </c>
      <c r="CV53" s="113" t="s">
        <v>217</v>
      </c>
      <c r="CW53" s="113" t="s">
        <v>210</v>
      </c>
      <c r="CX53" s="113">
        <v>61881722.047854595</v>
      </c>
      <c r="CY53" s="113">
        <v>72180793.063260496</v>
      </c>
      <c r="CZ53" s="113"/>
      <c r="DA53" s="113"/>
      <c r="DB53" s="113">
        <v>63657388.730680585</v>
      </c>
      <c r="DC53" s="113">
        <v>65995192.891159989</v>
      </c>
      <c r="DD53" s="113"/>
      <c r="DE53" s="113"/>
      <c r="DF53" s="113"/>
      <c r="DG53" s="113"/>
      <c r="DH53" s="113"/>
      <c r="DI53" s="113"/>
      <c r="DJ53" s="114">
        <f t="shared" si="62"/>
        <v>63657388.730680585</v>
      </c>
      <c r="DK53" s="114">
        <f t="shared" si="63"/>
        <v>65995192.891159989</v>
      </c>
      <c r="DL53" s="114">
        <f t="shared" si="64"/>
        <v>0</v>
      </c>
      <c r="DM53" s="114">
        <f t="shared" si="65"/>
        <v>0</v>
      </c>
      <c r="DN53" s="114">
        <f t="shared" si="116"/>
        <v>129652581.62184057</v>
      </c>
      <c r="DO53" s="114">
        <f t="shared" si="98"/>
        <v>134062515.1111151</v>
      </c>
      <c r="DP53" s="114">
        <f t="shared" si="67"/>
        <v>134062515.1111151</v>
      </c>
      <c r="DQ53" s="116">
        <f t="shared" si="68"/>
        <v>0.96709999999999996</v>
      </c>
      <c r="DR53" s="126">
        <f t="shared" ca="1" si="117"/>
        <v>0</v>
      </c>
      <c r="DS53" s="115">
        <f t="shared" ca="1" si="118"/>
        <v>0</v>
      </c>
      <c r="DT53" s="118" t="str">
        <f t="shared" si="119"/>
        <v>Uncapped</v>
      </c>
      <c r="DU53" s="115">
        <f t="shared" ca="1" si="120"/>
        <v>0</v>
      </c>
      <c r="DV53" s="113"/>
      <c r="DW53" s="119">
        <v>0</v>
      </c>
      <c r="DX53" s="113"/>
      <c r="DY53" s="113"/>
      <c r="DZ53" s="113">
        <v>0</v>
      </c>
      <c r="EA53" s="113">
        <v>0</v>
      </c>
      <c r="EB53" s="113">
        <v>0</v>
      </c>
      <c r="EC53" s="113">
        <v>0</v>
      </c>
      <c r="ED53" s="113">
        <v>0</v>
      </c>
      <c r="EE53" s="113">
        <v>0</v>
      </c>
      <c r="EF53" s="113"/>
      <c r="EG53" s="113"/>
      <c r="EH53" s="113"/>
      <c r="EI53" s="113"/>
      <c r="EJ53" s="113"/>
      <c r="EK53" s="113"/>
      <c r="EL53" s="114">
        <f t="shared" si="69"/>
        <v>0</v>
      </c>
      <c r="EM53" s="114">
        <f t="shared" si="70"/>
        <v>0</v>
      </c>
      <c r="EN53" s="114">
        <f t="shared" si="71"/>
        <v>0</v>
      </c>
      <c r="EO53" s="114">
        <f t="shared" si="72"/>
        <v>0</v>
      </c>
      <c r="EP53" s="114">
        <f t="shared" si="121"/>
        <v>0</v>
      </c>
      <c r="EQ53" s="114">
        <f t="shared" si="99"/>
        <v>0</v>
      </c>
      <c r="ER53" s="114">
        <f t="shared" si="73"/>
        <v>0</v>
      </c>
      <c r="ES53" s="116">
        <f t="shared" si="74"/>
        <v>0</v>
      </c>
      <c r="ET53" s="126">
        <f t="shared" ca="1" si="75"/>
        <v>0</v>
      </c>
      <c r="EU53" s="115">
        <f t="shared" ca="1" si="122"/>
        <v>0</v>
      </c>
      <c r="EV53" s="118" t="str">
        <f t="shared" si="123"/>
        <v>Uncapped</v>
      </c>
      <c r="EW53" s="115">
        <f t="shared" ca="1" si="124"/>
        <v>0</v>
      </c>
      <c r="EX53" s="112">
        <f t="shared" ca="1" si="125"/>
        <v>0</v>
      </c>
      <c r="EY53" s="114">
        <f t="shared" ca="1" si="76"/>
        <v>2000</v>
      </c>
      <c r="EZ53" s="115">
        <v>0</v>
      </c>
      <c r="FA53" s="115"/>
      <c r="FB53" s="115"/>
      <c r="FC53" s="115">
        <v>0</v>
      </c>
      <c r="FD53" s="115">
        <f t="shared" si="100"/>
        <v>0</v>
      </c>
      <c r="FE53" s="114">
        <f t="shared" si="135"/>
        <v>0</v>
      </c>
      <c r="FF53" s="115">
        <v>0</v>
      </c>
      <c r="FG53" s="115">
        <v>0</v>
      </c>
      <c r="FH53" s="115">
        <v>0</v>
      </c>
      <c r="FI53" s="115">
        <v>0</v>
      </c>
      <c r="FJ53" s="115">
        <f t="shared" si="101"/>
        <v>0</v>
      </c>
      <c r="FK53" s="114">
        <f t="shared" si="136"/>
        <v>0</v>
      </c>
      <c r="FL53" s="113"/>
      <c r="FM53" s="111"/>
      <c r="FN53" s="111"/>
      <c r="FO53" s="111"/>
      <c r="FP53" s="115">
        <f t="shared" si="88"/>
        <v>0</v>
      </c>
      <c r="FQ53" s="115"/>
      <c r="FR53" s="115"/>
      <c r="FS53" s="115"/>
      <c r="FT53" s="114">
        <f t="shared" si="77"/>
        <v>0</v>
      </c>
      <c r="FU53" s="366">
        <f t="shared" ca="1" si="79"/>
        <v>2000</v>
      </c>
      <c r="FV53" s="121">
        <f t="shared" ca="1" si="78"/>
        <v>2000</v>
      </c>
      <c r="FW53" s="114">
        <f t="shared" si="84"/>
        <v>0</v>
      </c>
      <c r="FX53" s="114">
        <f t="shared" si="84"/>
        <v>0</v>
      </c>
      <c r="FY53" s="114">
        <f t="shared" si="84"/>
        <v>0</v>
      </c>
      <c r="FZ53" s="114">
        <f t="shared" si="81"/>
        <v>0</v>
      </c>
      <c r="GA53" s="114">
        <f t="shared" si="89"/>
        <v>0</v>
      </c>
      <c r="GB53" s="114">
        <f t="shared" si="85"/>
        <v>0</v>
      </c>
      <c r="GC53" s="114">
        <f t="shared" si="85"/>
        <v>0</v>
      </c>
      <c r="GD53" s="114">
        <f t="shared" si="85"/>
        <v>0</v>
      </c>
      <c r="GE53" s="114">
        <f t="shared" si="82"/>
        <v>0</v>
      </c>
      <c r="GF53" s="114">
        <f t="shared" si="87"/>
        <v>0</v>
      </c>
      <c r="GG53" s="114">
        <f t="shared" si="87"/>
        <v>0</v>
      </c>
      <c r="GH53" s="114">
        <f t="shared" si="87"/>
        <v>0</v>
      </c>
      <c r="GI53" s="114">
        <f t="shared" si="86"/>
        <v>0</v>
      </c>
      <c r="GJ53" s="115">
        <f t="shared" si="102"/>
        <v>0</v>
      </c>
      <c r="GK53" s="114">
        <f t="shared" si="90"/>
        <v>0</v>
      </c>
      <c r="GL53" s="114">
        <f t="shared" si="126"/>
        <v>2000</v>
      </c>
      <c r="GM53" s="114">
        <f t="shared" si="127"/>
        <v>0</v>
      </c>
      <c r="GN53" s="114">
        <f t="shared" si="128"/>
        <v>0</v>
      </c>
      <c r="GO53" s="114">
        <f t="shared" si="129"/>
        <v>0</v>
      </c>
      <c r="GP53" s="114">
        <f t="shared" si="103"/>
        <v>2000</v>
      </c>
      <c r="GQ53" s="114">
        <f t="shared" si="91"/>
        <v>2000</v>
      </c>
      <c r="GR53" s="193"/>
      <c r="GS53" s="122">
        <f t="shared" si="130"/>
        <v>172899509.73249313</v>
      </c>
      <c r="GT53" s="122">
        <f t="shared" si="131"/>
        <v>178158808.4272151</v>
      </c>
      <c r="GU53" s="123">
        <f t="shared" si="92"/>
        <v>0.97047971559110091</v>
      </c>
      <c r="GV53" s="124">
        <f t="shared" ca="1" si="132"/>
        <v>0</v>
      </c>
      <c r="GW53" s="124">
        <v>0</v>
      </c>
      <c r="GX53" s="32">
        <f t="shared" ca="1" si="133"/>
        <v>0</v>
      </c>
      <c r="GY53" s="100"/>
    </row>
    <row r="54" spans="1:207" s="152" customFormat="1" ht="15" hidden="1" customHeight="1">
      <c r="A54" s="129"/>
      <c r="B54" s="130"/>
      <c r="C54" s="130"/>
      <c r="D54" s="131"/>
      <c r="E54" s="131" t="s">
        <v>346</v>
      </c>
      <c r="F54" s="169" t="s">
        <v>347</v>
      </c>
      <c r="G54" s="131" t="s">
        <v>226</v>
      </c>
      <c r="H54" s="132" t="s">
        <v>348</v>
      </c>
      <c r="I54" s="133" t="s">
        <v>349</v>
      </c>
      <c r="J54" s="131" t="s">
        <v>207</v>
      </c>
      <c r="K54" s="131" t="s">
        <v>208</v>
      </c>
      <c r="L54" s="131" t="s">
        <v>350</v>
      </c>
      <c r="M54" s="131" t="s">
        <v>350</v>
      </c>
      <c r="N54" s="134"/>
      <c r="O54" s="551">
        <v>41376</v>
      </c>
      <c r="P54" s="155">
        <v>43313</v>
      </c>
      <c r="Q54" s="321">
        <f t="shared" si="105"/>
        <v>0</v>
      </c>
      <c r="R54" s="109">
        <f>IF((P54-VLOOKUP(Q54,month!$A$1:$C$13,3,0))&lt;0,Q54,Q54+1)</f>
        <v>0</v>
      </c>
      <c r="S54" s="108"/>
      <c r="T54" s="135" t="str">
        <f t="shared" si="80"/>
        <v/>
      </c>
      <c r="U54" s="134"/>
      <c r="V54" s="134"/>
      <c r="W54" s="134"/>
      <c r="X54" s="134"/>
      <c r="Y54" s="383"/>
      <c r="Z54" s="383" t="s">
        <v>545</v>
      </c>
      <c r="AA54" s="371">
        <v>1000</v>
      </c>
      <c r="AB54" s="371">
        <v>1000</v>
      </c>
      <c r="AC54" s="371">
        <v>1000</v>
      </c>
      <c r="AD54" s="371">
        <v>1000</v>
      </c>
      <c r="AE54" s="371">
        <v>1000</v>
      </c>
      <c r="AF54" s="371">
        <v>1000</v>
      </c>
      <c r="AG54" s="371">
        <v>1000</v>
      </c>
      <c r="AH54" s="371">
        <v>1000</v>
      </c>
      <c r="AI54" s="371">
        <v>1000</v>
      </c>
      <c r="AJ54" s="371">
        <v>1000</v>
      </c>
      <c r="AK54" s="371">
        <v>1000</v>
      </c>
      <c r="AL54" s="371">
        <v>1000</v>
      </c>
      <c r="AM54" s="384">
        <f t="shared" si="95"/>
        <v>12000</v>
      </c>
      <c r="AN54" s="384">
        <f t="shared" si="106"/>
        <v>12000</v>
      </c>
      <c r="AO54" s="385">
        <f t="shared" ref="AO54:AO55" si="138">AI54</f>
        <v>1000</v>
      </c>
      <c r="AP54" s="497" t="s">
        <v>682</v>
      </c>
      <c r="AQ54" s="156">
        <v>0.5</v>
      </c>
      <c r="AR54" s="157" t="s">
        <v>211</v>
      </c>
      <c r="AS54" s="146" t="s">
        <v>210</v>
      </c>
      <c r="AT54" s="136">
        <v>6104383.3436000003</v>
      </c>
      <c r="AU54" s="136">
        <v>7051094.8471999997</v>
      </c>
      <c r="AV54" s="136"/>
      <c r="AW54" s="136"/>
      <c r="AX54" s="138">
        <v>6508204.4988539666</v>
      </c>
      <c r="AY54" s="138">
        <v>7144767.9219283722</v>
      </c>
      <c r="AZ54" s="138"/>
      <c r="BA54" s="138"/>
      <c r="BB54" s="138"/>
      <c r="BC54" s="138"/>
      <c r="BD54" s="138"/>
      <c r="BE54" s="138"/>
      <c r="BF54" s="139">
        <f t="shared" si="48"/>
        <v>6508204.4988539666</v>
      </c>
      <c r="BG54" s="139">
        <f t="shared" si="49"/>
        <v>7144767.9219283722</v>
      </c>
      <c r="BH54" s="139">
        <f t="shared" si="50"/>
        <v>0</v>
      </c>
      <c r="BI54" s="139">
        <f t="shared" si="51"/>
        <v>0</v>
      </c>
      <c r="BJ54" s="139">
        <f t="shared" si="107"/>
        <v>13652972.420782339</v>
      </c>
      <c r="BK54" s="140">
        <f t="shared" si="96"/>
        <v>13155478.1908</v>
      </c>
      <c r="BL54" s="140">
        <f t="shared" si="52"/>
        <v>13155478.1908</v>
      </c>
      <c r="BM54" s="141">
        <f t="shared" si="53"/>
        <v>1.0378000000000001</v>
      </c>
      <c r="BN54" s="142">
        <f t="shared" ca="1" si="108"/>
        <v>0</v>
      </c>
      <c r="BO54" s="143">
        <f t="shared" ca="1" si="109"/>
        <v>0</v>
      </c>
      <c r="BP54" s="144" t="str">
        <f t="shared" si="110"/>
        <v>Uncapped</v>
      </c>
      <c r="BQ54" s="140">
        <f t="shared" ca="1" si="111"/>
        <v>0</v>
      </c>
      <c r="BR54" s="138" t="s">
        <v>700</v>
      </c>
      <c r="BS54" s="158">
        <v>0.3</v>
      </c>
      <c r="BT54" s="138" t="s">
        <v>211</v>
      </c>
      <c r="BU54" s="157" t="s">
        <v>210</v>
      </c>
      <c r="BV54" s="138">
        <v>247422.25999999998</v>
      </c>
      <c r="BW54" s="138">
        <v>297845.20999999996</v>
      </c>
      <c r="BX54" s="138"/>
      <c r="BY54" s="138"/>
      <c r="BZ54" s="138">
        <v>217113.5484</v>
      </c>
      <c r="CA54" s="138">
        <v>351034.32779999997</v>
      </c>
      <c r="CB54" s="138"/>
      <c r="CC54" s="138"/>
      <c r="CD54" s="138"/>
      <c r="CE54" s="138"/>
      <c r="CF54" s="138"/>
      <c r="CG54" s="138"/>
      <c r="CH54" s="139">
        <f t="shared" si="55"/>
        <v>217113.5484</v>
      </c>
      <c r="CI54" s="139">
        <f t="shared" si="56"/>
        <v>351034.32779999997</v>
      </c>
      <c r="CJ54" s="145">
        <f t="shared" si="57"/>
        <v>0</v>
      </c>
      <c r="CK54" s="139">
        <f t="shared" si="58"/>
        <v>0</v>
      </c>
      <c r="CL54" s="139">
        <f t="shared" si="112"/>
        <v>568147.87619999994</v>
      </c>
      <c r="CM54" s="139">
        <f t="shared" si="97"/>
        <v>545267.47</v>
      </c>
      <c r="CN54" s="139">
        <f t="shared" si="59"/>
        <v>545267.47</v>
      </c>
      <c r="CO54" s="141">
        <f t="shared" si="60"/>
        <v>1.042</v>
      </c>
      <c r="CP54" s="142">
        <f t="shared" ca="1" si="61"/>
        <v>0</v>
      </c>
      <c r="CQ54" s="140">
        <f t="shared" ca="1" si="113"/>
        <v>0</v>
      </c>
      <c r="CR54" s="144" t="str">
        <f t="shared" si="114"/>
        <v>Uncapped</v>
      </c>
      <c r="CS54" s="140">
        <f t="shared" ca="1" si="115"/>
        <v>0</v>
      </c>
      <c r="CT54" s="138" t="s">
        <v>702</v>
      </c>
      <c r="CU54" s="146">
        <v>0.2</v>
      </c>
      <c r="CV54" s="138" t="s">
        <v>217</v>
      </c>
      <c r="CW54" s="138" t="s">
        <v>210</v>
      </c>
      <c r="CX54" s="138">
        <v>19653413.080999997</v>
      </c>
      <c r="CY54" s="138">
        <v>22848780.235100001</v>
      </c>
      <c r="CZ54" s="138"/>
      <c r="DA54" s="138"/>
      <c r="DB54" s="138">
        <v>19427532.107000571</v>
      </c>
      <c r="DC54" s="138">
        <v>22270538.357580002</v>
      </c>
      <c r="DD54" s="138"/>
      <c r="DE54" s="138"/>
      <c r="DF54" s="138"/>
      <c r="DG54" s="138"/>
      <c r="DH54" s="138"/>
      <c r="DI54" s="138"/>
      <c r="DJ54" s="139">
        <f t="shared" si="62"/>
        <v>19427532.107000571</v>
      </c>
      <c r="DK54" s="139">
        <f t="shared" si="63"/>
        <v>22270538.357580002</v>
      </c>
      <c r="DL54" s="139">
        <f t="shared" si="64"/>
        <v>0</v>
      </c>
      <c r="DM54" s="139">
        <f t="shared" si="65"/>
        <v>0</v>
      </c>
      <c r="DN54" s="139">
        <f t="shared" si="116"/>
        <v>41698070.464580573</v>
      </c>
      <c r="DO54" s="139">
        <f t="shared" si="98"/>
        <v>42502193.316100001</v>
      </c>
      <c r="DP54" s="139">
        <f t="shared" si="67"/>
        <v>42502193.316100001</v>
      </c>
      <c r="DQ54" s="141">
        <f t="shared" si="68"/>
        <v>0.98109999999999997</v>
      </c>
      <c r="DR54" s="142">
        <f t="shared" ca="1" si="117"/>
        <v>0</v>
      </c>
      <c r="DS54" s="140">
        <f t="shared" ca="1" si="118"/>
        <v>0</v>
      </c>
      <c r="DT54" s="144" t="str">
        <f t="shared" si="119"/>
        <v>Uncapped</v>
      </c>
      <c r="DU54" s="140">
        <f t="shared" ca="1" si="120"/>
        <v>0</v>
      </c>
      <c r="DV54" s="138"/>
      <c r="DW54" s="146">
        <v>0</v>
      </c>
      <c r="DX54" s="138"/>
      <c r="DY54" s="138"/>
      <c r="DZ54" s="138">
        <v>0</v>
      </c>
      <c r="EA54" s="138">
        <v>0</v>
      </c>
      <c r="EB54" s="138">
        <v>0</v>
      </c>
      <c r="EC54" s="138">
        <v>0</v>
      </c>
      <c r="ED54" s="138">
        <v>0</v>
      </c>
      <c r="EE54" s="138">
        <v>0</v>
      </c>
      <c r="EF54" s="138"/>
      <c r="EG54" s="138"/>
      <c r="EH54" s="138"/>
      <c r="EI54" s="138"/>
      <c r="EJ54" s="138"/>
      <c r="EK54" s="138"/>
      <c r="EL54" s="139">
        <f t="shared" si="69"/>
        <v>0</v>
      </c>
      <c r="EM54" s="139">
        <f t="shared" si="70"/>
        <v>0</v>
      </c>
      <c r="EN54" s="139">
        <f t="shared" si="71"/>
        <v>0</v>
      </c>
      <c r="EO54" s="139">
        <f t="shared" si="72"/>
        <v>0</v>
      </c>
      <c r="EP54" s="139">
        <f t="shared" si="121"/>
        <v>0</v>
      </c>
      <c r="EQ54" s="139">
        <f t="shared" si="99"/>
        <v>0</v>
      </c>
      <c r="ER54" s="139">
        <f t="shared" si="73"/>
        <v>0</v>
      </c>
      <c r="ES54" s="141">
        <f t="shared" si="74"/>
        <v>0</v>
      </c>
      <c r="ET54" s="142">
        <f t="shared" ca="1" si="75"/>
        <v>0</v>
      </c>
      <c r="EU54" s="140">
        <f t="shared" ca="1" si="122"/>
        <v>0</v>
      </c>
      <c r="EV54" s="144" t="str">
        <f t="shared" si="123"/>
        <v>Uncapped</v>
      </c>
      <c r="EW54" s="140">
        <f t="shared" ca="1" si="124"/>
        <v>0</v>
      </c>
      <c r="EX54" s="137">
        <f t="shared" ca="1" si="125"/>
        <v>0</v>
      </c>
      <c r="EY54" s="139">
        <f t="shared" ca="1" si="76"/>
        <v>0</v>
      </c>
      <c r="EZ54" s="140">
        <v>0</v>
      </c>
      <c r="FA54" s="140"/>
      <c r="FB54" s="140"/>
      <c r="FC54" s="140">
        <v>0</v>
      </c>
      <c r="FD54" s="140">
        <f t="shared" si="100"/>
        <v>0</v>
      </c>
      <c r="FE54" s="139">
        <f t="shared" si="135"/>
        <v>0</v>
      </c>
      <c r="FF54" s="140">
        <v>0</v>
      </c>
      <c r="FG54" s="140">
        <v>0</v>
      </c>
      <c r="FH54" s="140">
        <v>0</v>
      </c>
      <c r="FI54" s="140">
        <v>0</v>
      </c>
      <c r="FJ54" s="140">
        <f t="shared" si="101"/>
        <v>0</v>
      </c>
      <c r="FK54" s="139">
        <f t="shared" si="136"/>
        <v>0</v>
      </c>
      <c r="FL54" s="138"/>
      <c r="FM54" s="136"/>
      <c r="FN54" s="136"/>
      <c r="FO54" s="136"/>
      <c r="FP54" s="140">
        <f t="shared" si="88"/>
        <v>0</v>
      </c>
      <c r="FQ54" s="140"/>
      <c r="FR54" s="140"/>
      <c r="FS54" s="140"/>
      <c r="FT54" s="139">
        <f t="shared" si="77"/>
        <v>0</v>
      </c>
      <c r="FU54" s="365">
        <f t="shared" ca="1" si="79"/>
        <v>0</v>
      </c>
      <c r="FV54" s="147">
        <f t="shared" ca="1" si="78"/>
        <v>0</v>
      </c>
      <c r="FW54" s="139">
        <f t="shared" si="84"/>
        <v>0</v>
      </c>
      <c r="FX54" s="139">
        <f t="shared" si="84"/>
        <v>0</v>
      </c>
      <c r="FY54" s="139">
        <f t="shared" si="84"/>
        <v>0</v>
      </c>
      <c r="FZ54" s="139">
        <f t="shared" si="81"/>
        <v>0</v>
      </c>
      <c r="GA54" s="139">
        <f t="shared" si="89"/>
        <v>0</v>
      </c>
      <c r="GB54" s="139">
        <f t="shared" si="85"/>
        <v>0</v>
      </c>
      <c r="GC54" s="139">
        <f t="shared" si="85"/>
        <v>0</v>
      </c>
      <c r="GD54" s="139">
        <f t="shared" si="85"/>
        <v>0</v>
      </c>
      <c r="GE54" s="139">
        <f t="shared" si="82"/>
        <v>0</v>
      </c>
      <c r="GF54" s="139">
        <f t="shared" si="87"/>
        <v>0</v>
      </c>
      <c r="GG54" s="139">
        <f t="shared" si="87"/>
        <v>0</v>
      </c>
      <c r="GH54" s="139">
        <f t="shared" si="87"/>
        <v>0</v>
      </c>
      <c r="GI54" s="139">
        <f t="shared" si="86"/>
        <v>0</v>
      </c>
      <c r="GJ54" s="140">
        <f t="shared" si="102"/>
        <v>0</v>
      </c>
      <c r="GK54" s="139">
        <f t="shared" si="90"/>
        <v>0</v>
      </c>
      <c r="GL54" s="139">
        <f t="shared" si="126"/>
        <v>0</v>
      </c>
      <c r="GM54" s="139">
        <f t="shared" si="127"/>
        <v>0</v>
      </c>
      <c r="GN54" s="139">
        <f t="shared" si="128"/>
        <v>0</v>
      </c>
      <c r="GO54" s="139">
        <f t="shared" si="129"/>
        <v>0</v>
      </c>
      <c r="GP54" s="139">
        <f t="shared" si="103"/>
        <v>0</v>
      </c>
      <c r="GQ54" s="139">
        <f t="shared" si="91"/>
        <v>0</v>
      </c>
      <c r="GR54" s="409"/>
      <c r="GS54" s="148">
        <f t="shared" si="130"/>
        <v>55919190.761562914</v>
      </c>
      <c r="GT54" s="148">
        <f t="shared" si="131"/>
        <v>56202938.976900004</v>
      </c>
      <c r="GU54" s="149">
        <f t="shared" si="92"/>
        <v>0.99495136338948909</v>
      </c>
      <c r="GV54" s="150">
        <f t="shared" ca="1" si="132"/>
        <v>0</v>
      </c>
      <c r="GW54" s="150">
        <v>0</v>
      </c>
      <c r="GX54" s="151">
        <f t="shared" ca="1" si="133"/>
        <v>0</v>
      </c>
      <c r="GY54" s="100"/>
    </row>
    <row r="55" spans="1:207" s="125" customFormat="1" ht="15" hidden="1" customHeight="1">
      <c r="A55" s="102"/>
      <c r="B55" s="103"/>
      <c r="C55" s="103"/>
      <c r="D55" s="104"/>
      <c r="E55" s="104" t="s">
        <v>346</v>
      </c>
      <c r="F55" s="104" t="s">
        <v>347</v>
      </c>
      <c r="G55" s="104" t="s">
        <v>226</v>
      </c>
      <c r="H55" s="105" t="s">
        <v>351</v>
      </c>
      <c r="I55" s="106" t="s">
        <v>352</v>
      </c>
      <c r="J55" s="104" t="s">
        <v>212</v>
      </c>
      <c r="K55" s="104" t="s">
        <v>208</v>
      </c>
      <c r="L55" s="104" t="s">
        <v>350</v>
      </c>
      <c r="M55" s="104" t="s">
        <v>350</v>
      </c>
      <c r="N55" s="107"/>
      <c r="O55" s="549">
        <v>41376</v>
      </c>
      <c r="P55" s="108">
        <v>43313</v>
      </c>
      <c r="Q55" s="322">
        <f t="shared" si="105"/>
        <v>0</v>
      </c>
      <c r="R55" s="109">
        <f>IF((P55-VLOOKUP(Q55,month!$A$1:$C$13,3,0))&lt;0,Q55,Q55+1)</f>
        <v>0</v>
      </c>
      <c r="S55" s="108"/>
      <c r="T55" s="127" t="str">
        <f t="shared" si="80"/>
        <v/>
      </c>
      <c r="U55" s="107"/>
      <c r="V55" s="107"/>
      <c r="W55" s="107"/>
      <c r="X55" s="107"/>
      <c r="Y55" s="386"/>
      <c r="Z55" s="386" t="s">
        <v>545</v>
      </c>
      <c r="AA55" s="387">
        <v>1000</v>
      </c>
      <c r="AB55" s="387">
        <v>1000</v>
      </c>
      <c r="AC55" s="387">
        <v>1000</v>
      </c>
      <c r="AD55" s="387">
        <v>1000</v>
      </c>
      <c r="AE55" s="387">
        <v>1000</v>
      </c>
      <c r="AF55" s="387">
        <v>1000</v>
      </c>
      <c r="AG55" s="387">
        <v>1000</v>
      </c>
      <c r="AH55" s="387">
        <v>1000</v>
      </c>
      <c r="AI55" s="387">
        <v>1000</v>
      </c>
      <c r="AJ55" s="387">
        <v>1000</v>
      </c>
      <c r="AK55" s="387">
        <v>1000</v>
      </c>
      <c r="AL55" s="387">
        <v>1000</v>
      </c>
      <c r="AM55" s="388">
        <f t="shared" si="95"/>
        <v>12000</v>
      </c>
      <c r="AN55" s="388">
        <f t="shared" si="106"/>
        <v>12000</v>
      </c>
      <c r="AO55" s="389">
        <f t="shared" si="138"/>
        <v>1000</v>
      </c>
      <c r="AP55" s="498" t="s">
        <v>682</v>
      </c>
      <c r="AQ55" s="159">
        <v>0.5</v>
      </c>
      <c r="AR55" s="160" t="s">
        <v>211</v>
      </c>
      <c r="AS55" s="119" t="s">
        <v>210</v>
      </c>
      <c r="AT55" s="111">
        <v>6104383.3436000003</v>
      </c>
      <c r="AU55" s="111">
        <v>7051094.8471999997</v>
      </c>
      <c r="AV55" s="111"/>
      <c r="AW55" s="111"/>
      <c r="AX55" s="113">
        <v>6508204.4988539666</v>
      </c>
      <c r="AY55" s="113">
        <v>7144767.9219283722</v>
      </c>
      <c r="AZ55" s="113"/>
      <c r="BA55" s="113"/>
      <c r="BB55" s="113"/>
      <c r="BC55" s="113"/>
      <c r="BD55" s="113"/>
      <c r="BE55" s="113"/>
      <c r="BF55" s="114">
        <f t="shared" si="48"/>
        <v>6508204.4988539666</v>
      </c>
      <c r="BG55" s="114">
        <f t="shared" si="49"/>
        <v>7144767.9219283722</v>
      </c>
      <c r="BH55" s="114">
        <f t="shared" si="50"/>
        <v>0</v>
      </c>
      <c r="BI55" s="114">
        <f t="shared" si="51"/>
        <v>0</v>
      </c>
      <c r="BJ55" s="114">
        <f t="shared" si="107"/>
        <v>13652972.420782339</v>
      </c>
      <c r="BK55" s="115">
        <f t="shared" si="96"/>
        <v>13155478.1908</v>
      </c>
      <c r="BL55" s="115">
        <f t="shared" si="52"/>
        <v>13155478.1908</v>
      </c>
      <c r="BM55" s="116">
        <f t="shared" si="53"/>
        <v>1.0378000000000001</v>
      </c>
      <c r="BN55" s="126">
        <f t="shared" ca="1" si="108"/>
        <v>0</v>
      </c>
      <c r="BO55" s="117">
        <f t="shared" ca="1" si="109"/>
        <v>0</v>
      </c>
      <c r="BP55" s="118" t="str">
        <f t="shared" si="110"/>
        <v>Uncapped</v>
      </c>
      <c r="BQ55" s="115">
        <f t="shared" ca="1" si="111"/>
        <v>0</v>
      </c>
      <c r="BR55" s="113" t="s">
        <v>700</v>
      </c>
      <c r="BS55" s="161">
        <v>0.3</v>
      </c>
      <c r="BT55" s="113" t="s">
        <v>211</v>
      </c>
      <c r="BU55" s="160" t="s">
        <v>210</v>
      </c>
      <c r="BV55" s="113">
        <v>247422.25999999998</v>
      </c>
      <c r="BW55" s="113">
        <v>297845.20999999996</v>
      </c>
      <c r="BX55" s="113"/>
      <c r="BY55" s="113"/>
      <c r="BZ55" s="113">
        <v>217113.5484</v>
      </c>
      <c r="CA55" s="113">
        <v>351034.32779999997</v>
      </c>
      <c r="CB55" s="113"/>
      <c r="CC55" s="113"/>
      <c r="CD55" s="113"/>
      <c r="CE55" s="113"/>
      <c r="CF55" s="113"/>
      <c r="CG55" s="113"/>
      <c r="CH55" s="114">
        <f t="shared" si="55"/>
        <v>217113.5484</v>
      </c>
      <c r="CI55" s="114">
        <f t="shared" si="56"/>
        <v>351034.32779999997</v>
      </c>
      <c r="CJ55" s="120">
        <f t="shared" si="57"/>
        <v>0</v>
      </c>
      <c r="CK55" s="114">
        <f t="shared" si="58"/>
        <v>0</v>
      </c>
      <c r="CL55" s="114">
        <f t="shared" si="112"/>
        <v>568147.87619999994</v>
      </c>
      <c r="CM55" s="114">
        <f t="shared" si="97"/>
        <v>545267.47</v>
      </c>
      <c r="CN55" s="114">
        <f t="shared" si="59"/>
        <v>545267.47</v>
      </c>
      <c r="CO55" s="116">
        <f t="shared" si="60"/>
        <v>1.042</v>
      </c>
      <c r="CP55" s="126">
        <f t="shared" ca="1" si="61"/>
        <v>0</v>
      </c>
      <c r="CQ55" s="115">
        <f t="shared" ca="1" si="113"/>
        <v>0</v>
      </c>
      <c r="CR55" s="118" t="str">
        <f t="shared" si="114"/>
        <v>Uncapped</v>
      </c>
      <c r="CS55" s="115">
        <f t="shared" ca="1" si="115"/>
        <v>0</v>
      </c>
      <c r="CT55" s="113" t="s">
        <v>702</v>
      </c>
      <c r="CU55" s="119">
        <v>0.2</v>
      </c>
      <c r="CV55" s="113" t="s">
        <v>217</v>
      </c>
      <c r="CW55" s="113" t="s">
        <v>210</v>
      </c>
      <c r="CX55" s="113">
        <v>19653413.080999997</v>
      </c>
      <c r="CY55" s="113">
        <v>22848780.235100001</v>
      </c>
      <c r="CZ55" s="113"/>
      <c r="DA55" s="113"/>
      <c r="DB55" s="113">
        <v>19427532.107000571</v>
      </c>
      <c r="DC55" s="113">
        <v>22270538.357580002</v>
      </c>
      <c r="DD55" s="113"/>
      <c r="DE55" s="113"/>
      <c r="DF55" s="113"/>
      <c r="DG55" s="113"/>
      <c r="DH55" s="113"/>
      <c r="DI55" s="113"/>
      <c r="DJ55" s="114">
        <f t="shared" si="62"/>
        <v>19427532.107000571</v>
      </c>
      <c r="DK55" s="114">
        <f t="shared" si="63"/>
        <v>22270538.357580002</v>
      </c>
      <c r="DL55" s="114">
        <f t="shared" si="64"/>
        <v>0</v>
      </c>
      <c r="DM55" s="114">
        <f t="shared" si="65"/>
        <v>0</v>
      </c>
      <c r="DN55" s="114">
        <f t="shared" si="116"/>
        <v>41698070.464580573</v>
      </c>
      <c r="DO55" s="114">
        <f t="shared" si="98"/>
        <v>42502193.316100001</v>
      </c>
      <c r="DP55" s="114">
        <f t="shared" si="67"/>
        <v>42502193.316100001</v>
      </c>
      <c r="DQ55" s="116">
        <f t="shared" si="68"/>
        <v>0.98109999999999997</v>
      </c>
      <c r="DR55" s="126">
        <f t="shared" ca="1" si="117"/>
        <v>0</v>
      </c>
      <c r="DS55" s="115">
        <f t="shared" ca="1" si="118"/>
        <v>0</v>
      </c>
      <c r="DT55" s="118" t="str">
        <f t="shared" si="119"/>
        <v>Uncapped</v>
      </c>
      <c r="DU55" s="115">
        <f t="shared" ca="1" si="120"/>
        <v>0</v>
      </c>
      <c r="DV55" s="113"/>
      <c r="DW55" s="119">
        <v>0</v>
      </c>
      <c r="DX55" s="113"/>
      <c r="DY55" s="113"/>
      <c r="DZ55" s="113">
        <v>0</v>
      </c>
      <c r="EA55" s="113">
        <v>0</v>
      </c>
      <c r="EB55" s="113">
        <v>0</v>
      </c>
      <c r="EC55" s="113">
        <v>0</v>
      </c>
      <c r="ED55" s="113">
        <v>0</v>
      </c>
      <c r="EE55" s="113">
        <v>0</v>
      </c>
      <c r="EF55" s="113"/>
      <c r="EG55" s="113"/>
      <c r="EH55" s="113"/>
      <c r="EI55" s="113"/>
      <c r="EJ55" s="113"/>
      <c r="EK55" s="113"/>
      <c r="EL55" s="114">
        <f t="shared" si="69"/>
        <v>0</v>
      </c>
      <c r="EM55" s="114">
        <f t="shared" si="70"/>
        <v>0</v>
      </c>
      <c r="EN55" s="114">
        <f t="shared" si="71"/>
        <v>0</v>
      </c>
      <c r="EO55" s="114">
        <f t="shared" si="72"/>
        <v>0</v>
      </c>
      <c r="EP55" s="114">
        <f t="shared" si="121"/>
        <v>0</v>
      </c>
      <c r="EQ55" s="114">
        <f t="shared" si="99"/>
        <v>0</v>
      </c>
      <c r="ER55" s="114">
        <f t="shared" si="73"/>
        <v>0</v>
      </c>
      <c r="ES55" s="116">
        <f t="shared" si="74"/>
        <v>0</v>
      </c>
      <c r="ET55" s="126">
        <f t="shared" ca="1" si="75"/>
        <v>0</v>
      </c>
      <c r="EU55" s="115">
        <f t="shared" ca="1" si="122"/>
        <v>0</v>
      </c>
      <c r="EV55" s="118" t="str">
        <f t="shared" si="123"/>
        <v>Uncapped</v>
      </c>
      <c r="EW55" s="115">
        <f t="shared" ca="1" si="124"/>
        <v>0</v>
      </c>
      <c r="EX55" s="112">
        <f t="shared" ca="1" si="125"/>
        <v>0</v>
      </c>
      <c r="EY55" s="114">
        <f t="shared" ca="1" si="76"/>
        <v>0</v>
      </c>
      <c r="EZ55" s="115">
        <v>0</v>
      </c>
      <c r="FA55" s="115"/>
      <c r="FB55" s="115"/>
      <c r="FC55" s="115">
        <v>0</v>
      </c>
      <c r="FD55" s="115">
        <f t="shared" si="100"/>
        <v>0</v>
      </c>
      <c r="FE55" s="114">
        <f t="shared" si="135"/>
        <v>0</v>
      </c>
      <c r="FF55" s="115">
        <v>0</v>
      </c>
      <c r="FG55" s="115">
        <v>0</v>
      </c>
      <c r="FH55" s="115">
        <v>0</v>
      </c>
      <c r="FI55" s="115">
        <v>0</v>
      </c>
      <c r="FJ55" s="115">
        <f t="shared" si="101"/>
        <v>0</v>
      </c>
      <c r="FK55" s="114">
        <f t="shared" si="136"/>
        <v>0</v>
      </c>
      <c r="FL55" s="113"/>
      <c r="FM55" s="111"/>
      <c r="FN55" s="111"/>
      <c r="FO55" s="111"/>
      <c r="FP55" s="115">
        <f t="shared" si="88"/>
        <v>0</v>
      </c>
      <c r="FQ55" s="115"/>
      <c r="FR55" s="115"/>
      <c r="FS55" s="115"/>
      <c r="FT55" s="114">
        <f t="shared" si="77"/>
        <v>0</v>
      </c>
      <c r="FU55" s="366">
        <f t="shared" ca="1" si="79"/>
        <v>0</v>
      </c>
      <c r="FV55" s="121">
        <f t="shared" ca="1" si="78"/>
        <v>0</v>
      </c>
      <c r="FW55" s="114">
        <f t="shared" si="84"/>
        <v>0</v>
      </c>
      <c r="FX55" s="114">
        <f t="shared" si="84"/>
        <v>0</v>
      </c>
      <c r="FY55" s="114">
        <f t="shared" si="84"/>
        <v>0</v>
      </c>
      <c r="FZ55" s="114">
        <f t="shared" si="81"/>
        <v>0</v>
      </c>
      <c r="GA55" s="114">
        <f t="shared" si="89"/>
        <v>0</v>
      </c>
      <c r="GB55" s="114">
        <f t="shared" si="85"/>
        <v>0</v>
      </c>
      <c r="GC55" s="114">
        <f t="shared" si="85"/>
        <v>0</v>
      </c>
      <c r="GD55" s="114">
        <f t="shared" si="85"/>
        <v>0</v>
      </c>
      <c r="GE55" s="114">
        <f t="shared" si="82"/>
        <v>0</v>
      </c>
      <c r="GF55" s="114">
        <f t="shared" si="87"/>
        <v>0</v>
      </c>
      <c r="GG55" s="114">
        <f t="shared" si="87"/>
        <v>0</v>
      </c>
      <c r="GH55" s="114">
        <f t="shared" si="87"/>
        <v>0</v>
      </c>
      <c r="GI55" s="114">
        <f t="shared" si="86"/>
        <v>0</v>
      </c>
      <c r="GJ55" s="115">
        <f t="shared" si="102"/>
        <v>0</v>
      </c>
      <c r="GK55" s="114">
        <f t="shared" si="90"/>
        <v>0</v>
      </c>
      <c r="GL55" s="114">
        <f t="shared" si="126"/>
        <v>0</v>
      </c>
      <c r="GM55" s="114">
        <f t="shared" si="127"/>
        <v>0</v>
      </c>
      <c r="GN55" s="114">
        <f t="shared" si="128"/>
        <v>0</v>
      </c>
      <c r="GO55" s="114">
        <f t="shared" si="129"/>
        <v>0</v>
      </c>
      <c r="GP55" s="114">
        <f t="shared" si="103"/>
        <v>0</v>
      </c>
      <c r="GQ55" s="114">
        <f t="shared" si="91"/>
        <v>0</v>
      </c>
      <c r="GR55" s="193"/>
      <c r="GS55" s="122">
        <f t="shared" si="130"/>
        <v>55919190.761562914</v>
      </c>
      <c r="GT55" s="122">
        <f t="shared" si="131"/>
        <v>56202938.976900004</v>
      </c>
      <c r="GU55" s="123">
        <f t="shared" si="92"/>
        <v>0.99495136338948909</v>
      </c>
      <c r="GV55" s="124">
        <f t="shared" ca="1" si="132"/>
        <v>0</v>
      </c>
      <c r="GW55" s="124">
        <v>0</v>
      </c>
      <c r="GX55" s="32">
        <f t="shared" ca="1" si="133"/>
        <v>0</v>
      </c>
      <c r="GY55" s="100"/>
    </row>
    <row r="56" spans="1:207" s="125" customFormat="1" ht="15" hidden="1" customHeight="1">
      <c r="A56" s="102"/>
      <c r="B56" s="103"/>
      <c r="C56" s="103" t="s">
        <v>74</v>
      </c>
      <c r="D56" s="104"/>
      <c r="E56" s="104"/>
      <c r="F56" s="168" t="s">
        <v>347</v>
      </c>
      <c r="G56" s="104" t="s">
        <v>226</v>
      </c>
      <c r="H56" s="105" t="s">
        <v>353</v>
      </c>
      <c r="I56" s="106" t="s">
        <v>644</v>
      </c>
      <c r="J56" s="104" t="s">
        <v>212</v>
      </c>
      <c r="K56" s="104" t="s">
        <v>208</v>
      </c>
      <c r="L56" s="104" t="s">
        <v>350</v>
      </c>
      <c r="M56" s="104" t="s">
        <v>350</v>
      </c>
      <c r="N56" s="107"/>
      <c r="O56" s="549">
        <v>43530</v>
      </c>
      <c r="P56" s="359">
        <v>43530</v>
      </c>
      <c r="Q56" s="322">
        <f t="shared" si="105"/>
        <v>3</v>
      </c>
      <c r="R56" s="109">
        <f>IF((P56-VLOOKUP(Q56,month!$A$1:$C$13,3,0))&lt;0,Q56,Q56+1)</f>
        <v>3</v>
      </c>
      <c r="S56" s="108"/>
      <c r="T56" s="127" t="str">
        <f t="shared" si="80"/>
        <v/>
      </c>
      <c r="U56" s="320" t="s">
        <v>214</v>
      </c>
      <c r="V56" s="320">
        <v>1</v>
      </c>
      <c r="W56" s="320">
        <v>2</v>
      </c>
      <c r="X56" s="107"/>
      <c r="Y56" s="386"/>
      <c r="Z56" s="386" t="s">
        <v>545</v>
      </c>
      <c r="AA56" s="387">
        <v>1000</v>
      </c>
      <c r="AB56" s="387">
        <v>1000</v>
      </c>
      <c r="AC56" s="387">
        <v>1000</v>
      </c>
      <c r="AD56" s="387">
        <v>1000</v>
      </c>
      <c r="AE56" s="387">
        <v>1000</v>
      </c>
      <c r="AF56" s="387">
        <v>1000</v>
      </c>
      <c r="AG56" s="387">
        <v>1000</v>
      </c>
      <c r="AH56" s="387">
        <v>1000</v>
      </c>
      <c r="AI56" s="387">
        <v>1000</v>
      </c>
      <c r="AJ56" s="387">
        <v>1000</v>
      </c>
      <c r="AK56" s="387">
        <v>1000</v>
      </c>
      <c r="AL56" s="387">
        <v>1000</v>
      </c>
      <c r="AM56" s="388">
        <f t="shared" si="95"/>
        <v>12000</v>
      </c>
      <c r="AN56" s="388">
        <f t="shared" si="106"/>
        <v>12000</v>
      </c>
      <c r="AO56" s="389">
        <f>AC56</f>
        <v>1000</v>
      </c>
      <c r="AP56" s="498" t="s">
        <v>682</v>
      </c>
      <c r="AQ56" s="159">
        <v>0.5</v>
      </c>
      <c r="AR56" s="160" t="s">
        <v>211</v>
      </c>
      <c r="AS56" s="119" t="s">
        <v>210</v>
      </c>
      <c r="AT56" s="111">
        <v>3052191.6718000001</v>
      </c>
      <c r="AU56" s="111">
        <v>7051094.8471999997</v>
      </c>
      <c r="AV56" s="111"/>
      <c r="AW56" s="111"/>
      <c r="AX56" s="113">
        <v>3732200.1666000187</v>
      </c>
      <c r="AY56" s="113">
        <v>7144767.9219283722</v>
      </c>
      <c r="AZ56" s="113"/>
      <c r="BA56" s="113"/>
      <c r="BB56" s="113"/>
      <c r="BC56" s="113"/>
      <c r="BD56" s="113"/>
      <c r="BE56" s="113"/>
      <c r="BF56" s="114">
        <f t="shared" si="48"/>
        <v>3732200.1666000187</v>
      </c>
      <c r="BG56" s="114">
        <f t="shared" si="49"/>
        <v>7144767.9219283722</v>
      </c>
      <c r="BH56" s="114">
        <f t="shared" si="50"/>
        <v>0</v>
      </c>
      <c r="BI56" s="114">
        <f t="shared" si="51"/>
        <v>0</v>
      </c>
      <c r="BJ56" s="114">
        <f t="shared" si="107"/>
        <v>10876968.088528391</v>
      </c>
      <c r="BK56" s="115">
        <f t="shared" si="96"/>
        <v>10103286.518999999</v>
      </c>
      <c r="BL56" s="115">
        <f t="shared" si="52"/>
        <v>10103286.518999999</v>
      </c>
      <c r="BM56" s="116">
        <f t="shared" si="53"/>
        <v>1.0766</v>
      </c>
      <c r="BN56" s="126">
        <f t="shared" ca="1" si="108"/>
        <v>0</v>
      </c>
      <c r="BO56" s="117">
        <f t="shared" ca="1" si="109"/>
        <v>0</v>
      </c>
      <c r="BP56" s="118" t="str">
        <f t="shared" si="110"/>
        <v>Uncapped</v>
      </c>
      <c r="BQ56" s="115">
        <f t="shared" ca="1" si="111"/>
        <v>0</v>
      </c>
      <c r="BR56" s="113" t="s">
        <v>700</v>
      </c>
      <c r="BS56" s="161">
        <v>0.3</v>
      </c>
      <c r="BT56" s="113" t="s">
        <v>211</v>
      </c>
      <c r="BU56" s="160" t="s">
        <v>210</v>
      </c>
      <c r="BV56" s="113">
        <v>123711.13</v>
      </c>
      <c r="BW56" s="113">
        <v>297845.20999999996</v>
      </c>
      <c r="BX56" s="113"/>
      <c r="BY56" s="113"/>
      <c r="BZ56" s="554">
        <v>78329.259000000035</v>
      </c>
      <c r="CA56" s="113">
        <v>351034.32779999997</v>
      </c>
      <c r="CB56" s="113"/>
      <c r="CC56" s="113"/>
      <c r="CD56" s="113"/>
      <c r="CE56" s="113"/>
      <c r="CF56" s="113"/>
      <c r="CG56" s="113"/>
      <c r="CH56" s="114">
        <f t="shared" si="55"/>
        <v>78329.259000000035</v>
      </c>
      <c r="CI56" s="114">
        <f t="shared" si="56"/>
        <v>351034.32779999997</v>
      </c>
      <c r="CJ56" s="120">
        <f t="shared" si="57"/>
        <v>0</v>
      </c>
      <c r="CK56" s="114">
        <f t="shared" si="58"/>
        <v>0</v>
      </c>
      <c r="CL56" s="114">
        <f t="shared" si="112"/>
        <v>429363.58679999999</v>
      </c>
      <c r="CM56" s="114">
        <f t="shared" si="97"/>
        <v>421556.33999999997</v>
      </c>
      <c r="CN56" s="114">
        <f t="shared" si="59"/>
        <v>421556.33999999997</v>
      </c>
      <c r="CO56" s="116">
        <f t="shared" si="60"/>
        <v>1.0185</v>
      </c>
      <c r="CP56" s="126">
        <f t="shared" ca="1" si="61"/>
        <v>0</v>
      </c>
      <c r="CQ56" s="115">
        <f t="shared" ca="1" si="113"/>
        <v>0</v>
      </c>
      <c r="CR56" s="118">
        <v>1</v>
      </c>
      <c r="CS56" s="115">
        <f t="shared" si="115"/>
        <v>3600</v>
      </c>
      <c r="CT56" s="113" t="s">
        <v>702</v>
      </c>
      <c r="CU56" s="119">
        <v>0.2</v>
      </c>
      <c r="CV56" s="113" t="s">
        <v>217</v>
      </c>
      <c r="CW56" s="113" t="s">
        <v>210</v>
      </c>
      <c r="CX56" s="113">
        <v>9826706.5405000001</v>
      </c>
      <c r="CY56" s="113">
        <v>22848780.235100001</v>
      </c>
      <c r="CZ56" s="113"/>
      <c r="DA56" s="113"/>
      <c r="DB56" s="113">
        <v>10439170.410689997</v>
      </c>
      <c r="DC56" s="113">
        <v>22270538.357580002</v>
      </c>
      <c r="DD56" s="113"/>
      <c r="DE56" s="113"/>
      <c r="DF56" s="113"/>
      <c r="DG56" s="113"/>
      <c r="DH56" s="113"/>
      <c r="DI56" s="113"/>
      <c r="DJ56" s="114">
        <f t="shared" si="62"/>
        <v>10439170.410689997</v>
      </c>
      <c r="DK56" s="114">
        <f t="shared" si="63"/>
        <v>22270538.357580002</v>
      </c>
      <c r="DL56" s="114">
        <f t="shared" si="64"/>
        <v>0</v>
      </c>
      <c r="DM56" s="114">
        <f t="shared" si="65"/>
        <v>0</v>
      </c>
      <c r="DN56" s="114">
        <f t="shared" si="116"/>
        <v>32709708.768270001</v>
      </c>
      <c r="DO56" s="114">
        <f t="shared" si="98"/>
        <v>32675486.775600001</v>
      </c>
      <c r="DP56" s="114">
        <f t="shared" si="67"/>
        <v>32675486.775600001</v>
      </c>
      <c r="DQ56" s="116">
        <f t="shared" si="68"/>
        <v>1.0009999999999999</v>
      </c>
      <c r="DR56" s="126">
        <f t="shared" ca="1" si="117"/>
        <v>0</v>
      </c>
      <c r="DS56" s="115">
        <f t="shared" ca="1" si="118"/>
        <v>0</v>
      </c>
      <c r="DT56" s="118">
        <v>1</v>
      </c>
      <c r="DU56" s="115">
        <f t="shared" si="120"/>
        <v>2400</v>
      </c>
      <c r="DV56" s="113"/>
      <c r="DW56" s="119">
        <v>0</v>
      </c>
      <c r="DX56" s="113"/>
      <c r="DY56" s="113"/>
      <c r="DZ56" s="113">
        <v>0</v>
      </c>
      <c r="EA56" s="113">
        <v>0</v>
      </c>
      <c r="EB56" s="113">
        <v>0</v>
      </c>
      <c r="EC56" s="113">
        <v>0</v>
      </c>
      <c r="ED56" s="113">
        <v>0</v>
      </c>
      <c r="EE56" s="113">
        <v>0</v>
      </c>
      <c r="EF56" s="113"/>
      <c r="EG56" s="113"/>
      <c r="EH56" s="113"/>
      <c r="EI56" s="113"/>
      <c r="EJ56" s="113"/>
      <c r="EK56" s="113"/>
      <c r="EL56" s="114">
        <f t="shared" si="69"/>
        <v>0</v>
      </c>
      <c r="EM56" s="114">
        <f t="shared" si="70"/>
        <v>0</v>
      </c>
      <c r="EN56" s="114">
        <f t="shared" si="71"/>
        <v>0</v>
      </c>
      <c r="EO56" s="114">
        <f t="shared" si="72"/>
        <v>0</v>
      </c>
      <c r="EP56" s="114">
        <f t="shared" si="121"/>
        <v>0</v>
      </c>
      <c r="EQ56" s="114">
        <f t="shared" si="99"/>
        <v>0</v>
      </c>
      <c r="ER56" s="114">
        <f t="shared" si="73"/>
        <v>0</v>
      </c>
      <c r="ES56" s="116">
        <f t="shared" si="74"/>
        <v>0</v>
      </c>
      <c r="ET56" s="126">
        <f t="shared" ca="1" si="75"/>
        <v>0</v>
      </c>
      <c r="EU56" s="115">
        <f t="shared" ca="1" si="122"/>
        <v>0</v>
      </c>
      <c r="EV56" s="118" t="str">
        <f t="shared" si="123"/>
        <v>Uncapped</v>
      </c>
      <c r="EW56" s="115">
        <f t="shared" ca="1" si="124"/>
        <v>0</v>
      </c>
      <c r="EX56" s="112">
        <f t="shared" ca="1" si="125"/>
        <v>0</v>
      </c>
      <c r="EY56" s="114">
        <f t="shared" ca="1" si="76"/>
        <v>3000</v>
      </c>
      <c r="EZ56" s="115">
        <v>0</v>
      </c>
      <c r="FA56" s="115"/>
      <c r="FB56" s="115"/>
      <c r="FC56" s="115">
        <v>0</v>
      </c>
      <c r="FD56" s="115">
        <f t="shared" si="100"/>
        <v>0</v>
      </c>
      <c r="FE56" s="114">
        <f t="shared" si="135"/>
        <v>0</v>
      </c>
      <c r="FF56" s="115">
        <v>0</v>
      </c>
      <c r="FG56" s="115">
        <v>0</v>
      </c>
      <c r="FH56" s="115">
        <v>0</v>
      </c>
      <c r="FI56" s="115">
        <v>0</v>
      </c>
      <c r="FJ56" s="115">
        <f t="shared" si="101"/>
        <v>0</v>
      </c>
      <c r="FK56" s="114">
        <f t="shared" si="136"/>
        <v>0</v>
      </c>
      <c r="FL56" s="113"/>
      <c r="FM56" s="111"/>
      <c r="FN56" s="111"/>
      <c r="FO56" s="111"/>
      <c r="FP56" s="115">
        <f t="shared" si="88"/>
        <v>0</v>
      </c>
      <c r="FQ56" s="115"/>
      <c r="FR56" s="115"/>
      <c r="FS56" s="115"/>
      <c r="FT56" s="114">
        <f t="shared" si="77"/>
        <v>0</v>
      </c>
      <c r="FU56" s="366">
        <f t="shared" ca="1" si="79"/>
        <v>3000</v>
      </c>
      <c r="FV56" s="121">
        <f t="shared" ca="1" si="78"/>
        <v>3000</v>
      </c>
      <c r="FW56" s="114">
        <f t="shared" si="84"/>
        <v>0</v>
      </c>
      <c r="FX56" s="114">
        <f t="shared" si="84"/>
        <v>0</v>
      </c>
      <c r="FY56" s="114">
        <f t="shared" si="84"/>
        <v>0</v>
      </c>
      <c r="FZ56" s="114">
        <f t="shared" si="81"/>
        <v>0</v>
      </c>
      <c r="GA56" s="114">
        <f>SUM(FW56:FZ56)</f>
        <v>0</v>
      </c>
      <c r="GB56" s="114">
        <f t="shared" si="85"/>
        <v>0</v>
      </c>
      <c r="GC56" s="114">
        <f t="shared" si="85"/>
        <v>0</v>
      </c>
      <c r="GD56" s="114">
        <f t="shared" si="85"/>
        <v>0</v>
      </c>
      <c r="GE56" s="114">
        <f t="shared" si="82"/>
        <v>0</v>
      </c>
      <c r="GF56" s="114">
        <f>GB56+FW56</f>
        <v>0</v>
      </c>
      <c r="GG56" s="114">
        <f>GC56+FX56</f>
        <v>0</v>
      </c>
      <c r="GH56" s="114">
        <f>GD56+FY56</f>
        <v>0</v>
      </c>
      <c r="GI56" s="114">
        <f>GE56+FZ56</f>
        <v>0</v>
      </c>
      <c r="GJ56" s="115">
        <f t="shared" si="102"/>
        <v>0</v>
      </c>
      <c r="GK56" s="114">
        <f>SUM(GF56:GI56)</f>
        <v>0</v>
      </c>
      <c r="GL56" s="114">
        <f t="shared" si="126"/>
        <v>1000</v>
      </c>
      <c r="GM56" s="114">
        <f t="shared" si="127"/>
        <v>2000</v>
      </c>
      <c r="GN56" s="114">
        <f t="shared" si="128"/>
        <v>0</v>
      </c>
      <c r="GO56" s="114">
        <f t="shared" si="129"/>
        <v>0</v>
      </c>
      <c r="GP56" s="114">
        <f t="shared" si="103"/>
        <v>3000</v>
      </c>
      <c r="GQ56" s="114">
        <f>SUM(GL56:GO56)</f>
        <v>3000</v>
      </c>
      <c r="GR56" s="216"/>
      <c r="GS56" s="122">
        <f t="shared" si="130"/>
        <v>44016040.44359839</v>
      </c>
      <c r="GT56" s="122">
        <f t="shared" si="131"/>
        <v>43200329.634599999</v>
      </c>
      <c r="GU56" s="123">
        <f>IFERROR(GS56/GT56,"")</f>
        <v>1.0188820505745648</v>
      </c>
      <c r="GV56" s="124">
        <f t="shared" ca="1" si="132"/>
        <v>0</v>
      </c>
      <c r="GW56" s="124">
        <v>0</v>
      </c>
      <c r="GX56" s="32">
        <f t="shared" ca="1" si="133"/>
        <v>0</v>
      </c>
      <c r="GY56" s="100"/>
    </row>
    <row r="57" spans="1:207" s="171" customFormat="1" ht="15" hidden="1" customHeight="1">
      <c r="A57" s="129"/>
      <c r="B57" s="130"/>
      <c r="C57" s="130"/>
      <c r="D57" s="131" t="s">
        <v>215</v>
      </c>
      <c r="E57" s="131" t="s">
        <v>354</v>
      </c>
      <c r="F57" s="131" t="s">
        <v>355</v>
      </c>
      <c r="G57" s="131" t="s">
        <v>226</v>
      </c>
      <c r="H57" s="132" t="s">
        <v>356</v>
      </c>
      <c r="I57" s="133" t="s">
        <v>357</v>
      </c>
      <c r="J57" s="131" t="s">
        <v>238</v>
      </c>
      <c r="K57" s="131" t="s">
        <v>790</v>
      </c>
      <c r="L57" s="131" t="s">
        <v>209</v>
      </c>
      <c r="M57" s="131" t="s">
        <v>209</v>
      </c>
      <c r="N57" s="134"/>
      <c r="O57" s="155">
        <v>41376</v>
      </c>
      <c r="P57" s="155">
        <v>43252</v>
      </c>
      <c r="Q57" s="321">
        <f t="shared" si="105"/>
        <v>0</v>
      </c>
      <c r="R57" s="109">
        <f>IF((P57-VLOOKUP(Q57,month!$A$1:$C$13,3,0))&lt;0,Q57,Q57+1)</f>
        <v>0</v>
      </c>
      <c r="S57" s="108"/>
      <c r="T57" s="135" t="str">
        <f t="shared" si="80"/>
        <v/>
      </c>
      <c r="U57" s="134"/>
      <c r="V57" s="134"/>
      <c r="W57" s="134"/>
      <c r="X57" s="134"/>
      <c r="Y57" s="383"/>
      <c r="Z57" s="383" t="s">
        <v>545</v>
      </c>
      <c r="AA57" s="371">
        <v>1000</v>
      </c>
      <c r="AB57" s="371">
        <v>1000</v>
      </c>
      <c r="AC57" s="371">
        <v>1000</v>
      </c>
      <c r="AD57" s="371">
        <v>1000</v>
      </c>
      <c r="AE57" s="371">
        <v>1000</v>
      </c>
      <c r="AF57" s="371">
        <v>1000</v>
      </c>
      <c r="AG57" s="371">
        <v>1000</v>
      </c>
      <c r="AH57" s="371">
        <v>1000</v>
      </c>
      <c r="AI57" s="371">
        <v>1000</v>
      </c>
      <c r="AJ57" s="371">
        <v>1000</v>
      </c>
      <c r="AK57" s="371">
        <v>1000</v>
      </c>
      <c r="AL57" s="371">
        <v>1000</v>
      </c>
      <c r="AM57" s="384">
        <f t="shared" si="95"/>
        <v>12000</v>
      </c>
      <c r="AN57" s="384">
        <f t="shared" si="106"/>
        <v>12000</v>
      </c>
      <c r="AO57" s="385">
        <f t="shared" ref="AO57:AO59" si="139">AI57</f>
        <v>1000</v>
      </c>
      <c r="AP57" s="497" t="s">
        <v>686</v>
      </c>
      <c r="AQ57" s="156">
        <v>0.8</v>
      </c>
      <c r="AR57" s="157" t="s">
        <v>358</v>
      </c>
      <c r="AS57" s="146" t="s">
        <v>210</v>
      </c>
      <c r="AT57" s="136">
        <v>17713882.649344876</v>
      </c>
      <c r="AU57" s="136">
        <v>18487356.905825045</v>
      </c>
      <c r="AV57" s="136">
        <v>17304625.738273855</v>
      </c>
      <c r="AW57" s="136">
        <v>17964923.715506107</v>
      </c>
      <c r="AX57" s="138">
        <v>19461508.225609995</v>
      </c>
      <c r="AY57" s="138">
        <v>15811473.79847</v>
      </c>
      <c r="AZ57" s="138">
        <v>15265383.805520002</v>
      </c>
      <c r="BA57" s="138"/>
      <c r="BB57" s="138"/>
      <c r="BC57" s="138"/>
      <c r="BD57" s="138"/>
      <c r="BE57" s="138"/>
      <c r="BF57" s="139">
        <f t="shared" si="48"/>
        <v>19461508.225609995</v>
      </c>
      <c r="BG57" s="139">
        <f t="shared" si="49"/>
        <v>15811473.79847</v>
      </c>
      <c r="BH57" s="139">
        <f t="shared" si="50"/>
        <v>15265383.805520002</v>
      </c>
      <c r="BI57" s="139">
        <f t="shared" si="51"/>
        <v>0</v>
      </c>
      <c r="BJ57" s="139">
        <f t="shared" si="107"/>
        <v>50538365.829599991</v>
      </c>
      <c r="BK57" s="140">
        <f t="shared" si="96"/>
        <v>71470789.008949891</v>
      </c>
      <c r="BL57" s="140">
        <f t="shared" si="52"/>
        <v>71470789.008949891</v>
      </c>
      <c r="BM57" s="141">
        <f t="shared" si="53"/>
        <v>0.70709999999999995</v>
      </c>
      <c r="BN57" s="142">
        <f t="shared" ca="1" si="108"/>
        <v>0</v>
      </c>
      <c r="BO57" s="143">
        <f t="shared" ca="1" si="109"/>
        <v>0</v>
      </c>
      <c r="BP57" s="144" t="str">
        <f t="shared" si="110"/>
        <v>Uncapped</v>
      </c>
      <c r="BQ57" s="140">
        <f t="shared" ca="1" si="111"/>
        <v>0</v>
      </c>
      <c r="BR57" s="138" t="s">
        <v>696</v>
      </c>
      <c r="BS57" s="158">
        <v>0.2</v>
      </c>
      <c r="BT57" s="138" t="s">
        <v>217</v>
      </c>
      <c r="BU57" s="157" t="s">
        <v>210</v>
      </c>
      <c r="BV57" s="138">
        <v>61881722.047854595</v>
      </c>
      <c r="BW57" s="138">
        <v>72180793.063260496</v>
      </c>
      <c r="BX57" s="138">
        <v>69179032.514420599</v>
      </c>
      <c r="BY57" s="138">
        <v>76323964.015026003</v>
      </c>
      <c r="BZ57" s="138">
        <v>63657388.730680585</v>
      </c>
      <c r="CA57" s="138">
        <v>65995192.891159974</v>
      </c>
      <c r="CB57" s="138">
        <v>66410604.684560001</v>
      </c>
      <c r="CC57" s="138"/>
      <c r="CD57" s="138"/>
      <c r="CE57" s="138"/>
      <c r="CF57" s="138"/>
      <c r="CG57" s="138"/>
      <c r="CH57" s="139">
        <f t="shared" si="55"/>
        <v>63657388.730680585</v>
      </c>
      <c r="CI57" s="139">
        <f t="shared" si="56"/>
        <v>65995192.891159974</v>
      </c>
      <c r="CJ57" s="145">
        <f t="shared" si="57"/>
        <v>66410604.684560001</v>
      </c>
      <c r="CK57" s="139">
        <f t="shared" si="58"/>
        <v>0</v>
      </c>
      <c r="CL57" s="139">
        <f t="shared" si="112"/>
        <v>196063186.30640057</v>
      </c>
      <c r="CM57" s="139">
        <f t="shared" si="97"/>
        <v>279565511.6405617</v>
      </c>
      <c r="CN57" s="139">
        <f t="shared" si="59"/>
        <v>279565511.6405617</v>
      </c>
      <c r="CO57" s="141">
        <f t="shared" si="60"/>
        <v>0.70130000000000003</v>
      </c>
      <c r="CP57" s="142">
        <f t="shared" ca="1" si="61"/>
        <v>0</v>
      </c>
      <c r="CQ57" s="140">
        <f t="shared" ca="1" si="113"/>
        <v>0</v>
      </c>
      <c r="CR57" s="144" t="str">
        <f t="shared" si="114"/>
        <v>Uncapped</v>
      </c>
      <c r="CS57" s="140">
        <f t="shared" ca="1" si="115"/>
        <v>0</v>
      </c>
      <c r="CT57" s="138"/>
      <c r="CU57" s="146">
        <v>0</v>
      </c>
      <c r="CV57" s="138"/>
      <c r="CW57" s="138"/>
      <c r="CX57" s="138">
        <v>0</v>
      </c>
      <c r="CY57" s="138">
        <v>0</v>
      </c>
      <c r="CZ57" s="138">
        <v>0</v>
      </c>
      <c r="DA57" s="138">
        <v>0</v>
      </c>
      <c r="DB57" s="138">
        <v>0</v>
      </c>
      <c r="DC57" s="138">
        <v>0</v>
      </c>
      <c r="DD57" s="138">
        <v>0</v>
      </c>
      <c r="DE57" s="138"/>
      <c r="DF57" s="138"/>
      <c r="DG57" s="138"/>
      <c r="DH57" s="138"/>
      <c r="DI57" s="138"/>
      <c r="DJ57" s="139">
        <f t="shared" si="62"/>
        <v>0</v>
      </c>
      <c r="DK57" s="139">
        <f t="shared" si="63"/>
        <v>0</v>
      </c>
      <c r="DL57" s="139">
        <f t="shared" si="64"/>
        <v>0</v>
      </c>
      <c r="DM57" s="139">
        <f t="shared" si="65"/>
        <v>0</v>
      </c>
      <c r="DN57" s="139">
        <f t="shared" si="116"/>
        <v>0</v>
      </c>
      <c r="DO57" s="139">
        <f t="shared" si="98"/>
        <v>0</v>
      </c>
      <c r="DP57" s="139">
        <f t="shared" si="67"/>
        <v>0</v>
      </c>
      <c r="DQ57" s="141">
        <f t="shared" si="68"/>
        <v>0</v>
      </c>
      <c r="DR57" s="142">
        <f t="shared" ca="1" si="117"/>
        <v>0</v>
      </c>
      <c r="DS57" s="140">
        <f t="shared" ca="1" si="118"/>
        <v>0</v>
      </c>
      <c r="DT57" s="144" t="str">
        <f t="shared" si="119"/>
        <v>Uncapped</v>
      </c>
      <c r="DU57" s="140">
        <f t="shared" ca="1" si="120"/>
        <v>0</v>
      </c>
      <c r="DV57" s="138"/>
      <c r="DW57" s="146">
        <v>0</v>
      </c>
      <c r="DX57" s="138"/>
      <c r="DY57" s="138"/>
      <c r="DZ57" s="138">
        <v>0</v>
      </c>
      <c r="EA57" s="138">
        <v>0</v>
      </c>
      <c r="EB57" s="138">
        <v>0</v>
      </c>
      <c r="EC57" s="138">
        <v>0</v>
      </c>
      <c r="ED57" s="138">
        <v>0</v>
      </c>
      <c r="EE57" s="138">
        <v>0</v>
      </c>
      <c r="EF57" s="138"/>
      <c r="EG57" s="138"/>
      <c r="EH57" s="138"/>
      <c r="EI57" s="138"/>
      <c r="EJ57" s="138"/>
      <c r="EK57" s="138"/>
      <c r="EL57" s="139">
        <f t="shared" si="69"/>
        <v>0</v>
      </c>
      <c r="EM57" s="139">
        <f t="shared" si="70"/>
        <v>0</v>
      </c>
      <c r="EN57" s="139">
        <f t="shared" si="71"/>
        <v>0</v>
      </c>
      <c r="EO57" s="139">
        <f t="shared" si="72"/>
        <v>0</v>
      </c>
      <c r="EP57" s="139">
        <f t="shared" si="121"/>
        <v>0</v>
      </c>
      <c r="EQ57" s="139">
        <f t="shared" si="99"/>
        <v>0</v>
      </c>
      <c r="ER57" s="139">
        <f t="shared" si="73"/>
        <v>0</v>
      </c>
      <c r="ES57" s="141">
        <f t="shared" si="74"/>
        <v>0</v>
      </c>
      <c r="ET57" s="142">
        <f t="shared" ca="1" si="75"/>
        <v>0</v>
      </c>
      <c r="EU57" s="140">
        <f t="shared" ca="1" si="122"/>
        <v>0</v>
      </c>
      <c r="EV57" s="144" t="str">
        <f t="shared" si="123"/>
        <v>Uncapped</v>
      </c>
      <c r="EW57" s="140">
        <f t="shared" ca="1" si="124"/>
        <v>0</v>
      </c>
      <c r="EX57" s="137">
        <f t="shared" ca="1" si="125"/>
        <v>0</v>
      </c>
      <c r="EY57" s="139">
        <f t="shared" ca="1" si="76"/>
        <v>0</v>
      </c>
      <c r="EZ57" s="140">
        <v>0</v>
      </c>
      <c r="FA57" s="140"/>
      <c r="FB57" s="140"/>
      <c r="FC57" s="140">
        <v>0</v>
      </c>
      <c r="FD57" s="140">
        <f t="shared" si="100"/>
        <v>0</v>
      </c>
      <c r="FE57" s="139">
        <f t="shared" si="135"/>
        <v>0</v>
      </c>
      <c r="FF57" s="140">
        <v>0</v>
      </c>
      <c r="FG57" s="140">
        <v>0</v>
      </c>
      <c r="FH57" s="140">
        <v>0</v>
      </c>
      <c r="FI57" s="140">
        <v>0</v>
      </c>
      <c r="FJ57" s="140">
        <f t="shared" si="101"/>
        <v>0</v>
      </c>
      <c r="FK57" s="139">
        <f t="shared" si="136"/>
        <v>0</v>
      </c>
      <c r="FL57" s="138"/>
      <c r="FM57" s="136"/>
      <c r="FN57" s="136"/>
      <c r="FO57" s="136"/>
      <c r="FP57" s="140">
        <f t="shared" si="88"/>
        <v>0</v>
      </c>
      <c r="FQ57" s="140"/>
      <c r="FR57" s="140"/>
      <c r="FS57" s="140"/>
      <c r="FT57" s="139">
        <f t="shared" si="77"/>
        <v>0</v>
      </c>
      <c r="FU57" s="365">
        <f t="shared" ca="1" si="79"/>
        <v>0</v>
      </c>
      <c r="FV57" s="147">
        <f t="shared" ca="1" si="78"/>
        <v>0</v>
      </c>
      <c r="FW57" s="139">
        <f t="shared" si="84"/>
        <v>0</v>
      </c>
      <c r="FX57" s="139">
        <f t="shared" si="84"/>
        <v>0</v>
      </c>
      <c r="FY57" s="139">
        <f t="shared" si="84"/>
        <v>0</v>
      </c>
      <c r="FZ57" s="139">
        <f t="shared" si="81"/>
        <v>0</v>
      </c>
      <c r="GA57" s="139">
        <f t="shared" si="89"/>
        <v>0</v>
      </c>
      <c r="GB57" s="139">
        <f t="shared" si="85"/>
        <v>0</v>
      </c>
      <c r="GC57" s="139">
        <f t="shared" si="85"/>
        <v>0</v>
      </c>
      <c r="GD57" s="139">
        <f t="shared" si="85"/>
        <v>0</v>
      </c>
      <c r="GE57" s="139">
        <f t="shared" si="82"/>
        <v>0</v>
      </c>
      <c r="GF57" s="139">
        <f t="shared" si="87"/>
        <v>0</v>
      </c>
      <c r="GG57" s="139">
        <f t="shared" si="87"/>
        <v>0</v>
      </c>
      <c r="GH57" s="139">
        <f t="shared" si="87"/>
        <v>0</v>
      </c>
      <c r="GI57" s="139">
        <f t="shared" si="86"/>
        <v>0</v>
      </c>
      <c r="GJ57" s="140">
        <f t="shared" si="102"/>
        <v>0</v>
      </c>
      <c r="GK57" s="139">
        <f t="shared" si="90"/>
        <v>0</v>
      </c>
      <c r="GL57" s="139">
        <f t="shared" si="126"/>
        <v>0</v>
      </c>
      <c r="GM57" s="139">
        <f t="shared" si="127"/>
        <v>0</v>
      </c>
      <c r="GN57" s="139">
        <f t="shared" si="128"/>
        <v>0</v>
      </c>
      <c r="GO57" s="139">
        <f t="shared" si="129"/>
        <v>0</v>
      </c>
      <c r="GP57" s="139">
        <f t="shared" si="103"/>
        <v>0</v>
      </c>
      <c r="GQ57" s="139">
        <f t="shared" si="91"/>
        <v>0</v>
      </c>
      <c r="GR57" s="409"/>
      <c r="GS57" s="148">
        <f t="shared" si="130"/>
        <v>246601552.13600057</v>
      </c>
      <c r="GT57" s="148">
        <f t="shared" si="131"/>
        <v>351036300.64951158</v>
      </c>
      <c r="GU57" s="149">
        <f t="shared" si="92"/>
        <v>0.70249587202155839</v>
      </c>
      <c r="GV57" s="150">
        <f t="shared" ca="1" si="132"/>
        <v>0</v>
      </c>
      <c r="GW57" s="150">
        <v>0</v>
      </c>
      <c r="GX57" s="151">
        <f t="shared" ca="1" si="133"/>
        <v>0</v>
      </c>
      <c r="GY57" s="100"/>
    </row>
    <row r="58" spans="1:207" s="481" customFormat="1" ht="15" hidden="1" customHeight="1">
      <c r="A58" s="447"/>
      <c r="B58" s="448"/>
      <c r="C58" s="448"/>
      <c r="D58" s="449" t="s">
        <v>215</v>
      </c>
      <c r="E58" s="460" t="s">
        <v>216</v>
      </c>
      <c r="F58" s="460" t="s">
        <v>359</v>
      </c>
      <c r="G58" s="449" t="s">
        <v>226</v>
      </c>
      <c r="H58" s="450" t="s">
        <v>360</v>
      </c>
      <c r="I58" s="451" t="s">
        <v>361</v>
      </c>
      <c r="J58" s="449" t="s">
        <v>212</v>
      </c>
      <c r="K58" s="449" t="s">
        <v>215</v>
      </c>
      <c r="L58" s="449" t="s">
        <v>213</v>
      </c>
      <c r="M58" s="449" t="s">
        <v>362</v>
      </c>
      <c r="N58" s="452"/>
      <c r="O58" s="420">
        <v>41376</v>
      </c>
      <c r="P58" s="420">
        <v>43344</v>
      </c>
      <c r="Q58" s="453">
        <f t="shared" si="105"/>
        <v>0</v>
      </c>
      <c r="R58" s="419">
        <f>IF((P58-VLOOKUP(Q58,month!$A$1:$C$13,3,0))&lt;0,Q58,Q58+1)</f>
        <v>0</v>
      </c>
      <c r="S58" s="420"/>
      <c r="T58" s="482" t="str">
        <f t="shared" si="80"/>
        <v/>
      </c>
      <c r="U58" s="452"/>
      <c r="V58" s="452"/>
      <c r="W58" s="452"/>
      <c r="X58" s="452"/>
      <c r="Y58" s="456"/>
      <c r="Z58" s="456" t="s">
        <v>545</v>
      </c>
      <c r="AA58" s="457">
        <v>1000</v>
      </c>
      <c r="AB58" s="457">
        <v>1000</v>
      </c>
      <c r="AC58" s="457">
        <v>1000</v>
      </c>
      <c r="AD58" s="457">
        <v>1000</v>
      </c>
      <c r="AE58" s="457">
        <v>1000</v>
      </c>
      <c r="AF58" s="457">
        <v>1000</v>
      </c>
      <c r="AG58" s="457">
        <v>1000</v>
      </c>
      <c r="AH58" s="457">
        <v>1000</v>
      </c>
      <c r="AI58" s="457">
        <v>1000</v>
      </c>
      <c r="AJ58" s="457">
        <v>1000</v>
      </c>
      <c r="AK58" s="457">
        <v>1000</v>
      </c>
      <c r="AL58" s="457">
        <v>1000</v>
      </c>
      <c r="AM58" s="458">
        <f t="shared" si="95"/>
        <v>12000</v>
      </c>
      <c r="AN58" s="458">
        <f t="shared" si="106"/>
        <v>12000</v>
      </c>
      <c r="AO58" s="459">
        <f t="shared" si="139"/>
        <v>1000</v>
      </c>
      <c r="AP58" s="500" t="s">
        <v>677</v>
      </c>
      <c r="AQ58" s="461">
        <v>0.5</v>
      </c>
      <c r="AR58" s="462" t="s">
        <v>358</v>
      </c>
      <c r="AS58" s="463" t="s">
        <v>210</v>
      </c>
      <c r="AT58" s="464">
        <v>8906000</v>
      </c>
      <c r="AU58" s="464">
        <v>1761000</v>
      </c>
      <c r="AV58" s="464">
        <v>3935000</v>
      </c>
      <c r="AW58" s="464">
        <v>2778000</v>
      </c>
      <c r="AX58" s="460">
        <v>10470157.922</v>
      </c>
      <c r="AY58" s="460">
        <v>3169805.6150000021</v>
      </c>
      <c r="AZ58" s="460">
        <v>3592160.6609999994</v>
      </c>
      <c r="BA58" s="460"/>
      <c r="BB58" s="460"/>
      <c r="BC58" s="460"/>
      <c r="BD58" s="460"/>
      <c r="BE58" s="460"/>
      <c r="BF58" s="465">
        <f t="shared" si="48"/>
        <v>10470157.922</v>
      </c>
      <c r="BG58" s="465">
        <f t="shared" si="49"/>
        <v>3169805.6150000021</v>
      </c>
      <c r="BH58" s="465">
        <f t="shared" si="50"/>
        <v>3592160.6609999994</v>
      </c>
      <c r="BI58" s="465">
        <f t="shared" si="51"/>
        <v>0</v>
      </c>
      <c r="BJ58" s="465">
        <f t="shared" si="107"/>
        <v>17232124.198000003</v>
      </c>
      <c r="BK58" s="466">
        <f t="shared" si="96"/>
        <v>17380000</v>
      </c>
      <c r="BL58" s="466">
        <f t="shared" si="52"/>
        <v>17380000</v>
      </c>
      <c r="BM58" s="467">
        <f t="shared" si="53"/>
        <v>0.99150000000000005</v>
      </c>
      <c r="BN58" s="468">
        <f t="shared" ca="1" si="108"/>
        <v>0</v>
      </c>
      <c r="BO58" s="469">
        <f t="shared" ca="1" si="109"/>
        <v>0</v>
      </c>
      <c r="BP58" s="470" t="str">
        <f t="shared" si="110"/>
        <v>Uncapped</v>
      </c>
      <c r="BQ58" s="466">
        <f t="shared" ca="1" si="111"/>
        <v>0</v>
      </c>
      <c r="BR58" s="460" t="s">
        <v>697</v>
      </c>
      <c r="BS58" s="471">
        <v>0.3</v>
      </c>
      <c r="BT58" s="460" t="s">
        <v>217</v>
      </c>
      <c r="BU58" s="462" t="s">
        <v>210</v>
      </c>
      <c r="BV58" s="460">
        <v>10644900</v>
      </c>
      <c r="BW58" s="460">
        <v>4062900</v>
      </c>
      <c r="BX58" s="460">
        <v>5528700</v>
      </c>
      <c r="BY58" s="460">
        <v>5481500</v>
      </c>
      <c r="BZ58" s="460">
        <v>12422663.023</v>
      </c>
      <c r="CA58" s="460">
        <v>5718243.1750000017</v>
      </c>
      <c r="CB58" s="460">
        <v>4503181.8509999998</v>
      </c>
      <c r="CC58" s="460"/>
      <c r="CD58" s="460"/>
      <c r="CE58" s="460"/>
      <c r="CF58" s="460"/>
      <c r="CG58" s="460"/>
      <c r="CH58" s="465">
        <f t="shared" si="55"/>
        <v>12422663.023</v>
      </c>
      <c r="CI58" s="465">
        <f t="shared" si="56"/>
        <v>5718243.1750000017</v>
      </c>
      <c r="CJ58" s="472">
        <f t="shared" si="57"/>
        <v>4503181.8509999998</v>
      </c>
      <c r="CK58" s="465">
        <f t="shared" si="58"/>
        <v>0</v>
      </c>
      <c r="CL58" s="465">
        <f t="shared" si="112"/>
        <v>22644088.049000002</v>
      </c>
      <c r="CM58" s="465">
        <f t="shared" si="97"/>
        <v>25718000</v>
      </c>
      <c r="CN58" s="465">
        <f t="shared" si="59"/>
        <v>25718000</v>
      </c>
      <c r="CO58" s="467">
        <f t="shared" si="60"/>
        <v>0.88049999999999995</v>
      </c>
      <c r="CP58" s="468">
        <f t="shared" ca="1" si="61"/>
        <v>0</v>
      </c>
      <c r="CQ58" s="466">
        <f t="shared" ca="1" si="113"/>
        <v>0</v>
      </c>
      <c r="CR58" s="470" t="str">
        <f t="shared" si="114"/>
        <v>Uncapped</v>
      </c>
      <c r="CS58" s="466">
        <f t="shared" ca="1" si="115"/>
        <v>0</v>
      </c>
      <c r="CT58" s="460" t="s">
        <v>681</v>
      </c>
      <c r="CU58" s="463">
        <v>0.1</v>
      </c>
      <c r="CV58" s="460" t="s">
        <v>217</v>
      </c>
      <c r="CW58" s="460" t="s">
        <v>210</v>
      </c>
      <c r="CX58" s="460">
        <v>12667084.918482166</v>
      </c>
      <c r="CY58" s="460">
        <v>13178645.488737401</v>
      </c>
      <c r="CZ58" s="460">
        <v>12190341.596061932</v>
      </c>
      <c r="DA58" s="460">
        <v>12342000.7336083</v>
      </c>
      <c r="DB58" s="460">
        <v>14536882.36749677</v>
      </c>
      <c r="DC58" s="460">
        <v>10749156.798470002</v>
      </c>
      <c r="DD58" s="460">
        <v>10536844.709400002</v>
      </c>
      <c r="DE58" s="460"/>
      <c r="DF58" s="460"/>
      <c r="DG58" s="460"/>
      <c r="DH58" s="460"/>
      <c r="DI58" s="460"/>
      <c r="DJ58" s="465">
        <f t="shared" si="62"/>
        <v>14536882.36749677</v>
      </c>
      <c r="DK58" s="465">
        <f t="shared" si="63"/>
        <v>10749156.798470002</v>
      </c>
      <c r="DL58" s="465">
        <f t="shared" si="64"/>
        <v>10536844.709400002</v>
      </c>
      <c r="DM58" s="465">
        <f t="shared" si="65"/>
        <v>0</v>
      </c>
      <c r="DN58" s="465">
        <f t="shared" si="116"/>
        <v>35822883.875366777</v>
      </c>
      <c r="DO58" s="465">
        <f t="shared" si="98"/>
        <v>50378072.736889794</v>
      </c>
      <c r="DP58" s="465">
        <f t="shared" si="67"/>
        <v>50378072.736889794</v>
      </c>
      <c r="DQ58" s="467">
        <f t="shared" si="68"/>
        <v>0.71109999999999995</v>
      </c>
      <c r="DR58" s="468">
        <f t="shared" ca="1" si="117"/>
        <v>0</v>
      </c>
      <c r="DS58" s="466">
        <f t="shared" ca="1" si="118"/>
        <v>0</v>
      </c>
      <c r="DT58" s="470" t="str">
        <f t="shared" si="119"/>
        <v>Uncapped</v>
      </c>
      <c r="DU58" s="466">
        <f t="shared" ca="1" si="120"/>
        <v>0</v>
      </c>
      <c r="DV58" s="460" t="s">
        <v>363</v>
      </c>
      <c r="DW58" s="463">
        <v>0.1</v>
      </c>
      <c r="DX58" s="460"/>
      <c r="DY58" s="460" t="s">
        <v>219</v>
      </c>
      <c r="DZ58" s="460">
        <v>0</v>
      </c>
      <c r="EA58" s="460">
        <v>0</v>
      </c>
      <c r="EB58" s="460">
        <v>0</v>
      </c>
      <c r="EC58" s="460">
        <v>0</v>
      </c>
      <c r="ED58" s="460">
        <v>0</v>
      </c>
      <c r="EE58" s="460">
        <v>0</v>
      </c>
      <c r="EF58" s="460"/>
      <c r="EG58" s="460"/>
      <c r="EH58" s="460"/>
      <c r="EI58" s="460"/>
      <c r="EJ58" s="460"/>
      <c r="EK58" s="460"/>
      <c r="EL58" s="465">
        <f t="shared" si="69"/>
        <v>0</v>
      </c>
      <c r="EM58" s="465">
        <f t="shared" si="70"/>
        <v>0</v>
      </c>
      <c r="EN58" s="465">
        <f t="shared" si="71"/>
        <v>0</v>
      </c>
      <c r="EO58" s="465">
        <f t="shared" si="72"/>
        <v>0</v>
      </c>
      <c r="EP58" s="465">
        <f t="shared" si="121"/>
        <v>0</v>
      </c>
      <c r="EQ58" s="465">
        <f t="shared" si="99"/>
        <v>0</v>
      </c>
      <c r="ER58" s="465">
        <f t="shared" si="73"/>
        <v>0</v>
      </c>
      <c r="ES58" s="467">
        <f t="shared" si="74"/>
        <v>0</v>
      </c>
      <c r="ET58" s="468">
        <f t="shared" si="75"/>
        <v>0</v>
      </c>
      <c r="EU58" s="466">
        <f t="shared" si="122"/>
        <v>0</v>
      </c>
      <c r="EV58" s="470" t="str">
        <f t="shared" si="123"/>
        <v>Uncapped</v>
      </c>
      <c r="EW58" s="466">
        <f t="shared" si="124"/>
        <v>0</v>
      </c>
      <c r="EX58" s="473">
        <f t="shared" ca="1" si="125"/>
        <v>0</v>
      </c>
      <c r="EY58" s="465">
        <f t="shared" ca="1" si="76"/>
        <v>0</v>
      </c>
      <c r="EZ58" s="466">
        <v>614333</v>
      </c>
      <c r="FA58" s="466"/>
      <c r="FB58" s="466"/>
      <c r="FC58" s="466">
        <v>0</v>
      </c>
      <c r="FD58" s="466">
        <f t="shared" si="100"/>
        <v>614333</v>
      </c>
      <c r="FE58" s="465">
        <f t="shared" si="135"/>
        <v>0</v>
      </c>
      <c r="FF58" s="466">
        <v>0</v>
      </c>
      <c r="FG58" s="466">
        <v>0</v>
      </c>
      <c r="FH58" s="466">
        <v>0</v>
      </c>
      <c r="FI58" s="466">
        <v>0</v>
      </c>
      <c r="FJ58" s="466">
        <f t="shared" si="101"/>
        <v>0</v>
      </c>
      <c r="FK58" s="465">
        <f t="shared" si="136"/>
        <v>0</v>
      </c>
      <c r="FL58" s="460"/>
      <c r="FM58" s="464"/>
      <c r="FN58" s="464"/>
      <c r="FO58" s="464"/>
      <c r="FP58" s="466">
        <f t="shared" si="88"/>
        <v>0</v>
      </c>
      <c r="FQ58" s="466"/>
      <c r="FR58" s="466"/>
      <c r="FS58" s="466"/>
      <c r="FT58" s="465">
        <f t="shared" si="77"/>
        <v>0</v>
      </c>
      <c r="FU58" s="474">
        <f t="shared" ca="1" si="79"/>
        <v>614333</v>
      </c>
      <c r="FV58" s="475">
        <f t="shared" ca="1" si="78"/>
        <v>614333</v>
      </c>
      <c r="FW58" s="465">
        <f t="shared" si="84"/>
        <v>0</v>
      </c>
      <c r="FX58" s="465">
        <f t="shared" si="84"/>
        <v>0</v>
      </c>
      <c r="FY58" s="465">
        <f t="shared" si="84"/>
        <v>0</v>
      </c>
      <c r="FZ58" s="465">
        <f t="shared" si="81"/>
        <v>0</v>
      </c>
      <c r="GA58" s="465">
        <f t="shared" si="89"/>
        <v>0</v>
      </c>
      <c r="GB58" s="465">
        <f t="shared" si="85"/>
        <v>614333</v>
      </c>
      <c r="GC58" s="465">
        <f t="shared" si="85"/>
        <v>0</v>
      </c>
      <c r="GD58" s="465">
        <f t="shared" si="85"/>
        <v>0</v>
      </c>
      <c r="GE58" s="465">
        <f t="shared" si="82"/>
        <v>0</v>
      </c>
      <c r="GF58" s="465">
        <f t="shared" si="87"/>
        <v>614333</v>
      </c>
      <c r="GG58" s="465">
        <f t="shared" si="87"/>
        <v>0</v>
      </c>
      <c r="GH58" s="465">
        <f t="shared" si="87"/>
        <v>0</v>
      </c>
      <c r="GI58" s="465">
        <f t="shared" si="86"/>
        <v>0</v>
      </c>
      <c r="GJ58" s="466">
        <f t="shared" si="102"/>
        <v>614333</v>
      </c>
      <c r="GK58" s="465">
        <f t="shared" si="90"/>
        <v>614333</v>
      </c>
      <c r="GL58" s="465">
        <f t="shared" si="126"/>
        <v>0</v>
      </c>
      <c r="GM58" s="465">
        <f t="shared" si="127"/>
        <v>0</v>
      </c>
      <c r="GN58" s="465">
        <f t="shared" si="128"/>
        <v>0</v>
      </c>
      <c r="GO58" s="465">
        <f t="shared" si="129"/>
        <v>0</v>
      </c>
      <c r="GP58" s="465">
        <f t="shared" si="103"/>
        <v>0</v>
      </c>
      <c r="GQ58" s="465">
        <f t="shared" si="91"/>
        <v>0</v>
      </c>
      <c r="GR58" s="476"/>
      <c r="GS58" s="477">
        <f t="shared" si="130"/>
        <v>75699096.122366786</v>
      </c>
      <c r="GT58" s="477">
        <f t="shared" si="131"/>
        <v>93476072.736889794</v>
      </c>
      <c r="GU58" s="478">
        <f t="shared" si="92"/>
        <v>0.80982324038622744</v>
      </c>
      <c r="GV58" s="479">
        <f t="shared" ca="1" si="132"/>
        <v>0</v>
      </c>
      <c r="GW58" s="479">
        <v>0</v>
      </c>
      <c r="GX58" s="480">
        <f t="shared" ca="1" si="133"/>
        <v>0</v>
      </c>
      <c r="GY58" s="100"/>
    </row>
    <row r="59" spans="1:207" s="165" customFormat="1" ht="15" hidden="1" customHeight="1">
      <c r="A59" s="102"/>
      <c r="B59" s="103"/>
      <c r="C59" s="103"/>
      <c r="D59" s="104" t="s">
        <v>215</v>
      </c>
      <c r="E59" s="113" t="s">
        <v>216</v>
      </c>
      <c r="F59" s="113" t="s">
        <v>216</v>
      </c>
      <c r="G59" s="104" t="s">
        <v>226</v>
      </c>
      <c r="H59" s="105" t="s">
        <v>364</v>
      </c>
      <c r="I59" s="106" t="s">
        <v>365</v>
      </c>
      <c r="J59" s="104" t="s">
        <v>212</v>
      </c>
      <c r="K59" s="104" t="s">
        <v>215</v>
      </c>
      <c r="L59" s="104" t="s">
        <v>213</v>
      </c>
      <c r="M59" s="104" t="s">
        <v>362</v>
      </c>
      <c r="N59" s="107"/>
      <c r="O59" s="108">
        <v>42058</v>
      </c>
      <c r="P59" s="108">
        <v>43344</v>
      </c>
      <c r="Q59" s="322">
        <f t="shared" si="105"/>
        <v>0</v>
      </c>
      <c r="R59" s="109">
        <f>IF((P59-VLOOKUP(Q59,month!$A$1:$C$13,3,0))&lt;0,Q59,Q59+1)</f>
        <v>0</v>
      </c>
      <c r="S59" s="108"/>
      <c r="T59" s="127" t="str">
        <f t="shared" si="80"/>
        <v/>
      </c>
      <c r="U59" s="107"/>
      <c r="V59" s="107"/>
      <c r="W59" s="107"/>
      <c r="X59" s="107"/>
      <c r="Y59" s="386"/>
      <c r="Z59" s="386" t="s">
        <v>545</v>
      </c>
      <c r="AA59" s="387">
        <v>1000</v>
      </c>
      <c r="AB59" s="387">
        <v>1000</v>
      </c>
      <c r="AC59" s="387">
        <v>1000</v>
      </c>
      <c r="AD59" s="387">
        <v>1000</v>
      </c>
      <c r="AE59" s="387">
        <v>1000</v>
      </c>
      <c r="AF59" s="387">
        <v>1000</v>
      </c>
      <c r="AG59" s="387">
        <v>1000</v>
      </c>
      <c r="AH59" s="387">
        <v>1000</v>
      </c>
      <c r="AI59" s="387">
        <v>1000</v>
      </c>
      <c r="AJ59" s="387">
        <v>1000</v>
      </c>
      <c r="AK59" s="387">
        <v>1000</v>
      </c>
      <c r="AL59" s="387">
        <v>1000</v>
      </c>
      <c r="AM59" s="388">
        <f t="shared" si="95"/>
        <v>12000</v>
      </c>
      <c r="AN59" s="388">
        <f t="shared" si="106"/>
        <v>12000</v>
      </c>
      <c r="AO59" s="389">
        <f t="shared" si="139"/>
        <v>1000</v>
      </c>
      <c r="AP59" s="498" t="s">
        <v>677</v>
      </c>
      <c r="AQ59" s="159">
        <v>0.6</v>
      </c>
      <c r="AR59" s="160" t="s">
        <v>358</v>
      </c>
      <c r="AS59" s="119" t="s">
        <v>210</v>
      </c>
      <c r="AT59" s="111">
        <v>573000</v>
      </c>
      <c r="AU59" s="111">
        <v>1552000</v>
      </c>
      <c r="AV59" s="111">
        <v>3098000</v>
      </c>
      <c r="AW59" s="111">
        <v>2988000</v>
      </c>
      <c r="AX59" s="113">
        <v>804993.64300000004</v>
      </c>
      <c r="AY59" s="113">
        <v>1609463.6130000001</v>
      </c>
      <c r="AZ59" s="113">
        <v>2852243.1809999985</v>
      </c>
      <c r="BA59" s="113"/>
      <c r="BB59" s="113"/>
      <c r="BC59" s="113"/>
      <c r="BD59" s="113"/>
      <c r="BE59" s="113"/>
      <c r="BF59" s="114">
        <f t="shared" si="48"/>
        <v>804993.64300000004</v>
      </c>
      <c r="BG59" s="114">
        <f t="shared" si="49"/>
        <v>1609463.6130000001</v>
      </c>
      <c r="BH59" s="114">
        <f t="shared" si="50"/>
        <v>2852243.1809999985</v>
      </c>
      <c r="BI59" s="114">
        <f t="shared" si="51"/>
        <v>0</v>
      </c>
      <c r="BJ59" s="114">
        <f t="shared" si="107"/>
        <v>5266700.436999999</v>
      </c>
      <c r="BK59" s="115">
        <f t="shared" si="96"/>
        <v>8211000</v>
      </c>
      <c r="BL59" s="115">
        <f t="shared" si="52"/>
        <v>8211000</v>
      </c>
      <c r="BM59" s="116">
        <f t="shared" si="53"/>
        <v>0.64139999999999997</v>
      </c>
      <c r="BN59" s="126">
        <f t="shared" ca="1" si="108"/>
        <v>0</v>
      </c>
      <c r="BO59" s="117">
        <f t="shared" ca="1" si="109"/>
        <v>0</v>
      </c>
      <c r="BP59" s="118" t="str">
        <f t="shared" si="110"/>
        <v>Uncapped</v>
      </c>
      <c r="BQ59" s="115">
        <f t="shared" ca="1" si="111"/>
        <v>0</v>
      </c>
      <c r="BR59" s="113" t="s">
        <v>697</v>
      </c>
      <c r="BS59" s="161">
        <v>0.2</v>
      </c>
      <c r="BT59" s="113" t="s">
        <v>217</v>
      </c>
      <c r="BU59" s="160" t="s">
        <v>210</v>
      </c>
      <c r="BV59" s="113">
        <v>2452000</v>
      </c>
      <c r="BW59" s="113">
        <v>6642000</v>
      </c>
      <c r="BX59" s="113">
        <v>6797000</v>
      </c>
      <c r="BY59" s="113">
        <v>7570000</v>
      </c>
      <c r="BZ59" s="113">
        <v>2577032.4903000006</v>
      </c>
      <c r="CA59" s="113">
        <v>4639159.7078</v>
      </c>
      <c r="CB59" s="113">
        <v>5570288.800999999</v>
      </c>
      <c r="CC59" s="113"/>
      <c r="CD59" s="113"/>
      <c r="CE59" s="113"/>
      <c r="CF59" s="113"/>
      <c r="CG59" s="113"/>
      <c r="CH59" s="114">
        <f t="shared" si="55"/>
        <v>2577032.4903000006</v>
      </c>
      <c r="CI59" s="114">
        <f t="shared" si="56"/>
        <v>4639159.7078</v>
      </c>
      <c r="CJ59" s="120">
        <f t="shared" si="57"/>
        <v>5570288.800999999</v>
      </c>
      <c r="CK59" s="114">
        <f t="shared" si="58"/>
        <v>0</v>
      </c>
      <c r="CL59" s="114">
        <f t="shared" si="112"/>
        <v>12786480.9991</v>
      </c>
      <c r="CM59" s="114">
        <f t="shared" si="97"/>
        <v>23461000</v>
      </c>
      <c r="CN59" s="114">
        <f t="shared" si="59"/>
        <v>23461000</v>
      </c>
      <c r="CO59" s="116">
        <f t="shared" si="60"/>
        <v>0.54500000000000004</v>
      </c>
      <c r="CP59" s="126">
        <f t="shared" ca="1" si="61"/>
        <v>0</v>
      </c>
      <c r="CQ59" s="115">
        <f t="shared" ca="1" si="113"/>
        <v>0</v>
      </c>
      <c r="CR59" s="118" t="str">
        <f t="shared" si="114"/>
        <v>Uncapped</v>
      </c>
      <c r="CS59" s="115">
        <f t="shared" ca="1" si="115"/>
        <v>0</v>
      </c>
      <c r="CT59" s="113" t="s">
        <v>681</v>
      </c>
      <c r="CU59" s="119">
        <v>0.1</v>
      </c>
      <c r="CV59" s="113" t="s">
        <v>217</v>
      </c>
      <c r="CW59" s="113" t="s">
        <v>210</v>
      </c>
      <c r="CX59" s="113">
        <v>12667084.918482166</v>
      </c>
      <c r="CY59" s="113">
        <v>13178645.488737401</v>
      </c>
      <c r="CZ59" s="113">
        <v>12190341.596061932</v>
      </c>
      <c r="DA59" s="113">
        <v>12342000.7336083</v>
      </c>
      <c r="DB59" s="113">
        <v>14536882.36749677</v>
      </c>
      <c r="DC59" s="113">
        <v>10749156.798470002</v>
      </c>
      <c r="DD59" s="113">
        <v>10536844.709400002</v>
      </c>
      <c r="DE59" s="113"/>
      <c r="DF59" s="113"/>
      <c r="DG59" s="113"/>
      <c r="DH59" s="113"/>
      <c r="DI59" s="113"/>
      <c r="DJ59" s="114">
        <f t="shared" si="62"/>
        <v>14536882.36749677</v>
      </c>
      <c r="DK59" s="114">
        <f t="shared" si="63"/>
        <v>10749156.798470002</v>
      </c>
      <c r="DL59" s="114">
        <f t="shared" si="64"/>
        <v>10536844.709400002</v>
      </c>
      <c r="DM59" s="114">
        <f t="shared" si="65"/>
        <v>0</v>
      </c>
      <c r="DN59" s="114">
        <f t="shared" si="116"/>
        <v>35822883.875366777</v>
      </c>
      <c r="DO59" s="114">
        <f t="shared" si="98"/>
        <v>50378072.736889794</v>
      </c>
      <c r="DP59" s="114">
        <f t="shared" si="67"/>
        <v>50378072.736889794</v>
      </c>
      <c r="DQ59" s="116">
        <f t="shared" si="68"/>
        <v>0.71109999999999995</v>
      </c>
      <c r="DR59" s="126">
        <f t="shared" ca="1" si="117"/>
        <v>0</v>
      </c>
      <c r="DS59" s="115">
        <f t="shared" ca="1" si="118"/>
        <v>0</v>
      </c>
      <c r="DT59" s="118" t="str">
        <f t="shared" si="119"/>
        <v>Uncapped</v>
      </c>
      <c r="DU59" s="115">
        <f t="shared" ca="1" si="120"/>
        <v>0</v>
      </c>
      <c r="DV59" s="113" t="s">
        <v>363</v>
      </c>
      <c r="DW59" s="119">
        <v>0.1</v>
      </c>
      <c r="DX59" s="113"/>
      <c r="DY59" s="113" t="s">
        <v>219</v>
      </c>
      <c r="DZ59" s="113">
        <v>0</v>
      </c>
      <c r="EA59" s="113">
        <v>0</v>
      </c>
      <c r="EB59" s="113">
        <v>0</v>
      </c>
      <c r="EC59" s="113">
        <v>0</v>
      </c>
      <c r="ED59" s="113">
        <v>0</v>
      </c>
      <c r="EE59" s="113">
        <v>0</v>
      </c>
      <c r="EF59" s="113"/>
      <c r="EG59" s="113"/>
      <c r="EH59" s="113"/>
      <c r="EI59" s="113"/>
      <c r="EJ59" s="113"/>
      <c r="EK59" s="113"/>
      <c r="EL59" s="114">
        <f t="shared" si="69"/>
        <v>0</v>
      </c>
      <c r="EM59" s="114">
        <f t="shared" si="70"/>
        <v>0</v>
      </c>
      <c r="EN59" s="114">
        <f t="shared" si="71"/>
        <v>0</v>
      </c>
      <c r="EO59" s="114">
        <f t="shared" si="72"/>
        <v>0</v>
      </c>
      <c r="EP59" s="114">
        <f t="shared" si="121"/>
        <v>0</v>
      </c>
      <c r="EQ59" s="114">
        <f t="shared" si="99"/>
        <v>0</v>
      </c>
      <c r="ER59" s="114">
        <f t="shared" si="73"/>
        <v>0</v>
      </c>
      <c r="ES59" s="116">
        <f t="shared" si="74"/>
        <v>0</v>
      </c>
      <c r="ET59" s="126">
        <f t="shared" si="75"/>
        <v>0</v>
      </c>
      <c r="EU59" s="115">
        <f t="shared" si="122"/>
        <v>0</v>
      </c>
      <c r="EV59" s="118" t="str">
        <f t="shared" si="123"/>
        <v>Uncapped</v>
      </c>
      <c r="EW59" s="115">
        <f t="shared" si="124"/>
        <v>0</v>
      </c>
      <c r="EX59" s="112">
        <f t="shared" ca="1" si="125"/>
        <v>0</v>
      </c>
      <c r="EY59" s="114">
        <f t="shared" ca="1" si="76"/>
        <v>0</v>
      </c>
      <c r="EZ59" s="115">
        <v>0</v>
      </c>
      <c r="FA59" s="115"/>
      <c r="FB59" s="115"/>
      <c r="FC59" s="115">
        <v>0</v>
      </c>
      <c r="FD59" s="115">
        <f t="shared" si="100"/>
        <v>0</v>
      </c>
      <c r="FE59" s="114">
        <f t="shared" ref="FE59:FE90" si="140">SUMIFS(59:59,$5:$5,"SPIFF payout $ (Local CCY)",$4:$4,CONCATENATE("Q",$H$2))</f>
        <v>0</v>
      </c>
      <c r="FF59" s="115">
        <v>0</v>
      </c>
      <c r="FG59" s="115">
        <v>0</v>
      </c>
      <c r="FH59" s="115">
        <v>0</v>
      </c>
      <c r="FI59" s="115">
        <v>0</v>
      </c>
      <c r="FJ59" s="115">
        <f t="shared" si="101"/>
        <v>0</v>
      </c>
      <c r="FK59" s="114">
        <f t="shared" ref="FK59:FK90" si="141">SUMIFS(59:59,$5:$5,"Other payout $ (Local CCY)",$4:$4,CONCATENATE("Q",$H$2))</f>
        <v>0</v>
      </c>
      <c r="FL59" s="113"/>
      <c r="FM59" s="111"/>
      <c r="FN59" s="111"/>
      <c r="FO59" s="111"/>
      <c r="FP59" s="115">
        <f t="shared" si="88"/>
        <v>0</v>
      </c>
      <c r="FQ59" s="115"/>
      <c r="FR59" s="115"/>
      <c r="FS59" s="115"/>
      <c r="FT59" s="114">
        <f t="shared" si="77"/>
        <v>0</v>
      </c>
      <c r="FU59" s="366">
        <f t="shared" ca="1" si="79"/>
        <v>0</v>
      </c>
      <c r="FV59" s="121">
        <f t="shared" ca="1" si="78"/>
        <v>0</v>
      </c>
      <c r="FW59" s="114">
        <f t="shared" si="84"/>
        <v>0</v>
      </c>
      <c r="FX59" s="114">
        <f t="shared" si="84"/>
        <v>0</v>
      </c>
      <c r="FY59" s="114">
        <f t="shared" si="84"/>
        <v>0</v>
      </c>
      <c r="FZ59" s="114">
        <f t="shared" si="81"/>
        <v>0</v>
      </c>
      <c r="GA59" s="114">
        <f t="shared" si="89"/>
        <v>0</v>
      </c>
      <c r="GB59" s="114">
        <f t="shared" si="85"/>
        <v>0</v>
      </c>
      <c r="GC59" s="114">
        <f t="shared" si="85"/>
        <v>0</v>
      </c>
      <c r="GD59" s="114">
        <f t="shared" si="85"/>
        <v>0</v>
      </c>
      <c r="GE59" s="114">
        <f t="shared" si="82"/>
        <v>0</v>
      </c>
      <c r="GF59" s="114">
        <f t="shared" si="87"/>
        <v>0</v>
      </c>
      <c r="GG59" s="114">
        <f t="shared" si="87"/>
        <v>0</v>
      </c>
      <c r="GH59" s="114">
        <f t="shared" si="87"/>
        <v>0</v>
      </c>
      <c r="GI59" s="114">
        <f t="shared" si="86"/>
        <v>0</v>
      </c>
      <c r="GJ59" s="115">
        <f t="shared" si="102"/>
        <v>0</v>
      </c>
      <c r="GK59" s="114">
        <f t="shared" si="90"/>
        <v>0</v>
      </c>
      <c r="GL59" s="114">
        <f t="shared" si="126"/>
        <v>0</v>
      </c>
      <c r="GM59" s="114">
        <f t="shared" si="127"/>
        <v>0</v>
      </c>
      <c r="GN59" s="114">
        <f t="shared" si="128"/>
        <v>0</v>
      </c>
      <c r="GO59" s="114">
        <f t="shared" si="129"/>
        <v>0</v>
      </c>
      <c r="GP59" s="114">
        <f t="shared" si="103"/>
        <v>0</v>
      </c>
      <c r="GQ59" s="114">
        <f t="shared" si="91"/>
        <v>0</v>
      </c>
      <c r="GR59" s="193"/>
      <c r="GS59" s="122">
        <f t="shared" si="130"/>
        <v>53876065.311466776</v>
      </c>
      <c r="GT59" s="122">
        <f t="shared" si="131"/>
        <v>82050072.736889794</v>
      </c>
      <c r="GU59" s="123">
        <f t="shared" si="92"/>
        <v>0.65662422365219963</v>
      </c>
      <c r="GV59" s="124">
        <f t="shared" ca="1" si="132"/>
        <v>0</v>
      </c>
      <c r="GW59" s="124">
        <v>0</v>
      </c>
      <c r="GX59" s="32">
        <f t="shared" ca="1" si="133"/>
        <v>0</v>
      </c>
      <c r="GY59" s="100"/>
    </row>
    <row r="60" spans="1:207" s="165" customFormat="1" ht="15" hidden="1" customHeight="1">
      <c r="A60" s="102"/>
      <c r="B60" s="103"/>
      <c r="C60" s="103"/>
      <c r="D60" s="104" t="s">
        <v>215</v>
      </c>
      <c r="E60" s="113" t="s">
        <v>216</v>
      </c>
      <c r="F60" s="113" t="s">
        <v>216</v>
      </c>
      <c r="G60" s="104" t="s">
        <v>226</v>
      </c>
      <c r="H60" s="105" t="s">
        <v>745</v>
      </c>
      <c r="I60" s="106" t="s">
        <v>746</v>
      </c>
      <c r="J60" s="104" t="s">
        <v>212</v>
      </c>
      <c r="K60" s="104" t="s">
        <v>215</v>
      </c>
      <c r="L60" s="104" t="s">
        <v>213</v>
      </c>
      <c r="M60" s="104" t="s">
        <v>362</v>
      </c>
      <c r="N60" s="107"/>
      <c r="O60" s="549">
        <v>43617</v>
      </c>
      <c r="P60" s="359">
        <v>43617</v>
      </c>
      <c r="Q60" s="322">
        <f t="shared" si="105"/>
        <v>6</v>
      </c>
      <c r="R60" s="109">
        <f>IF((P60-VLOOKUP(Q60,month!$A$1:$C$13,3,0))&lt;0,Q60,Q60+1)</f>
        <v>6</v>
      </c>
      <c r="S60" s="108"/>
      <c r="T60" s="127" t="str">
        <f>IF(S60&gt;0,"Y","")</f>
        <v/>
      </c>
      <c r="U60" s="483" t="s">
        <v>661</v>
      </c>
      <c r="V60" s="483"/>
      <c r="W60" s="484">
        <v>1</v>
      </c>
      <c r="X60" s="484">
        <v>2</v>
      </c>
      <c r="Y60" s="386"/>
      <c r="Z60" s="386" t="s">
        <v>545</v>
      </c>
      <c r="AA60" s="387">
        <v>1000</v>
      </c>
      <c r="AB60" s="387">
        <v>1000</v>
      </c>
      <c r="AC60" s="387">
        <v>1000</v>
      </c>
      <c r="AD60" s="387">
        <v>1000</v>
      </c>
      <c r="AE60" s="387">
        <v>1000</v>
      </c>
      <c r="AF60" s="387">
        <v>1000</v>
      </c>
      <c r="AG60" s="387">
        <v>1000</v>
      </c>
      <c r="AH60" s="387">
        <v>1000</v>
      </c>
      <c r="AI60" s="387">
        <v>1000</v>
      </c>
      <c r="AJ60" s="387">
        <v>1000</v>
      </c>
      <c r="AK60" s="387">
        <v>1000</v>
      </c>
      <c r="AL60" s="387">
        <v>1000</v>
      </c>
      <c r="AM60" s="388">
        <f>IF($H$2=1,SUM(AA60:AC60),IF($H$2=2,SUM(AA60:AF60),IF($H$2=3,SUM(AA60:AI60),SUM(AA60:AL60))))</f>
        <v>12000</v>
      </c>
      <c r="AN60" s="388">
        <f t="shared" si="106"/>
        <v>12000</v>
      </c>
      <c r="AO60" s="389">
        <f>AF60</f>
        <v>1000</v>
      </c>
      <c r="AP60" s="498" t="s">
        <v>677</v>
      </c>
      <c r="AQ60" s="159">
        <v>0.6</v>
      </c>
      <c r="AR60" s="160" t="s">
        <v>358</v>
      </c>
      <c r="AS60" s="119" t="s">
        <v>210</v>
      </c>
      <c r="AT60" s="111"/>
      <c r="AU60" s="111">
        <v>523000</v>
      </c>
      <c r="AV60" s="111">
        <v>2721000</v>
      </c>
      <c r="AW60" s="111">
        <v>1218000</v>
      </c>
      <c r="AX60" s="113"/>
      <c r="AY60" s="113">
        <v>135471.64499999993</v>
      </c>
      <c r="AZ60" s="113">
        <v>2240783.62</v>
      </c>
      <c r="BA60" s="113">
        <f>AW60</f>
        <v>1218000</v>
      </c>
      <c r="BB60" s="113"/>
      <c r="BC60" s="113"/>
      <c r="BD60" s="113"/>
      <c r="BE60" s="113"/>
      <c r="BF60" s="114">
        <f>AX60+BB60</f>
        <v>0</v>
      </c>
      <c r="BG60" s="114">
        <f>AY60+BC60</f>
        <v>135471.64499999993</v>
      </c>
      <c r="BH60" s="114">
        <f>AZ60+BD60</f>
        <v>2240783.62</v>
      </c>
      <c r="BI60" s="114">
        <f>BA60+BE60</f>
        <v>1218000</v>
      </c>
      <c r="BJ60" s="114">
        <f t="shared" si="107"/>
        <v>3594255.2650000001</v>
      </c>
      <c r="BK60" s="115">
        <f>IF($H$2=1,AT60,IF($H$2=2,SUM(AT60:AU60),IF($H$2=3,SUM(AT60:AV60),SUM(AT60:AW60))))</f>
        <v>4462000</v>
      </c>
      <c r="BL60" s="115">
        <f>SUM(AT60:AW60)</f>
        <v>4462000</v>
      </c>
      <c r="BM60" s="116">
        <f>IFERROR(ROUND(BJ60/BK60,4),0)</f>
        <v>0.80549999999999999</v>
      </c>
      <c r="BN60" s="126">
        <f ca="1">IF(OR(AP60="MBO",AP60="10% Realized Price"),BM60,SUMPRODUCT(Lower_Payout*(Curve=AR60)*(Lower_Attain&lt;=BM60)*(Upper_Attain&gt;BM60))+(BM60-SUMPRODUCT(Lower_Attain*(Curve=AR60)*(Lower_Attain&lt;=BM60)*(Upper_Attain&gt;BM60)))*SUMPRODUCT(Slope*(Curve=AR60)*(Lower_Attain&lt;=BM60)*(Upper_Attain&gt;BM60)))</f>
        <v>0</v>
      </c>
      <c r="BO60" s="117">
        <f ca="1">IFERROR(AM60*AQ60*BN60,0)</f>
        <v>0</v>
      </c>
      <c r="BP60" s="118" t="str">
        <f t="shared" si="110"/>
        <v>Uncapped</v>
      </c>
      <c r="BQ60" s="115">
        <f ca="1">IF(BP60="Uncapped",BO60,IFERROR(AM60*AQ60*BP60,0))</f>
        <v>0</v>
      </c>
      <c r="BR60" s="113" t="s">
        <v>697</v>
      </c>
      <c r="BS60" s="161">
        <v>0.2</v>
      </c>
      <c r="BT60" s="113" t="s">
        <v>217</v>
      </c>
      <c r="BU60" s="160" t="s">
        <v>210</v>
      </c>
      <c r="BV60" s="113"/>
      <c r="BW60" s="113">
        <v>3321000</v>
      </c>
      <c r="BX60" s="113">
        <v>6797000</v>
      </c>
      <c r="BY60" s="113">
        <v>7570000</v>
      </c>
      <c r="BZ60" s="113"/>
      <c r="CA60" s="113">
        <v>1771326.0926999999</v>
      </c>
      <c r="CB60" s="113">
        <v>5570288.800999999</v>
      </c>
      <c r="CC60" s="113">
        <f>BY60</f>
        <v>7570000</v>
      </c>
      <c r="CD60" s="113"/>
      <c r="CE60" s="113"/>
      <c r="CF60" s="113"/>
      <c r="CG60" s="113"/>
      <c r="CH60" s="114">
        <f>BZ60+CD60</f>
        <v>0</v>
      </c>
      <c r="CI60" s="114">
        <f>CA60+CE60</f>
        <v>1771326.0926999999</v>
      </c>
      <c r="CJ60" s="120">
        <f>CB60+CF60</f>
        <v>5570288.800999999</v>
      </c>
      <c r="CK60" s="114">
        <f>CC60+CG60</f>
        <v>7570000</v>
      </c>
      <c r="CL60" s="114">
        <f t="shared" si="112"/>
        <v>14911614.8937</v>
      </c>
      <c r="CM60" s="114">
        <f>IF($H$2=1,BV60,IF($H$2=2,SUM(BV60:BW60),IF($H$2=3,SUM(BV60:BX60),SUM(BV60:BY60))))</f>
        <v>17688000</v>
      </c>
      <c r="CN60" s="114">
        <f>SUM(BV60:BY60)</f>
        <v>17688000</v>
      </c>
      <c r="CO60" s="116">
        <f>IFERROR(ROUND(CL60/CM60,4),0)</f>
        <v>0.84299999999999997</v>
      </c>
      <c r="CP60" s="126">
        <f ca="1">IF(OR(BR60="MBO",BR60="10% Realized Price"),CO60,SUMPRODUCT(Lower_Payout*(Curve=BT60)*(Lower_Attain&lt;=CO60)*(Upper_Attain&gt;CO60))+(CO60-SUMPRODUCT(Lower_Attain*(Curve=BT60)*(Lower_Attain&lt;=CO60)*(Upper_Attain&gt;CO60)))*SUMPRODUCT(Slope*(Curve=BT60)*(Lower_Attain&lt;=CO60)*(Upper_Attain&gt;CO60)))</f>
        <v>0</v>
      </c>
      <c r="CQ60" s="115">
        <f ca="1">AM60*BS60*CP60</f>
        <v>0</v>
      </c>
      <c r="CR60" s="118">
        <v>1</v>
      </c>
      <c r="CS60" s="115">
        <f>IF(CR60="Uncapped",CQ60,IFERROR(AM60*BS60*CR60,0))</f>
        <v>2400</v>
      </c>
      <c r="CT60" s="113" t="s">
        <v>681</v>
      </c>
      <c r="CU60" s="119">
        <v>0.1</v>
      </c>
      <c r="CV60" s="113" t="s">
        <v>217</v>
      </c>
      <c r="CW60" s="113" t="s">
        <v>210</v>
      </c>
      <c r="CX60" s="113"/>
      <c r="CY60" s="113">
        <v>6589322.7443687003</v>
      </c>
      <c r="CZ60" s="113">
        <v>12190341.596061932</v>
      </c>
      <c r="DA60" s="113">
        <v>12342000.7336083</v>
      </c>
      <c r="DB60" s="113"/>
      <c r="DC60" s="113">
        <v>3427646.8579499996</v>
      </c>
      <c r="DD60" s="113">
        <v>10536844.709400002</v>
      </c>
      <c r="DE60" s="113">
        <f>DA60</f>
        <v>12342000.7336083</v>
      </c>
      <c r="DF60" s="113"/>
      <c r="DG60" s="113"/>
      <c r="DH60" s="113"/>
      <c r="DI60" s="113"/>
      <c r="DJ60" s="114">
        <f>DB60+DF60</f>
        <v>0</v>
      </c>
      <c r="DK60" s="114">
        <f>DC60+DG60</f>
        <v>3427646.8579499996</v>
      </c>
      <c r="DL60" s="114">
        <f>DD60+DH60</f>
        <v>10536844.709400002</v>
      </c>
      <c r="DM60" s="114">
        <f>DE60+DI60</f>
        <v>12342000.7336083</v>
      </c>
      <c r="DN60" s="114">
        <f t="shared" si="116"/>
        <v>26306492.300958302</v>
      </c>
      <c r="DO60" s="114">
        <f>IF($H$2=1,CX60,IF($H$2=2,SUM(CX60:CY60),IF($H$2=3,SUM(CX60:CZ60),SUM(CX60:DA60))))</f>
        <v>31121665.07403893</v>
      </c>
      <c r="DP60" s="114">
        <f>SUM(CX60:DA60)</f>
        <v>31121665.07403893</v>
      </c>
      <c r="DQ60" s="116">
        <f>IFERROR(ROUND(DN60/DO60,4),0)</f>
        <v>0.84530000000000005</v>
      </c>
      <c r="DR60" s="126">
        <f ca="1">IF(OR(CT60="MBO",CT60="10% Realized Price"),DQ60,SUMPRODUCT(Lower_Payout*(Curve=CV60)*(Lower_Attain&lt;=DQ60)*(Upper_Attain&gt;DQ60))+(DQ60-SUMPRODUCT(Lower_Attain*(Curve=CV60)*(Lower_Attain&lt;=DQ60)*(Upper_Attain&gt;DQ60)))*SUMPRODUCT(Slope*(Curve=CV60)*(Lower_Attain&lt;=DQ60)*(Upper_Attain&gt;DQ60)))</f>
        <v>0</v>
      </c>
      <c r="DS60" s="115">
        <f ca="1">AM60*CU60*DR60</f>
        <v>0</v>
      </c>
      <c r="DT60" s="118">
        <v>1</v>
      </c>
      <c r="DU60" s="115">
        <f>IF(DT60="Uncapped",DS60,IFERROR(AM60*CU60*DT60,0))</f>
        <v>1200</v>
      </c>
      <c r="DV60" s="113" t="s">
        <v>363</v>
      </c>
      <c r="DW60" s="119">
        <v>0.1</v>
      </c>
      <c r="DX60" s="113"/>
      <c r="DY60" s="113" t="s">
        <v>219</v>
      </c>
      <c r="DZ60" s="113">
        <v>0</v>
      </c>
      <c r="EA60" s="113">
        <v>0</v>
      </c>
      <c r="EB60" s="113">
        <v>0</v>
      </c>
      <c r="EC60" s="113">
        <v>0</v>
      </c>
      <c r="ED60" s="113">
        <v>0</v>
      </c>
      <c r="EE60" s="113">
        <v>0</v>
      </c>
      <c r="EF60" s="113"/>
      <c r="EG60" s="113"/>
      <c r="EH60" s="113"/>
      <c r="EI60" s="113"/>
      <c r="EJ60" s="113"/>
      <c r="EK60" s="113"/>
      <c r="EL60" s="114">
        <f>ED60+EH60</f>
        <v>0</v>
      </c>
      <c r="EM60" s="114">
        <f>EE60+EI60</f>
        <v>0</v>
      </c>
      <c r="EN60" s="114">
        <f>EF60+EJ60</f>
        <v>0</v>
      </c>
      <c r="EO60" s="114">
        <f>EG60+EK60</f>
        <v>0</v>
      </c>
      <c r="EP60" s="114">
        <f t="shared" si="121"/>
        <v>0</v>
      </c>
      <c r="EQ60" s="114">
        <f>IF($H$2=1,DZ60,IF($H$2=2,SUM(DZ60:EA60),IF($H$2=3,SUM(DZ60:EB60),SUM(DZ60:EC60))))</f>
        <v>0</v>
      </c>
      <c r="ER60" s="114">
        <f>SUM(DZ60:EC60)</f>
        <v>0</v>
      </c>
      <c r="ES60" s="116">
        <f>IFERROR(ROUND(EP60/EQ60,4),0)</f>
        <v>0</v>
      </c>
      <c r="ET60" s="126">
        <f>IF(OR(DV60="MBO",DV60="10% Realized Price"),ES60,SUMPRODUCT(Lower_Payout*(Curve=DX60)*(Lower_Attain&lt;=ES60)*(Upper_Attain&gt;ES60))+(ES60-SUMPRODUCT(Lower_Attain*(Curve=DX60)*(Lower_Attain&lt;=ES60)*(Upper_Attain&gt;ES60)))*SUMPRODUCT(Slope*(Curve=DX60)*(Lower_Attain&lt;=ES60)*(Upper_Attain&gt;ES60)))</f>
        <v>0</v>
      </c>
      <c r="EU60" s="115">
        <f>AM60*DW60*ET60</f>
        <v>0</v>
      </c>
      <c r="EV60" s="118" t="str">
        <f t="shared" si="123"/>
        <v>Uncapped</v>
      </c>
      <c r="EW60" s="115">
        <f>IF(EV60="Uncapped",EU60,IFERROR(AM60*DW60*EV60,0))</f>
        <v>0</v>
      </c>
      <c r="EX60" s="112">
        <f ca="1">MIN(BO60,BQ60)+MIN(CQ60,CS60)+MIN(DS60,DU60)+MIN(EU60,EW60)</f>
        <v>0</v>
      </c>
      <c r="EY60" s="114">
        <f ca="1">MAX(EX60,GP60)</f>
        <v>3000</v>
      </c>
      <c r="EZ60" s="115">
        <v>0</v>
      </c>
      <c r="FA60" s="115"/>
      <c r="FB60" s="115"/>
      <c r="FC60" s="115">
        <v>0</v>
      </c>
      <c r="FD60" s="115">
        <f>IF($H$2=1,EZ60,IF($H$2=2,SUM(EZ60:FA60),IF($H$2=3,SUM(EZ60:FB60),SUM(EZ60:FC60))))</f>
        <v>0</v>
      </c>
      <c r="FE60" s="114">
        <f t="shared" si="140"/>
        <v>0</v>
      </c>
      <c r="FF60" s="115">
        <v>0</v>
      </c>
      <c r="FG60" s="115">
        <v>0</v>
      </c>
      <c r="FH60" s="115">
        <v>0</v>
      </c>
      <c r="FI60" s="115">
        <v>0</v>
      </c>
      <c r="FJ60" s="115">
        <f>IF($H$2=1,FF60,IF($H$2=2,SUM(FF60:FG60),IF($H$2=3,SUM(FF60:FH60),SUM(FF60:FI60))))</f>
        <v>0</v>
      </c>
      <c r="FK60" s="114">
        <f t="shared" si="141"/>
        <v>0</v>
      </c>
      <c r="FL60" s="113"/>
      <c r="FM60" s="111"/>
      <c r="FN60" s="111"/>
      <c r="FO60" s="111"/>
      <c r="FP60" s="115">
        <f>SUM(FL60:FO60)</f>
        <v>0</v>
      </c>
      <c r="FQ60" s="115"/>
      <c r="FR60" s="115"/>
      <c r="FS60" s="115"/>
      <c r="FT60" s="114">
        <f>SUM(FQ60:FS60)</f>
        <v>0</v>
      </c>
      <c r="FU60" s="366">
        <f ca="1">ROUND(MAX(FV60-FT60,0),2)</f>
        <v>3000</v>
      </c>
      <c r="FV60" s="121">
        <f ca="1">SUM(EY60,FD60,FJ60,FP60)</f>
        <v>3000</v>
      </c>
      <c r="FW60" s="114">
        <f>FF60</f>
        <v>0</v>
      </c>
      <c r="FX60" s="114">
        <f>FG60</f>
        <v>0</v>
      </c>
      <c r="FY60" s="114">
        <f>FH60</f>
        <v>0</v>
      </c>
      <c r="FZ60" s="114">
        <f>FI60</f>
        <v>0</v>
      </c>
      <c r="GA60" s="114">
        <f>SUM(FW60:FZ60)</f>
        <v>0</v>
      </c>
      <c r="GB60" s="114">
        <f>EZ60</f>
        <v>0</v>
      </c>
      <c r="GC60" s="114">
        <f>FA60</f>
        <v>0</v>
      </c>
      <c r="GD60" s="114">
        <f>FB60</f>
        <v>0</v>
      </c>
      <c r="GE60" s="114">
        <f>FC60</f>
        <v>0</v>
      </c>
      <c r="GF60" s="114">
        <f>GB60+FW60</f>
        <v>0</v>
      </c>
      <c r="GG60" s="114">
        <f>GC60+FX60</f>
        <v>0</v>
      </c>
      <c r="GH60" s="114">
        <f>GD60+FY60</f>
        <v>0</v>
      </c>
      <c r="GI60" s="114">
        <f>GE60+FZ60</f>
        <v>0</v>
      </c>
      <c r="GJ60" s="115">
        <f>IF($H$2=1,GF60,IF($H$2=2,SUM(GF60:GG60),IF($H$2=3,SUM(GF60:GH60),SUM(GF60:GI60))))</f>
        <v>0</v>
      </c>
      <c r="GK60" s="114">
        <f>SUM(GF60:GI60)</f>
        <v>0</v>
      </c>
      <c r="GL60" s="114">
        <f>IF(U60="Y",V60*AO60,0)</f>
        <v>0</v>
      </c>
      <c r="GM60" s="114">
        <f>IF(U60="Y",W60*AO60,0)</f>
        <v>1000</v>
      </c>
      <c r="GN60" s="114">
        <f>IF(U60="Y",X60*AO60,0)</f>
        <v>2000</v>
      </c>
      <c r="GO60" s="114">
        <f>IF(U60="Y",Y60*AO60,0)</f>
        <v>0</v>
      </c>
      <c r="GP60" s="114">
        <f>IF($H$2=1,GL60,IF($H$2=2,SUM(GL60:GM60),IF($H$2=3,SUM(GL60:GN60),IF($H$2=4,SUM(GL60:GO60)))))</f>
        <v>3000</v>
      </c>
      <c r="GQ60" s="114">
        <f>SUM(GL60:GO60)</f>
        <v>3000</v>
      </c>
      <c r="GR60" s="193"/>
      <c r="GS60" s="122">
        <f>IFERROR(BJ60+CL60+DN60+EP60,0)</f>
        <v>44812362.459658302</v>
      </c>
      <c r="GT60" s="122">
        <f>IFERROR(BK60+CM60+DO60+EQ60,0)</f>
        <v>53271665.07403893</v>
      </c>
      <c r="GU60" s="123">
        <f>IFERROR(GS60/GT60,"")</f>
        <v>0.84120446389983161</v>
      </c>
      <c r="GV60" s="124">
        <f ca="1">BO60+CQ60+DS60+EU60</f>
        <v>0</v>
      </c>
      <c r="GW60" s="124">
        <v>0</v>
      </c>
      <c r="GX60" s="32">
        <f ca="1">IFERROR(GV60/AM60,0)</f>
        <v>0</v>
      </c>
      <c r="GY60" s="100"/>
    </row>
    <row r="61" spans="1:207" s="165" customFormat="1" ht="15" hidden="1" customHeight="1">
      <c r="A61" s="102"/>
      <c r="B61" s="103"/>
      <c r="C61" s="103"/>
      <c r="D61" s="104" t="s">
        <v>215</v>
      </c>
      <c r="E61" s="113" t="s">
        <v>216</v>
      </c>
      <c r="F61" s="113" t="s">
        <v>216</v>
      </c>
      <c r="G61" s="104" t="s">
        <v>226</v>
      </c>
      <c r="H61" s="105" t="s">
        <v>366</v>
      </c>
      <c r="I61" s="164" t="s">
        <v>367</v>
      </c>
      <c r="J61" s="104" t="s">
        <v>212</v>
      </c>
      <c r="K61" s="104" t="s">
        <v>215</v>
      </c>
      <c r="L61" s="104" t="s">
        <v>213</v>
      </c>
      <c r="M61" s="104" t="s">
        <v>362</v>
      </c>
      <c r="N61" s="107"/>
      <c r="O61" s="108">
        <v>43167</v>
      </c>
      <c r="P61" s="108">
        <v>43167</v>
      </c>
      <c r="Q61" s="322">
        <f t="shared" si="105"/>
        <v>0</v>
      </c>
      <c r="R61" s="109">
        <f>IF((P61-VLOOKUP(Q61,month!$A$1:$C$13,3,0))&lt;0,Q61,Q61+1)</f>
        <v>0</v>
      </c>
      <c r="S61" s="108"/>
      <c r="T61" s="127" t="str">
        <f t="shared" si="80"/>
        <v/>
      </c>
      <c r="U61" s="107"/>
      <c r="V61" s="107"/>
      <c r="W61" s="107"/>
      <c r="X61" s="107"/>
      <c r="Y61" s="386"/>
      <c r="Z61" s="386" t="s">
        <v>545</v>
      </c>
      <c r="AA61" s="387">
        <v>1000</v>
      </c>
      <c r="AB61" s="387">
        <v>1000</v>
      </c>
      <c r="AC61" s="387">
        <v>1000</v>
      </c>
      <c r="AD61" s="387">
        <v>1000</v>
      </c>
      <c r="AE61" s="387">
        <v>1000</v>
      </c>
      <c r="AF61" s="387">
        <v>1000</v>
      </c>
      <c r="AG61" s="387">
        <v>1000</v>
      </c>
      <c r="AH61" s="387">
        <v>1000</v>
      </c>
      <c r="AI61" s="387">
        <v>1000</v>
      </c>
      <c r="AJ61" s="387">
        <v>1000</v>
      </c>
      <c r="AK61" s="387">
        <v>1000</v>
      </c>
      <c r="AL61" s="387">
        <v>1000</v>
      </c>
      <c r="AM61" s="388">
        <f t="shared" ref="AM61:AM94" si="142">IF($H$2=1,SUM(AA61:AC61),IF($H$2=2,SUM(AA61:AF61),IF($H$2=3,SUM(AA61:AI61),SUM(AA61:AL61))))</f>
        <v>12000</v>
      </c>
      <c r="AN61" s="388">
        <f t="shared" si="106"/>
        <v>12000</v>
      </c>
      <c r="AO61" s="389">
        <f t="shared" ref="AO61:AO62" si="143">AI61</f>
        <v>1000</v>
      </c>
      <c r="AP61" s="498" t="s">
        <v>677</v>
      </c>
      <c r="AQ61" s="159">
        <v>0.6</v>
      </c>
      <c r="AR61" s="160" t="s">
        <v>358</v>
      </c>
      <c r="AS61" s="119" t="s">
        <v>210</v>
      </c>
      <c r="AT61" s="111">
        <v>1738900</v>
      </c>
      <c r="AU61" s="111">
        <v>2301900</v>
      </c>
      <c r="AV61" s="111">
        <v>1593699.9999999998</v>
      </c>
      <c r="AW61" s="111">
        <v>2703500</v>
      </c>
      <c r="AX61" s="113">
        <v>1952505.1009999996</v>
      </c>
      <c r="AY61" s="113">
        <v>2548437.5599999996</v>
      </c>
      <c r="AZ61" s="113">
        <v>911021.19000000018</v>
      </c>
      <c r="BA61" s="113"/>
      <c r="BB61" s="113"/>
      <c r="BC61" s="113"/>
      <c r="BD61" s="113"/>
      <c r="BE61" s="113"/>
      <c r="BF61" s="114">
        <f t="shared" si="48"/>
        <v>1952505.1009999996</v>
      </c>
      <c r="BG61" s="114">
        <f t="shared" si="49"/>
        <v>2548437.5599999996</v>
      </c>
      <c r="BH61" s="114">
        <f t="shared" si="50"/>
        <v>911021.19000000018</v>
      </c>
      <c r="BI61" s="114">
        <f t="shared" si="51"/>
        <v>0</v>
      </c>
      <c r="BJ61" s="114">
        <f t="shared" si="107"/>
        <v>5411963.8509999998</v>
      </c>
      <c r="BK61" s="115">
        <f t="shared" ref="BK61:BK94" si="144">IF($H$2=1,AT61,IF($H$2=2,SUM(AT61:AU61),IF($H$2=3,SUM(AT61:AV61),SUM(AT61:AW61))))</f>
        <v>8338000</v>
      </c>
      <c r="BL61" s="115">
        <f t="shared" si="52"/>
        <v>8338000</v>
      </c>
      <c r="BM61" s="116">
        <f t="shared" si="53"/>
        <v>0.64910000000000001</v>
      </c>
      <c r="BN61" s="126">
        <f t="shared" ca="1" si="108"/>
        <v>0</v>
      </c>
      <c r="BO61" s="117">
        <f t="shared" ca="1" si="109"/>
        <v>0</v>
      </c>
      <c r="BP61" s="118" t="str">
        <f t="shared" si="110"/>
        <v>Uncapped</v>
      </c>
      <c r="BQ61" s="115">
        <f t="shared" ca="1" si="111"/>
        <v>0</v>
      </c>
      <c r="BR61" s="113" t="s">
        <v>697</v>
      </c>
      <c r="BS61" s="161">
        <v>0.2</v>
      </c>
      <c r="BT61" s="113" t="s">
        <v>217</v>
      </c>
      <c r="BU61" s="160" t="s">
        <v>210</v>
      </c>
      <c r="BV61" s="113">
        <v>10644900</v>
      </c>
      <c r="BW61" s="113">
        <v>4062900</v>
      </c>
      <c r="BX61" s="113">
        <v>5528700</v>
      </c>
      <c r="BY61" s="113">
        <v>5481500</v>
      </c>
      <c r="BZ61" s="113">
        <v>12422663.023</v>
      </c>
      <c r="CA61" s="113">
        <v>5718243.1750000017</v>
      </c>
      <c r="CB61" s="113">
        <v>4503181.8509999998</v>
      </c>
      <c r="CC61" s="113"/>
      <c r="CD61" s="113"/>
      <c r="CE61" s="113"/>
      <c r="CF61" s="113"/>
      <c r="CG61" s="113"/>
      <c r="CH61" s="114">
        <f t="shared" si="55"/>
        <v>12422663.023</v>
      </c>
      <c r="CI61" s="114">
        <f t="shared" si="56"/>
        <v>5718243.1750000017</v>
      </c>
      <c r="CJ61" s="120">
        <f t="shared" si="57"/>
        <v>4503181.8509999998</v>
      </c>
      <c r="CK61" s="114">
        <f t="shared" si="58"/>
        <v>0</v>
      </c>
      <c r="CL61" s="114">
        <f t="shared" si="112"/>
        <v>22644088.049000002</v>
      </c>
      <c r="CM61" s="114">
        <f t="shared" ref="CM61:CM94" si="145">IF($H$2=1,BV61,IF($H$2=2,SUM(BV61:BW61),IF($H$2=3,SUM(BV61:BX61),SUM(BV61:BY61))))</f>
        <v>25718000</v>
      </c>
      <c r="CN61" s="114">
        <f t="shared" si="59"/>
        <v>25718000</v>
      </c>
      <c r="CO61" s="116">
        <f t="shared" si="60"/>
        <v>0.88049999999999995</v>
      </c>
      <c r="CP61" s="126">
        <f t="shared" ca="1" si="61"/>
        <v>0</v>
      </c>
      <c r="CQ61" s="115">
        <f t="shared" ca="1" si="113"/>
        <v>0</v>
      </c>
      <c r="CR61" s="118" t="str">
        <f t="shared" si="114"/>
        <v>Uncapped</v>
      </c>
      <c r="CS61" s="115">
        <f t="shared" ca="1" si="115"/>
        <v>0</v>
      </c>
      <c r="CT61" s="113" t="s">
        <v>681</v>
      </c>
      <c r="CU61" s="119">
        <v>0.1</v>
      </c>
      <c r="CV61" s="113" t="s">
        <v>217</v>
      </c>
      <c r="CW61" s="113" t="s">
        <v>210</v>
      </c>
      <c r="CX61" s="113">
        <v>12667084.918482166</v>
      </c>
      <c r="CY61" s="113">
        <v>13178645.488737401</v>
      </c>
      <c r="CZ61" s="113">
        <v>12190341.596061932</v>
      </c>
      <c r="DA61" s="113">
        <v>12342000.7336083</v>
      </c>
      <c r="DB61" s="113">
        <v>14536882.36749677</v>
      </c>
      <c r="DC61" s="113">
        <v>10749156.798470002</v>
      </c>
      <c r="DD61" s="113">
        <v>10536844.709400002</v>
      </c>
      <c r="DE61" s="113"/>
      <c r="DF61" s="113"/>
      <c r="DG61" s="113"/>
      <c r="DH61" s="113"/>
      <c r="DI61" s="113"/>
      <c r="DJ61" s="114">
        <f t="shared" si="62"/>
        <v>14536882.36749677</v>
      </c>
      <c r="DK61" s="114">
        <f t="shared" si="63"/>
        <v>10749156.798470002</v>
      </c>
      <c r="DL61" s="114">
        <f t="shared" si="64"/>
        <v>10536844.709400002</v>
      </c>
      <c r="DM61" s="114">
        <f t="shared" si="65"/>
        <v>0</v>
      </c>
      <c r="DN61" s="114">
        <f t="shared" si="116"/>
        <v>35822883.875366777</v>
      </c>
      <c r="DO61" s="114">
        <f t="shared" ref="DO61:DO94" si="146">IF($H$2=1,CX61,IF($H$2=2,SUM(CX61:CY61),IF($H$2=3,SUM(CX61:CZ61),SUM(CX61:DA61))))</f>
        <v>50378072.736889794</v>
      </c>
      <c r="DP61" s="114">
        <f t="shared" si="67"/>
        <v>50378072.736889794</v>
      </c>
      <c r="DQ61" s="116">
        <f t="shared" si="68"/>
        <v>0.71109999999999995</v>
      </c>
      <c r="DR61" s="126">
        <f t="shared" ca="1" si="117"/>
        <v>0</v>
      </c>
      <c r="DS61" s="115">
        <f t="shared" ca="1" si="118"/>
        <v>0</v>
      </c>
      <c r="DT61" s="118" t="str">
        <f t="shared" si="119"/>
        <v>Uncapped</v>
      </c>
      <c r="DU61" s="115">
        <f t="shared" ca="1" si="120"/>
        <v>0</v>
      </c>
      <c r="DV61" s="113" t="s">
        <v>363</v>
      </c>
      <c r="DW61" s="119">
        <v>0.1</v>
      </c>
      <c r="DX61" s="113"/>
      <c r="DY61" s="113" t="s">
        <v>219</v>
      </c>
      <c r="DZ61" s="113">
        <v>0</v>
      </c>
      <c r="EA61" s="113">
        <v>0</v>
      </c>
      <c r="EB61" s="113">
        <v>0</v>
      </c>
      <c r="EC61" s="113">
        <v>0</v>
      </c>
      <c r="ED61" s="113">
        <v>0</v>
      </c>
      <c r="EE61" s="113">
        <v>0</v>
      </c>
      <c r="EF61" s="113"/>
      <c r="EG61" s="113"/>
      <c r="EH61" s="113"/>
      <c r="EI61" s="113"/>
      <c r="EJ61" s="113"/>
      <c r="EK61" s="113"/>
      <c r="EL61" s="114">
        <f t="shared" si="69"/>
        <v>0</v>
      </c>
      <c r="EM61" s="114">
        <f t="shared" si="70"/>
        <v>0</v>
      </c>
      <c r="EN61" s="114">
        <f t="shared" si="71"/>
        <v>0</v>
      </c>
      <c r="EO61" s="114">
        <f t="shared" si="72"/>
        <v>0</v>
      </c>
      <c r="EP61" s="114">
        <f t="shared" si="121"/>
        <v>0</v>
      </c>
      <c r="EQ61" s="114">
        <f t="shared" ref="EQ61:EQ94" si="147">IF($H$2=1,DZ61,IF($H$2=2,SUM(DZ61:EA61),IF($H$2=3,SUM(DZ61:EB61),SUM(DZ61:EC61))))</f>
        <v>0</v>
      </c>
      <c r="ER61" s="114">
        <f t="shared" si="73"/>
        <v>0</v>
      </c>
      <c r="ES61" s="116">
        <f t="shared" si="74"/>
        <v>0</v>
      </c>
      <c r="ET61" s="126">
        <f t="shared" si="75"/>
        <v>0</v>
      </c>
      <c r="EU61" s="115">
        <f t="shared" si="122"/>
        <v>0</v>
      </c>
      <c r="EV61" s="118" t="str">
        <f t="shared" si="123"/>
        <v>Uncapped</v>
      </c>
      <c r="EW61" s="115">
        <f t="shared" si="124"/>
        <v>0</v>
      </c>
      <c r="EX61" s="112">
        <f t="shared" ca="1" si="125"/>
        <v>0</v>
      </c>
      <c r="EY61" s="114">
        <f t="shared" ca="1" si="76"/>
        <v>0</v>
      </c>
      <c r="EZ61" s="115">
        <v>0</v>
      </c>
      <c r="FA61" s="115"/>
      <c r="FB61" s="115"/>
      <c r="FC61" s="115">
        <v>0</v>
      </c>
      <c r="FD61" s="115">
        <f t="shared" ref="FD61:FD94" si="148">IF($H$2=1,EZ61,IF($H$2=2,SUM(EZ61:FA61),IF($H$2=3,SUM(EZ61:FB61),SUM(EZ61:FC61))))</f>
        <v>0</v>
      </c>
      <c r="FE61" s="114">
        <f t="shared" si="140"/>
        <v>0</v>
      </c>
      <c r="FF61" s="115">
        <v>0</v>
      </c>
      <c r="FG61" s="115">
        <v>0</v>
      </c>
      <c r="FH61" s="115">
        <v>0</v>
      </c>
      <c r="FI61" s="115">
        <v>0</v>
      </c>
      <c r="FJ61" s="115">
        <f t="shared" ref="FJ61:FJ94" si="149">IF($H$2=1,FF61,IF($H$2=2,SUM(FF61:FG61),IF($H$2=3,SUM(FF61:FH61),SUM(FF61:FI61))))</f>
        <v>0</v>
      </c>
      <c r="FK61" s="114">
        <f t="shared" si="141"/>
        <v>0</v>
      </c>
      <c r="FL61" s="113"/>
      <c r="FM61" s="111"/>
      <c r="FN61" s="111"/>
      <c r="FO61" s="111"/>
      <c r="FP61" s="115">
        <f t="shared" si="88"/>
        <v>0</v>
      </c>
      <c r="FQ61" s="115"/>
      <c r="FR61" s="115"/>
      <c r="FS61" s="115"/>
      <c r="FT61" s="114">
        <f t="shared" si="77"/>
        <v>0</v>
      </c>
      <c r="FU61" s="366">
        <f t="shared" ca="1" si="79"/>
        <v>0</v>
      </c>
      <c r="FV61" s="121">
        <f t="shared" ca="1" si="78"/>
        <v>0</v>
      </c>
      <c r="FW61" s="114">
        <f t="shared" si="84"/>
        <v>0</v>
      </c>
      <c r="FX61" s="114">
        <f t="shared" si="84"/>
        <v>0</v>
      </c>
      <c r="FY61" s="114">
        <f t="shared" si="84"/>
        <v>0</v>
      </c>
      <c r="FZ61" s="114">
        <f t="shared" si="81"/>
        <v>0</v>
      </c>
      <c r="GA61" s="114">
        <f t="shared" si="89"/>
        <v>0</v>
      </c>
      <c r="GB61" s="114">
        <f t="shared" si="85"/>
        <v>0</v>
      </c>
      <c r="GC61" s="114">
        <f t="shared" si="85"/>
        <v>0</v>
      </c>
      <c r="GD61" s="114">
        <f t="shared" si="85"/>
        <v>0</v>
      </c>
      <c r="GE61" s="114">
        <f t="shared" si="82"/>
        <v>0</v>
      </c>
      <c r="GF61" s="114">
        <f t="shared" si="87"/>
        <v>0</v>
      </c>
      <c r="GG61" s="114">
        <f t="shared" si="87"/>
        <v>0</v>
      </c>
      <c r="GH61" s="114">
        <f t="shared" si="87"/>
        <v>0</v>
      </c>
      <c r="GI61" s="114">
        <f t="shared" si="86"/>
        <v>0</v>
      </c>
      <c r="GJ61" s="115">
        <f t="shared" ref="GJ61:GJ94" si="150">IF($H$2=1,GF61,IF($H$2=2,SUM(GF61:GG61),IF($H$2=3,SUM(GF61:GH61),SUM(GF61:GI61))))</f>
        <v>0</v>
      </c>
      <c r="GK61" s="114">
        <f t="shared" si="90"/>
        <v>0</v>
      </c>
      <c r="GL61" s="114">
        <f t="shared" si="126"/>
        <v>0</v>
      </c>
      <c r="GM61" s="114">
        <f t="shared" si="127"/>
        <v>0</v>
      </c>
      <c r="GN61" s="114">
        <f t="shared" si="128"/>
        <v>0</v>
      </c>
      <c r="GO61" s="114">
        <f t="shared" si="129"/>
        <v>0</v>
      </c>
      <c r="GP61" s="114">
        <f t="shared" ref="GP61:GP94" si="151">IF($H$2=1,GL61,IF($H$2=2,SUM(GL61:GM61),IF($H$2=3,SUM(GL61:GN61),IF($H$2=4,SUM(GL61:GO61)))))</f>
        <v>0</v>
      </c>
      <c r="GQ61" s="114">
        <f t="shared" si="91"/>
        <v>0</v>
      </c>
      <c r="GR61" s="193"/>
      <c r="GS61" s="122">
        <f t="shared" si="130"/>
        <v>63878935.775366783</v>
      </c>
      <c r="GT61" s="122">
        <f t="shared" si="131"/>
        <v>84434072.736889794</v>
      </c>
      <c r="GU61" s="123">
        <f t="shared" si="92"/>
        <v>0.75655400367128878</v>
      </c>
      <c r="GV61" s="124">
        <f t="shared" ca="1" si="132"/>
        <v>0</v>
      </c>
      <c r="GW61" s="124">
        <v>0</v>
      </c>
      <c r="GX61" s="32">
        <f t="shared" ca="1" si="133"/>
        <v>0</v>
      </c>
      <c r="GY61" s="100"/>
    </row>
    <row r="62" spans="1:207" s="165" customFormat="1" ht="15" hidden="1" customHeight="1">
      <c r="A62" s="102"/>
      <c r="B62" s="103"/>
      <c r="C62" s="103"/>
      <c r="D62" s="104" t="s">
        <v>215</v>
      </c>
      <c r="E62" s="113" t="s">
        <v>368</v>
      </c>
      <c r="F62" s="113" t="s">
        <v>369</v>
      </c>
      <c r="G62" s="104" t="s">
        <v>226</v>
      </c>
      <c r="H62" s="105" t="s">
        <v>370</v>
      </c>
      <c r="I62" s="106" t="s">
        <v>371</v>
      </c>
      <c r="J62" s="104" t="s">
        <v>212</v>
      </c>
      <c r="K62" s="104" t="s">
        <v>215</v>
      </c>
      <c r="L62" s="104" t="s">
        <v>372</v>
      </c>
      <c r="M62" s="104" t="s">
        <v>372</v>
      </c>
      <c r="N62" s="107"/>
      <c r="O62" s="108">
        <v>42072</v>
      </c>
      <c r="P62" s="108">
        <v>43344</v>
      </c>
      <c r="Q62" s="322">
        <f t="shared" si="105"/>
        <v>0</v>
      </c>
      <c r="R62" s="109">
        <f>IF((P62-VLOOKUP(Q62,month!$A$1:$C$13,3,0))&lt;0,Q62,Q62+1)</f>
        <v>0</v>
      </c>
      <c r="S62" s="108"/>
      <c r="T62" s="127" t="str">
        <f t="shared" si="80"/>
        <v/>
      </c>
      <c r="U62" s="107"/>
      <c r="V62" s="107"/>
      <c r="W62" s="107"/>
      <c r="X62" s="107"/>
      <c r="Y62" s="386"/>
      <c r="Z62" s="386" t="s">
        <v>545</v>
      </c>
      <c r="AA62" s="387">
        <v>1000</v>
      </c>
      <c r="AB62" s="387">
        <v>1000</v>
      </c>
      <c r="AC62" s="387">
        <v>1000</v>
      </c>
      <c r="AD62" s="387">
        <v>1000</v>
      </c>
      <c r="AE62" s="387">
        <v>1000</v>
      </c>
      <c r="AF62" s="387">
        <v>1000</v>
      </c>
      <c r="AG62" s="387">
        <v>1000</v>
      </c>
      <c r="AH62" s="387">
        <v>1000</v>
      </c>
      <c r="AI62" s="387">
        <v>1000</v>
      </c>
      <c r="AJ62" s="387">
        <v>1000</v>
      </c>
      <c r="AK62" s="387">
        <v>1000</v>
      </c>
      <c r="AL62" s="387">
        <v>1000</v>
      </c>
      <c r="AM62" s="388">
        <f t="shared" si="142"/>
        <v>12000</v>
      </c>
      <c r="AN62" s="388">
        <f t="shared" si="106"/>
        <v>12000</v>
      </c>
      <c r="AO62" s="389">
        <f t="shared" si="143"/>
        <v>1000</v>
      </c>
      <c r="AP62" s="498" t="s">
        <v>669</v>
      </c>
      <c r="AQ62" s="159">
        <v>0.4</v>
      </c>
      <c r="AR62" s="160" t="s">
        <v>358</v>
      </c>
      <c r="AS62" s="119" t="s">
        <v>210</v>
      </c>
      <c r="AT62" s="111">
        <v>897000</v>
      </c>
      <c r="AU62" s="111">
        <v>1535000</v>
      </c>
      <c r="AV62" s="111">
        <v>2400000</v>
      </c>
      <c r="AW62" s="111">
        <v>1873000</v>
      </c>
      <c r="AX62" s="113">
        <v>973389.14999999979</v>
      </c>
      <c r="AY62" s="113">
        <v>1929145.638</v>
      </c>
      <c r="AZ62" s="113">
        <v>1724766.6600000004</v>
      </c>
      <c r="BA62" s="113"/>
      <c r="BB62" s="113"/>
      <c r="BC62" s="113"/>
      <c r="BD62" s="113"/>
      <c r="BE62" s="113"/>
      <c r="BF62" s="114">
        <f t="shared" ref="BF62:BF122" si="152">AX62+BB62</f>
        <v>973389.14999999979</v>
      </c>
      <c r="BG62" s="114">
        <f t="shared" ref="BG62:BG122" si="153">AY62+BC62</f>
        <v>1929145.638</v>
      </c>
      <c r="BH62" s="114">
        <f t="shared" ref="BH62:BH122" si="154">AZ62+BD62</f>
        <v>1724766.6600000004</v>
      </c>
      <c r="BI62" s="114">
        <f t="shared" ref="BI62:BI122" si="155">BA62+BE62</f>
        <v>0</v>
      </c>
      <c r="BJ62" s="114">
        <f t="shared" si="107"/>
        <v>4627301.4479999999</v>
      </c>
      <c r="BK62" s="115">
        <f t="shared" si="144"/>
        <v>6705000</v>
      </c>
      <c r="BL62" s="115">
        <f t="shared" ref="BL62:BL122" si="156">SUM(AT62:AW62)</f>
        <v>6705000</v>
      </c>
      <c r="BM62" s="116">
        <f t="shared" ref="BM62:BM122" si="157">IFERROR(ROUND(BJ62/BK62,4),0)</f>
        <v>0.69010000000000005</v>
      </c>
      <c r="BN62" s="126">
        <f t="shared" ca="1" si="108"/>
        <v>0</v>
      </c>
      <c r="BO62" s="117">
        <f t="shared" ca="1" si="109"/>
        <v>0</v>
      </c>
      <c r="BP62" s="118" t="str">
        <f t="shared" si="110"/>
        <v>Uncapped</v>
      </c>
      <c r="BQ62" s="115">
        <f t="shared" ca="1" si="111"/>
        <v>0</v>
      </c>
      <c r="BR62" s="113" t="s">
        <v>698</v>
      </c>
      <c r="BS62" s="161">
        <v>0.3</v>
      </c>
      <c r="BT62" s="113" t="s">
        <v>217</v>
      </c>
      <c r="BU62" s="160" t="s">
        <v>210</v>
      </c>
      <c r="BV62" s="113">
        <v>2290500</v>
      </c>
      <c r="BW62" s="113">
        <v>6357500</v>
      </c>
      <c r="BX62" s="113">
        <v>6414100</v>
      </c>
      <c r="BY62" s="113">
        <v>5480500</v>
      </c>
      <c r="BZ62" s="113">
        <v>2107692.6592999995</v>
      </c>
      <c r="CA62" s="113">
        <v>6356372.2520000022</v>
      </c>
      <c r="CB62" s="113">
        <v>5350669.9079999989</v>
      </c>
      <c r="CC62" s="113"/>
      <c r="CD62" s="113"/>
      <c r="CE62" s="113"/>
      <c r="CF62" s="113"/>
      <c r="CG62" s="113"/>
      <c r="CH62" s="114">
        <f t="shared" ref="CH62:CH122" si="158">BZ62+CD62</f>
        <v>2107692.6592999995</v>
      </c>
      <c r="CI62" s="114">
        <f t="shared" ref="CI62:CI122" si="159">CA62+CE62</f>
        <v>6356372.2520000022</v>
      </c>
      <c r="CJ62" s="120">
        <f t="shared" ref="CJ62:CJ122" si="160">CB62+CF62</f>
        <v>5350669.9079999989</v>
      </c>
      <c r="CK62" s="114">
        <f t="shared" ref="CK62:CK122" si="161">CC62+CG62</f>
        <v>0</v>
      </c>
      <c r="CL62" s="114">
        <f t="shared" si="112"/>
        <v>13814734.8193</v>
      </c>
      <c r="CM62" s="114">
        <f t="shared" si="145"/>
        <v>20542600</v>
      </c>
      <c r="CN62" s="114">
        <f t="shared" ref="CN62:CN122" si="162">SUM(BV62:BY62)</f>
        <v>20542600</v>
      </c>
      <c r="CO62" s="116">
        <f t="shared" ref="CO62:CO122" si="163">IFERROR(ROUND(CL62/CM62,4),0)</f>
        <v>0.67249999999999999</v>
      </c>
      <c r="CP62" s="126">
        <f t="shared" ref="CP62:CP122" ca="1" si="164">IF(OR(BR62="MBO",BR62="10% Realized Price"),CO62,SUMPRODUCT(Lower_Payout*(Curve=BT62)*(Lower_Attain&lt;=CO62)*(Upper_Attain&gt;CO62))+(CO62-SUMPRODUCT(Lower_Attain*(Curve=BT62)*(Lower_Attain&lt;=CO62)*(Upper_Attain&gt;CO62)))*SUMPRODUCT(Slope*(Curve=BT62)*(Lower_Attain&lt;=CO62)*(Upper_Attain&gt;CO62)))</f>
        <v>0</v>
      </c>
      <c r="CQ62" s="115">
        <f t="shared" ca="1" si="113"/>
        <v>0</v>
      </c>
      <c r="CR62" s="118" t="str">
        <f t="shared" si="114"/>
        <v>Uncapped</v>
      </c>
      <c r="CS62" s="115">
        <f t="shared" ca="1" si="115"/>
        <v>0</v>
      </c>
      <c r="CT62" s="113" t="s">
        <v>681</v>
      </c>
      <c r="CU62" s="119">
        <v>0.1</v>
      </c>
      <c r="CV62" s="113" t="s">
        <v>217</v>
      </c>
      <c r="CW62" s="113" t="s">
        <v>210</v>
      </c>
      <c r="CX62" s="113">
        <v>12667084.918482166</v>
      </c>
      <c r="CY62" s="113">
        <v>13178645.488737401</v>
      </c>
      <c r="CZ62" s="113">
        <v>12190341.596061932</v>
      </c>
      <c r="DA62" s="113">
        <v>12342000.7336083</v>
      </c>
      <c r="DB62" s="113">
        <v>14536882.36749677</v>
      </c>
      <c r="DC62" s="113">
        <v>10749156.798470002</v>
      </c>
      <c r="DD62" s="113">
        <v>10536844.709400002</v>
      </c>
      <c r="DE62" s="113"/>
      <c r="DF62" s="113"/>
      <c r="DG62" s="113"/>
      <c r="DH62" s="113"/>
      <c r="DI62" s="113"/>
      <c r="DJ62" s="114">
        <f t="shared" ref="DJ62:DJ122" si="165">DB62+DF62</f>
        <v>14536882.36749677</v>
      </c>
      <c r="DK62" s="114">
        <f t="shared" ref="DK62:DK122" si="166">DC62+DG62</f>
        <v>10749156.798470002</v>
      </c>
      <c r="DL62" s="114">
        <f t="shared" ref="DL62:DL122" si="167">DD62+DH62</f>
        <v>10536844.709400002</v>
      </c>
      <c r="DM62" s="114">
        <f t="shared" ref="DM62:DM122" si="168">DE62+DI62</f>
        <v>0</v>
      </c>
      <c r="DN62" s="114">
        <f t="shared" si="116"/>
        <v>35822883.875366777</v>
      </c>
      <c r="DO62" s="114">
        <f t="shared" si="146"/>
        <v>50378072.736889794</v>
      </c>
      <c r="DP62" s="114">
        <f t="shared" ref="DP62:DP122" si="169">SUM(CX62:DA62)</f>
        <v>50378072.736889794</v>
      </c>
      <c r="DQ62" s="116">
        <f t="shared" ref="DQ62:DQ122" si="170">IFERROR(ROUND(DN62/DO62,4),0)</f>
        <v>0.71109999999999995</v>
      </c>
      <c r="DR62" s="126">
        <f t="shared" ca="1" si="117"/>
        <v>0</v>
      </c>
      <c r="DS62" s="115">
        <f t="shared" ca="1" si="118"/>
        <v>0</v>
      </c>
      <c r="DT62" s="118" t="str">
        <f t="shared" si="119"/>
        <v>Uncapped</v>
      </c>
      <c r="DU62" s="115">
        <f t="shared" ca="1" si="120"/>
        <v>0</v>
      </c>
      <c r="DV62" s="113" t="s">
        <v>363</v>
      </c>
      <c r="DW62" s="119">
        <v>0.2</v>
      </c>
      <c r="DX62" s="113"/>
      <c r="DY62" s="113" t="s">
        <v>219</v>
      </c>
      <c r="DZ62" s="113">
        <v>0</v>
      </c>
      <c r="EA62" s="113">
        <v>0</v>
      </c>
      <c r="EB62" s="113">
        <v>0</v>
      </c>
      <c r="EC62" s="113">
        <v>0</v>
      </c>
      <c r="ED62" s="113">
        <v>0</v>
      </c>
      <c r="EE62" s="113">
        <v>0</v>
      </c>
      <c r="EF62" s="113"/>
      <c r="EG62" s="113"/>
      <c r="EH62" s="113"/>
      <c r="EI62" s="113"/>
      <c r="EJ62" s="113"/>
      <c r="EK62" s="113"/>
      <c r="EL62" s="114">
        <f t="shared" ref="EL62:EL122" si="171">ED62+EH62</f>
        <v>0</v>
      </c>
      <c r="EM62" s="114">
        <f t="shared" ref="EM62:EM122" si="172">EE62+EI62</f>
        <v>0</v>
      </c>
      <c r="EN62" s="114">
        <f t="shared" ref="EN62:EN122" si="173">EF62+EJ62</f>
        <v>0</v>
      </c>
      <c r="EO62" s="114">
        <f t="shared" ref="EO62:EO122" si="174">EG62+EK62</f>
        <v>0</v>
      </c>
      <c r="EP62" s="114">
        <f t="shared" si="121"/>
        <v>0</v>
      </c>
      <c r="EQ62" s="114">
        <f t="shared" si="147"/>
        <v>0</v>
      </c>
      <c r="ER62" s="114">
        <f t="shared" ref="ER62:ER122" si="175">SUM(DZ62:EC62)</f>
        <v>0</v>
      </c>
      <c r="ES62" s="116">
        <f t="shared" ref="ES62:ES122" si="176">IFERROR(ROUND(EP62/EQ62,4),0)</f>
        <v>0</v>
      </c>
      <c r="ET62" s="126">
        <f t="shared" ref="ET62:ET122" si="177">IF(OR(DV62="MBO",DV62="10% Realized Price"),ES62,SUMPRODUCT(Lower_Payout*(Curve=DX62)*(Lower_Attain&lt;=ES62)*(Upper_Attain&gt;ES62))+(ES62-SUMPRODUCT(Lower_Attain*(Curve=DX62)*(Lower_Attain&lt;=ES62)*(Upper_Attain&gt;ES62)))*SUMPRODUCT(Slope*(Curve=DX62)*(Lower_Attain&lt;=ES62)*(Upper_Attain&gt;ES62)))</f>
        <v>0</v>
      </c>
      <c r="EU62" s="115">
        <f t="shared" si="122"/>
        <v>0</v>
      </c>
      <c r="EV62" s="118" t="str">
        <f t="shared" si="123"/>
        <v>Uncapped</v>
      </c>
      <c r="EW62" s="115">
        <f t="shared" si="124"/>
        <v>0</v>
      </c>
      <c r="EX62" s="112">
        <f t="shared" ca="1" si="125"/>
        <v>0</v>
      </c>
      <c r="EY62" s="114">
        <f t="shared" ref="EY62:EY122" ca="1" si="178">MAX(EX62,GP62)</f>
        <v>0</v>
      </c>
      <c r="EZ62" s="115">
        <v>0</v>
      </c>
      <c r="FA62" s="115"/>
      <c r="FB62" s="115"/>
      <c r="FC62" s="115">
        <v>0</v>
      </c>
      <c r="FD62" s="115">
        <f t="shared" si="148"/>
        <v>0</v>
      </c>
      <c r="FE62" s="114">
        <f t="shared" si="140"/>
        <v>0</v>
      </c>
      <c r="FF62" s="115">
        <v>0</v>
      </c>
      <c r="FG62" s="115">
        <v>0</v>
      </c>
      <c r="FH62" s="115">
        <v>0</v>
      </c>
      <c r="FI62" s="115">
        <v>0</v>
      </c>
      <c r="FJ62" s="115">
        <f t="shared" si="149"/>
        <v>0</v>
      </c>
      <c r="FK62" s="114">
        <f t="shared" si="141"/>
        <v>0</v>
      </c>
      <c r="FL62" s="113"/>
      <c r="FM62" s="111"/>
      <c r="FN62" s="111"/>
      <c r="FO62" s="111"/>
      <c r="FP62" s="115">
        <f t="shared" si="88"/>
        <v>0</v>
      </c>
      <c r="FQ62" s="115"/>
      <c r="FR62" s="115"/>
      <c r="FS62" s="115"/>
      <c r="FT62" s="114">
        <f t="shared" si="77"/>
        <v>0</v>
      </c>
      <c r="FU62" s="366">
        <f t="shared" ca="1" si="79"/>
        <v>0</v>
      </c>
      <c r="FV62" s="121">
        <f t="shared" ca="1" si="78"/>
        <v>0</v>
      </c>
      <c r="FW62" s="114">
        <f t="shared" si="84"/>
        <v>0</v>
      </c>
      <c r="FX62" s="114">
        <f t="shared" si="84"/>
        <v>0</v>
      </c>
      <c r="FY62" s="114">
        <f t="shared" si="84"/>
        <v>0</v>
      </c>
      <c r="FZ62" s="114">
        <f t="shared" si="81"/>
        <v>0</v>
      </c>
      <c r="GA62" s="114">
        <f t="shared" si="89"/>
        <v>0</v>
      </c>
      <c r="GB62" s="114">
        <f t="shared" si="85"/>
        <v>0</v>
      </c>
      <c r="GC62" s="114">
        <f t="shared" si="85"/>
        <v>0</v>
      </c>
      <c r="GD62" s="114">
        <f t="shared" si="85"/>
        <v>0</v>
      </c>
      <c r="GE62" s="114">
        <f t="shared" si="82"/>
        <v>0</v>
      </c>
      <c r="GF62" s="114">
        <f t="shared" si="87"/>
        <v>0</v>
      </c>
      <c r="GG62" s="114">
        <f t="shared" si="87"/>
        <v>0</v>
      </c>
      <c r="GH62" s="114">
        <f t="shared" si="87"/>
        <v>0</v>
      </c>
      <c r="GI62" s="114">
        <f t="shared" si="86"/>
        <v>0</v>
      </c>
      <c r="GJ62" s="115">
        <f t="shared" si="150"/>
        <v>0</v>
      </c>
      <c r="GK62" s="114">
        <f t="shared" si="90"/>
        <v>0</v>
      </c>
      <c r="GL62" s="114">
        <f t="shared" si="126"/>
        <v>0</v>
      </c>
      <c r="GM62" s="114">
        <f t="shared" si="127"/>
        <v>0</v>
      </c>
      <c r="GN62" s="114">
        <f t="shared" si="128"/>
        <v>0</v>
      </c>
      <c r="GO62" s="114">
        <f t="shared" si="129"/>
        <v>0</v>
      </c>
      <c r="GP62" s="114">
        <f t="shared" si="151"/>
        <v>0</v>
      </c>
      <c r="GQ62" s="114">
        <f t="shared" si="91"/>
        <v>0</v>
      </c>
      <c r="GR62" s="193"/>
      <c r="GS62" s="122">
        <f t="shared" si="130"/>
        <v>54264920.142666772</v>
      </c>
      <c r="GT62" s="122">
        <f t="shared" si="131"/>
        <v>77625672.736889794</v>
      </c>
      <c r="GU62" s="123">
        <f t="shared" si="92"/>
        <v>0.69905893539365915</v>
      </c>
      <c r="GV62" s="124">
        <f t="shared" ca="1" si="132"/>
        <v>0</v>
      </c>
      <c r="GW62" s="124">
        <v>0</v>
      </c>
      <c r="GX62" s="32">
        <f t="shared" ca="1" si="133"/>
        <v>0</v>
      </c>
      <c r="GY62" s="100"/>
    </row>
    <row r="63" spans="1:207" s="397" customFormat="1" ht="15" hidden="1" customHeight="1">
      <c r="A63" s="102"/>
      <c r="B63" s="103"/>
      <c r="C63" s="103"/>
      <c r="D63" s="104" t="s">
        <v>215</v>
      </c>
      <c r="E63" s="113" t="s">
        <v>368</v>
      </c>
      <c r="F63" s="326" t="s">
        <v>662</v>
      </c>
      <c r="G63" s="325" t="s">
        <v>226</v>
      </c>
      <c r="H63" s="327" t="s">
        <v>663</v>
      </c>
      <c r="I63" s="328" t="s">
        <v>664</v>
      </c>
      <c r="J63" s="325" t="s">
        <v>212</v>
      </c>
      <c r="K63" s="510" t="s">
        <v>215</v>
      </c>
      <c r="L63" s="325" t="s">
        <v>372</v>
      </c>
      <c r="M63" s="325" t="s">
        <v>372</v>
      </c>
      <c r="N63" s="320"/>
      <c r="O63" s="329">
        <v>43101</v>
      </c>
      <c r="P63" s="395">
        <v>43466</v>
      </c>
      <c r="Q63" s="330">
        <f t="shared" si="105"/>
        <v>0</v>
      </c>
      <c r="R63" s="331">
        <f>IF((P63-VLOOKUP(Q63,month!$A$1:$C$13,3,0))&lt;0,Q63,Q63+1)</f>
        <v>0</v>
      </c>
      <c r="S63" s="329"/>
      <c r="T63" s="396" t="str">
        <f>IF(S63&gt;0,"Y","")</f>
        <v/>
      </c>
      <c r="U63" s="320" t="s">
        <v>214</v>
      </c>
      <c r="V63" s="320">
        <v>3</v>
      </c>
      <c r="W63" s="320"/>
      <c r="X63" s="320"/>
      <c r="Y63" s="391"/>
      <c r="Z63" s="391" t="s">
        <v>545</v>
      </c>
      <c r="AA63" s="392">
        <v>1000</v>
      </c>
      <c r="AB63" s="392">
        <v>1000</v>
      </c>
      <c r="AC63" s="392">
        <v>1000</v>
      </c>
      <c r="AD63" s="392">
        <v>1000</v>
      </c>
      <c r="AE63" s="392">
        <v>1000</v>
      </c>
      <c r="AF63" s="392">
        <v>1000</v>
      </c>
      <c r="AG63" s="392">
        <v>1000</v>
      </c>
      <c r="AH63" s="392">
        <v>1000</v>
      </c>
      <c r="AI63" s="392">
        <v>1000</v>
      </c>
      <c r="AJ63" s="392">
        <v>1000</v>
      </c>
      <c r="AK63" s="392">
        <v>1000</v>
      </c>
      <c r="AL63" s="392">
        <v>1000</v>
      </c>
      <c r="AM63" s="393">
        <f>IF($H$2=1,SUM(AA63:AC63),IF($H$2=2,SUM(AA63:AF63),IF($H$2=3,SUM(AA63:AI63),SUM(AA63:AL63))))</f>
        <v>12000</v>
      </c>
      <c r="AN63" s="393">
        <f t="shared" si="106"/>
        <v>12000</v>
      </c>
      <c r="AO63" s="393">
        <f>AA63</f>
        <v>1000</v>
      </c>
      <c r="AP63" s="501" t="s">
        <v>669</v>
      </c>
      <c r="AQ63" s="334">
        <v>0.4</v>
      </c>
      <c r="AR63" s="335" t="s">
        <v>358</v>
      </c>
      <c r="AS63" s="336" t="s">
        <v>210</v>
      </c>
      <c r="AT63" s="333">
        <v>0</v>
      </c>
      <c r="AU63" s="333">
        <v>1608000</v>
      </c>
      <c r="AV63" s="333">
        <v>2600000</v>
      </c>
      <c r="AW63" s="333">
        <v>2123000</v>
      </c>
      <c r="AX63" s="326">
        <v>0</v>
      </c>
      <c r="AY63" s="326">
        <v>1929583.638</v>
      </c>
      <c r="AZ63" s="326">
        <v>1739372.7600000005</v>
      </c>
      <c r="BA63" s="326"/>
      <c r="BB63" s="326"/>
      <c r="BC63" s="326"/>
      <c r="BD63" s="326"/>
      <c r="BE63" s="326"/>
      <c r="BF63" s="326">
        <f>AX63+BB63</f>
        <v>0</v>
      </c>
      <c r="BG63" s="326">
        <f>AY63+BC63</f>
        <v>1929583.638</v>
      </c>
      <c r="BH63" s="326">
        <f>AZ63+BD63</f>
        <v>1739372.7600000005</v>
      </c>
      <c r="BI63" s="326">
        <f>BA63+BE63</f>
        <v>0</v>
      </c>
      <c r="BJ63" s="326">
        <f t="shared" si="107"/>
        <v>3668956.3980000005</v>
      </c>
      <c r="BK63" s="337">
        <f>IF($H$2=1,AT63,IF($H$2=2,SUM(AT63:AU63),IF($H$2=3,SUM(AT63:AV63),SUM(AT63:AW63))))</f>
        <v>6331000</v>
      </c>
      <c r="BL63" s="337">
        <f>SUM(AT63:AW63)</f>
        <v>6331000</v>
      </c>
      <c r="BM63" s="338">
        <f>IFERROR(ROUND(BJ63/BK63,4),0)</f>
        <v>0.57950000000000002</v>
      </c>
      <c r="BN63" s="336">
        <f t="shared" ca="1" si="108"/>
        <v>0</v>
      </c>
      <c r="BO63" s="339">
        <f t="shared" ca="1" si="109"/>
        <v>0</v>
      </c>
      <c r="BP63" s="340" t="str">
        <f t="shared" si="110"/>
        <v>Uncapped</v>
      </c>
      <c r="BQ63" s="337">
        <f t="shared" ca="1" si="111"/>
        <v>0</v>
      </c>
      <c r="BR63" s="326" t="s">
        <v>698</v>
      </c>
      <c r="BS63" s="341">
        <v>0.3</v>
      </c>
      <c r="BT63" s="326" t="s">
        <v>217</v>
      </c>
      <c r="BU63" s="335" t="s">
        <v>210</v>
      </c>
      <c r="BV63" s="326">
        <v>0</v>
      </c>
      <c r="BW63" s="326">
        <v>6357500</v>
      </c>
      <c r="BX63" s="326">
        <v>6414100</v>
      </c>
      <c r="BY63" s="326">
        <v>5480500</v>
      </c>
      <c r="BZ63" s="326">
        <v>0</v>
      </c>
      <c r="CA63" s="326">
        <v>6356372.2520000022</v>
      </c>
      <c r="CB63" s="326">
        <v>5350669.9079999989</v>
      </c>
      <c r="CC63" s="326"/>
      <c r="CD63" s="113"/>
      <c r="CE63" s="113"/>
      <c r="CF63" s="113"/>
      <c r="CG63" s="113"/>
      <c r="CH63" s="326">
        <f>BZ63+CD63</f>
        <v>0</v>
      </c>
      <c r="CI63" s="326">
        <f>CA63+CE63</f>
        <v>6356372.2520000022</v>
      </c>
      <c r="CJ63" s="342">
        <f>CB63+CF63</f>
        <v>5350669.9079999989</v>
      </c>
      <c r="CK63" s="326">
        <f>CC63+CG63</f>
        <v>0</v>
      </c>
      <c r="CL63" s="326">
        <f t="shared" si="112"/>
        <v>11707042.16</v>
      </c>
      <c r="CM63" s="326">
        <f>IF($H$2=1,BV63,IF($H$2=2,SUM(BV63:BW63),IF($H$2=3,SUM(BV63:BX63),SUM(BV63:BY63))))</f>
        <v>18252100</v>
      </c>
      <c r="CN63" s="326">
        <f>SUM(BV63:BY63)</f>
        <v>18252100</v>
      </c>
      <c r="CO63" s="338">
        <f>IFERROR(ROUND(CL63/CM63,4),0)</f>
        <v>0.64139999999999997</v>
      </c>
      <c r="CP63" s="336">
        <f ca="1">IF(OR(BR63="MBO",BR63="10% Realized Price"),CO63,SUMPRODUCT(Lower_Payout*(Curve=BT63)*(Lower_Attain&lt;=CO63)*(Upper_Attain&gt;CO63))+(CO63-SUMPRODUCT(Lower_Attain*(Curve=BT63)*(Lower_Attain&lt;=CO63)*(Upper_Attain&gt;CO63)))*SUMPRODUCT(Slope*(Curve=BT63)*(Lower_Attain&lt;=CO63)*(Upper_Attain&gt;CO63)))</f>
        <v>0</v>
      </c>
      <c r="CQ63" s="337">
        <f t="shared" ca="1" si="113"/>
        <v>0</v>
      </c>
      <c r="CR63" s="340" t="str">
        <f t="shared" si="114"/>
        <v>Uncapped</v>
      </c>
      <c r="CS63" s="337">
        <f t="shared" ca="1" si="115"/>
        <v>0</v>
      </c>
      <c r="CT63" s="326" t="s">
        <v>681</v>
      </c>
      <c r="CU63" s="336">
        <v>0.1</v>
      </c>
      <c r="CV63" s="326" t="s">
        <v>718</v>
      </c>
      <c r="CW63" s="326" t="s">
        <v>210</v>
      </c>
      <c r="CX63" s="326">
        <v>0</v>
      </c>
      <c r="CY63" s="326">
        <v>13178645.488737401</v>
      </c>
      <c r="CZ63" s="326">
        <v>12190341.596061932</v>
      </c>
      <c r="DA63" s="326">
        <v>12342000.7336083</v>
      </c>
      <c r="DB63" s="326">
        <v>0</v>
      </c>
      <c r="DC63" s="326">
        <v>10749156.798470002</v>
      </c>
      <c r="DD63" s="326">
        <v>10536844.709400002</v>
      </c>
      <c r="DE63" s="326"/>
      <c r="DF63" s="326"/>
      <c r="DG63" s="326"/>
      <c r="DH63" s="326"/>
      <c r="DI63" s="326"/>
      <c r="DJ63" s="326">
        <f>DB63+DF63</f>
        <v>0</v>
      </c>
      <c r="DK63" s="326">
        <f>DC63+DG63</f>
        <v>10749156.798470002</v>
      </c>
      <c r="DL63" s="326">
        <f>DD63+DH63</f>
        <v>10536844.709400002</v>
      </c>
      <c r="DM63" s="326">
        <f>DE63+DI63</f>
        <v>0</v>
      </c>
      <c r="DN63" s="326">
        <f t="shared" si="116"/>
        <v>21286001.507870004</v>
      </c>
      <c r="DO63" s="326">
        <f>IF($H$2=1,CX63,IF($H$2=2,SUM(CX63:CY63),IF($H$2=3,SUM(CX63:CZ63),SUM(CX63:DA63))))</f>
        <v>37710987.818407632</v>
      </c>
      <c r="DP63" s="326">
        <f>SUM(CX63:DA63)</f>
        <v>37710987.818407632</v>
      </c>
      <c r="DQ63" s="338">
        <f>IFERROR(ROUND(DN63/DO63,4),0)</f>
        <v>0.5645</v>
      </c>
      <c r="DR63" s="336">
        <f t="shared" ca="1" si="117"/>
        <v>0</v>
      </c>
      <c r="DS63" s="337">
        <f t="shared" ca="1" si="118"/>
        <v>0</v>
      </c>
      <c r="DT63" s="340" t="str">
        <f t="shared" si="119"/>
        <v>Uncapped</v>
      </c>
      <c r="DU63" s="337">
        <f t="shared" ca="1" si="120"/>
        <v>0</v>
      </c>
      <c r="DV63" s="326" t="s">
        <v>363</v>
      </c>
      <c r="DW63" s="336">
        <v>0.2</v>
      </c>
      <c r="DX63" s="326"/>
      <c r="DY63" s="326" t="s">
        <v>219</v>
      </c>
      <c r="DZ63" s="326">
        <v>0</v>
      </c>
      <c r="EA63" s="326">
        <v>0</v>
      </c>
      <c r="EB63" s="326">
        <v>0</v>
      </c>
      <c r="EC63" s="326">
        <v>0</v>
      </c>
      <c r="ED63" s="326">
        <v>0</v>
      </c>
      <c r="EE63" s="326">
        <v>0</v>
      </c>
      <c r="EF63" s="326"/>
      <c r="EG63" s="326"/>
      <c r="EH63" s="326"/>
      <c r="EI63" s="326"/>
      <c r="EJ63" s="326"/>
      <c r="EK63" s="326"/>
      <c r="EL63" s="326">
        <f>ED63+EH63</f>
        <v>0</v>
      </c>
      <c r="EM63" s="326">
        <f>EE63+EI63</f>
        <v>0</v>
      </c>
      <c r="EN63" s="326">
        <f>EF63+EJ63</f>
        <v>0</v>
      </c>
      <c r="EO63" s="326">
        <f>EG63+EK63</f>
        <v>0</v>
      </c>
      <c r="EP63" s="326">
        <f t="shared" si="121"/>
        <v>0</v>
      </c>
      <c r="EQ63" s="326">
        <f>IF($H$2=1,DZ63,IF($H$2=2,SUM(DZ63:EA63),IF($H$2=3,SUM(DZ63:EB63),SUM(DZ63:EC63))))</f>
        <v>0</v>
      </c>
      <c r="ER63" s="326">
        <f>SUM(DZ63:EC63)</f>
        <v>0</v>
      </c>
      <c r="ES63" s="338">
        <f>IFERROR(ROUND(EP63/EQ63,4),0)</f>
        <v>0</v>
      </c>
      <c r="ET63" s="336">
        <f>IF(OR(DV63="MBO",DV63="10% Realized Price"),ES63,SUMPRODUCT(Lower_Payout*(Curve=DX63)*(Lower_Attain&lt;=ES63)*(Upper_Attain&gt;ES63))+(ES63-SUMPRODUCT(Lower_Attain*(Curve=DX63)*(Lower_Attain&lt;=ES63)*(Upper_Attain&gt;ES63)))*SUMPRODUCT(Slope*(Curve=DX63)*(Lower_Attain&lt;=ES63)*(Upper_Attain&gt;ES63)))</f>
        <v>0</v>
      </c>
      <c r="EU63" s="337">
        <f t="shared" si="122"/>
        <v>0</v>
      </c>
      <c r="EV63" s="340" t="str">
        <f t="shared" si="123"/>
        <v>Uncapped</v>
      </c>
      <c r="EW63" s="337">
        <f t="shared" si="124"/>
        <v>0</v>
      </c>
      <c r="EX63" s="333">
        <f t="shared" ca="1" si="125"/>
        <v>0</v>
      </c>
      <c r="EY63" s="326">
        <f ca="1">MAX(EX63,GP63)</f>
        <v>3000</v>
      </c>
      <c r="EZ63" s="337"/>
      <c r="FA63" s="337"/>
      <c r="FB63" s="337"/>
      <c r="FC63" s="337">
        <v>0</v>
      </c>
      <c r="FD63" s="337">
        <f>IF($H$2=1,EZ63,IF($H$2=2,SUM(EZ63:FA63),IF($H$2=3,SUM(EZ63:FB63),SUM(EZ63:FC63))))</f>
        <v>0</v>
      </c>
      <c r="FE63" s="326">
        <f t="shared" si="140"/>
        <v>0</v>
      </c>
      <c r="FF63" s="337">
        <v>0</v>
      </c>
      <c r="FG63" s="337">
        <v>0</v>
      </c>
      <c r="FH63" s="337">
        <v>0</v>
      </c>
      <c r="FI63" s="337">
        <v>0</v>
      </c>
      <c r="FJ63" s="337">
        <f>IF($H$2=1,FF63,IF($H$2=2,SUM(FF63:FG63),IF($H$2=3,SUM(FF63:FH63),SUM(FF63:FI63))))</f>
        <v>0</v>
      </c>
      <c r="FK63" s="326">
        <f t="shared" si="141"/>
        <v>0</v>
      </c>
      <c r="FL63" s="326"/>
      <c r="FM63" s="333"/>
      <c r="FN63" s="333"/>
      <c r="FO63" s="333"/>
      <c r="FP63" s="337">
        <f>SUM(FL63:FO63)</f>
        <v>0</v>
      </c>
      <c r="FQ63" s="337"/>
      <c r="FR63" s="337"/>
      <c r="FS63" s="337"/>
      <c r="FT63" s="326">
        <f t="shared" si="77"/>
        <v>0</v>
      </c>
      <c r="FU63" s="366">
        <f t="shared" ca="1" si="79"/>
        <v>3000</v>
      </c>
      <c r="FV63" s="343">
        <f t="shared" ca="1" si="78"/>
        <v>3000</v>
      </c>
      <c r="FW63" s="326">
        <f>FF63</f>
        <v>0</v>
      </c>
      <c r="FX63" s="326">
        <f>FG63</f>
        <v>0</v>
      </c>
      <c r="FY63" s="326">
        <f>FH63</f>
        <v>0</v>
      </c>
      <c r="FZ63" s="326">
        <f>FI63</f>
        <v>0</v>
      </c>
      <c r="GA63" s="326">
        <f>SUM(FW63:FZ63)</f>
        <v>0</v>
      </c>
      <c r="GB63" s="326">
        <f>EZ63</f>
        <v>0</v>
      </c>
      <c r="GC63" s="326">
        <f>FA63</f>
        <v>0</v>
      </c>
      <c r="GD63" s="326">
        <f>FB63</f>
        <v>0</v>
      </c>
      <c r="GE63" s="326">
        <f>FC63</f>
        <v>0</v>
      </c>
      <c r="GF63" s="326">
        <f>GB63+FW63</f>
        <v>0</v>
      </c>
      <c r="GG63" s="326">
        <f>GC63+FX63</f>
        <v>0</v>
      </c>
      <c r="GH63" s="326">
        <f>GD63+FY63</f>
        <v>0</v>
      </c>
      <c r="GI63" s="326">
        <f>GE63+FZ63</f>
        <v>0</v>
      </c>
      <c r="GJ63" s="337">
        <f>IF($H$2=1,GF63,IF($H$2=2,SUM(GF63:GG63),IF($H$2=3,SUM(GF63:GH63),SUM(GF63:GI63))))</f>
        <v>0</v>
      </c>
      <c r="GK63" s="326">
        <f>SUM(GF63:GI63)</f>
        <v>0</v>
      </c>
      <c r="GL63" s="326">
        <f t="shared" si="126"/>
        <v>3000</v>
      </c>
      <c r="GM63" s="326">
        <f t="shared" si="127"/>
        <v>0</v>
      </c>
      <c r="GN63" s="326">
        <f t="shared" si="128"/>
        <v>0</v>
      </c>
      <c r="GO63" s="326">
        <f t="shared" si="129"/>
        <v>0</v>
      </c>
      <c r="GP63" s="326">
        <f>IF($H$2=1,GL63,IF($H$2=2,SUM(GL63:GM63),IF($H$2=3,SUM(GL63:GN63),IF($H$2=4,SUM(GL63:GO63)))))</f>
        <v>3000</v>
      </c>
      <c r="GQ63" s="326">
        <f>SUM(GL63:GO63)</f>
        <v>3000</v>
      </c>
      <c r="GR63" s="485"/>
      <c r="GS63" s="344">
        <f t="shared" si="130"/>
        <v>36662000.065870002</v>
      </c>
      <c r="GT63" s="344">
        <f t="shared" si="131"/>
        <v>62294087.818407632</v>
      </c>
      <c r="GU63" s="345">
        <f>IFERROR(GS63/GT63,"")</f>
        <v>0.58853097219663497</v>
      </c>
      <c r="GV63" s="346">
        <f t="shared" ca="1" si="132"/>
        <v>0</v>
      </c>
      <c r="GW63" s="346">
        <v>0</v>
      </c>
      <c r="GX63" s="347">
        <f t="shared" ca="1" si="133"/>
        <v>0</v>
      </c>
      <c r="GY63" s="100"/>
    </row>
    <row r="64" spans="1:207" s="165" customFormat="1" ht="15" hidden="1" customHeight="1">
      <c r="A64" s="102"/>
      <c r="B64" s="103"/>
      <c r="C64" s="103"/>
      <c r="D64" s="104" t="s">
        <v>215</v>
      </c>
      <c r="E64" s="113" t="s">
        <v>368</v>
      </c>
      <c r="F64" s="113" t="s">
        <v>369</v>
      </c>
      <c r="G64" s="104" t="s">
        <v>226</v>
      </c>
      <c r="H64" s="105" t="s">
        <v>373</v>
      </c>
      <c r="I64" s="106" t="s">
        <v>374</v>
      </c>
      <c r="J64" s="104" t="s">
        <v>212</v>
      </c>
      <c r="K64" s="104" t="s">
        <v>215</v>
      </c>
      <c r="L64" s="104" t="s">
        <v>372</v>
      </c>
      <c r="M64" s="104" t="s">
        <v>372</v>
      </c>
      <c r="N64" s="107"/>
      <c r="O64" s="108">
        <v>41106</v>
      </c>
      <c r="P64" s="108">
        <v>43344</v>
      </c>
      <c r="Q64" s="322">
        <f t="shared" ref="Q64:Q95" si="179">IF(P64&gt;$Q$2,MONTH(P64),0)</f>
        <v>0</v>
      </c>
      <c r="R64" s="109">
        <f>IF((P64-VLOOKUP(Q64,month!$A$1:$C$13,3,0))&lt;0,Q64,Q64+1)</f>
        <v>0</v>
      </c>
      <c r="S64" s="108"/>
      <c r="T64" s="127" t="str">
        <f t="shared" si="80"/>
        <v/>
      </c>
      <c r="U64" s="107"/>
      <c r="V64" s="107"/>
      <c r="W64" s="107"/>
      <c r="X64" s="107"/>
      <c r="Y64" s="386"/>
      <c r="Z64" s="386" t="s">
        <v>545</v>
      </c>
      <c r="AA64" s="387">
        <v>1000</v>
      </c>
      <c r="AB64" s="387">
        <v>1000</v>
      </c>
      <c r="AC64" s="387">
        <v>1000</v>
      </c>
      <c r="AD64" s="387">
        <v>1000</v>
      </c>
      <c r="AE64" s="387">
        <v>1000</v>
      </c>
      <c r="AF64" s="387">
        <v>1000</v>
      </c>
      <c r="AG64" s="387">
        <v>1000</v>
      </c>
      <c r="AH64" s="387">
        <v>1000</v>
      </c>
      <c r="AI64" s="387">
        <v>1000</v>
      </c>
      <c r="AJ64" s="387">
        <v>1000</v>
      </c>
      <c r="AK64" s="387">
        <v>1000</v>
      </c>
      <c r="AL64" s="387">
        <v>1000</v>
      </c>
      <c r="AM64" s="388">
        <f t="shared" si="142"/>
        <v>12000</v>
      </c>
      <c r="AN64" s="388">
        <f t="shared" ref="AN64:AN95" si="180">SUM(AA64:AL64)+INDEX(AA64:AL64,,MATCH($H$3,$AA$5:$AL$5,0))*(12-COUNTA(AA64:AL64))</f>
        <v>12000</v>
      </c>
      <c r="AO64" s="389">
        <f t="shared" ref="AO64:AO66" si="181">AI64</f>
        <v>1000</v>
      </c>
      <c r="AP64" s="498" t="s">
        <v>669</v>
      </c>
      <c r="AQ64" s="159">
        <v>0.4</v>
      </c>
      <c r="AR64" s="160" t="s">
        <v>358</v>
      </c>
      <c r="AS64" s="119" t="s">
        <v>210</v>
      </c>
      <c r="AT64" s="111">
        <v>1095000</v>
      </c>
      <c r="AU64" s="111">
        <v>2822000</v>
      </c>
      <c r="AV64" s="111">
        <v>5280000</v>
      </c>
      <c r="AW64" s="111">
        <v>4816000</v>
      </c>
      <c r="AX64" s="113">
        <v>1066805.4069999985</v>
      </c>
      <c r="AY64" s="113">
        <v>2191380.2954999995</v>
      </c>
      <c r="AZ64" s="113">
        <v>3534293.8930000011</v>
      </c>
      <c r="BA64" s="113"/>
      <c r="BB64" s="113"/>
      <c r="BC64" s="113"/>
      <c r="BD64" s="113"/>
      <c r="BE64" s="113"/>
      <c r="BF64" s="114">
        <f t="shared" si="152"/>
        <v>1066805.4069999985</v>
      </c>
      <c r="BG64" s="114">
        <f t="shared" si="153"/>
        <v>2191380.2954999995</v>
      </c>
      <c r="BH64" s="114">
        <f t="shared" si="154"/>
        <v>3534293.8930000011</v>
      </c>
      <c r="BI64" s="114">
        <f t="shared" si="155"/>
        <v>0</v>
      </c>
      <c r="BJ64" s="114">
        <f t="shared" ref="BJ64:BJ95" si="182">IF($BB$3="After AR Adjustment",IF($H$2=1,BF64,IF($H$2=2,SUM(BF64:BG64),IF($H$2=3,SUM(BF64:BH64),SUM(BF64:BI64)))),IF($H$2=1,AX64,IF($H$2=2,SUM(AX64:AY64),IF($H$2=3,SUM(AX64:AZ64),SUM(AX64:BA64)))))</f>
        <v>6792479.5954999989</v>
      </c>
      <c r="BK64" s="115">
        <f t="shared" si="144"/>
        <v>14013000</v>
      </c>
      <c r="BL64" s="115">
        <f t="shared" si="156"/>
        <v>14013000</v>
      </c>
      <c r="BM64" s="116">
        <f t="shared" si="157"/>
        <v>0.48470000000000002</v>
      </c>
      <c r="BN64" s="126">
        <f t="shared" ca="1" si="108"/>
        <v>0</v>
      </c>
      <c r="BO64" s="117">
        <f t="shared" ca="1" si="109"/>
        <v>0</v>
      </c>
      <c r="BP64" s="118" t="str">
        <f t="shared" ref="BP64:BP95" si="183">IF($T64="Y","100%",IF($H$2=4,"Uncapped",IF(N64="Y","100%",IF($G64="AA","50%",IF($G64="SA","90%",IF($G64="APJ Regional-AA","50%",IF($G64="APJ Regional-SA","90%",75%)))))))</f>
        <v>Uncapped</v>
      </c>
      <c r="BQ64" s="115">
        <f t="shared" ca="1" si="111"/>
        <v>0</v>
      </c>
      <c r="BR64" s="113" t="s">
        <v>698</v>
      </c>
      <c r="BS64" s="161">
        <v>0.3</v>
      </c>
      <c r="BT64" s="113" t="s">
        <v>217</v>
      </c>
      <c r="BU64" s="160" t="s">
        <v>210</v>
      </c>
      <c r="BV64" s="113">
        <v>1907400</v>
      </c>
      <c r="BW64" s="113">
        <v>4190400</v>
      </c>
      <c r="BX64" s="113">
        <v>7051600</v>
      </c>
      <c r="BY64" s="113">
        <v>7169000</v>
      </c>
      <c r="BZ64" s="113">
        <v>2261859.504999998</v>
      </c>
      <c r="CA64" s="113">
        <v>3724680.676500001</v>
      </c>
      <c r="CB64" s="113">
        <v>5305747.5720000016</v>
      </c>
      <c r="CC64" s="113"/>
      <c r="CD64" s="113"/>
      <c r="CE64" s="113"/>
      <c r="CF64" s="113"/>
      <c r="CG64" s="113"/>
      <c r="CH64" s="114">
        <f t="shared" si="158"/>
        <v>2261859.504999998</v>
      </c>
      <c r="CI64" s="114">
        <f t="shared" si="159"/>
        <v>3724680.676500001</v>
      </c>
      <c r="CJ64" s="120">
        <f t="shared" si="160"/>
        <v>5305747.5720000016</v>
      </c>
      <c r="CK64" s="114">
        <f t="shared" si="161"/>
        <v>0</v>
      </c>
      <c r="CL64" s="114">
        <f t="shared" ref="CL64:CL95" si="184">IF($BB$3="After AR Adjustment",IF($H$2=1,CH64,IF($H$2=2,SUM(CH64:CI64),IF($H$2=3,SUM(CH64:CJ64),SUM(CH64:CK64)))),IF($H$2=1,BZ64,IF($H$2=2,SUM(BZ64:CA64),IF($H$2=3,SUM(BZ64:CB64),SUM(BZ64:CC64)))))</f>
        <v>11292287.7535</v>
      </c>
      <c r="CM64" s="114">
        <f t="shared" si="145"/>
        <v>20318400</v>
      </c>
      <c r="CN64" s="114">
        <f t="shared" si="162"/>
        <v>20318400</v>
      </c>
      <c r="CO64" s="116">
        <f t="shared" si="163"/>
        <v>0.55579999999999996</v>
      </c>
      <c r="CP64" s="126">
        <f t="shared" ca="1" si="164"/>
        <v>0</v>
      </c>
      <c r="CQ64" s="115">
        <f t="shared" ca="1" si="113"/>
        <v>0</v>
      </c>
      <c r="CR64" s="118" t="str">
        <f t="shared" ref="CR64:CR95" si="185">IF($T64="Y","100%",IF($H$2=4,"Uncapped",IF(N64="Y","100%",IF($G64="AA","50%",IF($G64="SA","90%",IF($G64="APJ Regional-AA","50%",IF($G64="APJ Regional-SA","90%",75%)))))))</f>
        <v>Uncapped</v>
      </c>
      <c r="CS64" s="115">
        <f t="shared" ca="1" si="115"/>
        <v>0</v>
      </c>
      <c r="CT64" s="113" t="s">
        <v>681</v>
      </c>
      <c r="CU64" s="119">
        <v>0.1</v>
      </c>
      <c r="CV64" s="113" t="s">
        <v>217</v>
      </c>
      <c r="CW64" s="113" t="s">
        <v>210</v>
      </c>
      <c r="CX64" s="113">
        <v>12667084.918482166</v>
      </c>
      <c r="CY64" s="113">
        <v>13178645.488737401</v>
      </c>
      <c r="CZ64" s="113">
        <v>12190341.596061932</v>
      </c>
      <c r="DA64" s="113">
        <v>12342000.7336083</v>
      </c>
      <c r="DB64" s="113">
        <v>14536882.36749677</v>
      </c>
      <c r="DC64" s="113">
        <v>10749156.798470002</v>
      </c>
      <c r="DD64" s="113">
        <v>10536844.709400002</v>
      </c>
      <c r="DE64" s="113"/>
      <c r="DF64" s="113"/>
      <c r="DG64" s="113"/>
      <c r="DH64" s="113"/>
      <c r="DI64" s="113"/>
      <c r="DJ64" s="114">
        <f t="shared" si="165"/>
        <v>14536882.36749677</v>
      </c>
      <c r="DK64" s="114">
        <f t="shared" si="166"/>
        <v>10749156.798470002</v>
      </c>
      <c r="DL64" s="114">
        <f t="shared" si="167"/>
        <v>10536844.709400002</v>
      </c>
      <c r="DM64" s="114">
        <f t="shared" si="168"/>
        <v>0</v>
      </c>
      <c r="DN64" s="114">
        <f t="shared" ref="DN64:DN95" si="186">IF($BB$3="After AR Adjustment",IF($H$2=1,DJ64,IF($H$2=2,SUM(DJ64:DK64),IF($H$2=3,SUM(DJ64:DL64),SUM(DJ64:DM64)))),IF($H$2=1,DB64,IF($H$2=2,SUM(DB64:DC64),IF($H$2=3,SUM(DB64:DD64),SUM(DB64:DE64)))))</f>
        <v>35822883.875366777</v>
      </c>
      <c r="DO64" s="114">
        <f t="shared" si="146"/>
        <v>50378072.736889794</v>
      </c>
      <c r="DP64" s="114">
        <f t="shared" si="169"/>
        <v>50378072.736889794</v>
      </c>
      <c r="DQ64" s="116">
        <f t="shared" si="170"/>
        <v>0.71109999999999995</v>
      </c>
      <c r="DR64" s="126">
        <f t="shared" ca="1" si="117"/>
        <v>0</v>
      </c>
      <c r="DS64" s="115">
        <f t="shared" ca="1" si="118"/>
        <v>0</v>
      </c>
      <c r="DT64" s="118" t="str">
        <f t="shared" ref="DT64:DT95" si="187">IF($T64="Y","100%",IF($H$2=4,"Uncapped",IF(N64="Y","100%",IF($G64="AA","50%",IF($G64="SA","90%",IF($G64="APJ Regional-AA","50%",IF($G64="APJ Regional-SA","90%",75%)))))))</f>
        <v>Uncapped</v>
      </c>
      <c r="DU64" s="115">
        <f t="shared" ca="1" si="120"/>
        <v>0</v>
      </c>
      <c r="DV64" s="113" t="s">
        <v>363</v>
      </c>
      <c r="DW64" s="119">
        <v>0.2</v>
      </c>
      <c r="DX64" s="113"/>
      <c r="DY64" s="113" t="s">
        <v>219</v>
      </c>
      <c r="DZ64" s="113">
        <v>0</v>
      </c>
      <c r="EA64" s="113">
        <v>0</v>
      </c>
      <c r="EB64" s="113">
        <v>0</v>
      </c>
      <c r="EC64" s="113">
        <v>0</v>
      </c>
      <c r="ED64" s="113">
        <v>0</v>
      </c>
      <c r="EE64" s="113">
        <v>0</v>
      </c>
      <c r="EF64" s="113"/>
      <c r="EG64" s="113"/>
      <c r="EH64" s="113"/>
      <c r="EI64" s="113"/>
      <c r="EJ64" s="113"/>
      <c r="EK64" s="113"/>
      <c r="EL64" s="114">
        <f t="shared" si="171"/>
        <v>0</v>
      </c>
      <c r="EM64" s="114">
        <f t="shared" si="172"/>
        <v>0</v>
      </c>
      <c r="EN64" s="114">
        <f t="shared" si="173"/>
        <v>0</v>
      </c>
      <c r="EO64" s="114">
        <f t="shared" si="174"/>
        <v>0</v>
      </c>
      <c r="EP64" s="114">
        <f t="shared" ref="EP64:EP95" si="188">IF($BB$3="After AR Adjustment",IF($H$2=1,EL64,IF($H$2=2,SUM(EL64:EM64),IF($H$2=3,SUM(EL64:EN64),SUM(EL64:EO64)))),IF($H$2=1,ED64,IF($H$2=2,SUM(ED64:EE64),IF($H$2=3,SUM(ED64:EF64),SUM(ED64:EG64)))))</f>
        <v>0</v>
      </c>
      <c r="EQ64" s="114">
        <f t="shared" si="147"/>
        <v>0</v>
      </c>
      <c r="ER64" s="114">
        <f t="shared" si="175"/>
        <v>0</v>
      </c>
      <c r="ES64" s="116">
        <f t="shared" si="176"/>
        <v>0</v>
      </c>
      <c r="ET64" s="126">
        <f t="shared" si="177"/>
        <v>0</v>
      </c>
      <c r="EU64" s="115">
        <f t="shared" si="122"/>
        <v>0</v>
      </c>
      <c r="EV64" s="118" t="str">
        <f t="shared" ref="EV64:EV95" si="189">IF($T64="Y","100%",IF(DX64="T2","200%",IF($H$2=4,"Uncapped",IF($G64="AA","50%",IF($G64="SA","90%",IF($G64="APJ Regional-AA","50%",IF($G64="APJ Regional-SA","90%",75%)))))))</f>
        <v>Uncapped</v>
      </c>
      <c r="EW64" s="115">
        <f t="shared" si="124"/>
        <v>0</v>
      </c>
      <c r="EX64" s="112">
        <f t="shared" ca="1" si="125"/>
        <v>0</v>
      </c>
      <c r="EY64" s="114">
        <f t="shared" ca="1" si="178"/>
        <v>0</v>
      </c>
      <c r="EZ64" s="115">
        <v>0</v>
      </c>
      <c r="FA64" s="115"/>
      <c r="FB64" s="115"/>
      <c r="FC64" s="115">
        <v>0</v>
      </c>
      <c r="FD64" s="115">
        <f t="shared" si="148"/>
        <v>0</v>
      </c>
      <c r="FE64" s="114">
        <f t="shared" si="140"/>
        <v>0</v>
      </c>
      <c r="FF64" s="115">
        <v>0</v>
      </c>
      <c r="FG64" s="115">
        <v>0</v>
      </c>
      <c r="FH64" s="115">
        <v>0</v>
      </c>
      <c r="FI64" s="115">
        <v>0</v>
      </c>
      <c r="FJ64" s="115">
        <f t="shared" si="149"/>
        <v>0</v>
      </c>
      <c r="FK64" s="114">
        <f t="shared" si="141"/>
        <v>0</v>
      </c>
      <c r="FL64" s="113"/>
      <c r="FM64" s="111"/>
      <c r="FN64" s="111"/>
      <c r="FO64" s="111"/>
      <c r="FP64" s="115">
        <f t="shared" si="88"/>
        <v>0</v>
      </c>
      <c r="FQ64" s="115"/>
      <c r="FR64" s="115"/>
      <c r="FS64" s="115"/>
      <c r="FT64" s="114">
        <f t="shared" si="77"/>
        <v>0</v>
      </c>
      <c r="FU64" s="366">
        <f t="shared" ca="1" si="79"/>
        <v>0</v>
      </c>
      <c r="FV64" s="121">
        <f t="shared" ca="1" si="78"/>
        <v>0</v>
      </c>
      <c r="FW64" s="114">
        <f t="shared" si="84"/>
        <v>0</v>
      </c>
      <c r="FX64" s="114">
        <f t="shared" si="84"/>
        <v>0</v>
      </c>
      <c r="FY64" s="114">
        <f t="shared" si="84"/>
        <v>0</v>
      </c>
      <c r="FZ64" s="114">
        <f t="shared" si="81"/>
        <v>0</v>
      </c>
      <c r="GA64" s="114">
        <f t="shared" si="89"/>
        <v>0</v>
      </c>
      <c r="GB64" s="114">
        <f t="shared" si="85"/>
        <v>0</v>
      </c>
      <c r="GC64" s="114">
        <f t="shared" si="85"/>
        <v>0</v>
      </c>
      <c r="GD64" s="114">
        <f t="shared" si="85"/>
        <v>0</v>
      </c>
      <c r="GE64" s="114">
        <f t="shared" si="82"/>
        <v>0</v>
      </c>
      <c r="GF64" s="114">
        <f t="shared" si="87"/>
        <v>0</v>
      </c>
      <c r="GG64" s="114">
        <f t="shared" si="87"/>
        <v>0</v>
      </c>
      <c r="GH64" s="114">
        <f t="shared" si="87"/>
        <v>0</v>
      </c>
      <c r="GI64" s="114">
        <f t="shared" si="86"/>
        <v>0</v>
      </c>
      <c r="GJ64" s="115">
        <f t="shared" si="150"/>
        <v>0</v>
      </c>
      <c r="GK64" s="114">
        <f t="shared" si="90"/>
        <v>0</v>
      </c>
      <c r="GL64" s="114">
        <f t="shared" si="126"/>
        <v>0</v>
      </c>
      <c r="GM64" s="114">
        <f t="shared" si="127"/>
        <v>0</v>
      </c>
      <c r="GN64" s="114">
        <f t="shared" si="128"/>
        <v>0</v>
      </c>
      <c r="GO64" s="114">
        <f t="shared" si="129"/>
        <v>0</v>
      </c>
      <c r="GP64" s="114">
        <f t="shared" si="151"/>
        <v>0</v>
      </c>
      <c r="GQ64" s="114">
        <f t="shared" si="91"/>
        <v>0</v>
      </c>
      <c r="GR64" s="193"/>
      <c r="GS64" s="122">
        <f t="shared" si="130"/>
        <v>53907651.224366777</v>
      </c>
      <c r="GT64" s="122">
        <f t="shared" si="131"/>
        <v>84709472.736889794</v>
      </c>
      <c r="GU64" s="123">
        <f t="shared" si="92"/>
        <v>0.63638279737386139</v>
      </c>
      <c r="GV64" s="124">
        <f t="shared" ca="1" si="132"/>
        <v>0</v>
      </c>
      <c r="GW64" s="124">
        <v>0</v>
      </c>
      <c r="GX64" s="32">
        <f t="shared" ca="1" si="133"/>
        <v>0</v>
      </c>
      <c r="GY64" s="100"/>
    </row>
    <row r="65" spans="1:207" s="125" customFormat="1" ht="15" hidden="1" customHeight="1">
      <c r="A65" s="102"/>
      <c r="B65" s="103"/>
      <c r="C65" s="103"/>
      <c r="D65" s="104" t="s">
        <v>215</v>
      </c>
      <c r="E65" s="113" t="s">
        <v>368</v>
      </c>
      <c r="F65" s="113" t="s">
        <v>368</v>
      </c>
      <c r="G65" s="104" t="s">
        <v>226</v>
      </c>
      <c r="H65" s="105" t="s">
        <v>375</v>
      </c>
      <c r="I65" s="106" t="s">
        <v>376</v>
      </c>
      <c r="J65" s="104" t="s">
        <v>212</v>
      </c>
      <c r="K65" s="104" t="s">
        <v>215</v>
      </c>
      <c r="L65" s="104" t="s">
        <v>372</v>
      </c>
      <c r="M65" s="104" t="s">
        <v>372</v>
      </c>
      <c r="N65" s="107"/>
      <c r="O65" s="108">
        <v>42653</v>
      </c>
      <c r="P65" s="108">
        <v>42653</v>
      </c>
      <c r="Q65" s="322">
        <f t="shared" si="179"/>
        <v>0</v>
      </c>
      <c r="R65" s="109">
        <f>IF((P65-VLOOKUP(Q65,month!$A$1:$C$13,3,0))&lt;0,Q65,Q65+1)</f>
        <v>0</v>
      </c>
      <c r="S65" s="108"/>
      <c r="T65" s="110" t="str">
        <f t="shared" si="80"/>
        <v/>
      </c>
      <c r="U65" s="107"/>
      <c r="V65" s="107"/>
      <c r="W65" s="107"/>
      <c r="X65" s="107"/>
      <c r="Y65" s="386"/>
      <c r="Z65" s="386" t="s">
        <v>545</v>
      </c>
      <c r="AA65" s="387">
        <v>1000</v>
      </c>
      <c r="AB65" s="387">
        <v>1000</v>
      </c>
      <c r="AC65" s="387">
        <v>1000</v>
      </c>
      <c r="AD65" s="387">
        <v>1000</v>
      </c>
      <c r="AE65" s="387">
        <v>1000</v>
      </c>
      <c r="AF65" s="387">
        <v>1000</v>
      </c>
      <c r="AG65" s="387">
        <v>1000</v>
      </c>
      <c r="AH65" s="387">
        <v>1000</v>
      </c>
      <c r="AI65" s="387">
        <v>1000</v>
      </c>
      <c r="AJ65" s="387">
        <v>1000</v>
      </c>
      <c r="AK65" s="387">
        <v>1000</v>
      </c>
      <c r="AL65" s="387">
        <v>1000</v>
      </c>
      <c r="AM65" s="388">
        <f t="shared" si="142"/>
        <v>12000</v>
      </c>
      <c r="AN65" s="388">
        <f t="shared" si="180"/>
        <v>12000</v>
      </c>
      <c r="AO65" s="389">
        <f t="shared" si="181"/>
        <v>1000</v>
      </c>
      <c r="AP65" s="498" t="s">
        <v>669</v>
      </c>
      <c r="AQ65" s="159">
        <v>0.5</v>
      </c>
      <c r="AR65" s="160" t="s">
        <v>358</v>
      </c>
      <c r="AS65" s="119" t="s">
        <v>210</v>
      </c>
      <c r="AT65" s="111">
        <v>672000</v>
      </c>
      <c r="AU65" s="111">
        <v>1138000</v>
      </c>
      <c r="AV65" s="111">
        <v>1248000</v>
      </c>
      <c r="AW65" s="111">
        <v>1244000</v>
      </c>
      <c r="AX65" s="113">
        <v>976078.91399999964</v>
      </c>
      <c r="AY65" s="113">
        <v>1202753.1600000018</v>
      </c>
      <c r="AZ65" s="113">
        <v>1383442.1240000005</v>
      </c>
      <c r="BA65" s="113"/>
      <c r="BB65" s="113"/>
      <c r="BC65" s="113"/>
      <c r="BD65" s="113"/>
      <c r="BE65" s="113"/>
      <c r="BF65" s="114">
        <f t="shared" si="152"/>
        <v>976078.91399999964</v>
      </c>
      <c r="BG65" s="114">
        <f t="shared" si="153"/>
        <v>1202753.1600000018</v>
      </c>
      <c r="BH65" s="114">
        <f t="shared" si="154"/>
        <v>1383442.1240000005</v>
      </c>
      <c r="BI65" s="114">
        <f t="shared" si="155"/>
        <v>0</v>
      </c>
      <c r="BJ65" s="114">
        <f t="shared" si="182"/>
        <v>3562274.1980000017</v>
      </c>
      <c r="BK65" s="115">
        <f t="shared" si="144"/>
        <v>4302000</v>
      </c>
      <c r="BL65" s="115">
        <f t="shared" si="156"/>
        <v>4302000</v>
      </c>
      <c r="BM65" s="116">
        <f t="shared" si="157"/>
        <v>0.82809999999999995</v>
      </c>
      <c r="BN65" s="126">
        <f t="shared" ref="BN65:BN96" ca="1" si="190">IF(OR(AP65="MBO",AP65="10% Realized Price"),BM65,SUMPRODUCT(Lower_Payout*(Curve=AR65)*(Lower_Attain&lt;=BM65)*(Upper_Attain&gt;BM65))+(BM65-SUMPRODUCT(Lower_Attain*(Curve=AR65)*(Lower_Attain&lt;=BM65)*(Upper_Attain&gt;BM65)))*SUMPRODUCT(Slope*(Curve=AR65)*(Lower_Attain&lt;=BM65)*(Upper_Attain&gt;BM65)))</f>
        <v>0</v>
      </c>
      <c r="BO65" s="117">
        <f t="shared" ref="BO65:BO96" ca="1" si="191">IFERROR(AM65*AQ65*BN65,0)</f>
        <v>0</v>
      </c>
      <c r="BP65" s="118" t="str">
        <f t="shared" si="183"/>
        <v>Uncapped</v>
      </c>
      <c r="BQ65" s="115">
        <f t="shared" ref="BQ65:BQ96" ca="1" si="192">IF(BP65="Uncapped",BO65,IFERROR(AM65*AQ65*BP65,0))</f>
        <v>0</v>
      </c>
      <c r="BR65" s="113" t="s">
        <v>698</v>
      </c>
      <c r="BS65" s="161">
        <v>0.2</v>
      </c>
      <c r="BT65" s="113" t="s">
        <v>217</v>
      </c>
      <c r="BU65" s="160" t="s">
        <v>210</v>
      </c>
      <c r="BV65" s="113">
        <v>1907400</v>
      </c>
      <c r="BW65" s="113">
        <v>4190400</v>
      </c>
      <c r="BX65" s="113">
        <v>7051600</v>
      </c>
      <c r="BY65" s="113">
        <v>7169000</v>
      </c>
      <c r="BZ65" s="113">
        <v>2261859.504999998</v>
      </c>
      <c r="CA65" s="113">
        <v>3724680.676500001</v>
      </c>
      <c r="CB65" s="113">
        <v>5305747.5720000016</v>
      </c>
      <c r="CC65" s="113"/>
      <c r="CD65" s="113"/>
      <c r="CE65" s="113"/>
      <c r="CF65" s="113"/>
      <c r="CG65" s="113"/>
      <c r="CH65" s="114">
        <f t="shared" si="158"/>
        <v>2261859.504999998</v>
      </c>
      <c r="CI65" s="114">
        <f t="shared" si="159"/>
        <v>3724680.676500001</v>
      </c>
      <c r="CJ65" s="120">
        <f t="shared" si="160"/>
        <v>5305747.5720000016</v>
      </c>
      <c r="CK65" s="114">
        <f t="shared" si="161"/>
        <v>0</v>
      </c>
      <c r="CL65" s="114">
        <f t="shared" si="184"/>
        <v>11292287.7535</v>
      </c>
      <c r="CM65" s="114">
        <f t="shared" si="145"/>
        <v>20318400</v>
      </c>
      <c r="CN65" s="114">
        <f t="shared" si="162"/>
        <v>20318400</v>
      </c>
      <c r="CO65" s="116">
        <f t="shared" si="163"/>
        <v>0.55579999999999996</v>
      </c>
      <c r="CP65" s="126">
        <f t="shared" ca="1" si="164"/>
        <v>0</v>
      </c>
      <c r="CQ65" s="115">
        <f t="shared" ref="CQ65:CQ96" ca="1" si="193">AM65*BS65*CP65</f>
        <v>0</v>
      </c>
      <c r="CR65" s="118" t="str">
        <f t="shared" si="185"/>
        <v>Uncapped</v>
      </c>
      <c r="CS65" s="115">
        <f t="shared" ref="CS65:CS96" ca="1" si="194">IF(CR65="Uncapped",CQ65,IFERROR(AM65*BS65*CR65,0))</f>
        <v>0</v>
      </c>
      <c r="CT65" s="113" t="s">
        <v>681</v>
      </c>
      <c r="CU65" s="119">
        <v>0.1</v>
      </c>
      <c r="CV65" s="113" t="s">
        <v>217</v>
      </c>
      <c r="CW65" s="113" t="s">
        <v>210</v>
      </c>
      <c r="CX65" s="113">
        <v>12667084.918482166</v>
      </c>
      <c r="CY65" s="113">
        <v>13178645.488737401</v>
      </c>
      <c r="CZ65" s="113">
        <v>12190341.596061932</v>
      </c>
      <c r="DA65" s="113">
        <v>12342000.7336083</v>
      </c>
      <c r="DB65" s="113">
        <v>14536882.36749677</v>
      </c>
      <c r="DC65" s="113">
        <v>10749156.798470002</v>
      </c>
      <c r="DD65" s="113">
        <v>10536844.709400002</v>
      </c>
      <c r="DE65" s="113"/>
      <c r="DF65" s="113"/>
      <c r="DG65" s="113"/>
      <c r="DH65" s="113"/>
      <c r="DI65" s="113"/>
      <c r="DJ65" s="114">
        <f t="shared" si="165"/>
        <v>14536882.36749677</v>
      </c>
      <c r="DK65" s="114">
        <f t="shared" si="166"/>
        <v>10749156.798470002</v>
      </c>
      <c r="DL65" s="114">
        <f t="shared" si="167"/>
        <v>10536844.709400002</v>
      </c>
      <c r="DM65" s="114">
        <f t="shared" si="168"/>
        <v>0</v>
      </c>
      <c r="DN65" s="114">
        <f t="shared" si="186"/>
        <v>35822883.875366777</v>
      </c>
      <c r="DO65" s="114">
        <f t="shared" si="146"/>
        <v>50378072.736889794</v>
      </c>
      <c r="DP65" s="114">
        <f t="shared" si="169"/>
        <v>50378072.736889794</v>
      </c>
      <c r="DQ65" s="116">
        <f t="shared" si="170"/>
        <v>0.71109999999999995</v>
      </c>
      <c r="DR65" s="126">
        <f t="shared" ref="DR65:DR96" ca="1" si="195">IF(OR(CT65="MBO",CT65="10% Realized Price"),DQ65,SUMPRODUCT(Lower_Payout*(Curve=CV65)*(Lower_Attain&lt;=DQ65)*(Upper_Attain&gt;DQ65))+(DQ65-SUMPRODUCT(Lower_Attain*(Curve=CV65)*(Lower_Attain&lt;=DQ65)*(Upper_Attain&gt;DQ65)))*SUMPRODUCT(Slope*(Curve=CV65)*(Lower_Attain&lt;=DQ65)*(Upper_Attain&gt;DQ65)))</f>
        <v>0</v>
      </c>
      <c r="DS65" s="115">
        <f t="shared" ref="DS65:DS96" ca="1" si="196">AM65*CU65*DR65</f>
        <v>0</v>
      </c>
      <c r="DT65" s="118" t="str">
        <f t="shared" si="187"/>
        <v>Uncapped</v>
      </c>
      <c r="DU65" s="115">
        <f t="shared" ref="DU65:DU96" ca="1" si="197">IF(DT65="Uncapped",DS65,IFERROR(AM65*CU65*DT65,0))</f>
        <v>0</v>
      </c>
      <c r="DV65" s="113" t="s">
        <v>363</v>
      </c>
      <c r="DW65" s="119">
        <v>0.2</v>
      </c>
      <c r="DX65" s="113"/>
      <c r="DY65" s="113" t="s">
        <v>219</v>
      </c>
      <c r="DZ65" s="113">
        <v>0</v>
      </c>
      <c r="EA65" s="113">
        <v>0</v>
      </c>
      <c r="EB65" s="113">
        <v>0</v>
      </c>
      <c r="EC65" s="113">
        <v>0</v>
      </c>
      <c r="ED65" s="113">
        <v>0</v>
      </c>
      <c r="EE65" s="113">
        <v>0</v>
      </c>
      <c r="EF65" s="113"/>
      <c r="EG65" s="113"/>
      <c r="EH65" s="113"/>
      <c r="EI65" s="113"/>
      <c r="EJ65" s="113"/>
      <c r="EK65" s="113"/>
      <c r="EL65" s="114">
        <f t="shared" si="171"/>
        <v>0</v>
      </c>
      <c r="EM65" s="114">
        <f t="shared" si="172"/>
        <v>0</v>
      </c>
      <c r="EN65" s="114">
        <f t="shared" si="173"/>
        <v>0</v>
      </c>
      <c r="EO65" s="114">
        <f t="shared" si="174"/>
        <v>0</v>
      </c>
      <c r="EP65" s="114">
        <f t="shared" si="188"/>
        <v>0</v>
      </c>
      <c r="EQ65" s="114">
        <f t="shared" si="147"/>
        <v>0</v>
      </c>
      <c r="ER65" s="114">
        <f t="shared" si="175"/>
        <v>0</v>
      </c>
      <c r="ES65" s="116">
        <f t="shared" si="176"/>
        <v>0</v>
      </c>
      <c r="ET65" s="126">
        <f t="shared" si="177"/>
        <v>0</v>
      </c>
      <c r="EU65" s="115">
        <f t="shared" ref="EU65:EU96" si="198">AM65*DW65*ET65</f>
        <v>0</v>
      </c>
      <c r="EV65" s="118" t="str">
        <f t="shared" si="189"/>
        <v>Uncapped</v>
      </c>
      <c r="EW65" s="115">
        <f t="shared" ref="EW65:EW96" si="199">IF(EV65="Uncapped",EU65,IFERROR(AM65*DW65*EV65,0))</f>
        <v>0</v>
      </c>
      <c r="EX65" s="112">
        <f t="shared" ref="EX65:EX96" ca="1" si="200">MIN(BO65,BQ65)+MIN(CQ65,CS65)+MIN(DS65,DU65)+MIN(EU65,EW65)</f>
        <v>0</v>
      </c>
      <c r="EY65" s="114">
        <f t="shared" ca="1" si="178"/>
        <v>0</v>
      </c>
      <c r="EZ65" s="115">
        <v>0</v>
      </c>
      <c r="FA65" s="115"/>
      <c r="FB65" s="115"/>
      <c r="FC65" s="115">
        <v>0</v>
      </c>
      <c r="FD65" s="115">
        <f t="shared" si="148"/>
        <v>0</v>
      </c>
      <c r="FE65" s="114">
        <f t="shared" si="140"/>
        <v>0</v>
      </c>
      <c r="FF65" s="115">
        <v>0</v>
      </c>
      <c r="FG65" s="115">
        <v>0</v>
      </c>
      <c r="FH65" s="115">
        <v>0</v>
      </c>
      <c r="FI65" s="115">
        <v>0</v>
      </c>
      <c r="FJ65" s="115">
        <f t="shared" si="149"/>
        <v>0</v>
      </c>
      <c r="FK65" s="114">
        <f t="shared" si="141"/>
        <v>0</v>
      </c>
      <c r="FL65" s="113"/>
      <c r="FM65" s="111"/>
      <c r="FN65" s="111"/>
      <c r="FO65" s="111"/>
      <c r="FP65" s="115">
        <f t="shared" si="88"/>
        <v>0</v>
      </c>
      <c r="FQ65" s="115"/>
      <c r="FR65" s="115"/>
      <c r="FS65" s="115"/>
      <c r="FT65" s="114">
        <f t="shared" si="77"/>
        <v>0</v>
      </c>
      <c r="FU65" s="366">
        <f t="shared" ca="1" si="79"/>
        <v>0</v>
      </c>
      <c r="FV65" s="121">
        <f t="shared" ca="1" si="78"/>
        <v>0</v>
      </c>
      <c r="FW65" s="114">
        <f t="shared" si="84"/>
        <v>0</v>
      </c>
      <c r="FX65" s="114">
        <f t="shared" si="84"/>
        <v>0</v>
      </c>
      <c r="FY65" s="114">
        <f t="shared" si="84"/>
        <v>0</v>
      </c>
      <c r="FZ65" s="114">
        <f t="shared" si="81"/>
        <v>0</v>
      </c>
      <c r="GA65" s="114">
        <f t="shared" si="89"/>
        <v>0</v>
      </c>
      <c r="GB65" s="114">
        <f t="shared" si="85"/>
        <v>0</v>
      </c>
      <c r="GC65" s="114">
        <f t="shared" si="85"/>
        <v>0</v>
      </c>
      <c r="GD65" s="114">
        <f t="shared" si="85"/>
        <v>0</v>
      </c>
      <c r="GE65" s="114">
        <f t="shared" si="82"/>
        <v>0</v>
      </c>
      <c r="GF65" s="114">
        <f t="shared" si="87"/>
        <v>0</v>
      </c>
      <c r="GG65" s="114">
        <f t="shared" si="87"/>
        <v>0</v>
      </c>
      <c r="GH65" s="114">
        <f t="shared" si="87"/>
        <v>0</v>
      </c>
      <c r="GI65" s="114">
        <f t="shared" si="86"/>
        <v>0</v>
      </c>
      <c r="GJ65" s="115">
        <f t="shared" si="150"/>
        <v>0</v>
      </c>
      <c r="GK65" s="114">
        <f t="shared" si="90"/>
        <v>0</v>
      </c>
      <c r="GL65" s="114">
        <f t="shared" ref="GL65:GL96" si="201">IF(U65="Y",V65*AO65,0)</f>
        <v>0</v>
      </c>
      <c r="GM65" s="114">
        <f t="shared" ref="GM65:GM96" si="202">IF(U65="Y",W65*AO65,0)</f>
        <v>0</v>
      </c>
      <c r="GN65" s="114">
        <f t="shared" ref="GN65:GN96" si="203">IF(U65="Y",X65*AO65,0)</f>
        <v>0</v>
      </c>
      <c r="GO65" s="114">
        <f t="shared" ref="GO65:GO96" si="204">IF(U65="Y",Y65*AO65,0)</f>
        <v>0</v>
      </c>
      <c r="GP65" s="114">
        <f t="shared" si="151"/>
        <v>0</v>
      </c>
      <c r="GQ65" s="114">
        <f t="shared" si="91"/>
        <v>0</v>
      </c>
      <c r="GR65" s="193"/>
      <c r="GS65" s="122">
        <f t="shared" ref="GS65:GS96" si="205">IFERROR(BJ65+CL65+DN65+EP65,0)</f>
        <v>50677445.826866776</v>
      </c>
      <c r="GT65" s="122">
        <f t="shared" ref="GT65:GT96" si="206">IFERROR(BK65+CM65+DO65+EQ65,0)</f>
        <v>74998472.736889794</v>
      </c>
      <c r="GU65" s="123">
        <f t="shared" si="92"/>
        <v>0.67571303757949541</v>
      </c>
      <c r="GV65" s="124">
        <f t="shared" ref="GV65:GV96" ca="1" si="207">BO65+CQ65+DS65+EU65</f>
        <v>0</v>
      </c>
      <c r="GW65" s="124">
        <v>0</v>
      </c>
      <c r="GX65" s="32">
        <f t="shared" ref="GX65:GX96" ca="1" si="208">IFERROR(GV65/AM65,0)</f>
        <v>0</v>
      </c>
      <c r="GY65" s="100"/>
    </row>
    <row r="66" spans="1:207" s="125" customFormat="1" ht="15" hidden="1" customHeight="1">
      <c r="A66" s="102"/>
      <c r="B66" s="103"/>
      <c r="C66" s="103"/>
      <c r="D66" s="104" t="s">
        <v>215</v>
      </c>
      <c r="E66" s="104"/>
      <c r="F66" s="104" t="s">
        <v>368</v>
      </c>
      <c r="G66" s="104" t="s">
        <v>226</v>
      </c>
      <c r="H66" s="154" t="s">
        <v>377</v>
      </c>
      <c r="I66" s="106" t="s">
        <v>378</v>
      </c>
      <c r="J66" s="104" t="s">
        <v>212</v>
      </c>
      <c r="K66" s="104" t="s">
        <v>215</v>
      </c>
      <c r="L66" s="104" t="s">
        <v>372</v>
      </c>
      <c r="M66" s="104" t="s">
        <v>372</v>
      </c>
      <c r="N66" s="107"/>
      <c r="O66" s="108">
        <v>43213</v>
      </c>
      <c r="P66" s="108">
        <v>43213</v>
      </c>
      <c r="Q66" s="322">
        <f t="shared" si="179"/>
        <v>0</v>
      </c>
      <c r="R66" s="109">
        <f>IF((P66-VLOOKUP(Q66,month!$A$1:$C$13,3,0))&lt;0,Q66,Q66+1)</f>
        <v>0</v>
      </c>
      <c r="S66" s="108"/>
      <c r="T66" s="127" t="str">
        <f>IF(S66&gt;0,"Y","")</f>
        <v/>
      </c>
      <c r="U66" s="107"/>
      <c r="V66" s="107"/>
      <c r="W66" s="107"/>
      <c r="X66" s="107"/>
      <c r="Y66" s="386"/>
      <c r="Z66" s="386" t="s">
        <v>545</v>
      </c>
      <c r="AA66" s="387">
        <v>1000</v>
      </c>
      <c r="AB66" s="387">
        <v>1000</v>
      </c>
      <c r="AC66" s="387">
        <v>1000</v>
      </c>
      <c r="AD66" s="387">
        <v>1000</v>
      </c>
      <c r="AE66" s="387">
        <v>1000</v>
      </c>
      <c r="AF66" s="387">
        <v>1000</v>
      </c>
      <c r="AG66" s="387">
        <v>1000</v>
      </c>
      <c r="AH66" s="387">
        <v>1000</v>
      </c>
      <c r="AI66" s="387">
        <v>1000</v>
      </c>
      <c r="AJ66" s="387">
        <v>1000</v>
      </c>
      <c r="AK66" s="387">
        <v>1000</v>
      </c>
      <c r="AL66" s="387">
        <v>1000</v>
      </c>
      <c r="AM66" s="388">
        <f t="shared" si="142"/>
        <v>12000</v>
      </c>
      <c r="AN66" s="388">
        <f t="shared" si="180"/>
        <v>12000</v>
      </c>
      <c r="AO66" s="389">
        <f t="shared" si="181"/>
        <v>1000</v>
      </c>
      <c r="AP66" s="498" t="s">
        <v>669</v>
      </c>
      <c r="AQ66" s="159">
        <v>0.5</v>
      </c>
      <c r="AR66" s="160" t="s">
        <v>358</v>
      </c>
      <c r="AS66" s="119" t="s">
        <v>210</v>
      </c>
      <c r="AT66" s="111">
        <v>140400</v>
      </c>
      <c r="AU66" s="111">
        <v>230400</v>
      </c>
      <c r="AV66" s="111">
        <v>523600</v>
      </c>
      <c r="AW66" s="111">
        <v>1109000</v>
      </c>
      <c r="AX66" s="113">
        <v>218975.18399999998</v>
      </c>
      <c r="AY66" s="113">
        <v>330547.22100000002</v>
      </c>
      <c r="AZ66" s="113">
        <v>388011.55499999988</v>
      </c>
      <c r="BA66" s="113"/>
      <c r="BB66" s="113"/>
      <c r="BC66" s="113"/>
      <c r="BD66" s="113"/>
      <c r="BE66" s="113"/>
      <c r="BF66" s="114">
        <f t="shared" si="152"/>
        <v>218975.18399999998</v>
      </c>
      <c r="BG66" s="114">
        <f t="shared" si="153"/>
        <v>330547.22100000002</v>
      </c>
      <c r="BH66" s="114">
        <f t="shared" si="154"/>
        <v>388011.55499999988</v>
      </c>
      <c r="BI66" s="114">
        <f t="shared" si="155"/>
        <v>0</v>
      </c>
      <c r="BJ66" s="114">
        <f t="shared" si="182"/>
        <v>937533.96</v>
      </c>
      <c r="BK66" s="115">
        <f t="shared" si="144"/>
        <v>2003400</v>
      </c>
      <c r="BL66" s="115">
        <f t="shared" si="156"/>
        <v>2003400</v>
      </c>
      <c r="BM66" s="116">
        <f t="shared" si="157"/>
        <v>0.46800000000000003</v>
      </c>
      <c r="BN66" s="126">
        <f t="shared" ca="1" si="190"/>
        <v>0</v>
      </c>
      <c r="BO66" s="117">
        <f t="shared" ca="1" si="191"/>
        <v>0</v>
      </c>
      <c r="BP66" s="118" t="str">
        <f t="shared" si="183"/>
        <v>Uncapped</v>
      </c>
      <c r="BQ66" s="115">
        <f t="shared" ca="1" si="192"/>
        <v>0</v>
      </c>
      <c r="BR66" s="113" t="s">
        <v>698</v>
      </c>
      <c r="BS66" s="161">
        <v>0.2</v>
      </c>
      <c r="BT66" s="113" t="s">
        <v>217</v>
      </c>
      <c r="BU66" s="160" t="s">
        <v>210</v>
      </c>
      <c r="BV66" s="113">
        <v>1907400</v>
      </c>
      <c r="BW66" s="113">
        <v>4190400</v>
      </c>
      <c r="BX66" s="113">
        <v>7051600</v>
      </c>
      <c r="BY66" s="113">
        <v>7169000</v>
      </c>
      <c r="BZ66" s="113">
        <v>2261859.504999998</v>
      </c>
      <c r="CA66" s="113">
        <v>3724680.676500001</v>
      </c>
      <c r="CB66" s="113">
        <v>5305747.5720000016</v>
      </c>
      <c r="CC66" s="113"/>
      <c r="CD66" s="113"/>
      <c r="CE66" s="113"/>
      <c r="CF66" s="113"/>
      <c r="CG66" s="113"/>
      <c r="CH66" s="114">
        <f t="shared" si="158"/>
        <v>2261859.504999998</v>
      </c>
      <c r="CI66" s="114">
        <f t="shared" si="159"/>
        <v>3724680.676500001</v>
      </c>
      <c r="CJ66" s="120">
        <f t="shared" si="160"/>
        <v>5305747.5720000016</v>
      </c>
      <c r="CK66" s="114">
        <f t="shared" si="161"/>
        <v>0</v>
      </c>
      <c r="CL66" s="114">
        <f t="shared" si="184"/>
        <v>11292287.7535</v>
      </c>
      <c r="CM66" s="114">
        <f t="shared" si="145"/>
        <v>20318400</v>
      </c>
      <c r="CN66" s="114">
        <f t="shared" si="162"/>
        <v>20318400</v>
      </c>
      <c r="CO66" s="116">
        <f t="shared" si="163"/>
        <v>0.55579999999999996</v>
      </c>
      <c r="CP66" s="126">
        <f t="shared" ca="1" si="164"/>
        <v>0</v>
      </c>
      <c r="CQ66" s="115">
        <f t="shared" ca="1" si="193"/>
        <v>0</v>
      </c>
      <c r="CR66" s="118" t="str">
        <f t="shared" si="185"/>
        <v>Uncapped</v>
      </c>
      <c r="CS66" s="115">
        <f t="shared" ca="1" si="194"/>
        <v>0</v>
      </c>
      <c r="CT66" s="113" t="s">
        <v>681</v>
      </c>
      <c r="CU66" s="119">
        <v>0.1</v>
      </c>
      <c r="CV66" s="113" t="s">
        <v>217</v>
      </c>
      <c r="CW66" s="113" t="s">
        <v>210</v>
      </c>
      <c r="CX66" s="113">
        <v>12667084.918482166</v>
      </c>
      <c r="CY66" s="113">
        <v>13178645.488737401</v>
      </c>
      <c r="CZ66" s="113">
        <v>12190341.596061932</v>
      </c>
      <c r="DA66" s="113">
        <v>12342000.7336083</v>
      </c>
      <c r="DB66" s="113">
        <v>14536882.36749677</v>
      </c>
      <c r="DC66" s="113">
        <v>10749156.798470002</v>
      </c>
      <c r="DD66" s="113">
        <v>10536844.709400002</v>
      </c>
      <c r="DE66" s="113"/>
      <c r="DF66" s="113"/>
      <c r="DG66" s="113"/>
      <c r="DH66" s="113"/>
      <c r="DI66" s="113"/>
      <c r="DJ66" s="114">
        <f t="shared" si="165"/>
        <v>14536882.36749677</v>
      </c>
      <c r="DK66" s="114">
        <f t="shared" si="166"/>
        <v>10749156.798470002</v>
      </c>
      <c r="DL66" s="114">
        <f t="shared" si="167"/>
        <v>10536844.709400002</v>
      </c>
      <c r="DM66" s="114">
        <f t="shared" si="168"/>
        <v>0</v>
      </c>
      <c r="DN66" s="114">
        <f t="shared" si="186"/>
        <v>35822883.875366777</v>
      </c>
      <c r="DO66" s="114">
        <f t="shared" si="146"/>
        <v>50378072.736889794</v>
      </c>
      <c r="DP66" s="114">
        <f t="shared" si="169"/>
        <v>50378072.736889794</v>
      </c>
      <c r="DQ66" s="116">
        <f t="shared" si="170"/>
        <v>0.71109999999999995</v>
      </c>
      <c r="DR66" s="126">
        <f t="shared" ca="1" si="195"/>
        <v>0</v>
      </c>
      <c r="DS66" s="115">
        <f t="shared" ca="1" si="196"/>
        <v>0</v>
      </c>
      <c r="DT66" s="118" t="str">
        <f t="shared" si="187"/>
        <v>Uncapped</v>
      </c>
      <c r="DU66" s="115">
        <f t="shared" ca="1" si="197"/>
        <v>0</v>
      </c>
      <c r="DV66" s="113" t="s">
        <v>363</v>
      </c>
      <c r="DW66" s="119">
        <v>0.2</v>
      </c>
      <c r="DX66" s="113"/>
      <c r="DY66" s="113" t="s">
        <v>219</v>
      </c>
      <c r="DZ66" s="113">
        <v>0</v>
      </c>
      <c r="EA66" s="113">
        <v>0</v>
      </c>
      <c r="EB66" s="113">
        <v>0</v>
      </c>
      <c r="EC66" s="113">
        <v>0</v>
      </c>
      <c r="ED66" s="113">
        <v>0</v>
      </c>
      <c r="EE66" s="113">
        <v>0</v>
      </c>
      <c r="EF66" s="113"/>
      <c r="EG66" s="113"/>
      <c r="EH66" s="113"/>
      <c r="EI66" s="113"/>
      <c r="EJ66" s="113"/>
      <c r="EK66" s="113"/>
      <c r="EL66" s="114">
        <f t="shared" si="171"/>
        <v>0</v>
      </c>
      <c r="EM66" s="114">
        <f t="shared" si="172"/>
        <v>0</v>
      </c>
      <c r="EN66" s="114">
        <f t="shared" si="173"/>
        <v>0</v>
      </c>
      <c r="EO66" s="114">
        <f t="shared" si="174"/>
        <v>0</v>
      </c>
      <c r="EP66" s="114">
        <f t="shared" si="188"/>
        <v>0</v>
      </c>
      <c r="EQ66" s="114">
        <f t="shared" si="147"/>
        <v>0</v>
      </c>
      <c r="ER66" s="114">
        <f t="shared" si="175"/>
        <v>0</v>
      </c>
      <c r="ES66" s="116">
        <f t="shared" si="176"/>
        <v>0</v>
      </c>
      <c r="ET66" s="126">
        <f t="shared" si="177"/>
        <v>0</v>
      </c>
      <c r="EU66" s="115">
        <f t="shared" si="198"/>
        <v>0</v>
      </c>
      <c r="EV66" s="118" t="str">
        <f t="shared" si="189"/>
        <v>Uncapped</v>
      </c>
      <c r="EW66" s="115">
        <f t="shared" si="199"/>
        <v>0</v>
      </c>
      <c r="EX66" s="112">
        <f t="shared" ca="1" si="200"/>
        <v>0</v>
      </c>
      <c r="EY66" s="114">
        <f t="shared" ca="1" si="178"/>
        <v>0</v>
      </c>
      <c r="EZ66" s="115">
        <v>0</v>
      </c>
      <c r="FA66" s="115"/>
      <c r="FB66" s="115"/>
      <c r="FC66" s="115">
        <v>0</v>
      </c>
      <c r="FD66" s="115">
        <f t="shared" si="148"/>
        <v>0</v>
      </c>
      <c r="FE66" s="114">
        <f t="shared" si="140"/>
        <v>0</v>
      </c>
      <c r="FF66" s="115">
        <v>0</v>
      </c>
      <c r="FG66" s="115">
        <v>0</v>
      </c>
      <c r="FH66" s="115">
        <v>0</v>
      </c>
      <c r="FI66" s="115">
        <v>0</v>
      </c>
      <c r="FJ66" s="115">
        <f t="shared" si="149"/>
        <v>0</v>
      </c>
      <c r="FK66" s="114">
        <f t="shared" si="141"/>
        <v>0</v>
      </c>
      <c r="FL66" s="113"/>
      <c r="FM66" s="111"/>
      <c r="FN66" s="111"/>
      <c r="FO66" s="111"/>
      <c r="FP66" s="115">
        <f>SUM(FL66:FO66)</f>
        <v>0</v>
      </c>
      <c r="FQ66" s="115"/>
      <c r="FR66" s="115"/>
      <c r="FS66" s="115"/>
      <c r="FT66" s="114">
        <f t="shared" ref="FT66:FT126" si="209">SUM(FQ66:FS66)</f>
        <v>0</v>
      </c>
      <c r="FU66" s="366">
        <f t="shared" ref="FU66:FU126" ca="1" si="210">ROUND(MAX(FV66-FT66,0),2)</f>
        <v>0</v>
      </c>
      <c r="FV66" s="121">
        <f t="shared" ref="FV66:FV126" ca="1" si="211">SUM(EY66,FD66,FJ66,FP66)</f>
        <v>0</v>
      </c>
      <c r="FW66" s="114">
        <f>FF66</f>
        <v>0</v>
      </c>
      <c r="FX66" s="114">
        <f>FG66</f>
        <v>0</v>
      </c>
      <c r="FY66" s="114">
        <f>FH66</f>
        <v>0</v>
      </c>
      <c r="FZ66" s="114">
        <f>FI66</f>
        <v>0</v>
      </c>
      <c r="GA66" s="114">
        <f>SUM(FW66:FZ66)</f>
        <v>0</v>
      </c>
      <c r="GB66" s="114">
        <f>EZ66</f>
        <v>0</v>
      </c>
      <c r="GC66" s="114">
        <f>FA66</f>
        <v>0</v>
      </c>
      <c r="GD66" s="114">
        <f>FB66</f>
        <v>0</v>
      </c>
      <c r="GE66" s="114">
        <f>FC66</f>
        <v>0</v>
      </c>
      <c r="GF66" s="114">
        <f t="shared" ref="GF66:GI68" si="212">GB66+FW66</f>
        <v>0</v>
      </c>
      <c r="GG66" s="114">
        <f t="shared" si="212"/>
        <v>0</v>
      </c>
      <c r="GH66" s="114">
        <f t="shared" si="212"/>
        <v>0</v>
      </c>
      <c r="GI66" s="114">
        <f t="shared" si="212"/>
        <v>0</v>
      </c>
      <c r="GJ66" s="115">
        <f t="shared" si="150"/>
        <v>0</v>
      </c>
      <c r="GK66" s="114">
        <f>SUM(GF66:GI66)</f>
        <v>0</v>
      </c>
      <c r="GL66" s="114">
        <f t="shared" si="201"/>
        <v>0</v>
      </c>
      <c r="GM66" s="114">
        <f t="shared" si="202"/>
        <v>0</v>
      </c>
      <c r="GN66" s="114">
        <f t="shared" si="203"/>
        <v>0</v>
      </c>
      <c r="GO66" s="114">
        <f t="shared" si="204"/>
        <v>0</v>
      </c>
      <c r="GP66" s="114">
        <f t="shared" si="151"/>
        <v>0</v>
      </c>
      <c r="GQ66" s="114">
        <f>SUM(GL66:GO66)</f>
        <v>0</v>
      </c>
      <c r="GR66" s="216"/>
      <c r="GS66" s="122">
        <f t="shared" si="205"/>
        <v>48052705.588866778</v>
      </c>
      <c r="GT66" s="122">
        <f t="shared" si="206"/>
        <v>72699872.736889794</v>
      </c>
      <c r="GU66" s="123">
        <f>IFERROR(GS66/GT66,"")</f>
        <v>0.6609737236098846</v>
      </c>
      <c r="GV66" s="124">
        <f t="shared" ca="1" si="207"/>
        <v>0</v>
      </c>
      <c r="GW66" s="124">
        <v>0</v>
      </c>
      <c r="GX66" s="32">
        <f t="shared" ca="1" si="208"/>
        <v>0</v>
      </c>
      <c r="GY66" s="100"/>
    </row>
    <row r="67" spans="1:207" s="125" customFormat="1" ht="15" hidden="1" customHeight="1">
      <c r="A67" s="102"/>
      <c r="B67" s="103"/>
      <c r="C67" s="103"/>
      <c r="D67" s="104" t="s">
        <v>215</v>
      </c>
      <c r="E67" s="113"/>
      <c r="F67" s="113" t="s">
        <v>368</v>
      </c>
      <c r="G67" s="104" t="s">
        <v>226</v>
      </c>
      <c r="H67" s="105" t="s">
        <v>379</v>
      </c>
      <c r="I67" s="106" t="s">
        <v>380</v>
      </c>
      <c r="J67" s="104" t="s">
        <v>212</v>
      </c>
      <c r="K67" s="104" t="s">
        <v>215</v>
      </c>
      <c r="L67" s="104" t="s">
        <v>372</v>
      </c>
      <c r="M67" s="104" t="s">
        <v>372</v>
      </c>
      <c r="N67" s="107"/>
      <c r="O67" s="108">
        <v>43444</v>
      </c>
      <c r="P67" s="108">
        <v>43444</v>
      </c>
      <c r="Q67" s="322">
        <f t="shared" si="179"/>
        <v>0</v>
      </c>
      <c r="R67" s="109">
        <f>IF((P67-VLOOKUP(Q67,month!$A$1:$C$13,3,0))&lt;0,Q67,Q67+1)</f>
        <v>0</v>
      </c>
      <c r="S67" s="108"/>
      <c r="T67" s="110" t="str">
        <f t="shared" si="80"/>
        <v/>
      </c>
      <c r="U67" s="320" t="s">
        <v>214</v>
      </c>
      <c r="V67" s="320">
        <v>2</v>
      </c>
      <c r="W67" s="107"/>
      <c r="X67" s="107"/>
      <c r="Y67" s="386"/>
      <c r="Z67" s="386" t="s">
        <v>545</v>
      </c>
      <c r="AA67" s="387">
        <v>1000</v>
      </c>
      <c r="AB67" s="387">
        <v>1000</v>
      </c>
      <c r="AC67" s="387">
        <v>1000</v>
      </c>
      <c r="AD67" s="387">
        <v>1000</v>
      </c>
      <c r="AE67" s="387">
        <v>1000</v>
      </c>
      <c r="AF67" s="387">
        <v>1000</v>
      </c>
      <c r="AG67" s="387">
        <v>1000</v>
      </c>
      <c r="AH67" s="387">
        <v>1000</v>
      </c>
      <c r="AI67" s="387">
        <v>1000</v>
      </c>
      <c r="AJ67" s="387">
        <v>1000</v>
      </c>
      <c r="AK67" s="387">
        <v>1000</v>
      </c>
      <c r="AL67" s="387">
        <v>1000</v>
      </c>
      <c r="AM67" s="388">
        <f t="shared" si="142"/>
        <v>12000</v>
      </c>
      <c r="AN67" s="388">
        <f t="shared" si="180"/>
        <v>12000</v>
      </c>
      <c r="AO67" s="389">
        <f t="shared" ref="AO67:AO68" si="213">AA67</f>
        <v>1000</v>
      </c>
      <c r="AP67" s="498" t="s">
        <v>669</v>
      </c>
      <c r="AQ67" s="159">
        <v>0.5</v>
      </c>
      <c r="AR67" s="160" t="s">
        <v>358</v>
      </c>
      <c r="AS67" s="119" t="s">
        <v>210</v>
      </c>
      <c r="AT67" s="111">
        <v>1393500</v>
      </c>
      <c r="AU67" s="111">
        <v>3214500</v>
      </c>
      <c r="AV67" s="111">
        <v>1414100</v>
      </c>
      <c r="AW67" s="111">
        <v>1484500</v>
      </c>
      <c r="AX67" s="113">
        <v>1134303.5092999996</v>
      </c>
      <c r="AY67" s="113">
        <v>2497642.9760000017</v>
      </c>
      <c r="AZ67" s="113">
        <v>1886530.487999998</v>
      </c>
      <c r="BA67" s="113"/>
      <c r="BB67" s="113"/>
      <c r="BC67" s="113"/>
      <c r="BD67" s="113"/>
      <c r="BE67" s="113"/>
      <c r="BF67" s="114">
        <f t="shared" si="152"/>
        <v>1134303.5092999996</v>
      </c>
      <c r="BG67" s="114">
        <f t="shared" si="153"/>
        <v>2497642.9760000017</v>
      </c>
      <c r="BH67" s="114">
        <f t="shared" si="154"/>
        <v>1886530.487999998</v>
      </c>
      <c r="BI67" s="114">
        <f t="shared" si="155"/>
        <v>0</v>
      </c>
      <c r="BJ67" s="114">
        <f t="shared" si="182"/>
        <v>5518476.9732999988</v>
      </c>
      <c r="BK67" s="115">
        <f t="shared" si="144"/>
        <v>7506600</v>
      </c>
      <c r="BL67" s="115">
        <f t="shared" si="156"/>
        <v>7506600</v>
      </c>
      <c r="BM67" s="116">
        <f t="shared" si="157"/>
        <v>0.73509999999999998</v>
      </c>
      <c r="BN67" s="126">
        <f t="shared" ca="1" si="190"/>
        <v>0</v>
      </c>
      <c r="BO67" s="117">
        <f t="shared" ca="1" si="191"/>
        <v>0</v>
      </c>
      <c r="BP67" s="118" t="str">
        <f t="shared" si="183"/>
        <v>Uncapped</v>
      </c>
      <c r="BQ67" s="115">
        <f t="shared" ca="1" si="192"/>
        <v>0</v>
      </c>
      <c r="BR67" s="113" t="s">
        <v>698</v>
      </c>
      <c r="BS67" s="161">
        <v>0.2</v>
      </c>
      <c r="BT67" s="113" t="s">
        <v>217</v>
      </c>
      <c r="BU67" s="160" t="s">
        <v>210</v>
      </c>
      <c r="BV67" s="113">
        <v>2290500</v>
      </c>
      <c r="BW67" s="113">
        <v>6357500</v>
      </c>
      <c r="BX67" s="113">
        <v>6414100</v>
      </c>
      <c r="BY67" s="113">
        <v>5480500</v>
      </c>
      <c r="BZ67" s="113">
        <v>2107692.6592999995</v>
      </c>
      <c r="CA67" s="113">
        <v>6356372.2520000022</v>
      </c>
      <c r="CB67" s="113">
        <v>5350669.9079999989</v>
      </c>
      <c r="CC67" s="113"/>
      <c r="CD67" s="113"/>
      <c r="CE67" s="113"/>
      <c r="CF67" s="113"/>
      <c r="CG67" s="113"/>
      <c r="CH67" s="114">
        <f t="shared" si="158"/>
        <v>2107692.6592999995</v>
      </c>
      <c r="CI67" s="114">
        <f t="shared" si="159"/>
        <v>6356372.2520000022</v>
      </c>
      <c r="CJ67" s="120">
        <f t="shared" si="160"/>
        <v>5350669.9079999989</v>
      </c>
      <c r="CK67" s="114">
        <f t="shared" si="161"/>
        <v>0</v>
      </c>
      <c r="CL67" s="114">
        <f t="shared" si="184"/>
        <v>13814734.8193</v>
      </c>
      <c r="CM67" s="114">
        <f t="shared" si="145"/>
        <v>20542600</v>
      </c>
      <c r="CN67" s="114">
        <f t="shared" si="162"/>
        <v>20542600</v>
      </c>
      <c r="CO67" s="116">
        <f t="shared" si="163"/>
        <v>0.67249999999999999</v>
      </c>
      <c r="CP67" s="126">
        <f t="shared" ca="1" si="164"/>
        <v>0</v>
      </c>
      <c r="CQ67" s="115">
        <f t="shared" ca="1" si="193"/>
        <v>0</v>
      </c>
      <c r="CR67" s="118" t="str">
        <f t="shared" si="185"/>
        <v>Uncapped</v>
      </c>
      <c r="CS67" s="115">
        <f t="shared" ca="1" si="194"/>
        <v>0</v>
      </c>
      <c r="CT67" s="113" t="s">
        <v>681</v>
      </c>
      <c r="CU67" s="119">
        <v>0.1</v>
      </c>
      <c r="CV67" s="113" t="s">
        <v>217</v>
      </c>
      <c r="CW67" s="113" t="s">
        <v>210</v>
      </c>
      <c r="CX67" s="113">
        <v>12667084.918482166</v>
      </c>
      <c r="CY67" s="113">
        <v>13178645.488737401</v>
      </c>
      <c r="CZ67" s="113">
        <v>12190341.596061932</v>
      </c>
      <c r="DA67" s="113">
        <v>12342000.7336083</v>
      </c>
      <c r="DB67" s="113">
        <v>14536882.36749677</v>
      </c>
      <c r="DC67" s="113">
        <v>10749156.798470002</v>
      </c>
      <c r="DD67" s="113">
        <v>10536844.709400002</v>
      </c>
      <c r="DE67" s="113"/>
      <c r="DF67" s="113"/>
      <c r="DG67" s="113"/>
      <c r="DH67" s="113"/>
      <c r="DI67" s="113"/>
      <c r="DJ67" s="114">
        <f t="shared" si="165"/>
        <v>14536882.36749677</v>
      </c>
      <c r="DK67" s="114">
        <f t="shared" si="166"/>
        <v>10749156.798470002</v>
      </c>
      <c r="DL67" s="114">
        <f t="shared" si="167"/>
        <v>10536844.709400002</v>
      </c>
      <c r="DM67" s="114">
        <f t="shared" si="168"/>
        <v>0</v>
      </c>
      <c r="DN67" s="114">
        <f t="shared" si="186"/>
        <v>35822883.875366777</v>
      </c>
      <c r="DO67" s="114">
        <f t="shared" si="146"/>
        <v>50378072.736889794</v>
      </c>
      <c r="DP67" s="114">
        <f t="shared" si="169"/>
        <v>50378072.736889794</v>
      </c>
      <c r="DQ67" s="116">
        <f t="shared" si="170"/>
        <v>0.71109999999999995</v>
      </c>
      <c r="DR67" s="126">
        <f t="shared" ca="1" si="195"/>
        <v>0</v>
      </c>
      <c r="DS67" s="115">
        <f t="shared" ca="1" si="196"/>
        <v>0</v>
      </c>
      <c r="DT67" s="118" t="str">
        <f t="shared" si="187"/>
        <v>Uncapped</v>
      </c>
      <c r="DU67" s="115">
        <f t="shared" ca="1" si="197"/>
        <v>0</v>
      </c>
      <c r="DV67" s="113" t="s">
        <v>363</v>
      </c>
      <c r="DW67" s="119">
        <v>0.2</v>
      </c>
      <c r="DX67" s="113"/>
      <c r="DY67" s="113" t="s">
        <v>219</v>
      </c>
      <c r="DZ67" s="113">
        <v>0</v>
      </c>
      <c r="EA67" s="113">
        <v>0</v>
      </c>
      <c r="EB67" s="113">
        <v>0</v>
      </c>
      <c r="EC67" s="113">
        <v>0</v>
      </c>
      <c r="ED67" s="113">
        <v>0</v>
      </c>
      <c r="EE67" s="113">
        <v>0</v>
      </c>
      <c r="EF67" s="113"/>
      <c r="EG67" s="113"/>
      <c r="EH67" s="113"/>
      <c r="EI67" s="113"/>
      <c r="EJ67" s="113"/>
      <c r="EK67" s="113"/>
      <c r="EL67" s="114">
        <f t="shared" si="171"/>
        <v>0</v>
      </c>
      <c r="EM67" s="114">
        <f t="shared" si="172"/>
        <v>0</v>
      </c>
      <c r="EN67" s="114">
        <f t="shared" si="173"/>
        <v>0</v>
      </c>
      <c r="EO67" s="114">
        <f t="shared" si="174"/>
        <v>0</v>
      </c>
      <c r="EP67" s="114">
        <f t="shared" si="188"/>
        <v>0</v>
      </c>
      <c r="EQ67" s="114">
        <f t="shared" si="147"/>
        <v>0</v>
      </c>
      <c r="ER67" s="114">
        <f t="shared" si="175"/>
        <v>0</v>
      </c>
      <c r="ES67" s="116">
        <f t="shared" si="176"/>
        <v>0</v>
      </c>
      <c r="ET67" s="126">
        <f t="shared" si="177"/>
        <v>0</v>
      </c>
      <c r="EU67" s="115">
        <f t="shared" si="198"/>
        <v>0</v>
      </c>
      <c r="EV67" s="118" t="str">
        <f t="shared" si="189"/>
        <v>Uncapped</v>
      </c>
      <c r="EW67" s="115">
        <f t="shared" si="199"/>
        <v>0</v>
      </c>
      <c r="EX67" s="112">
        <f t="shared" ca="1" si="200"/>
        <v>0</v>
      </c>
      <c r="EY67" s="114">
        <f t="shared" ca="1" si="178"/>
        <v>2000</v>
      </c>
      <c r="EZ67" s="115">
        <v>0</v>
      </c>
      <c r="FA67" s="115"/>
      <c r="FB67" s="115"/>
      <c r="FC67" s="115">
        <v>0</v>
      </c>
      <c r="FD67" s="115">
        <f t="shared" si="148"/>
        <v>0</v>
      </c>
      <c r="FE67" s="114">
        <f t="shared" si="140"/>
        <v>0</v>
      </c>
      <c r="FF67" s="115">
        <v>0</v>
      </c>
      <c r="FG67" s="115">
        <v>0</v>
      </c>
      <c r="FH67" s="115">
        <v>0</v>
      </c>
      <c r="FI67" s="115">
        <v>0</v>
      </c>
      <c r="FJ67" s="115">
        <f t="shared" si="149"/>
        <v>0</v>
      </c>
      <c r="FK67" s="114">
        <f t="shared" si="141"/>
        <v>0</v>
      </c>
      <c r="FL67" s="113"/>
      <c r="FM67" s="111"/>
      <c r="FN67" s="111"/>
      <c r="FO67" s="111"/>
      <c r="FP67" s="115">
        <f t="shared" si="88"/>
        <v>0</v>
      </c>
      <c r="FQ67" s="115"/>
      <c r="FR67" s="115"/>
      <c r="FS67" s="115"/>
      <c r="FT67" s="114">
        <f t="shared" si="209"/>
        <v>0</v>
      </c>
      <c r="FU67" s="366">
        <f t="shared" ca="1" si="210"/>
        <v>2000</v>
      </c>
      <c r="FV67" s="121">
        <f t="shared" ca="1" si="211"/>
        <v>2000</v>
      </c>
      <c r="FW67" s="114">
        <f t="shared" si="84"/>
        <v>0</v>
      </c>
      <c r="FX67" s="114">
        <f t="shared" si="84"/>
        <v>0</v>
      </c>
      <c r="FY67" s="114">
        <f t="shared" si="84"/>
        <v>0</v>
      </c>
      <c r="FZ67" s="114">
        <f t="shared" si="81"/>
        <v>0</v>
      </c>
      <c r="GA67" s="114">
        <f>SUM(FW67:FZ67)</f>
        <v>0</v>
      </c>
      <c r="GB67" s="114">
        <f t="shared" si="85"/>
        <v>0</v>
      </c>
      <c r="GC67" s="114">
        <f t="shared" si="85"/>
        <v>0</v>
      </c>
      <c r="GD67" s="114">
        <f t="shared" si="85"/>
        <v>0</v>
      </c>
      <c r="GE67" s="114">
        <f t="shared" si="82"/>
        <v>0</v>
      </c>
      <c r="GF67" s="114">
        <f t="shared" si="212"/>
        <v>0</v>
      </c>
      <c r="GG67" s="114">
        <f t="shared" si="212"/>
        <v>0</v>
      </c>
      <c r="GH67" s="114">
        <f t="shared" si="212"/>
        <v>0</v>
      </c>
      <c r="GI67" s="114">
        <f t="shared" si="212"/>
        <v>0</v>
      </c>
      <c r="GJ67" s="115">
        <f t="shared" si="150"/>
        <v>0</v>
      </c>
      <c r="GK67" s="114">
        <f>SUM(GF67:GI67)</f>
        <v>0</v>
      </c>
      <c r="GL67" s="114">
        <f t="shared" si="201"/>
        <v>2000</v>
      </c>
      <c r="GM67" s="114">
        <f t="shared" si="202"/>
        <v>0</v>
      </c>
      <c r="GN67" s="114">
        <f t="shared" si="203"/>
        <v>0</v>
      </c>
      <c r="GO67" s="114">
        <f t="shared" si="204"/>
        <v>0</v>
      </c>
      <c r="GP67" s="114">
        <f t="shared" si="151"/>
        <v>2000</v>
      </c>
      <c r="GQ67" s="114">
        <f>SUM(GL67:GO67)</f>
        <v>2000</v>
      </c>
      <c r="GR67" s="193"/>
      <c r="GS67" s="122">
        <f t="shared" si="205"/>
        <v>55156095.667966776</v>
      </c>
      <c r="GT67" s="122">
        <f t="shared" si="206"/>
        <v>78427272.736889794</v>
      </c>
      <c r="GU67" s="123">
        <f>IFERROR(GS67/GT67,"")</f>
        <v>0.70327698188621357</v>
      </c>
      <c r="GV67" s="124">
        <f t="shared" ca="1" si="207"/>
        <v>0</v>
      </c>
      <c r="GW67" s="124">
        <v>0</v>
      </c>
      <c r="GX67" s="32">
        <f t="shared" ca="1" si="208"/>
        <v>0</v>
      </c>
      <c r="GY67" s="100"/>
    </row>
    <row r="68" spans="1:207" s="324" customFormat="1" ht="15" hidden="1" customHeight="1">
      <c r="D68" s="325" t="s">
        <v>215</v>
      </c>
      <c r="E68" s="326"/>
      <c r="F68" s="326" t="s">
        <v>656</v>
      </c>
      <c r="G68" s="325" t="s">
        <v>226</v>
      </c>
      <c r="H68" s="327" t="s">
        <v>658</v>
      </c>
      <c r="I68" s="328" t="s">
        <v>657</v>
      </c>
      <c r="J68" s="325" t="s">
        <v>212</v>
      </c>
      <c r="K68" s="510" t="s">
        <v>215</v>
      </c>
      <c r="L68" s="325" t="s">
        <v>665</v>
      </c>
      <c r="M68" s="325" t="s">
        <v>665</v>
      </c>
      <c r="N68" s="320"/>
      <c r="O68" s="329">
        <v>43435</v>
      </c>
      <c r="P68" s="329">
        <v>43435</v>
      </c>
      <c r="Q68" s="330">
        <f t="shared" si="179"/>
        <v>0</v>
      </c>
      <c r="R68" s="331">
        <f>IF((P68-VLOOKUP(Q68,month!$A$1:$C$13,3,0))&lt;0,Q68,Q68+1)</f>
        <v>0</v>
      </c>
      <c r="S68" s="108"/>
      <c r="T68" s="332" t="str">
        <f>IF(S68&gt;0,"Y","")</f>
        <v/>
      </c>
      <c r="U68" s="320" t="s">
        <v>661</v>
      </c>
      <c r="V68" s="320">
        <v>2</v>
      </c>
      <c r="W68" s="320"/>
      <c r="X68" s="320"/>
      <c r="Y68" s="391"/>
      <c r="Z68" s="391" t="s">
        <v>545</v>
      </c>
      <c r="AA68" s="392">
        <v>1000</v>
      </c>
      <c r="AB68" s="392">
        <v>1000</v>
      </c>
      <c r="AC68" s="392">
        <v>1000</v>
      </c>
      <c r="AD68" s="392">
        <v>1000</v>
      </c>
      <c r="AE68" s="392">
        <v>1000</v>
      </c>
      <c r="AF68" s="392">
        <v>1000</v>
      </c>
      <c r="AG68" s="392">
        <v>1000</v>
      </c>
      <c r="AH68" s="392">
        <v>1000</v>
      </c>
      <c r="AI68" s="392">
        <v>1000</v>
      </c>
      <c r="AJ68" s="392">
        <v>1000</v>
      </c>
      <c r="AK68" s="392">
        <v>1000</v>
      </c>
      <c r="AL68" s="392">
        <v>1000</v>
      </c>
      <c r="AM68" s="393">
        <f>IF($H$2=1,SUM(AA68:AC68),IF($H$2=2,SUM(AA68:AF68),IF($H$2=3,SUM(AA68:AI68),SUM(AA68:AL68))))</f>
        <v>12000</v>
      </c>
      <c r="AN68" s="393">
        <f t="shared" si="180"/>
        <v>12000</v>
      </c>
      <c r="AO68" s="393">
        <f t="shared" si="213"/>
        <v>1000</v>
      </c>
      <c r="AP68" s="501" t="s">
        <v>683</v>
      </c>
      <c r="AQ68" s="334">
        <v>0.5</v>
      </c>
      <c r="AR68" s="335" t="s">
        <v>358</v>
      </c>
      <c r="AS68" s="336" t="s">
        <v>210</v>
      </c>
      <c r="AT68" s="333">
        <v>913000</v>
      </c>
      <c r="AU68" s="333">
        <v>1608000</v>
      </c>
      <c r="AV68" s="333">
        <v>2600000</v>
      </c>
      <c r="AW68" s="333">
        <v>2123000</v>
      </c>
      <c r="AX68" s="326">
        <v>980225.54999999981</v>
      </c>
      <c r="AY68" s="326">
        <v>1929583.638</v>
      </c>
      <c r="AZ68" s="326">
        <v>1739372.7600000005</v>
      </c>
      <c r="BA68" s="326"/>
      <c r="BB68" s="326"/>
      <c r="BC68" s="326"/>
      <c r="BD68" s="326"/>
      <c r="BE68" s="326"/>
      <c r="BF68" s="326">
        <f>AX68+BB68</f>
        <v>980225.54999999981</v>
      </c>
      <c r="BG68" s="326">
        <f>AY68+BC68</f>
        <v>1929583.638</v>
      </c>
      <c r="BH68" s="326">
        <f>AZ68+BD68</f>
        <v>1739372.7600000005</v>
      </c>
      <c r="BI68" s="326">
        <f>BA68+BE68</f>
        <v>0</v>
      </c>
      <c r="BJ68" s="326">
        <f t="shared" si="182"/>
        <v>4649181.9480000008</v>
      </c>
      <c r="BK68" s="337">
        <f>IF($H$2=1,AT68,IF($H$2=2,SUM(AT68:AU68),IF($H$2=3,SUM(AT68:AV68),SUM(AT68:AW68))))</f>
        <v>7244000</v>
      </c>
      <c r="BL68" s="337">
        <f>SUM(AT68:AW68)</f>
        <v>7244000</v>
      </c>
      <c r="BM68" s="338">
        <f>IFERROR(ROUND(BJ68/BK68,4),0)</f>
        <v>0.64180000000000004</v>
      </c>
      <c r="BN68" s="336">
        <f t="shared" ca="1" si="190"/>
        <v>0</v>
      </c>
      <c r="BO68" s="339">
        <f t="shared" ca="1" si="191"/>
        <v>0</v>
      </c>
      <c r="BP68" s="340" t="str">
        <f t="shared" si="183"/>
        <v>Uncapped</v>
      </c>
      <c r="BQ68" s="337">
        <f t="shared" ca="1" si="192"/>
        <v>0</v>
      </c>
      <c r="BR68" s="326" t="s">
        <v>698</v>
      </c>
      <c r="BS68" s="341">
        <v>0.3</v>
      </c>
      <c r="BT68" s="326" t="s">
        <v>217</v>
      </c>
      <c r="BU68" s="335" t="s">
        <v>210</v>
      </c>
      <c r="BV68" s="326">
        <v>2290500</v>
      </c>
      <c r="BW68" s="326">
        <v>6357500</v>
      </c>
      <c r="BX68" s="326">
        <v>6414100</v>
      </c>
      <c r="BY68" s="326">
        <v>5480500</v>
      </c>
      <c r="BZ68" s="326">
        <v>2107692.6592999995</v>
      </c>
      <c r="CA68" s="326">
        <v>6356372.2520000022</v>
      </c>
      <c r="CB68" s="326">
        <v>5350669.9079999989</v>
      </c>
      <c r="CC68" s="326"/>
      <c r="CD68" s="326"/>
      <c r="CE68" s="326"/>
      <c r="CF68" s="326"/>
      <c r="CG68" s="326"/>
      <c r="CH68" s="326">
        <f>BZ68+CD68</f>
        <v>2107692.6592999995</v>
      </c>
      <c r="CI68" s="326">
        <f>CA68+CE68</f>
        <v>6356372.2520000022</v>
      </c>
      <c r="CJ68" s="342">
        <f>CB68+CF68</f>
        <v>5350669.9079999989</v>
      </c>
      <c r="CK68" s="326">
        <f>CC68+CG68</f>
        <v>0</v>
      </c>
      <c r="CL68" s="326">
        <f t="shared" si="184"/>
        <v>13814734.8193</v>
      </c>
      <c r="CM68" s="326">
        <f>IF($H$2=1,BV68,IF($H$2=2,SUM(BV68:BW68),IF($H$2=3,SUM(BV68:BX68),SUM(BV68:BY68))))</f>
        <v>20542600</v>
      </c>
      <c r="CN68" s="326">
        <f>SUM(BV68:BY68)</f>
        <v>20542600</v>
      </c>
      <c r="CO68" s="338">
        <f>IFERROR(ROUND(CL68/CM68,4),0)</f>
        <v>0.67249999999999999</v>
      </c>
      <c r="CP68" s="336">
        <f ca="1">IF(OR(BR68="MBO",BR68="10% Realized Price"),CO68,SUMPRODUCT(Lower_Payout*(Curve=BT68)*(Lower_Attain&lt;=CO68)*(Upper_Attain&gt;CO68))+(CO68-SUMPRODUCT(Lower_Attain*(Curve=BT68)*(Lower_Attain&lt;=CO68)*(Upper_Attain&gt;CO68)))*SUMPRODUCT(Slope*(Curve=BT68)*(Lower_Attain&lt;=CO68)*(Upper_Attain&gt;CO68)))</f>
        <v>0</v>
      </c>
      <c r="CQ68" s="337">
        <f t="shared" ca="1" si="193"/>
        <v>0</v>
      </c>
      <c r="CR68" s="340" t="str">
        <f t="shared" si="185"/>
        <v>Uncapped</v>
      </c>
      <c r="CS68" s="337">
        <f t="shared" ca="1" si="194"/>
        <v>0</v>
      </c>
      <c r="CT68" s="326" t="s">
        <v>681</v>
      </c>
      <c r="CU68" s="336">
        <v>0.2</v>
      </c>
      <c r="CV68" s="326" t="s">
        <v>717</v>
      </c>
      <c r="CW68" s="326" t="s">
        <v>210</v>
      </c>
      <c r="CX68" s="326">
        <v>12667084.918482166</v>
      </c>
      <c r="CY68" s="326">
        <v>13178645.488737401</v>
      </c>
      <c r="CZ68" s="326">
        <v>12190341.596061932</v>
      </c>
      <c r="DA68" s="326">
        <v>12342000.7336083</v>
      </c>
      <c r="DB68" s="326">
        <v>14536882.36749677</v>
      </c>
      <c r="DC68" s="326">
        <v>10749156.798470002</v>
      </c>
      <c r="DD68" s="326">
        <v>10536844.709400002</v>
      </c>
      <c r="DE68" s="326"/>
      <c r="DF68" s="326"/>
      <c r="DG68" s="326"/>
      <c r="DH68" s="326"/>
      <c r="DI68" s="326"/>
      <c r="DJ68" s="326">
        <f>DB68+DF68</f>
        <v>14536882.36749677</v>
      </c>
      <c r="DK68" s="326">
        <f>DC68+DG68</f>
        <v>10749156.798470002</v>
      </c>
      <c r="DL68" s="326">
        <f>DD68+DH68</f>
        <v>10536844.709400002</v>
      </c>
      <c r="DM68" s="326">
        <f>DE68+DI68</f>
        <v>0</v>
      </c>
      <c r="DN68" s="326">
        <f t="shared" si="186"/>
        <v>35822883.875366777</v>
      </c>
      <c r="DO68" s="326">
        <f>IF($H$2=1,CX68,IF($H$2=2,SUM(CX68:CY68),IF($H$2=3,SUM(CX68:CZ68),SUM(CX68:DA68))))</f>
        <v>50378072.736889794</v>
      </c>
      <c r="DP68" s="326">
        <f>SUM(CX68:DA68)</f>
        <v>50378072.736889794</v>
      </c>
      <c r="DQ68" s="338">
        <f>IFERROR(ROUND(DN68/DO68,4),0)</f>
        <v>0.71109999999999995</v>
      </c>
      <c r="DR68" s="336">
        <f t="shared" ca="1" si="195"/>
        <v>0</v>
      </c>
      <c r="DS68" s="337">
        <f t="shared" ca="1" si="196"/>
        <v>0</v>
      </c>
      <c r="DT68" s="340" t="str">
        <f t="shared" si="187"/>
        <v>Uncapped</v>
      </c>
      <c r="DU68" s="337">
        <f t="shared" ca="1" si="197"/>
        <v>0</v>
      </c>
      <c r="DV68" s="326"/>
      <c r="DW68" s="336">
        <v>0</v>
      </c>
      <c r="DX68" s="326"/>
      <c r="DY68" s="326"/>
      <c r="DZ68" s="326">
        <v>0</v>
      </c>
      <c r="EA68" s="326">
        <v>0</v>
      </c>
      <c r="EB68" s="326">
        <v>0</v>
      </c>
      <c r="EC68" s="326">
        <v>0</v>
      </c>
      <c r="ED68" s="326">
        <v>0</v>
      </c>
      <c r="EE68" s="326">
        <v>0</v>
      </c>
      <c r="EF68" s="326"/>
      <c r="EG68" s="326"/>
      <c r="EH68" s="326"/>
      <c r="EI68" s="326"/>
      <c r="EJ68" s="326"/>
      <c r="EK68" s="326"/>
      <c r="EL68" s="326">
        <f>ED68+EH68</f>
        <v>0</v>
      </c>
      <c r="EM68" s="326">
        <f>EE68+EI68</f>
        <v>0</v>
      </c>
      <c r="EN68" s="326">
        <f>EF68+EJ68</f>
        <v>0</v>
      </c>
      <c r="EO68" s="326">
        <f>EG68+EK68</f>
        <v>0</v>
      </c>
      <c r="EP68" s="326">
        <f t="shared" si="188"/>
        <v>0</v>
      </c>
      <c r="EQ68" s="326">
        <f>IF($H$2=1,DZ68,IF($H$2=2,SUM(DZ68:EA68),IF($H$2=3,SUM(DZ68:EB68),SUM(DZ68:EC68))))</f>
        <v>0</v>
      </c>
      <c r="ER68" s="326">
        <f>SUM(DZ68:EC68)</f>
        <v>0</v>
      </c>
      <c r="ES68" s="338">
        <f>IFERROR(ROUND(EP68/EQ68,4),0)</f>
        <v>0</v>
      </c>
      <c r="ET68" s="336">
        <f ca="1">IF(OR(DV68="MBO",DV68="10% Realized Price"),ES68,SUMPRODUCT(Lower_Payout*(Curve=DX68)*(Lower_Attain&lt;=ES68)*(Upper_Attain&gt;ES68))+(ES68-SUMPRODUCT(Lower_Attain*(Curve=DX68)*(Lower_Attain&lt;=ES68)*(Upper_Attain&gt;ES68)))*SUMPRODUCT(Slope*(Curve=DX68)*(Lower_Attain&lt;=ES68)*(Upper_Attain&gt;ES68)))</f>
        <v>0</v>
      </c>
      <c r="EU68" s="337">
        <f t="shared" ca="1" si="198"/>
        <v>0</v>
      </c>
      <c r="EV68" s="340" t="str">
        <f t="shared" si="189"/>
        <v>Uncapped</v>
      </c>
      <c r="EW68" s="337">
        <f t="shared" ca="1" si="199"/>
        <v>0</v>
      </c>
      <c r="EX68" s="333">
        <f t="shared" ca="1" si="200"/>
        <v>0</v>
      </c>
      <c r="EY68" s="326">
        <f ca="1">MAX(EX68,GP68)</f>
        <v>2000</v>
      </c>
      <c r="EZ68" s="337"/>
      <c r="FA68" s="337"/>
      <c r="FB68" s="337"/>
      <c r="FC68" s="337">
        <v>0</v>
      </c>
      <c r="FD68" s="337">
        <f>IF($H$2=1,EZ68,IF($H$2=2,SUM(EZ68:FA68),IF($H$2=3,SUM(EZ68:FB68),SUM(EZ68:FC68))))</f>
        <v>0</v>
      </c>
      <c r="FE68" s="326">
        <f t="shared" si="140"/>
        <v>0</v>
      </c>
      <c r="FF68" s="337">
        <v>0</v>
      </c>
      <c r="FG68" s="337">
        <v>0</v>
      </c>
      <c r="FH68" s="337">
        <v>0</v>
      </c>
      <c r="FI68" s="337">
        <v>0</v>
      </c>
      <c r="FJ68" s="337">
        <f>IF($H$2=1,FF68,IF($H$2=2,SUM(FF68:FG68),IF($H$2=3,SUM(FF68:FH68),SUM(FF68:FI68))))</f>
        <v>0</v>
      </c>
      <c r="FK68" s="326">
        <f t="shared" si="141"/>
        <v>0</v>
      </c>
      <c r="FL68" s="326"/>
      <c r="FM68" s="333"/>
      <c r="FN68" s="333"/>
      <c r="FO68" s="333"/>
      <c r="FP68" s="337">
        <f>SUM(FL68:FO68)</f>
        <v>0</v>
      </c>
      <c r="FQ68" s="337"/>
      <c r="FR68" s="337"/>
      <c r="FS68" s="337"/>
      <c r="FT68" s="326">
        <f t="shared" si="209"/>
        <v>0</v>
      </c>
      <c r="FU68" s="366">
        <f t="shared" ca="1" si="210"/>
        <v>2000</v>
      </c>
      <c r="FV68" s="343">
        <f t="shared" ca="1" si="211"/>
        <v>2000</v>
      </c>
      <c r="FW68" s="326">
        <f>FF68</f>
        <v>0</v>
      </c>
      <c r="FX68" s="326">
        <f>FG68</f>
        <v>0</v>
      </c>
      <c r="FY68" s="326">
        <f>FH68</f>
        <v>0</v>
      </c>
      <c r="FZ68" s="326">
        <f>FI68</f>
        <v>0</v>
      </c>
      <c r="GA68" s="326">
        <f>SUM(FW68:FZ68)</f>
        <v>0</v>
      </c>
      <c r="GB68" s="326">
        <f>EZ68</f>
        <v>0</v>
      </c>
      <c r="GC68" s="326">
        <f>FA68</f>
        <v>0</v>
      </c>
      <c r="GD68" s="326">
        <f>FB68</f>
        <v>0</v>
      </c>
      <c r="GE68" s="326">
        <f>FC68</f>
        <v>0</v>
      </c>
      <c r="GF68" s="326">
        <f t="shared" si="212"/>
        <v>0</v>
      </c>
      <c r="GG68" s="326">
        <f t="shared" si="212"/>
        <v>0</v>
      </c>
      <c r="GH68" s="326">
        <f t="shared" si="212"/>
        <v>0</v>
      </c>
      <c r="GI68" s="326">
        <f t="shared" si="212"/>
        <v>0</v>
      </c>
      <c r="GJ68" s="337">
        <f>IF($H$2=1,GF68,IF($H$2=2,SUM(GF68:GG68),IF($H$2=3,SUM(GF68:GH68),SUM(GF68:GI68))))</f>
        <v>0</v>
      </c>
      <c r="GK68" s="326">
        <f>SUM(GF68:GI68)</f>
        <v>0</v>
      </c>
      <c r="GL68" s="326">
        <f t="shared" si="201"/>
        <v>2000</v>
      </c>
      <c r="GM68" s="326">
        <f t="shared" si="202"/>
        <v>0</v>
      </c>
      <c r="GN68" s="326">
        <f t="shared" si="203"/>
        <v>0</v>
      </c>
      <c r="GO68" s="326">
        <f t="shared" si="204"/>
        <v>0</v>
      </c>
      <c r="GP68" s="326">
        <f>IF($H$2=1,GL68,IF($H$2=2,SUM(GL68:GM68),IF($H$2=3,SUM(GL68:GN68),IF($H$2=4,SUM(GL68:GO68)))))</f>
        <v>2000</v>
      </c>
      <c r="GQ68" s="326">
        <f>SUM(GL68:GO68)</f>
        <v>2000</v>
      </c>
      <c r="GR68" s="485"/>
      <c r="GS68" s="344">
        <f t="shared" si="205"/>
        <v>54286800.642666779</v>
      </c>
      <c r="GT68" s="344">
        <f t="shared" si="206"/>
        <v>78164672.736889794</v>
      </c>
      <c r="GU68" s="345">
        <f>IFERROR(GS68/GT68,"")</f>
        <v>0.694518364138767</v>
      </c>
      <c r="GV68" s="346">
        <f t="shared" ca="1" si="207"/>
        <v>0</v>
      </c>
      <c r="GW68" s="346">
        <v>0</v>
      </c>
      <c r="GX68" s="347">
        <f t="shared" ca="1" si="208"/>
        <v>0</v>
      </c>
      <c r="GY68" s="100"/>
    </row>
    <row r="69" spans="1:207" s="152" customFormat="1" ht="15" hidden="1" customHeight="1">
      <c r="A69" s="129"/>
      <c r="B69" s="130"/>
      <c r="C69" s="130"/>
      <c r="D69" s="131"/>
      <c r="E69" s="131" t="s">
        <v>381</v>
      </c>
      <c r="F69" s="169" t="s">
        <v>382</v>
      </c>
      <c r="G69" s="131" t="s">
        <v>226</v>
      </c>
      <c r="H69" s="132" t="s">
        <v>383</v>
      </c>
      <c r="I69" s="133" t="s">
        <v>384</v>
      </c>
      <c r="J69" s="131" t="s">
        <v>385</v>
      </c>
      <c r="K69" s="131" t="s">
        <v>791</v>
      </c>
      <c r="L69" s="131" t="s">
        <v>209</v>
      </c>
      <c r="M69" s="131" t="s">
        <v>209</v>
      </c>
      <c r="N69" s="134"/>
      <c r="O69" s="155">
        <v>41122</v>
      </c>
      <c r="P69" s="155">
        <v>43466</v>
      </c>
      <c r="Q69" s="321">
        <f t="shared" si="179"/>
        <v>0</v>
      </c>
      <c r="R69" s="109">
        <f>IF((P69-VLOOKUP(Q69,month!$A$1:$C$13,3,0))&lt;0,Q69,Q69+1)</f>
        <v>0</v>
      </c>
      <c r="S69" s="108"/>
      <c r="T69" s="153" t="str">
        <f t="shared" si="80"/>
        <v/>
      </c>
      <c r="U69" s="134"/>
      <c r="V69" s="134"/>
      <c r="W69" s="134"/>
      <c r="X69" s="134"/>
      <c r="Y69" s="383"/>
      <c r="Z69" s="383" t="s">
        <v>545</v>
      </c>
      <c r="AA69" s="371">
        <v>1000</v>
      </c>
      <c r="AB69" s="371">
        <v>1000</v>
      </c>
      <c r="AC69" s="371">
        <v>1000</v>
      </c>
      <c r="AD69" s="371">
        <v>1000</v>
      </c>
      <c r="AE69" s="371">
        <v>1000</v>
      </c>
      <c r="AF69" s="371">
        <v>1000</v>
      </c>
      <c r="AG69" s="371">
        <v>1000</v>
      </c>
      <c r="AH69" s="371">
        <v>1000</v>
      </c>
      <c r="AI69" s="371">
        <v>1000</v>
      </c>
      <c r="AJ69" s="371">
        <v>1000</v>
      </c>
      <c r="AK69" s="371">
        <v>1000</v>
      </c>
      <c r="AL69" s="371">
        <v>1000</v>
      </c>
      <c r="AM69" s="384">
        <f t="shared" si="142"/>
        <v>12000</v>
      </c>
      <c r="AN69" s="384">
        <f t="shared" si="180"/>
        <v>12000</v>
      </c>
      <c r="AO69" s="385">
        <f t="shared" ref="AO69:AO74" si="214">AI69</f>
        <v>1000</v>
      </c>
      <c r="AP69" s="497" t="s">
        <v>386</v>
      </c>
      <c r="AQ69" s="156">
        <v>0.3</v>
      </c>
      <c r="AR69" s="157" t="s">
        <v>211</v>
      </c>
      <c r="AS69" s="146" t="s">
        <v>210</v>
      </c>
      <c r="AT69" s="136">
        <v>19653413.080999997</v>
      </c>
      <c r="AU69" s="136">
        <v>22848780.235100001</v>
      </c>
      <c r="AV69" s="136">
        <v>22618799.574099999</v>
      </c>
      <c r="AW69" s="136">
        <v>27098464.121500004</v>
      </c>
      <c r="AX69" s="138">
        <v>19427532.107000571</v>
      </c>
      <c r="AY69" s="138">
        <v>22270538.357580002</v>
      </c>
      <c r="AZ69" s="138">
        <v>22879083.486580007</v>
      </c>
      <c r="BA69" s="138"/>
      <c r="BB69" s="138"/>
      <c r="BC69" s="138"/>
      <c r="BD69" s="138"/>
      <c r="BE69" s="138"/>
      <c r="BF69" s="139">
        <f t="shared" si="152"/>
        <v>19427532.107000571</v>
      </c>
      <c r="BG69" s="139">
        <f t="shared" si="153"/>
        <v>22270538.357580002</v>
      </c>
      <c r="BH69" s="139">
        <f t="shared" si="154"/>
        <v>22879083.486580007</v>
      </c>
      <c r="BI69" s="139">
        <f t="shared" si="155"/>
        <v>0</v>
      </c>
      <c r="BJ69" s="139">
        <f t="shared" si="182"/>
        <v>64577153.95116058</v>
      </c>
      <c r="BK69" s="140">
        <f t="shared" si="144"/>
        <v>92219457.011700004</v>
      </c>
      <c r="BL69" s="140">
        <f t="shared" si="156"/>
        <v>92219457.011700004</v>
      </c>
      <c r="BM69" s="141">
        <f t="shared" si="157"/>
        <v>0.70030000000000003</v>
      </c>
      <c r="BN69" s="142">
        <f t="shared" ca="1" si="190"/>
        <v>0</v>
      </c>
      <c r="BO69" s="143">
        <f t="shared" ca="1" si="191"/>
        <v>0</v>
      </c>
      <c r="BP69" s="144" t="str">
        <f t="shared" si="183"/>
        <v>Uncapped</v>
      </c>
      <c r="BQ69" s="140">
        <f t="shared" ca="1" si="192"/>
        <v>0</v>
      </c>
      <c r="BR69" s="138" t="s">
        <v>701</v>
      </c>
      <c r="BS69" s="158">
        <v>0.25</v>
      </c>
      <c r="BT69" s="138" t="s">
        <v>211</v>
      </c>
      <c r="BU69" s="157" t="s">
        <v>210</v>
      </c>
      <c r="BV69" s="138">
        <v>13631298.3753272</v>
      </c>
      <c r="BW69" s="138">
        <v>15463517.626933601</v>
      </c>
      <c r="BX69" s="138">
        <v>15159650.061351301</v>
      </c>
      <c r="BY69" s="138">
        <v>16523055.704212198</v>
      </c>
      <c r="BZ69" s="138">
        <v>13485327.436090879</v>
      </c>
      <c r="CA69" s="138">
        <v>13198690.521689992</v>
      </c>
      <c r="CB69" s="138">
        <v>13923765.34778</v>
      </c>
      <c r="CC69" s="138"/>
      <c r="CD69" s="138"/>
      <c r="CE69" s="138"/>
      <c r="CF69" s="138"/>
      <c r="CG69" s="138"/>
      <c r="CH69" s="139">
        <f t="shared" si="158"/>
        <v>13485327.436090879</v>
      </c>
      <c r="CI69" s="139">
        <f t="shared" si="159"/>
        <v>13198690.521689992</v>
      </c>
      <c r="CJ69" s="145">
        <f t="shared" si="160"/>
        <v>13923765.34778</v>
      </c>
      <c r="CK69" s="139">
        <f t="shared" si="161"/>
        <v>0</v>
      </c>
      <c r="CL69" s="139">
        <f t="shared" si="184"/>
        <v>40607783.305560872</v>
      </c>
      <c r="CM69" s="139">
        <f t="shared" si="145"/>
        <v>60777521.7678243</v>
      </c>
      <c r="CN69" s="139">
        <f t="shared" si="162"/>
        <v>60777521.7678243</v>
      </c>
      <c r="CO69" s="141">
        <f t="shared" si="163"/>
        <v>0.66810000000000003</v>
      </c>
      <c r="CP69" s="142">
        <f t="shared" ca="1" si="164"/>
        <v>0</v>
      </c>
      <c r="CQ69" s="140">
        <f t="shared" ca="1" si="193"/>
        <v>0</v>
      </c>
      <c r="CR69" s="144" t="str">
        <f t="shared" si="185"/>
        <v>Uncapped</v>
      </c>
      <c r="CS69" s="140">
        <f t="shared" ca="1" si="194"/>
        <v>0</v>
      </c>
      <c r="CT69" s="138" t="s">
        <v>699</v>
      </c>
      <c r="CU69" s="146">
        <v>0.25</v>
      </c>
      <c r="CV69" s="138" t="s">
        <v>211</v>
      </c>
      <c r="CW69" s="138" t="s">
        <v>210</v>
      </c>
      <c r="CX69" s="138">
        <v>10883127.94218261</v>
      </c>
      <c r="CY69" s="138">
        <v>15381138.295401935</v>
      </c>
      <c r="CZ69" s="138">
        <v>14095957.140695527</v>
      </c>
      <c r="DA69" s="138">
        <v>14737520.473807698</v>
      </c>
      <c r="DB69" s="138">
        <v>11219107.631192379</v>
      </c>
      <c r="DC69" s="138">
        <v>14714489.885539999</v>
      </c>
      <c r="DD69" s="138">
        <v>14342372.044679999</v>
      </c>
      <c r="DE69" s="138"/>
      <c r="DF69" s="138"/>
      <c r="DG69" s="138"/>
      <c r="DH69" s="138"/>
      <c r="DI69" s="138"/>
      <c r="DJ69" s="139">
        <f t="shared" si="165"/>
        <v>11219107.631192379</v>
      </c>
      <c r="DK69" s="139">
        <f t="shared" si="166"/>
        <v>14714489.885539999</v>
      </c>
      <c r="DL69" s="139">
        <f t="shared" si="167"/>
        <v>14342372.044679999</v>
      </c>
      <c r="DM69" s="139">
        <f t="shared" si="168"/>
        <v>0</v>
      </c>
      <c r="DN69" s="139">
        <f t="shared" si="186"/>
        <v>40275969.561412379</v>
      </c>
      <c r="DO69" s="139">
        <f t="shared" si="146"/>
        <v>55097743.852087773</v>
      </c>
      <c r="DP69" s="139">
        <f t="shared" si="169"/>
        <v>55097743.852087773</v>
      </c>
      <c r="DQ69" s="141">
        <f t="shared" si="170"/>
        <v>0.73099999999999998</v>
      </c>
      <c r="DR69" s="142">
        <f t="shared" ca="1" si="195"/>
        <v>0</v>
      </c>
      <c r="DS69" s="140">
        <f t="shared" ca="1" si="196"/>
        <v>0</v>
      </c>
      <c r="DT69" s="144" t="str">
        <f t="shared" si="187"/>
        <v>Uncapped</v>
      </c>
      <c r="DU69" s="140">
        <f t="shared" ca="1" si="197"/>
        <v>0</v>
      </c>
      <c r="DV69" s="138" t="s">
        <v>728</v>
      </c>
      <c r="DW69" s="146">
        <v>0.2</v>
      </c>
      <c r="DX69" s="146" t="s">
        <v>217</v>
      </c>
      <c r="DY69" s="138" t="s">
        <v>210</v>
      </c>
      <c r="DZ69" s="138">
        <v>61881722.047854595</v>
      </c>
      <c r="EA69" s="138">
        <v>72180793.063260496</v>
      </c>
      <c r="EB69" s="138">
        <v>69179032.514420599</v>
      </c>
      <c r="EC69" s="138">
        <v>76323964.015026003</v>
      </c>
      <c r="ED69" s="138">
        <v>63657388.730680585</v>
      </c>
      <c r="EE69" s="138">
        <v>65995192.891159989</v>
      </c>
      <c r="EF69" s="138">
        <v>66410604.684560001</v>
      </c>
      <c r="EG69" s="138"/>
      <c r="EH69" s="138"/>
      <c r="EI69" s="138"/>
      <c r="EJ69" s="138"/>
      <c r="EK69" s="138"/>
      <c r="EL69" s="139">
        <f t="shared" si="171"/>
        <v>63657388.730680585</v>
      </c>
      <c r="EM69" s="139">
        <f t="shared" si="172"/>
        <v>65995192.891159989</v>
      </c>
      <c r="EN69" s="139">
        <f t="shared" si="173"/>
        <v>66410604.684560001</v>
      </c>
      <c r="EO69" s="139">
        <f t="shared" si="174"/>
        <v>0</v>
      </c>
      <c r="EP69" s="139">
        <f t="shared" si="188"/>
        <v>196063186.30640057</v>
      </c>
      <c r="EQ69" s="139">
        <f t="shared" si="147"/>
        <v>279565511.6405617</v>
      </c>
      <c r="ER69" s="139">
        <f t="shared" si="175"/>
        <v>279565511.6405617</v>
      </c>
      <c r="ES69" s="141">
        <f t="shared" si="176"/>
        <v>0.70130000000000003</v>
      </c>
      <c r="ET69" s="142">
        <f t="shared" ca="1" si="177"/>
        <v>0</v>
      </c>
      <c r="EU69" s="140">
        <f t="shared" ca="1" si="198"/>
        <v>0</v>
      </c>
      <c r="EV69" s="144" t="str">
        <f t="shared" si="189"/>
        <v>Uncapped</v>
      </c>
      <c r="EW69" s="140">
        <f t="shared" ca="1" si="199"/>
        <v>0</v>
      </c>
      <c r="EX69" s="137">
        <f t="shared" ca="1" si="200"/>
        <v>0</v>
      </c>
      <c r="EY69" s="139">
        <f t="shared" ca="1" si="178"/>
        <v>0</v>
      </c>
      <c r="EZ69" s="140">
        <v>0</v>
      </c>
      <c r="FA69" s="140"/>
      <c r="FB69" s="140"/>
      <c r="FC69" s="140">
        <v>0</v>
      </c>
      <c r="FD69" s="140">
        <f t="shared" si="148"/>
        <v>0</v>
      </c>
      <c r="FE69" s="139">
        <f t="shared" si="140"/>
        <v>0</v>
      </c>
      <c r="FF69" s="140">
        <v>0</v>
      </c>
      <c r="FG69" s="140">
        <v>0</v>
      </c>
      <c r="FH69" s="140">
        <v>0</v>
      </c>
      <c r="FI69" s="140">
        <v>0</v>
      </c>
      <c r="FJ69" s="140">
        <f t="shared" si="149"/>
        <v>0</v>
      </c>
      <c r="FK69" s="139">
        <f t="shared" si="141"/>
        <v>0</v>
      </c>
      <c r="FL69" s="138"/>
      <c r="FM69" s="136"/>
      <c r="FN69" s="136"/>
      <c r="FO69" s="136"/>
      <c r="FP69" s="140">
        <f t="shared" si="88"/>
        <v>0</v>
      </c>
      <c r="FQ69" s="140"/>
      <c r="FR69" s="140"/>
      <c r="FS69" s="140"/>
      <c r="FT69" s="139">
        <f t="shared" si="209"/>
        <v>0</v>
      </c>
      <c r="FU69" s="365">
        <f t="shared" ca="1" si="210"/>
        <v>0</v>
      </c>
      <c r="FV69" s="147">
        <f t="shared" ca="1" si="211"/>
        <v>0</v>
      </c>
      <c r="FW69" s="139">
        <f t="shared" si="84"/>
        <v>0</v>
      </c>
      <c r="FX69" s="139">
        <f t="shared" si="84"/>
        <v>0</v>
      </c>
      <c r="FY69" s="139">
        <f t="shared" si="84"/>
        <v>0</v>
      </c>
      <c r="FZ69" s="139">
        <f t="shared" si="81"/>
        <v>0</v>
      </c>
      <c r="GA69" s="139">
        <f t="shared" si="89"/>
        <v>0</v>
      </c>
      <c r="GB69" s="139">
        <f t="shared" si="85"/>
        <v>0</v>
      </c>
      <c r="GC69" s="139">
        <f t="shared" si="85"/>
        <v>0</v>
      </c>
      <c r="GD69" s="139">
        <f t="shared" si="85"/>
        <v>0</v>
      </c>
      <c r="GE69" s="139">
        <f t="shared" si="82"/>
        <v>0</v>
      </c>
      <c r="GF69" s="139">
        <f t="shared" si="87"/>
        <v>0</v>
      </c>
      <c r="GG69" s="139">
        <f t="shared" si="87"/>
        <v>0</v>
      </c>
      <c r="GH69" s="139">
        <f t="shared" si="87"/>
        <v>0</v>
      </c>
      <c r="GI69" s="139">
        <f t="shared" si="86"/>
        <v>0</v>
      </c>
      <c r="GJ69" s="140">
        <f t="shared" si="150"/>
        <v>0</v>
      </c>
      <c r="GK69" s="139">
        <f t="shared" si="90"/>
        <v>0</v>
      </c>
      <c r="GL69" s="139">
        <f t="shared" si="201"/>
        <v>0</v>
      </c>
      <c r="GM69" s="139">
        <f t="shared" si="202"/>
        <v>0</v>
      </c>
      <c r="GN69" s="139">
        <f t="shared" si="203"/>
        <v>0</v>
      </c>
      <c r="GO69" s="139">
        <f t="shared" si="204"/>
        <v>0</v>
      </c>
      <c r="GP69" s="139">
        <f t="shared" si="151"/>
        <v>0</v>
      </c>
      <c r="GQ69" s="139">
        <f t="shared" si="91"/>
        <v>0</v>
      </c>
      <c r="GR69" s="409"/>
      <c r="GS69" s="148">
        <f t="shared" si="205"/>
        <v>341524093.12453437</v>
      </c>
      <c r="GT69" s="148">
        <f t="shared" si="206"/>
        <v>487660234.27217376</v>
      </c>
      <c r="GU69" s="149">
        <f t="shared" si="92"/>
        <v>0.70033205318505087</v>
      </c>
      <c r="GV69" s="150">
        <f t="shared" ca="1" si="207"/>
        <v>0</v>
      </c>
      <c r="GW69" s="150">
        <v>0</v>
      </c>
      <c r="GX69" s="151">
        <f t="shared" ca="1" si="208"/>
        <v>0</v>
      </c>
      <c r="GY69" s="100"/>
    </row>
    <row r="70" spans="1:207" s="165" customFormat="1" ht="15" hidden="1" customHeight="1">
      <c r="A70" s="102"/>
      <c r="B70" s="103"/>
      <c r="C70" s="103"/>
      <c r="D70" s="104"/>
      <c r="E70" s="113" t="s">
        <v>388</v>
      </c>
      <c r="F70" s="113" t="s">
        <v>389</v>
      </c>
      <c r="G70" s="104" t="s">
        <v>226</v>
      </c>
      <c r="H70" s="105" t="s">
        <v>390</v>
      </c>
      <c r="I70" s="106" t="s">
        <v>391</v>
      </c>
      <c r="J70" s="104" t="s">
        <v>207</v>
      </c>
      <c r="K70" s="104" t="s">
        <v>218</v>
      </c>
      <c r="L70" s="104" t="s">
        <v>213</v>
      </c>
      <c r="M70" s="104" t="s">
        <v>388</v>
      </c>
      <c r="N70" s="107"/>
      <c r="O70" s="108">
        <v>41596</v>
      </c>
      <c r="P70" s="108">
        <v>43191</v>
      </c>
      <c r="Q70" s="322">
        <f t="shared" si="179"/>
        <v>0</v>
      </c>
      <c r="R70" s="109">
        <f>IF((P70-VLOOKUP(Q70,month!$A$1:$C$13,3,0))&lt;0,Q70,Q70+1)</f>
        <v>0</v>
      </c>
      <c r="S70" s="108"/>
      <c r="T70" s="127" t="str">
        <f t="shared" si="80"/>
        <v/>
      </c>
      <c r="U70" s="107"/>
      <c r="V70" s="107"/>
      <c r="W70" s="107"/>
      <c r="X70" s="107"/>
      <c r="Y70" s="386"/>
      <c r="Z70" s="386" t="s">
        <v>545</v>
      </c>
      <c r="AA70" s="387">
        <v>1000</v>
      </c>
      <c r="AB70" s="387">
        <v>1000</v>
      </c>
      <c r="AC70" s="387">
        <v>1000</v>
      </c>
      <c r="AD70" s="387">
        <v>1000</v>
      </c>
      <c r="AE70" s="387">
        <v>1000</v>
      </c>
      <c r="AF70" s="387">
        <v>1000</v>
      </c>
      <c r="AG70" s="387">
        <v>1000</v>
      </c>
      <c r="AH70" s="387">
        <v>1000</v>
      </c>
      <c r="AI70" s="387">
        <v>1000</v>
      </c>
      <c r="AJ70" s="387">
        <v>1000</v>
      </c>
      <c r="AK70" s="387">
        <v>1000</v>
      </c>
      <c r="AL70" s="387">
        <v>1000</v>
      </c>
      <c r="AM70" s="388">
        <f t="shared" si="142"/>
        <v>12000</v>
      </c>
      <c r="AN70" s="388">
        <f t="shared" si="180"/>
        <v>12000</v>
      </c>
      <c r="AO70" s="389">
        <f t="shared" si="214"/>
        <v>1000</v>
      </c>
      <c r="AP70" s="498" t="s">
        <v>670</v>
      </c>
      <c r="AQ70" s="159">
        <v>0.4</v>
      </c>
      <c r="AR70" s="160" t="s">
        <v>392</v>
      </c>
      <c r="AS70" s="119" t="s">
        <v>210</v>
      </c>
      <c r="AT70" s="111">
        <v>882717.25888091233</v>
      </c>
      <c r="AU70" s="111">
        <v>2223533.5569833126</v>
      </c>
      <c r="AV70" s="111">
        <v>1631616.9922289676</v>
      </c>
      <c r="AW70" s="111">
        <v>1705791.7755207832</v>
      </c>
      <c r="AX70" s="113">
        <v>1042804.5000000001</v>
      </c>
      <c r="AY70" s="113">
        <v>2566066.9216999998</v>
      </c>
      <c r="AZ70" s="113">
        <v>1910432.4055000001</v>
      </c>
      <c r="BA70" s="113"/>
      <c r="BB70" s="113"/>
      <c r="BC70" s="113"/>
      <c r="BD70" s="113"/>
      <c r="BE70" s="113"/>
      <c r="BF70" s="114">
        <f t="shared" si="152"/>
        <v>1042804.5000000001</v>
      </c>
      <c r="BG70" s="114">
        <f t="shared" si="153"/>
        <v>2566066.9216999998</v>
      </c>
      <c r="BH70" s="114">
        <f t="shared" si="154"/>
        <v>1910432.4055000001</v>
      </c>
      <c r="BI70" s="114">
        <f t="shared" si="155"/>
        <v>0</v>
      </c>
      <c r="BJ70" s="114">
        <f t="shared" si="182"/>
        <v>5519303.8272000002</v>
      </c>
      <c r="BK70" s="115">
        <f t="shared" si="144"/>
        <v>6443659.583613975</v>
      </c>
      <c r="BL70" s="115">
        <f t="shared" si="156"/>
        <v>6443659.583613975</v>
      </c>
      <c r="BM70" s="116">
        <f t="shared" si="157"/>
        <v>0.85650000000000004</v>
      </c>
      <c r="BN70" s="126">
        <f t="shared" ca="1" si="190"/>
        <v>0</v>
      </c>
      <c r="BO70" s="117">
        <f t="shared" ca="1" si="191"/>
        <v>0</v>
      </c>
      <c r="BP70" s="118" t="str">
        <f t="shared" si="183"/>
        <v>Uncapped</v>
      </c>
      <c r="BQ70" s="115">
        <f t="shared" ca="1" si="192"/>
        <v>0</v>
      </c>
      <c r="BR70" s="113" t="s">
        <v>690</v>
      </c>
      <c r="BS70" s="159">
        <v>0.4</v>
      </c>
      <c r="BT70" s="160" t="s">
        <v>211</v>
      </c>
      <c r="BU70" s="160" t="s">
        <v>210</v>
      </c>
      <c r="BV70" s="113">
        <v>2308578.2481311583</v>
      </c>
      <c r="BW70" s="113">
        <v>2700139.1998245865</v>
      </c>
      <c r="BX70" s="113">
        <v>2769359.8264711248</v>
      </c>
      <c r="BY70" s="113">
        <v>3071602.6539425906</v>
      </c>
      <c r="BZ70" s="113">
        <v>2405079.7731999811</v>
      </c>
      <c r="CA70" s="113">
        <v>2563154.5458999714</v>
      </c>
      <c r="CB70" s="113">
        <v>2482902.07989995</v>
      </c>
      <c r="CC70" s="113"/>
      <c r="CD70" s="113"/>
      <c r="CE70" s="113"/>
      <c r="CF70" s="113"/>
      <c r="CG70" s="113"/>
      <c r="CH70" s="114">
        <f t="shared" si="158"/>
        <v>2405079.7731999811</v>
      </c>
      <c r="CI70" s="114">
        <f t="shared" si="159"/>
        <v>2563154.5458999714</v>
      </c>
      <c r="CJ70" s="120">
        <f t="shared" si="160"/>
        <v>2482902.07989995</v>
      </c>
      <c r="CK70" s="114">
        <f t="shared" si="161"/>
        <v>0</v>
      </c>
      <c r="CL70" s="114">
        <f t="shared" si="184"/>
        <v>7451136.3989999024</v>
      </c>
      <c r="CM70" s="114">
        <f t="shared" si="145"/>
        <v>10849679.928369459</v>
      </c>
      <c r="CN70" s="114">
        <f t="shared" si="162"/>
        <v>10849679.928369459</v>
      </c>
      <c r="CO70" s="116">
        <f t="shared" si="163"/>
        <v>0.68679999999999997</v>
      </c>
      <c r="CP70" s="126">
        <f t="shared" ca="1" si="164"/>
        <v>0</v>
      </c>
      <c r="CQ70" s="115">
        <f t="shared" ca="1" si="193"/>
        <v>0</v>
      </c>
      <c r="CR70" s="118" t="str">
        <f t="shared" si="185"/>
        <v>Uncapped</v>
      </c>
      <c r="CS70" s="115">
        <f t="shared" ca="1" si="194"/>
        <v>0</v>
      </c>
      <c r="CT70" s="113" t="s">
        <v>737</v>
      </c>
      <c r="CU70" s="119">
        <v>0.2</v>
      </c>
      <c r="CV70" s="113" t="s">
        <v>217</v>
      </c>
      <c r="CW70" s="113" t="s">
        <v>210</v>
      </c>
      <c r="CX70" s="113">
        <v>11953048.942182608</v>
      </c>
      <c r="CY70" s="113">
        <v>16757506.295401936</v>
      </c>
      <c r="CZ70" s="113">
        <v>15470532.140695527</v>
      </c>
      <c r="DA70" s="113">
        <v>16440443.473807694</v>
      </c>
      <c r="DB70" s="113">
        <v>12211557.946359999</v>
      </c>
      <c r="DC70" s="113">
        <v>15972657.057939999</v>
      </c>
      <c r="DD70" s="113">
        <v>15545756.2063</v>
      </c>
      <c r="DE70" s="113"/>
      <c r="DF70" s="113"/>
      <c r="DG70" s="113"/>
      <c r="DH70" s="113"/>
      <c r="DI70" s="113"/>
      <c r="DJ70" s="114">
        <f t="shared" si="165"/>
        <v>12211557.946359999</v>
      </c>
      <c r="DK70" s="114">
        <f t="shared" si="166"/>
        <v>15972657.057939999</v>
      </c>
      <c r="DL70" s="114">
        <f t="shared" si="167"/>
        <v>15545756.2063</v>
      </c>
      <c r="DM70" s="114">
        <f t="shared" si="168"/>
        <v>0</v>
      </c>
      <c r="DN70" s="114">
        <f t="shared" si="186"/>
        <v>43729971.210599996</v>
      </c>
      <c r="DO70" s="114">
        <f t="shared" si="146"/>
        <v>60621530.852087766</v>
      </c>
      <c r="DP70" s="114">
        <f t="shared" si="169"/>
        <v>60621530.852087766</v>
      </c>
      <c r="DQ70" s="116">
        <f t="shared" si="170"/>
        <v>0.72140000000000004</v>
      </c>
      <c r="DR70" s="126">
        <f t="shared" ca="1" si="195"/>
        <v>0</v>
      </c>
      <c r="DS70" s="115">
        <f t="shared" ca="1" si="196"/>
        <v>0</v>
      </c>
      <c r="DT70" s="118" t="str">
        <f t="shared" si="187"/>
        <v>Uncapped</v>
      </c>
      <c r="DU70" s="115">
        <f t="shared" ca="1" si="197"/>
        <v>0</v>
      </c>
      <c r="DV70" s="113"/>
      <c r="DW70" s="119">
        <v>0</v>
      </c>
      <c r="DX70" s="113"/>
      <c r="DY70" s="113"/>
      <c r="DZ70" s="113">
        <v>0</v>
      </c>
      <c r="EA70" s="113">
        <v>0</v>
      </c>
      <c r="EB70" s="113">
        <v>0</v>
      </c>
      <c r="EC70" s="113">
        <v>0</v>
      </c>
      <c r="ED70" s="113">
        <v>0</v>
      </c>
      <c r="EE70" s="113">
        <v>0</v>
      </c>
      <c r="EF70" s="113"/>
      <c r="EG70" s="113"/>
      <c r="EH70" s="113"/>
      <c r="EI70" s="113"/>
      <c r="EJ70" s="113"/>
      <c r="EK70" s="113"/>
      <c r="EL70" s="114">
        <f t="shared" si="171"/>
        <v>0</v>
      </c>
      <c r="EM70" s="114">
        <f t="shared" si="172"/>
        <v>0</v>
      </c>
      <c r="EN70" s="114">
        <f t="shared" si="173"/>
        <v>0</v>
      </c>
      <c r="EO70" s="114">
        <f t="shared" si="174"/>
        <v>0</v>
      </c>
      <c r="EP70" s="114">
        <f t="shared" si="188"/>
        <v>0</v>
      </c>
      <c r="EQ70" s="114">
        <f t="shared" si="147"/>
        <v>0</v>
      </c>
      <c r="ER70" s="114">
        <f t="shared" si="175"/>
        <v>0</v>
      </c>
      <c r="ES70" s="116">
        <f t="shared" si="176"/>
        <v>0</v>
      </c>
      <c r="ET70" s="126">
        <f t="shared" ca="1" si="177"/>
        <v>0</v>
      </c>
      <c r="EU70" s="115">
        <f t="shared" ca="1" si="198"/>
        <v>0</v>
      </c>
      <c r="EV70" s="118" t="str">
        <f t="shared" si="189"/>
        <v>Uncapped</v>
      </c>
      <c r="EW70" s="115">
        <f t="shared" ca="1" si="199"/>
        <v>0</v>
      </c>
      <c r="EX70" s="112">
        <f t="shared" ca="1" si="200"/>
        <v>0</v>
      </c>
      <c r="EY70" s="114">
        <f t="shared" ca="1" si="178"/>
        <v>0</v>
      </c>
      <c r="EZ70" s="115">
        <v>0</v>
      </c>
      <c r="FA70" s="115"/>
      <c r="FB70" s="115"/>
      <c r="FC70" s="115">
        <v>0</v>
      </c>
      <c r="FD70" s="115">
        <f t="shared" si="148"/>
        <v>0</v>
      </c>
      <c r="FE70" s="114">
        <f t="shared" si="140"/>
        <v>0</v>
      </c>
      <c r="FF70" s="115">
        <v>0</v>
      </c>
      <c r="FG70" s="115">
        <v>0</v>
      </c>
      <c r="FH70" s="115">
        <v>0</v>
      </c>
      <c r="FI70" s="115">
        <v>0</v>
      </c>
      <c r="FJ70" s="115">
        <f t="shared" si="149"/>
        <v>0</v>
      </c>
      <c r="FK70" s="114">
        <f t="shared" si="141"/>
        <v>0</v>
      </c>
      <c r="FL70" s="113"/>
      <c r="FM70" s="111"/>
      <c r="FN70" s="111"/>
      <c r="FO70" s="111"/>
      <c r="FP70" s="115">
        <f t="shared" si="88"/>
        <v>0</v>
      </c>
      <c r="FQ70" s="115"/>
      <c r="FR70" s="115"/>
      <c r="FS70" s="115"/>
      <c r="FT70" s="114">
        <f t="shared" si="209"/>
        <v>0</v>
      </c>
      <c r="FU70" s="366">
        <f t="shared" ca="1" si="210"/>
        <v>0</v>
      </c>
      <c r="FV70" s="121">
        <f t="shared" ca="1" si="211"/>
        <v>0</v>
      </c>
      <c r="FW70" s="114">
        <f t="shared" si="84"/>
        <v>0</v>
      </c>
      <c r="FX70" s="114">
        <f t="shared" si="84"/>
        <v>0</v>
      </c>
      <c r="FY70" s="114">
        <f t="shared" si="84"/>
        <v>0</v>
      </c>
      <c r="FZ70" s="114">
        <f t="shared" si="81"/>
        <v>0</v>
      </c>
      <c r="GA70" s="114">
        <f t="shared" si="89"/>
        <v>0</v>
      </c>
      <c r="GB70" s="114">
        <f t="shared" si="85"/>
        <v>0</v>
      </c>
      <c r="GC70" s="114">
        <f t="shared" si="85"/>
        <v>0</v>
      </c>
      <c r="GD70" s="114">
        <f t="shared" si="85"/>
        <v>0</v>
      </c>
      <c r="GE70" s="114">
        <f t="shared" si="82"/>
        <v>0</v>
      </c>
      <c r="GF70" s="114">
        <f t="shared" si="87"/>
        <v>0</v>
      </c>
      <c r="GG70" s="114">
        <f t="shared" si="87"/>
        <v>0</v>
      </c>
      <c r="GH70" s="114">
        <f t="shared" si="87"/>
        <v>0</v>
      </c>
      <c r="GI70" s="114">
        <f t="shared" si="86"/>
        <v>0</v>
      </c>
      <c r="GJ70" s="115">
        <f t="shared" si="150"/>
        <v>0</v>
      </c>
      <c r="GK70" s="114">
        <f t="shared" si="90"/>
        <v>0</v>
      </c>
      <c r="GL70" s="114">
        <f t="shared" si="201"/>
        <v>0</v>
      </c>
      <c r="GM70" s="114">
        <f t="shared" si="202"/>
        <v>0</v>
      </c>
      <c r="GN70" s="114">
        <f t="shared" si="203"/>
        <v>0</v>
      </c>
      <c r="GO70" s="114">
        <f t="shared" si="204"/>
        <v>0</v>
      </c>
      <c r="GP70" s="114">
        <f t="shared" si="151"/>
        <v>0</v>
      </c>
      <c r="GQ70" s="114">
        <f t="shared" si="91"/>
        <v>0</v>
      </c>
      <c r="GR70" s="193"/>
      <c r="GS70" s="122">
        <f t="shared" si="205"/>
        <v>56700411.436799899</v>
      </c>
      <c r="GT70" s="122">
        <f t="shared" si="206"/>
        <v>77914870.36407119</v>
      </c>
      <c r="GU70" s="123">
        <f t="shared" si="92"/>
        <v>0.72772259225815394</v>
      </c>
      <c r="GV70" s="124">
        <f t="shared" ca="1" si="207"/>
        <v>0</v>
      </c>
      <c r="GW70" s="124">
        <v>0</v>
      </c>
      <c r="GX70" s="32">
        <f t="shared" ca="1" si="208"/>
        <v>0</v>
      </c>
      <c r="GY70" s="100"/>
    </row>
    <row r="71" spans="1:207" s="125" customFormat="1" ht="15" hidden="1" customHeight="1">
      <c r="A71" s="102"/>
      <c r="B71" s="103"/>
      <c r="C71" s="103"/>
      <c r="D71" s="104"/>
      <c r="E71" s="104" t="s">
        <v>393</v>
      </c>
      <c r="F71" s="104" t="s">
        <v>388</v>
      </c>
      <c r="G71" s="104" t="s">
        <v>226</v>
      </c>
      <c r="H71" s="105" t="s">
        <v>394</v>
      </c>
      <c r="I71" s="106" t="s">
        <v>395</v>
      </c>
      <c r="J71" s="104" t="s">
        <v>212</v>
      </c>
      <c r="K71" s="104" t="s">
        <v>218</v>
      </c>
      <c r="L71" s="104" t="s">
        <v>213</v>
      </c>
      <c r="M71" s="104" t="s">
        <v>388</v>
      </c>
      <c r="N71" s="107"/>
      <c r="O71" s="108">
        <v>43003</v>
      </c>
      <c r="P71" s="108">
        <v>43003</v>
      </c>
      <c r="Q71" s="322">
        <f t="shared" si="179"/>
        <v>0</v>
      </c>
      <c r="R71" s="109">
        <f>IF((P71-VLOOKUP(Q71,month!$A$1:$C$13,3,0))&lt;0,Q71,Q71+1)</f>
        <v>0</v>
      </c>
      <c r="S71" s="108"/>
      <c r="T71" s="127" t="str">
        <f>IF(S71&gt;0,"Y","")</f>
        <v/>
      </c>
      <c r="U71" s="107"/>
      <c r="V71" s="107"/>
      <c r="W71" s="107"/>
      <c r="X71" s="107"/>
      <c r="Y71" s="386"/>
      <c r="Z71" s="386" t="s">
        <v>545</v>
      </c>
      <c r="AA71" s="387">
        <v>1000</v>
      </c>
      <c r="AB71" s="387">
        <v>1000</v>
      </c>
      <c r="AC71" s="387">
        <v>1000</v>
      </c>
      <c r="AD71" s="387">
        <v>1000</v>
      </c>
      <c r="AE71" s="387">
        <v>1000</v>
      </c>
      <c r="AF71" s="387">
        <v>1000</v>
      </c>
      <c r="AG71" s="387">
        <v>1000</v>
      </c>
      <c r="AH71" s="387">
        <v>1000</v>
      </c>
      <c r="AI71" s="387">
        <v>1000</v>
      </c>
      <c r="AJ71" s="387">
        <v>1000</v>
      </c>
      <c r="AK71" s="387">
        <v>1000</v>
      </c>
      <c r="AL71" s="387">
        <v>1000</v>
      </c>
      <c r="AM71" s="388">
        <f t="shared" si="142"/>
        <v>12000</v>
      </c>
      <c r="AN71" s="388">
        <f t="shared" si="180"/>
        <v>12000</v>
      </c>
      <c r="AO71" s="389">
        <f t="shared" si="214"/>
        <v>1000</v>
      </c>
      <c r="AP71" s="498" t="s">
        <v>671</v>
      </c>
      <c r="AQ71" s="159">
        <v>0.4</v>
      </c>
      <c r="AR71" s="160" t="s">
        <v>392</v>
      </c>
      <c r="AS71" s="119" t="s">
        <v>210</v>
      </c>
      <c r="AT71" s="111">
        <v>131322.89985092342</v>
      </c>
      <c r="AU71" s="111">
        <v>345325.23449705122</v>
      </c>
      <c r="AV71" s="111">
        <v>250919.86569303207</v>
      </c>
      <c r="AW71" s="111">
        <v>262692.99633578997</v>
      </c>
      <c r="AX71" s="113">
        <v>115829.81999999999</v>
      </c>
      <c r="AY71" s="113">
        <v>484466.12999999995</v>
      </c>
      <c r="AZ71" s="113">
        <v>143651.43</v>
      </c>
      <c r="BA71" s="113"/>
      <c r="BB71" s="113"/>
      <c r="BC71" s="113"/>
      <c r="BD71" s="113"/>
      <c r="BE71" s="113"/>
      <c r="BF71" s="114">
        <f t="shared" si="152"/>
        <v>115829.81999999999</v>
      </c>
      <c r="BG71" s="114">
        <f t="shared" si="153"/>
        <v>484466.12999999995</v>
      </c>
      <c r="BH71" s="114">
        <f t="shared" si="154"/>
        <v>143651.43</v>
      </c>
      <c r="BI71" s="114">
        <f t="shared" si="155"/>
        <v>0</v>
      </c>
      <c r="BJ71" s="114">
        <f t="shared" si="182"/>
        <v>743947.37999999989</v>
      </c>
      <c r="BK71" s="115">
        <f t="shared" si="144"/>
        <v>990260.99637679663</v>
      </c>
      <c r="BL71" s="115">
        <f t="shared" si="156"/>
        <v>990260.99637679663</v>
      </c>
      <c r="BM71" s="116">
        <f t="shared" si="157"/>
        <v>0.75129999999999997</v>
      </c>
      <c r="BN71" s="126">
        <f t="shared" ca="1" si="190"/>
        <v>0</v>
      </c>
      <c r="BO71" s="117">
        <f t="shared" ca="1" si="191"/>
        <v>0</v>
      </c>
      <c r="BP71" s="118" t="str">
        <f t="shared" si="183"/>
        <v>Uncapped</v>
      </c>
      <c r="BQ71" s="115">
        <f t="shared" ca="1" si="192"/>
        <v>0</v>
      </c>
      <c r="BR71" s="113" t="s">
        <v>691</v>
      </c>
      <c r="BS71" s="159">
        <v>0.4</v>
      </c>
      <c r="BT71" s="160" t="s">
        <v>211</v>
      </c>
      <c r="BU71" s="160" t="s">
        <v>210</v>
      </c>
      <c r="BV71" s="113">
        <v>2244847.2684801258</v>
      </c>
      <c r="BW71" s="113">
        <v>2631314.8509574058</v>
      </c>
      <c r="BX71" s="113">
        <v>2701393.222602963</v>
      </c>
      <c r="BY71" s="113">
        <v>2988065.5624960302</v>
      </c>
      <c r="BZ71" s="113">
        <v>2372679.7731999811</v>
      </c>
      <c r="CA71" s="113">
        <v>2482064.5458999714</v>
      </c>
      <c r="CB71" s="113">
        <v>2412660.0498999502</v>
      </c>
      <c r="CC71" s="113"/>
      <c r="CD71" s="113"/>
      <c r="CE71" s="113"/>
      <c r="CF71" s="113"/>
      <c r="CG71" s="113"/>
      <c r="CH71" s="114">
        <f t="shared" si="158"/>
        <v>2372679.7731999811</v>
      </c>
      <c r="CI71" s="114">
        <f t="shared" si="159"/>
        <v>2482064.5458999714</v>
      </c>
      <c r="CJ71" s="120">
        <f t="shared" si="160"/>
        <v>2412660.0498999502</v>
      </c>
      <c r="CK71" s="114">
        <f t="shared" si="161"/>
        <v>0</v>
      </c>
      <c r="CL71" s="114">
        <f t="shared" si="184"/>
        <v>7267404.3689999022</v>
      </c>
      <c r="CM71" s="114">
        <f t="shared" si="145"/>
        <v>10565620.904536525</v>
      </c>
      <c r="CN71" s="114">
        <f t="shared" si="162"/>
        <v>10565620.904536525</v>
      </c>
      <c r="CO71" s="116">
        <f t="shared" si="163"/>
        <v>0.68779999999999997</v>
      </c>
      <c r="CP71" s="126">
        <f t="shared" ca="1" si="164"/>
        <v>0</v>
      </c>
      <c r="CQ71" s="115">
        <f t="shared" ca="1" si="193"/>
        <v>0</v>
      </c>
      <c r="CR71" s="118" t="str">
        <f t="shared" si="185"/>
        <v>Uncapped</v>
      </c>
      <c r="CS71" s="115">
        <f t="shared" ca="1" si="194"/>
        <v>0</v>
      </c>
      <c r="CT71" s="113" t="s">
        <v>695</v>
      </c>
      <c r="CU71" s="119">
        <v>0.2</v>
      </c>
      <c r="CV71" s="113" t="s">
        <v>217</v>
      </c>
      <c r="CW71" s="113" t="s">
        <v>210</v>
      </c>
      <c r="CX71" s="113">
        <v>3218524.2772395075</v>
      </c>
      <c r="CY71" s="113">
        <v>4891430.2869874602</v>
      </c>
      <c r="CZ71" s="113">
        <v>4404508.3401344651</v>
      </c>
      <c r="DA71" s="113">
        <v>4778876.6076220032</v>
      </c>
      <c r="DB71" s="113">
        <v>3447884.2731999811</v>
      </c>
      <c r="DC71" s="113">
        <v>5129221.4675999712</v>
      </c>
      <c r="DD71" s="113">
        <v>4393334.4853999503</v>
      </c>
      <c r="DE71" s="113"/>
      <c r="DF71" s="113"/>
      <c r="DG71" s="113"/>
      <c r="DH71" s="113"/>
      <c r="DI71" s="113"/>
      <c r="DJ71" s="114">
        <f t="shared" si="165"/>
        <v>3447884.2731999811</v>
      </c>
      <c r="DK71" s="114">
        <f t="shared" si="166"/>
        <v>5129221.4675999712</v>
      </c>
      <c r="DL71" s="114">
        <f t="shared" si="167"/>
        <v>4393334.4853999503</v>
      </c>
      <c r="DM71" s="114">
        <f t="shared" si="168"/>
        <v>0</v>
      </c>
      <c r="DN71" s="114">
        <f t="shared" si="186"/>
        <v>12970440.226199903</v>
      </c>
      <c r="DO71" s="114">
        <f t="shared" si="146"/>
        <v>17293339.511983439</v>
      </c>
      <c r="DP71" s="114">
        <f t="shared" si="169"/>
        <v>17293339.511983439</v>
      </c>
      <c r="DQ71" s="116">
        <f t="shared" si="170"/>
        <v>0.75</v>
      </c>
      <c r="DR71" s="126">
        <f t="shared" ca="1" si="195"/>
        <v>0</v>
      </c>
      <c r="DS71" s="115">
        <f t="shared" ca="1" si="196"/>
        <v>0</v>
      </c>
      <c r="DT71" s="118" t="str">
        <f t="shared" si="187"/>
        <v>Uncapped</v>
      </c>
      <c r="DU71" s="115">
        <f t="shared" ca="1" si="197"/>
        <v>0</v>
      </c>
      <c r="DV71" s="113"/>
      <c r="DW71" s="119">
        <v>0</v>
      </c>
      <c r="DX71" s="113"/>
      <c r="DY71" s="113"/>
      <c r="DZ71" s="113">
        <v>0</v>
      </c>
      <c r="EA71" s="113">
        <v>0</v>
      </c>
      <c r="EB71" s="113">
        <v>0</v>
      </c>
      <c r="EC71" s="113">
        <v>0</v>
      </c>
      <c r="ED71" s="113">
        <v>0</v>
      </c>
      <c r="EE71" s="113">
        <v>0</v>
      </c>
      <c r="EF71" s="113"/>
      <c r="EG71" s="113"/>
      <c r="EH71" s="113"/>
      <c r="EI71" s="113"/>
      <c r="EJ71" s="113"/>
      <c r="EK71" s="113"/>
      <c r="EL71" s="114">
        <f t="shared" si="171"/>
        <v>0</v>
      </c>
      <c r="EM71" s="114">
        <f t="shared" si="172"/>
        <v>0</v>
      </c>
      <c r="EN71" s="114">
        <f t="shared" si="173"/>
        <v>0</v>
      </c>
      <c r="EO71" s="114">
        <f t="shared" si="174"/>
        <v>0</v>
      </c>
      <c r="EP71" s="114">
        <f t="shared" si="188"/>
        <v>0</v>
      </c>
      <c r="EQ71" s="114">
        <f t="shared" si="147"/>
        <v>0</v>
      </c>
      <c r="ER71" s="114">
        <f t="shared" si="175"/>
        <v>0</v>
      </c>
      <c r="ES71" s="116">
        <f t="shared" si="176"/>
        <v>0</v>
      </c>
      <c r="ET71" s="126">
        <f t="shared" ca="1" si="177"/>
        <v>0</v>
      </c>
      <c r="EU71" s="115">
        <f t="shared" ca="1" si="198"/>
        <v>0</v>
      </c>
      <c r="EV71" s="118" t="str">
        <f t="shared" si="189"/>
        <v>Uncapped</v>
      </c>
      <c r="EW71" s="115">
        <f t="shared" ca="1" si="199"/>
        <v>0</v>
      </c>
      <c r="EX71" s="112">
        <f t="shared" ca="1" si="200"/>
        <v>0</v>
      </c>
      <c r="EY71" s="114">
        <f t="shared" ca="1" si="178"/>
        <v>0</v>
      </c>
      <c r="EZ71" s="115">
        <v>0</v>
      </c>
      <c r="FA71" s="115">
        <v>1830000</v>
      </c>
      <c r="FB71" s="115">
        <v>90860</v>
      </c>
      <c r="FC71" s="115">
        <v>0</v>
      </c>
      <c r="FD71" s="115">
        <f t="shared" si="148"/>
        <v>1920860</v>
      </c>
      <c r="FE71" s="114">
        <f t="shared" si="140"/>
        <v>0</v>
      </c>
      <c r="FF71" s="115">
        <v>0</v>
      </c>
      <c r="FG71" s="115">
        <v>0</v>
      </c>
      <c r="FH71" s="115">
        <v>0</v>
      </c>
      <c r="FI71" s="115">
        <v>0</v>
      </c>
      <c r="FJ71" s="115">
        <f t="shared" si="149"/>
        <v>0</v>
      </c>
      <c r="FK71" s="114">
        <f t="shared" si="141"/>
        <v>0</v>
      </c>
      <c r="FL71" s="113"/>
      <c r="FM71" s="111"/>
      <c r="FN71" s="111"/>
      <c r="FO71" s="111"/>
      <c r="FP71" s="115">
        <f>SUM(FL71:FO71)</f>
        <v>0</v>
      </c>
      <c r="FQ71" s="115"/>
      <c r="FR71" s="115"/>
      <c r="FS71" s="115"/>
      <c r="FT71" s="114">
        <f t="shared" si="209"/>
        <v>0</v>
      </c>
      <c r="FU71" s="366">
        <f t="shared" ca="1" si="210"/>
        <v>1920860</v>
      </c>
      <c r="FV71" s="121">
        <f t="shared" ca="1" si="211"/>
        <v>1920860</v>
      </c>
      <c r="FW71" s="114">
        <f>FF71</f>
        <v>0</v>
      </c>
      <c r="FX71" s="114">
        <f>FG71</f>
        <v>0</v>
      </c>
      <c r="FY71" s="114">
        <f>FH71</f>
        <v>0</v>
      </c>
      <c r="FZ71" s="114">
        <f>FI71</f>
        <v>0</v>
      </c>
      <c r="GA71" s="114">
        <f>SUM(FW71:FZ71)</f>
        <v>0</v>
      </c>
      <c r="GB71" s="114">
        <f>EZ71</f>
        <v>0</v>
      </c>
      <c r="GC71" s="114">
        <f>FA71</f>
        <v>1830000</v>
      </c>
      <c r="GD71" s="114">
        <f>FB71</f>
        <v>90860</v>
      </c>
      <c r="GE71" s="114">
        <f>FC71</f>
        <v>0</v>
      </c>
      <c r="GF71" s="114">
        <f>GB71+FW71</f>
        <v>0</v>
      </c>
      <c r="GG71" s="114">
        <f>GC71+FX71</f>
        <v>1830000</v>
      </c>
      <c r="GH71" s="114">
        <f>GD71+FY71</f>
        <v>90860</v>
      </c>
      <c r="GI71" s="114">
        <f>GE71+FZ71</f>
        <v>0</v>
      </c>
      <c r="GJ71" s="115">
        <f t="shared" si="150"/>
        <v>1920860</v>
      </c>
      <c r="GK71" s="114">
        <f>SUM(GF71:GI71)</f>
        <v>1920860</v>
      </c>
      <c r="GL71" s="114">
        <f t="shared" si="201"/>
        <v>0</v>
      </c>
      <c r="GM71" s="114">
        <f t="shared" si="202"/>
        <v>0</v>
      </c>
      <c r="GN71" s="114">
        <f t="shared" si="203"/>
        <v>0</v>
      </c>
      <c r="GO71" s="114">
        <f t="shared" si="204"/>
        <v>0</v>
      </c>
      <c r="GP71" s="114">
        <f t="shared" si="151"/>
        <v>0</v>
      </c>
      <c r="GQ71" s="114">
        <f>SUM(GL71:GO71)</f>
        <v>0</v>
      </c>
      <c r="GR71" s="216"/>
      <c r="GS71" s="122">
        <f t="shared" si="205"/>
        <v>20981791.975199804</v>
      </c>
      <c r="GT71" s="122">
        <f t="shared" si="206"/>
        <v>28849221.41289676</v>
      </c>
      <c r="GU71" s="123">
        <f>IFERROR(GS71/GT71,"")</f>
        <v>0.72729144661838607</v>
      </c>
      <c r="GV71" s="124">
        <f t="shared" ca="1" si="207"/>
        <v>0</v>
      </c>
      <c r="GW71" s="124">
        <v>0</v>
      </c>
      <c r="GX71" s="32">
        <f t="shared" ca="1" si="208"/>
        <v>0</v>
      </c>
      <c r="GY71" s="100"/>
    </row>
    <row r="72" spans="1:207" s="125" customFormat="1" ht="15" hidden="1" customHeight="1">
      <c r="A72" s="102"/>
      <c r="B72" s="103"/>
      <c r="C72" s="103"/>
      <c r="D72" s="104"/>
      <c r="E72" s="113" t="s">
        <v>388</v>
      </c>
      <c r="F72" s="113" t="s">
        <v>388</v>
      </c>
      <c r="G72" s="104" t="s">
        <v>226</v>
      </c>
      <c r="H72" s="105" t="s">
        <v>396</v>
      </c>
      <c r="I72" s="106" t="s">
        <v>397</v>
      </c>
      <c r="J72" s="104" t="s">
        <v>212</v>
      </c>
      <c r="K72" s="104" t="s">
        <v>218</v>
      </c>
      <c r="L72" s="104" t="s">
        <v>213</v>
      </c>
      <c r="M72" s="104" t="s">
        <v>388</v>
      </c>
      <c r="N72" s="107"/>
      <c r="O72" s="108">
        <v>41430</v>
      </c>
      <c r="P72" s="108">
        <v>41640</v>
      </c>
      <c r="Q72" s="322">
        <f t="shared" si="179"/>
        <v>0</v>
      </c>
      <c r="R72" s="109">
        <f>IF((P72-VLOOKUP(Q72,month!$A$1:$C$13,3,0))&lt;0,Q72,Q72+1)</f>
        <v>0</v>
      </c>
      <c r="S72" s="108"/>
      <c r="T72" s="110" t="str">
        <f t="shared" ref="T72:T131" si="215">IF(S72&gt;0,"Y","")</f>
        <v/>
      </c>
      <c r="U72" s="107"/>
      <c r="V72" s="107"/>
      <c r="W72" s="107"/>
      <c r="X72" s="107"/>
      <c r="Y72" s="386"/>
      <c r="Z72" s="386" t="s">
        <v>545</v>
      </c>
      <c r="AA72" s="387">
        <v>1000</v>
      </c>
      <c r="AB72" s="387">
        <v>1000</v>
      </c>
      <c r="AC72" s="387">
        <v>1000</v>
      </c>
      <c r="AD72" s="387">
        <v>1000</v>
      </c>
      <c r="AE72" s="387">
        <v>1000</v>
      </c>
      <c r="AF72" s="387">
        <v>1000</v>
      </c>
      <c r="AG72" s="387">
        <v>1000</v>
      </c>
      <c r="AH72" s="387">
        <v>1000</v>
      </c>
      <c r="AI72" s="387">
        <v>1000</v>
      </c>
      <c r="AJ72" s="387">
        <v>1000</v>
      </c>
      <c r="AK72" s="387">
        <v>1000</v>
      </c>
      <c r="AL72" s="387">
        <v>1000</v>
      </c>
      <c r="AM72" s="388">
        <f t="shared" si="142"/>
        <v>12000</v>
      </c>
      <c r="AN72" s="388">
        <f t="shared" si="180"/>
        <v>12000</v>
      </c>
      <c r="AO72" s="389">
        <f t="shared" si="214"/>
        <v>1000</v>
      </c>
      <c r="AP72" s="498" t="s">
        <v>671</v>
      </c>
      <c r="AQ72" s="159">
        <v>0.4</v>
      </c>
      <c r="AR72" s="160" t="s">
        <v>392</v>
      </c>
      <c r="AS72" s="119" t="s">
        <v>210</v>
      </c>
      <c r="AT72" s="111">
        <v>172361.30605433698</v>
      </c>
      <c r="AU72" s="111">
        <v>453239.3702773797</v>
      </c>
      <c r="AV72" s="111">
        <v>329332.32372210454</v>
      </c>
      <c r="AW72" s="111">
        <v>344784.55769072432</v>
      </c>
      <c r="AX72" s="113">
        <v>310494.3</v>
      </c>
      <c r="AY72" s="113">
        <v>266553.03000000003</v>
      </c>
      <c r="AZ72" s="113">
        <v>424703.32</v>
      </c>
      <c r="BA72" s="113"/>
      <c r="BB72" s="113"/>
      <c r="BC72" s="113"/>
      <c r="BD72" s="113"/>
      <c r="BE72" s="113"/>
      <c r="BF72" s="114">
        <f t="shared" si="152"/>
        <v>310494.3</v>
      </c>
      <c r="BG72" s="114">
        <f t="shared" si="153"/>
        <v>266553.03000000003</v>
      </c>
      <c r="BH72" s="114">
        <f t="shared" si="154"/>
        <v>424703.32</v>
      </c>
      <c r="BI72" s="114">
        <f t="shared" si="155"/>
        <v>0</v>
      </c>
      <c r="BJ72" s="114">
        <f t="shared" si="182"/>
        <v>1001750.6500000001</v>
      </c>
      <c r="BK72" s="115">
        <f t="shared" si="144"/>
        <v>1299717.5577445456</v>
      </c>
      <c r="BL72" s="115">
        <f t="shared" si="156"/>
        <v>1299717.5577445456</v>
      </c>
      <c r="BM72" s="116">
        <f t="shared" si="157"/>
        <v>0.77070000000000005</v>
      </c>
      <c r="BN72" s="126">
        <f t="shared" ca="1" si="190"/>
        <v>0</v>
      </c>
      <c r="BO72" s="117">
        <f t="shared" ca="1" si="191"/>
        <v>0</v>
      </c>
      <c r="BP72" s="118" t="str">
        <f t="shared" si="183"/>
        <v>Uncapped</v>
      </c>
      <c r="BQ72" s="115">
        <f t="shared" ca="1" si="192"/>
        <v>0</v>
      </c>
      <c r="BR72" s="113" t="s">
        <v>691</v>
      </c>
      <c r="BS72" s="159">
        <v>0.4</v>
      </c>
      <c r="BT72" s="160" t="s">
        <v>211</v>
      </c>
      <c r="BU72" s="160" t="s">
        <v>210</v>
      </c>
      <c r="BV72" s="113">
        <v>2248640.7791736396</v>
      </c>
      <c r="BW72" s="113">
        <v>2635411.5383899757</v>
      </c>
      <c r="BX72" s="113">
        <v>2705438.8537855912</v>
      </c>
      <c r="BY72" s="113">
        <v>2993038.0084154685</v>
      </c>
      <c r="BZ72" s="113">
        <v>2354679.7731999811</v>
      </c>
      <c r="CA72" s="113">
        <v>2513114.5458999714</v>
      </c>
      <c r="CB72" s="113">
        <v>2418780.0498999502</v>
      </c>
      <c r="CC72" s="113"/>
      <c r="CD72" s="113"/>
      <c r="CE72" s="113"/>
      <c r="CF72" s="113"/>
      <c r="CG72" s="113"/>
      <c r="CH72" s="114">
        <f t="shared" si="158"/>
        <v>2354679.7731999811</v>
      </c>
      <c r="CI72" s="114">
        <f t="shared" si="159"/>
        <v>2513114.5458999714</v>
      </c>
      <c r="CJ72" s="120">
        <f t="shared" si="160"/>
        <v>2418780.0498999502</v>
      </c>
      <c r="CK72" s="114">
        <f t="shared" si="161"/>
        <v>0</v>
      </c>
      <c r="CL72" s="114">
        <f t="shared" si="184"/>
        <v>7286574.3689999022</v>
      </c>
      <c r="CM72" s="114">
        <f t="shared" si="145"/>
        <v>10582529.179764675</v>
      </c>
      <c r="CN72" s="114">
        <f t="shared" si="162"/>
        <v>10582529.179764675</v>
      </c>
      <c r="CO72" s="116">
        <f t="shared" si="163"/>
        <v>0.6885</v>
      </c>
      <c r="CP72" s="126">
        <f t="shared" ca="1" si="164"/>
        <v>0</v>
      </c>
      <c r="CQ72" s="115">
        <f t="shared" ca="1" si="193"/>
        <v>0</v>
      </c>
      <c r="CR72" s="118" t="str">
        <f t="shared" si="185"/>
        <v>Uncapped</v>
      </c>
      <c r="CS72" s="115">
        <f t="shared" ca="1" si="194"/>
        <v>0</v>
      </c>
      <c r="CT72" s="113" t="s">
        <v>695</v>
      </c>
      <c r="CU72" s="119">
        <v>0.2</v>
      </c>
      <c r="CV72" s="113" t="s">
        <v>217</v>
      </c>
      <c r="CW72" s="113" t="s">
        <v>210</v>
      </c>
      <c r="CX72" s="113">
        <v>3218524.2772395075</v>
      </c>
      <c r="CY72" s="113">
        <v>4891430.2869874602</v>
      </c>
      <c r="CZ72" s="113">
        <v>4404508.3401344651</v>
      </c>
      <c r="DA72" s="113">
        <v>4778876.6076220032</v>
      </c>
      <c r="DB72" s="113">
        <v>3447884.2731999811</v>
      </c>
      <c r="DC72" s="113">
        <v>5129221.4675999712</v>
      </c>
      <c r="DD72" s="113">
        <v>4393334.4853999503</v>
      </c>
      <c r="DE72" s="113"/>
      <c r="DF72" s="113"/>
      <c r="DG72" s="113"/>
      <c r="DH72" s="113"/>
      <c r="DI72" s="113"/>
      <c r="DJ72" s="114">
        <f t="shared" si="165"/>
        <v>3447884.2731999811</v>
      </c>
      <c r="DK72" s="114">
        <f t="shared" si="166"/>
        <v>5129221.4675999712</v>
      </c>
      <c r="DL72" s="114">
        <f t="shared" si="167"/>
        <v>4393334.4853999503</v>
      </c>
      <c r="DM72" s="114">
        <f t="shared" si="168"/>
        <v>0</v>
      </c>
      <c r="DN72" s="114">
        <f t="shared" si="186"/>
        <v>12970440.226199903</v>
      </c>
      <c r="DO72" s="114">
        <f t="shared" si="146"/>
        <v>17293339.511983439</v>
      </c>
      <c r="DP72" s="114">
        <f t="shared" si="169"/>
        <v>17293339.511983439</v>
      </c>
      <c r="DQ72" s="116">
        <f t="shared" si="170"/>
        <v>0.75</v>
      </c>
      <c r="DR72" s="126">
        <f t="shared" ca="1" si="195"/>
        <v>0</v>
      </c>
      <c r="DS72" s="115">
        <f t="shared" ca="1" si="196"/>
        <v>0</v>
      </c>
      <c r="DT72" s="118" t="str">
        <f t="shared" si="187"/>
        <v>Uncapped</v>
      </c>
      <c r="DU72" s="115">
        <f t="shared" ca="1" si="197"/>
        <v>0</v>
      </c>
      <c r="DV72" s="113"/>
      <c r="DW72" s="119">
        <v>0</v>
      </c>
      <c r="DX72" s="113"/>
      <c r="DY72" s="113"/>
      <c r="DZ72" s="113">
        <v>0</v>
      </c>
      <c r="EA72" s="113">
        <v>0</v>
      </c>
      <c r="EB72" s="113">
        <v>0</v>
      </c>
      <c r="EC72" s="113">
        <v>0</v>
      </c>
      <c r="ED72" s="113">
        <v>0</v>
      </c>
      <c r="EE72" s="113">
        <v>0</v>
      </c>
      <c r="EF72" s="113"/>
      <c r="EG72" s="113"/>
      <c r="EH72" s="113"/>
      <c r="EI72" s="113"/>
      <c r="EJ72" s="113"/>
      <c r="EK72" s="113"/>
      <c r="EL72" s="114">
        <f t="shared" si="171"/>
        <v>0</v>
      </c>
      <c r="EM72" s="114">
        <f t="shared" si="172"/>
        <v>0</v>
      </c>
      <c r="EN72" s="114">
        <f t="shared" si="173"/>
        <v>0</v>
      </c>
      <c r="EO72" s="114">
        <f t="shared" si="174"/>
        <v>0</v>
      </c>
      <c r="EP72" s="114">
        <f t="shared" si="188"/>
        <v>0</v>
      </c>
      <c r="EQ72" s="114">
        <f t="shared" si="147"/>
        <v>0</v>
      </c>
      <c r="ER72" s="114">
        <f t="shared" si="175"/>
        <v>0</v>
      </c>
      <c r="ES72" s="116">
        <f t="shared" si="176"/>
        <v>0</v>
      </c>
      <c r="ET72" s="126">
        <f t="shared" ca="1" si="177"/>
        <v>0</v>
      </c>
      <c r="EU72" s="115">
        <f t="shared" ca="1" si="198"/>
        <v>0</v>
      </c>
      <c r="EV72" s="118" t="str">
        <f t="shared" si="189"/>
        <v>Uncapped</v>
      </c>
      <c r="EW72" s="115">
        <f t="shared" ca="1" si="199"/>
        <v>0</v>
      </c>
      <c r="EX72" s="112">
        <f t="shared" ca="1" si="200"/>
        <v>0</v>
      </c>
      <c r="EY72" s="114">
        <f t="shared" ca="1" si="178"/>
        <v>0</v>
      </c>
      <c r="EZ72" s="115">
        <v>0</v>
      </c>
      <c r="FA72" s="115">
        <f>117500+280000</f>
        <v>397500</v>
      </c>
      <c r="FB72" s="115">
        <v>1059765</v>
      </c>
      <c r="FC72" s="115">
        <v>0</v>
      </c>
      <c r="FD72" s="115">
        <f t="shared" si="148"/>
        <v>1457265</v>
      </c>
      <c r="FE72" s="114">
        <f t="shared" si="140"/>
        <v>0</v>
      </c>
      <c r="FF72" s="115">
        <v>0</v>
      </c>
      <c r="FG72" s="115">
        <v>0</v>
      </c>
      <c r="FH72" s="115">
        <v>0</v>
      </c>
      <c r="FI72" s="115">
        <v>0</v>
      </c>
      <c r="FJ72" s="115">
        <f t="shared" si="149"/>
        <v>0</v>
      </c>
      <c r="FK72" s="114">
        <f t="shared" si="141"/>
        <v>0</v>
      </c>
      <c r="FL72" s="113"/>
      <c r="FM72" s="111"/>
      <c r="FN72" s="111"/>
      <c r="FO72" s="111"/>
      <c r="FP72" s="115">
        <f t="shared" si="88"/>
        <v>0</v>
      </c>
      <c r="FQ72" s="115"/>
      <c r="FR72" s="488"/>
      <c r="FS72" s="115"/>
      <c r="FT72" s="114">
        <f t="shared" si="209"/>
        <v>0</v>
      </c>
      <c r="FU72" s="366">
        <f t="shared" ca="1" si="210"/>
        <v>1457265</v>
      </c>
      <c r="FV72" s="121">
        <f t="shared" ca="1" si="211"/>
        <v>1457265</v>
      </c>
      <c r="FW72" s="114">
        <f t="shared" si="84"/>
        <v>0</v>
      </c>
      <c r="FX72" s="114">
        <f t="shared" si="84"/>
        <v>0</v>
      </c>
      <c r="FY72" s="114">
        <f t="shared" si="84"/>
        <v>0</v>
      </c>
      <c r="FZ72" s="114">
        <f t="shared" si="81"/>
        <v>0</v>
      </c>
      <c r="GA72" s="114">
        <f t="shared" si="89"/>
        <v>0</v>
      </c>
      <c r="GB72" s="114">
        <f t="shared" si="85"/>
        <v>0</v>
      </c>
      <c r="GC72" s="114">
        <f t="shared" si="85"/>
        <v>397500</v>
      </c>
      <c r="GD72" s="114">
        <f t="shared" si="85"/>
        <v>1059765</v>
      </c>
      <c r="GE72" s="114">
        <f t="shared" si="82"/>
        <v>0</v>
      </c>
      <c r="GF72" s="114">
        <f t="shared" si="87"/>
        <v>0</v>
      </c>
      <c r="GG72" s="114">
        <f t="shared" si="87"/>
        <v>397500</v>
      </c>
      <c r="GH72" s="114">
        <f t="shared" si="87"/>
        <v>1059765</v>
      </c>
      <c r="GI72" s="114">
        <f t="shared" si="86"/>
        <v>0</v>
      </c>
      <c r="GJ72" s="115">
        <f t="shared" si="150"/>
        <v>1457265</v>
      </c>
      <c r="GK72" s="114">
        <f t="shared" si="90"/>
        <v>1457265</v>
      </c>
      <c r="GL72" s="114">
        <f t="shared" si="201"/>
        <v>0</v>
      </c>
      <c r="GM72" s="114">
        <f t="shared" si="202"/>
        <v>0</v>
      </c>
      <c r="GN72" s="114">
        <f t="shared" si="203"/>
        <v>0</v>
      </c>
      <c r="GO72" s="114">
        <f t="shared" si="204"/>
        <v>0</v>
      </c>
      <c r="GP72" s="114">
        <f t="shared" si="151"/>
        <v>0</v>
      </c>
      <c r="GQ72" s="114">
        <f t="shared" si="91"/>
        <v>0</v>
      </c>
      <c r="GR72" s="193"/>
      <c r="GS72" s="122">
        <f t="shared" si="205"/>
        <v>21258765.245199807</v>
      </c>
      <c r="GT72" s="122">
        <f t="shared" si="206"/>
        <v>29175586.24949266</v>
      </c>
      <c r="GU72" s="123">
        <f t="shared" si="92"/>
        <v>0.72864911996650894</v>
      </c>
      <c r="GV72" s="124">
        <f t="shared" ca="1" si="207"/>
        <v>0</v>
      </c>
      <c r="GW72" s="124">
        <v>0</v>
      </c>
      <c r="GX72" s="32">
        <f t="shared" ca="1" si="208"/>
        <v>0</v>
      </c>
      <c r="GY72" s="100"/>
    </row>
    <row r="73" spans="1:207" s="125" customFormat="1" ht="15" hidden="1" customHeight="1">
      <c r="A73" s="102"/>
      <c r="B73" s="103"/>
      <c r="C73" s="103"/>
      <c r="D73" s="104"/>
      <c r="E73" s="113" t="s">
        <v>388</v>
      </c>
      <c r="F73" s="113" t="s">
        <v>388</v>
      </c>
      <c r="G73" s="104" t="s">
        <v>226</v>
      </c>
      <c r="H73" s="105" t="s">
        <v>398</v>
      </c>
      <c r="I73" s="106" t="s">
        <v>399</v>
      </c>
      <c r="J73" s="104" t="s">
        <v>212</v>
      </c>
      <c r="K73" s="104" t="s">
        <v>218</v>
      </c>
      <c r="L73" s="104" t="s">
        <v>213</v>
      </c>
      <c r="M73" s="104" t="s">
        <v>388</v>
      </c>
      <c r="N73" s="107"/>
      <c r="O73" s="108">
        <v>41430</v>
      </c>
      <c r="P73" s="108">
        <v>41640</v>
      </c>
      <c r="Q73" s="322">
        <f t="shared" si="179"/>
        <v>0</v>
      </c>
      <c r="R73" s="109">
        <f>IF((P73-VLOOKUP(Q73,month!$A$1:$C$13,3,0))&lt;0,Q73,Q73+1)</f>
        <v>0</v>
      </c>
      <c r="S73" s="108"/>
      <c r="T73" s="110" t="str">
        <f t="shared" si="215"/>
        <v/>
      </c>
      <c r="U73" s="107"/>
      <c r="V73" s="107"/>
      <c r="W73" s="107"/>
      <c r="X73" s="107"/>
      <c r="Y73" s="386"/>
      <c r="Z73" s="386" t="s">
        <v>545</v>
      </c>
      <c r="AA73" s="387">
        <v>1000</v>
      </c>
      <c r="AB73" s="387">
        <v>1000</v>
      </c>
      <c r="AC73" s="387">
        <v>1000</v>
      </c>
      <c r="AD73" s="387">
        <v>1000</v>
      </c>
      <c r="AE73" s="387">
        <v>1000</v>
      </c>
      <c r="AF73" s="387">
        <v>1000</v>
      </c>
      <c r="AG73" s="387">
        <v>1000</v>
      </c>
      <c r="AH73" s="387">
        <v>1000</v>
      </c>
      <c r="AI73" s="387">
        <v>1000</v>
      </c>
      <c r="AJ73" s="387">
        <v>1000</v>
      </c>
      <c r="AK73" s="387">
        <v>1000</v>
      </c>
      <c r="AL73" s="387">
        <v>1000</v>
      </c>
      <c r="AM73" s="388">
        <f t="shared" si="142"/>
        <v>12000</v>
      </c>
      <c r="AN73" s="388">
        <f t="shared" si="180"/>
        <v>12000</v>
      </c>
      <c r="AO73" s="389">
        <f t="shared" si="214"/>
        <v>1000</v>
      </c>
      <c r="AP73" s="498" t="s">
        <v>671</v>
      </c>
      <c r="AQ73" s="159">
        <v>0.4</v>
      </c>
      <c r="AR73" s="160" t="s">
        <v>392</v>
      </c>
      <c r="AS73" s="119" t="s">
        <v>210</v>
      </c>
      <c r="AT73" s="111">
        <v>172361.30605433698</v>
      </c>
      <c r="AU73" s="111">
        <v>453239.3702773797</v>
      </c>
      <c r="AV73" s="111">
        <v>329332.32372210454</v>
      </c>
      <c r="AW73" s="111">
        <v>344784.55769072432</v>
      </c>
      <c r="AX73" s="113">
        <v>171967.32</v>
      </c>
      <c r="AY73" s="113">
        <v>333688.77</v>
      </c>
      <c r="AZ73" s="113">
        <v>461392.83499999996</v>
      </c>
      <c r="BA73" s="113"/>
      <c r="BB73" s="113"/>
      <c r="BC73" s="113"/>
      <c r="BD73" s="113"/>
      <c r="BE73" s="113"/>
      <c r="BF73" s="114">
        <f t="shared" si="152"/>
        <v>171967.32</v>
      </c>
      <c r="BG73" s="114">
        <f t="shared" si="153"/>
        <v>333688.77</v>
      </c>
      <c r="BH73" s="114">
        <f t="shared" si="154"/>
        <v>461392.83499999996</v>
      </c>
      <c r="BI73" s="114">
        <f t="shared" si="155"/>
        <v>0</v>
      </c>
      <c r="BJ73" s="114">
        <f t="shared" si="182"/>
        <v>967048.92500000005</v>
      </c>
      <c r="BK73" s="115">
        <f t="shared" si="144"/>
        <v>1299717.5577445456</v>
      </c>
      <c r="BL73" s="115">
        <f t="shared" si="156"/>
        <v>1299717.5577445456</v>
      </c>
      <c r="BM73" s="116">
        <f t="shared" si="157"/>
        <v>0.74399999999999999</v>
      </c>
      <c r="BN73" s="126">
        <f t="shared" ca="1" si="190"/>
        <v>0</v>
      </c>
      <c r="BO73" s="117">
        <f t="shared" ca="1" si="191"/>
        <v>0</v>
      </c>
      <c r="BP73" s="118" t="str">
        <f t="shared" si="183"/>
        <v>Uncapped</v>
      </c>
      <c r="BQ73" s="115">
        <f t="shared" ca="1" si="192"/>
        <v>0</v>
      </c>
      <c r="BR73" s="113" t="s">
        <v>691</v>
      </c>
      <c r="BS73" s="159">
        <v>0.4</v>
      </c>
      <c r="BT73" s="160" t="s">
        <v>211</v>
      </c>
      <c r="BU73" s="160" t="s">
        <v>210</v>
      </c>
      <c r="BV73" s="113">
        <v>2248640.7791736401</v>
      </c>
      <c r="BW73" s="113">
        <v>2635411.5383899757</v>
      </c>
      <c r="BX73" s="113">
        <v>2705438.8537855912</v>
      </c>
      <c r="BY73" s="113">
        <v>2993038.0084154685</v>
      </c>
      <c r="BZ73" s="113">
        <v>2375919.7731999811</v>
      </c>
      <c r="CA73" s="113">
        <v>2515364.5458999714</v>
      </c>
      <c r="CB73" s="113">
        <v>2392140.0498999502</v>
      </c>
      <c r="CC73" s="113"/>
      <c r="CD73" s="113"/>
      <c r="CE73" s="113"/>
      <c r="CF73" s="113"/>
      <c r="CG73" s="113"/>
      <c r="CH73" s="114">
        <f t="shared" si="158"/>
        <v>2375919.7731999811</v>
      </c>
      <c r="CI73" s="114">
        <f t="shared" si="159"/>
        <v>2515364.5458999714</v>
      </c>
      <c r="CJ73" s="120">
        <f t="shared" si="160"/>
        <v>2392140.0498999502</v>
      </c>
      <c r="CK73" s="114">
        <f t="shared" si="161"/>
        <v>0</v>
      </c>
      <c r="CL73" s="114">
        <f t="shared" si="184"/>
        <v>7283424.3689999022</v>
      </c>
      <c r="CM73" s="114">
        <f t="shared" si="145"/>
        <v>10582529.179764675</v>
      </c>
      <c r="CN73" s="114">
        <f t="shared" si="162"/>
        <v>10582529.179764675</v>
      </c>
      <c r="CO73" s="116">
        <f t="shared" si="163"/>
        <v>0.68820000000000003</v>
      </c>
      <c r="CP73" s="126">
        <f t="shared" ca="1" si="164"/>
        <v>0</v>
      </c>
      <c r="CQ73" s="115">
        <f t="shared" ca="1" si="193"/>
        <v>0</v>
      </c>
      <c r="CR73" s="118" t="str">
        <f t="shared" si="185"/>
        <v>Uncapped</v>
      </c>
      <c r="CS73" s="115">
        <f t="shared" ca="1" si="194"/>
        <v>0</v>
      </c>
      <c r="CT73" s="113" t="s">
        <v>695</v>
      </c>
      <c r="CU73" s="119">
        <v>0.2</v>
      </c>
      <c r="CV73" s="113" t="s">
        <v>217</v>
      </c>
      <c r="CW73" s="113" t="s">
        <v>210</v>
      </c>
      <c r="CX73" s="113">
        <v>3218524.2772395075</v>
      </c>
      <c r="CY73" s="113">
        <v>4891430.2869874602</v>
      </c>
      <c r="CZ73" s="113">
        <v>4404508.3401344651</v>
      </c>
      <c r="DA73" s="113">
        <v>4778876.6076220032</v>
      </c>
      <c r="DB73" s="113">
        <v>3447884.2731999811</v>
      </c>
      <c r="DC73" s="113">
        <v>5129221.4675999712</v>
      </c>
      <c r="DD73" s="113">
        <v>4393334.4853999503</v>
      </c>
      <c r="DE73" s="113"/>
      <c r="DF73" s="113"/>
      <c r="DG73" s="113"/>
      <c r="DH73" s="113"/>
      <c r="DI73" s="113"/>
      <c r="DJ73" s="114">
        <f t="shared" si="165"/>
        <v>3447884.2731999811</v>
      </c>
      <c r="DK73" s="114">
        <f t="shared" si="166"/>
        <v>5129221.4675999712</v>
      </c>
      <c r="DL73" s="114">
        <f t="shared" si="167"/>
        <v>4393334.4853999503</v>
      </c>
      <c r="DM73" s="114">
        <f t="shared" si="168"/>
        <v>0</v>
      </c>
      <c r="DN73" s="114">
        <f t="shared" si="186"/>
        <v>12970440.226199903</v>
      </c>
      <c r="DO73" s="114">
        <f t="shared" si="146"/>
        <v>17293339.511983439</v>
      </c>
      <c r="DP73" s="114">
        <f t="shared" si="169"/>
        <v>17293339.511983439</v>
      </c>
      <c r="DQ73" s="116">
        <f t="shared" si="170"/>
        <v>0.75</v>
      </c>
      <c r="DR73" s="126">
        <f t="shared" ca="1" si="195"/>
        <v>0</v>
      </c>
      <c r="DS73" s="115">
        <f t="shared" ca="1" si="196"/>
        <v>0</v>
      </c>
      <c r="DT73" s="118" t="str">
        <f t="shared" si="187"/>
        <v>Uncapped</v>
      </c>
      <c r="DU73" s="115">
        <f t="shared" ca="1" si="197"/>
        <v>0</v>
      </c>
      <c r="DV73" s="113"/>
      <c r="DW73" s="119">
        <v>0</v>
      </c>
      <c r="DX73" s="113"/>
      <c r="DY73" s="113"/>
      <c r="DZ73" s="113">
        <v>0</v>
      </c>
      <c r="EA73" s="113">
        <v>0</v>
      </c>
      <c r="EB73" s="113">
        <v>0</v>
      </c>
      <c r="EC73" s="113">
        <v>0</v>
      </c>
      <c r="ED73" s="113">
        <v>0</v>
      </c>
      <c r="EE73" s="113">
        <v>0</v>
      </c>
      <c r="EF73" s="113"/>
      <c r="EG73" s="113"/>
      <c r="EH73" s="113"/>
      <c r="EI73" s="113"/>
      <c r="EJ73" s="113"/>
      <c r="EK73" s="113"/>
      <c r="EL73" s="114">
        <f t="shared" si="171"/>
        <v>0</v>
      </c>
      <c r="EM73" s="114">
        <f t="shared" si="172"/>
        <v>0</v>
      </c>
      <c r="EN73" s="114">
        <f t="shared" si="173"/>
        <v>0</v>
      </c>
      <c r="EO73" s="114">
        <f t="shared" si="174"/>
        <v>0</v>
      </c>
      <c r="EP73" s="114">
        <f t="shared" si="188"/>
        <v>0</v>
      </c>
      <c r="EQ73" s="114">
        <f t="shared" si="147"/>
        <v>0</v>
      </c>
      <c r="ER73" s="114">
        <f t="shared" si="175"/>
        <v>0</v>
      </c>
      <c r="ES73" s="116">
        <f t="shared" si="176"/>
        <v>0</v>
      </c>
      <c r="ET73" s="126">
        <f t="shared" ca="1" si="177"/>
        <v>0</v>
      </c>
      <c r="EU73" s="115">
        <f t="shared" ca="1" si="198"/>
        <v>0</v>
      </c>
      <c r="EV73" s="118" t="str">
        <f t="shared" si="189"/>
        <v>Uncapped</v>
      </c>
      <c r="EW73" s="115">
        <f t="shared" ca="1" si="199"/>
        <v>0</v>
      </c>
      <c r="EX73" s="112">
        <f t="shared" ca="1" si="200"/>
        <v>0</v>
      </c>
      <c r="EY73" s="114">
        <f t="shared" ca="1" si="178"/>
        <v>0</v>
      </c>
      <c r="EZ73" s="115">
        <v>0</v>
      </c>
      <c r="FA73" s="115"/>
      <c r="FB73" s="115">
        <v>244000</v>
      </c>
      <c r="FC73" s="115">
        <v>0</v>
      </c>
      <c r="FD73" s="115">
        <f t="shared" si="148"/>
        <v>244000</v>
      </c>
      <c r="FE73" s="114">
        <f t="shared" si="140"/>
        <v>0</v>
      </c>
      <c r="FF73" s="115">
        <v>0</v>
      </c>
      <c r="FG73" s="115">
        <v>0</v>
      </c>
      <c r="FH73" s="115">
        <v>0</v>
      </c>
      <c r="FI73" s="115">
        <v>0</v>
      </c>
      <c r="FJ73" s="115">
        <f t="shared" si="149"/>
        <v>0</v>
      </c>
      <c r="FK73" s="114">
        <f t="shared" si="141"/>
        <v>0</v>
      </c>
      <c r="FL73" s="113"/>
      <c r="FM73" s="111"/>
      <c r="FN73" s="111"/>
      <c r="FO73" s="111"/>
      <c r="FP73" s="115">
        <f t="shared" si="88"/>
        <v>0</v>
      </c>
      <c r="FQ73" s="115"/>
      <c r="FR73" s="115"/>
      <c r="FS73" s="115"/>
      <c r="FT73" s="114">
        <f t="shared" si="209"/>
        <v>0</v>
      </c>
      <c r="FU73" s="366">
        <f t="shared" ca="1" si="210"/>
        <v>244000</v>
      </c>
      <c r="FV73" s="121">
        <f t="shared" ca="1" si="211"/>
        <v>244000</v>
      </c>
      <c r="FW73" s="114">
        <f t="shared" si="84"/>
        <v>0</v>
      </c>
      <c r="FX73" s="114">
        <f t="shared" si="84"/>
        <v>0</v>
      </c>
      <c r="FY73" s="114">
        <f t="shared" si="84"/>
        <v>0</v>
      </c>
      <c r="FZ73" s="114">
        <f t="shared" si="81"/>
        <v>0</v>
      </c>
      <c r="GA73" s="114">
        <f t="shared" si="89"/>
        <v>0</v>
      </c>
      <c r="GB73" s="114">
        <f t="shared" si="85"/>
        <v>0</v>
      </c>
      <c r="GC73" s="114">
        <f t="shared" si="85"/>
        <v>0</v>
      </c>
      <c r="GD73" s="114">
        <f t="shared" si="85"/>
        <v>244000</v>
      </c>
      <c r="GE73" s="114">
        <f t="shared" si="82"/>
        <v>0</v>
      </c>
      <c r="GF73" s="114">
        <f t="shared" si="87"/>
        <v>0</v>
      </c>
      <c r="GG73" s="114">
        <f t="shared" si="87"/>
        <v>0</v>
      </c>
      <c r="GH73" s="114">
        <f t="shared" si="87"/>
        <v>244000</v>
      </c>
      <c r="GI73" s="114">
        <f t="shared" si="86"/>
        <v>0</v>
      </c>
      <c r="GJ73" s="115">
        <f t="shared" si="150"/>
        <v>244000</v>
      </c>
      <c r="GK73" s="114">
        <f t="shared" si="90"/>
        <v>244000</v>
      </c>
      <c r="GL73" s="114">
        <f t="shared" si="201"/>
        <v>0</v>
      </c>
      <c r="GM73" s="114">
        <f t="shared" si="202"/>
        <v>0</v>
      </c>
      <c r="GN73" s="114">
        <f t="shared" si="203"/>
        <v>0</v>
      </c>
      <c r="GO73" s="114">
        <f t="shared" si="204"/>
        <v>0</v>
      </c>
      <c r="GP73" s="114">
        <f t="shared" si="151"/>
        <v>0</v>
      </c>
      <c r="GQ73" s="114">
        <f t="shared" si="91"/>
        <v>0</v>
      </c>
      <c r="GR73" s="193"/>
      <c r="GS73" s="122">
        <f t="shared" si="205"/>
        <v>21220913.520199805</v>
      </c>
      <c r="GT73" s="122">
        <f t="shared" si="206"/>
        <v>29175586.24949266</v>
      </c>
      <c r="GU73" s="123">
        <f t="shared" si="92"/>
        <v>0.72735174329423524</v>
      </c>
      <c r="GV73" s="124">
        <f t="shared" ca="1" si="207"/>
        <v>0</v>
      </c>
      <c r="GW73" s="124">
        <v>0</v>
      </c>
      <c r="GX73" s="32">
        <f t="shared" ca="1" si="208"/>
        <v>0</v>
      </c>
      <c r="GY73" s="100"/>
    </row>
    <row r="74" spans="1:207" s="125" customFormat="1" ht="15" hidden="1" customHeight="1">
      <c r="A74" s="102"/>
      <c r="B74" s="103"/>
      <c r="C74" s="103"/>
      <c r="D74" s="104"/>
      <c r="E74" s="104" t="s">
        <v>388</v>
      </c>
      <c r="F74" s="113" t="s">
        <v>388</v>
      </c>
      <c r="G74" s="104" t="s">
        <v>226</v>
      </c>
      <c r="H74" s="105" t="s">
        <v>400</v>
      </c>
      <c r="I74" s="106" t="s">
        <v>401</v>
      </c>
      <c r="J74" s="104" t="s">
        <v>212</v>
      </c>
      <c r="K74" s="104" t="s">
        <v>218</v>
      </c>
      <c r="L74" s="104" t="s">
        <v>213</v>
      </c>
      <c r="M74" s="104" t="s">
        <v>388</v>
      </c>
      <c r="N74" s="107"/>
      <c r="O74" s="108">
        <v>42135</v>
      </c>
      <c r="P74" s="108">
        <v>42705</v>
      </c>
      <c r="Q74" s="322">
        <f t="shared" si="179"/>
        <v>0</v>
      </c>
      <c r="R74" s="109">
        <f>IF((P74-VLOOKUP(Q74,month!$A$1:$C$13,3,0))&lt;0,Q74,Q74+1)</f>
        <v>0</v>
      </c>
      <c r="S74" s="108"/>
      <c r="T74" s="110" t="str">
        <f t="shared" si="215"/>
        <v/>
      </c>
      <c r="U74" s="107"/>
      <c r="V74" s="107"/>
      <c r="W74" s="107"/>
      <c r="X74" s="107"/>
      <c r="Y74" s="386"/>
      <c r="Z74" s="386" t="s">
        <v>545</v>
      </c>
      <c r="AA74" s="387">
        <v>1000</v>
      </c>
      <c r="AB74" s="387">
        <v>1000</v>
      </c>
      <c r="AC74" s="387">
        <v>1000</v>
      </c>
      <c r="AD74" s="387">
        <v>1000</v>
      </c>
      <c r="AE74" s="387">
        <v>1000</v>
      </c>
      <c r="AF74" s="387">
        <v>1000</v>
      </c>
      <c r="AG74" s="387">
        <v>1000</v>
      </c>
      <c r="AH74" s="387">
        <v>1000</v>
      </c>
      <c r="AI74" s="387">
        <v>1000</v>
      </c>
      <c r="AJ74" s="387">
        <v>1000</v>
      </c>
      <c r="AK74" s="387">
        <v>1000</v>
      </c>
      <c r="AL74" s="387">
        <v>1000</v>
      </c>
      <c r="AM74" s="388">
        <f t="shared" si="142"/>
        <v>12000</v>
      </c>
      <c r="AN74" s="388">
        <f t="shared" si="180"/>
        <v>12000</v>
      </c>
      <c r="AO74" s="389">
        <f t="shared" si="214"/>
        <v>1000</v>
      </c>
      <c r="AP74" s="498" t="s">
        <v>671</v>
      </c>
      <c r="AQ74" s="159">
        <v>0.4</v>
      </c>
      <c r="AR74" s="160" t="s">
        <v>392</v>
      </c>
      <c r="AS74" s="119" t="s">
        <v>210</v>
      </c>
      <c r="AT74" s="111">
        <v>113396.21028497579</v>
      </c>
      <c r="AU74" s="111">
        <v>295157.75022720953</v>
      </c>
      <c r="AV74" s="111"/>
      <c r="AW74" s="111"/>
      <c r="AX74" s="113">
        <v>55087.9</v>
      </c>
      <c r="AY74" s="113">
        <v>163437.84</v>
      </c>
      <c r="AZ74" s="487"/>
      <c r="BA74" s="113"/>
      <c r="BB74" s="113"/>
      <c r="BC74" s="113"/>
      <c r="BD74" s="113"/>
      <c r="BE74" s="113"/>
      <c r="BF74" s="114">
        <f t="shared" si="152"/>
        <v>55087.9</v>
      </c>
      <c r="BG74" s="114">
        <f t="shared" si="153"/>
        <v>163437.84</v>
      </c>
      <c r="BH74" s="114">
        <f t="shared" si="154"/>
        <v>0</v>
      </c>
      <c r="BI74" s="114">
        <f t="shared" si="155"/>
        <v>0</v>
      </c>
      <c r="BJ74" s="114">
        <f t="shared" si="182"/>
        <v>218525.74</v>
      </c>
      <c r="BK74" s="115">
        <f t="shared" si="144"/>
        <v>408553.96051218535</v>
      </c>
      <c r="BL74" s="115">
        <f t="shared" si="156"/>
        <v>408553.96051218535</v>
      </c>
      <c r="BM74" s="116">
        <f t="shared" si="157"/>
        <v>0.53490000000000004</v>
      </c>
      <c r="BN74" s="126">
        <f t="shared" ca="1" si="190"/>
        <v>0</v>
      </c>
      <c r="BO74" s="117">
        <f t="shared" ca="1" si="191"/>
        <v>0</v>
      </c>
      <c r="BP74" s="118" t="str">
        <f t="shared" si="183"/>
        <v>Uncapped</v>
      </c>
      <c r="BQ74" s="115">
        <f t="shared" ca="1" si="192"/>
        <v>0</v>
      </c>
      <c r="BR74" s="113" t="s">
        <v>691</v>
      </c>
      <c r="BS74" s="159">
        <v>0.4</v>
      </c>
      <c r="BT74" s="160" t="s">
        <v>211</v>
      </c>
      <c r="BU74" s="160" t="s">
        <v>210</v>
      </c>
      <c r="BV74" s="113">
        <v>2616407.1981056477</v>
      </c>
      <c r="BW74" s="113">
        <v>3516179.7032821518</v>
      </c>
      <c r="BX74" s="113">
        <v>0</v>
      </c>
      <c r="BY74" s="113">
        <v>0</v>
      </c>
      <c r="BZ74" s="113">
        <v>2600578.9209999898</v>
      </c>
      <c r="CA74" s="113">
        <v>2824467.5302000102</v>
      </c>
      <c r="CB74" s="113">
        <v>0</v>
      </c>
      <c r="CC74" s="113"/>
      <c r="CD74" s="113"/>
      <c r="CE74" s="113"/>
      <c r="CF74" s="113"/>
      <c r="CG74" s="113"/>
      <c r="CH74" s="114">
        <f t="shared" si="158"/>
        <v>2600578.9209999898</v>
      </c>
      <c r="CI74" s="114">
        <f t="shared" si="159"/>
        <v>2824467.5302000102</v>
      </c>
      <c r="CJ74" s="120">
        <f t="shared" si="160"/>
        <v>0</v>
      </c>
      <c r="CK74" s="114">
        <f t="shared" si="161"/>
        <v>0</v>
      </c>
      <c r="CL74" s="114">
        <f t="shared" si="184"/>
        <v>5425046.4512</v>
      </c>
      <c r="CM74" s="114">
        <f t="shared" si="145"/>
        <v>6132586.9013877995</v>
      </c>
      <c r="CN74" s="114">
        <f t="shared" si="162"/>
        <v>6132586.9013877995</v>
      </c>
      <c r="CO74" s="116">
        <f t="shared" si="163"/>
        <v>0.88460000000000005</v>
      </c>
      <c r="CP74" s="126">
        <f t="shared" ca="1" si="164"/>
        <v>0</v>
      </c>
      <c r="CQ74" s="115">
        <f t="shared" ca="1" si="193"/>
        <v>0</v>
      </c>
      <c r="CR74" s="118" t="str">
        <f t="shared" si="185"/>
        <v>Uncapped</v>
      </c>
      <c r="CS74" s="115">
        <f t="shared" ca="1" si="194"/>
        <v>0</v>
      </c>
      <c r="CT74" s="113" t="s">
        <v>695</v>
      </c>
      <c r="CU74" s="119">
        <v>0.2</v>
      </c>
      <c r="CV74" s="113" t="s">
        <v>217</v>
      </c>
      <c r="CW74" s="113" t="s">
        <v>210</v>
      </c>
      <c r="CX74" s="113">
        <v>3428789.7311367933</v>
      </c>
      <c r="CY74" s="113">
        <v>5408231.2228889018</v>
      </c>
      <c r="CZ74" s="113"/>
      <c r="DA74" s="113"/>
      <c r="DB74" s="113">
        <v>3679555.30579999</v>
      </c>
      <c r="DC74" s="113">
        <v>4808194.2835000101</v>
      </c>
      <c r="DD74" s="113"/>
      <c r="DE74" s="113"/>
      <c r="DF74" s="113"/>
      <c r="DG74" s="113"/>
      <c r="DH74" s="113"/>
      <c r="DI74" s="113"/>
      <c r="DJ74" s="114">
        <f t="shared" si="165"/>
        <v>3679555.30579999</v>
      </c>
      <c r="DK74" s="114">
        <f t="shared" si="166"/>
        <v>4808194.2835000101</v>
      </c>
      <c r="DL74" s="114">
        <f t="shared" si="167"/>
        <v>0</v>
      </c>
      <c r="DM74" s="114">
        <f t="shared" si="168"/>
        <v>0</v>
      </c>
      <c r="DN74" s="114">
        <f t="shared" si="186"/>
        <v>8487749.5892999992</v>
      </c>
      <c r="DO74" s="114">
        <f t="shared" si="146"/>
        <v>8837020.9540256951</v>
      </c>
      <c r="DP74" s="114">
        <f t="shared" si="169"/>
        <v>8837020.9540256951</v>
      </c>
      <c r="DQ74" s="116">
        <f t="shared" si="170"/>
        <v>0.96050000000000002</v>
      </c>
      <c r="DR74" s="126">
        <f t="shared" ca="1" si="195"/>
        <v>0</v>
      </c>
      <c r="DS74" s="115">
        <f t="shared" ca="1" si="196"/>
        <v>0</v>
      </c>
      <c r="DT74" s="118" t="str">
        <f t="shared" si="187"/>
        <v>Uncapped</v>
      </c>
      <c r="DU74" s="115">
        <f t="shared" ca="1" si="197"/>
        <v>0</v>
      </c>
      <c r="DV74" s="113"/>
      <c r="DW74" s="119">
        <v>0</v>
      </c>
      <c r="DX74" s="113"/>
      <c r="DY74" s="113"/>
      <c r="DZ74" s="113">
        <v>0</v>
      </c>
      <c r="EA74" s="113">
        <v>0</v>
      </c>
      <c r="EB74" s="113">
        <v>0</v>
      </c>
      <c r="EC74" s="113">
        <v>0</v>
      </c>
      <c r="ED74" s="113">
        <v>0</v>
      </c>
      <c r="EE74" s="113">
        <v>0</v>
      </c>
      <c r="EF74" s="113"/>
      <c r="EG74" s="113"/>
      <c r="EH74" s="113"/>
      <c r="EI74" s="113"/>
      <c r="EJ74" s="113"/>
      <c r="EK74" s="113"/>
      <c r="EL74" s="114">
        <f t="shared" si="171"/>
        <v>0</v>
      </c>
      <c r="EM74" s="114">
        <f t="shared" si="172"/>
        <v>0</v>
      </c>
      <c r="EN74" s="114">
        <f t="shared" si="173"/>
        <v>0</v>
      </c>
      <c r="EO74" s="114">
        <f t="shared" si="174"/>
        <v>0</v>
      </c>
      <c r="EP74" s="114">
        <f t="shared" si="188"/>
        <v>0</v>
      </c>
      <c r="EQ74" s="114">
        <f t="shared" si="147"/>
        <v>0</v>
      </c>
      <c r="ER74" s="114">
        <f t="shared" si="175"/>
        <v>0</v>
      </c>
      <c r="ES74" s="116">
        <f t="shared" si="176"/>
        <v>0</v>
      </c>
      <c r="ET74" s="126">
        <f t="shared" ca="1" si="177"/>
        <v>0</v>
      </c>
      <c r="EU74" s="115">
        <f t="shared" ca="1" si="198"/>
        <v>0</v>
      </c>
      <c r="EV74" s="118" t="str">
        <f t="shared" si="189"/>
        <v>Uncapped</v>
      </c>
      <c r="EW74" s="115">
        <f t="shared" ca="1" si="199"/>
        <v>0</v>
      </c>
      <c r="EX74" s="112">
        <f t="shared" ca="1" si="200"/>
        <v>0</v>
      </c>
      <c r="EY74" s="114">
        <f t="shared" ca="1" si="178"/>
        <v>0</v>
      </c>
      <c r="EZ74" s="115">
        <v>0</v>
      </c>
      <c r="FA74" s="115">
        <v>263200</v>
      </c>
      <c r="FB74" s="115"/>
      <c r="FC74" s="115">
        <v>0</v>
      </c>
      <c r="FD74" s="115">
        <f t="shared" si="148"/>
        <v>263200</v>
      </c>
      <c r="FE74" s="114">
        <f t="shared" si="140"/>
        <v>0</v>
      </c>
      <c r="FF74" s="115">
        <v>0</v>
      </c>
      <c r="FG74" s="115">
        <v>0</v>
      </c>
      <c r="FH74" s="115">
        <v>0</v>
      </c>
      <c r="FI74" s="115">
        <v>0</v>
      </c>
      <c r="FJ74" s="115">
        <f t="shared" si="149"/>
        <v>0</v>
      </c>
      <c r="FK74" s="114">
        <f t="shared" si="141"/>
        <v>0</v>
      </c>
      <c r="FL74" s="113"/>
      <c r="FM74" s="111"/>
      <c r="FN74" s="111"/>
      <c r="FO74" s="111"/>
      <c r="FP74" s="115">
        <f t="shared" ref="FP74:FP113" si="216">SUM(FL74:FO74)</f>
        <v>0</v>
      </c>
      <c r="FQ74" s="115"/>
      <c r="FR74" s="488"/>
      <c r="FS74" s="115"/>
      <c r="FT74" s="114">
        <f t="shared" si="209"/>
        <v>0</v>
      </c>
      <c r="FU74" s="366">
        <f t="shared" ca="1" si="210"/>
        <v>263200</v>
      </c>
      <c r="FV74" s="121">
        <f t="shared" ca="1" si="211"/>
        <v>263200</v>
      </c>
      <c r="FW74" s="114">
        <f t="shared" si="84"/>
        <v>0</v>
      </c>
      <c r="FX74" s="114">
        <f t="shared" si="84"/>
        <v>0</v>
      </c>
      <c r="FY74" s="114">
        <f t="shared" si="84"/>
        <v>0</v>
      </c>
      <c r="FZ74" s="114">
        <f t="shared" si="84"/>
        <v>0</v>
      </c>
      <c r="GA74" s="114">
        <f t="shared" si="89"/>
        <v>0</v>
      </c>
      <c r="GB74" s="114">
        <f t="shared" si="85"/>
        <v>0</v>
      </c>
      <c r="GC74" s="114">
        <f t="shared" si="85"/>
        <v>263200</v>
      </c>
      <c r="GD74" s="114">
        <f t="shared" si="85"/>
        <v>0</v>
      </c>
      <c r="GE74" s="114">
        <f t="shared" si="85"/>
        <v>0</v>
      </c>
      <c r="GF74" s="114">
        <f t="shared" si="87"/>
        <v>0</v>
      </c>
      <c r="GG74" s="114">
        <f t="shared" si="87"/>
        <v>263200</v>
      </c>
      <c r="GH74" s="114">
        <f t="shared" si="87"/>
        <v>0</v>
      </c>
      <c r="GI74" s="114">
        <f t="shared" si="86"/>
        <v>0</v>
      </c>
      <c r="GJ74" s="115">
        <f t="shared" si="150"/>
        <v>263200</v>
      </c>
      <c r="GK74" s="114">
        <f t="shared" si="90"/>
        <v>263200</v>
      </c>
      <c r="GL74" s="114">
        <f t="shared" si="201"/>
        <v>0</v>
      </c>
      <c r="GM74" s="114">
        <f t="shared" si="202"/>
        <v>0</v>
      </c>
      <c r="GN74" s="114">
        <f t="shared" si="203"/>
        <v>0</v>
      </c>
      <c r="GO74" s="114">
        <f t="shared" si="204"/>
        <v>0</v>
      </c>
      <c r="GP74" s="114">
        <f t="shared" si="151"/>
        <v>0</v>
      </c>
      <c r="GQ74" s="114">
        <f t="shared" si="91"/>
        <v>0</v>
      </c>
      <c r="GR74" s="193"/>
      <c r="GS74" s="122">
        <f t="shared" si="205"/>
        <v>14131321.780499998</v>
      </c>
      <c r="GT74" s="122">
        <f t="shared" si="206"/>
        <v>15378161.81592568</v>
      </c>
      <c r="GU74" s="123">
        <f t="shared" si="92"/>
        <v>0.91892138668130996</v>
      </c>
      <c r="GV74" s="124">
        <f t="shared" ca="1" si="207"/>
        <v>0</v>
      </c>
      <c r="GW74" s="124">
        <v>0</v>
      </c>
      <c r="GX74" s="32">
        <f t="shared" ca="1" si="208"/>
        <v>0</v>
      </c>
      <c r="GY74" s="100"/>
    </row>
    <row r="75" spans="1:207" s="408" customFormat="1" hidden="1">
      <c r="C75" s="402"/>
      <c r="D75" s="402"/>
      <c r="E75" s="403"/>
      <c r="F75" s="403" t="s">
        <v>782</v>
      </c>
      <c r="G75" s="403" t="s">
        <v>226</v>
      </c>
      <c r="H75" s="105" t="s">
        <v>400</v>
      </c>
      <c r="I75" s="404" t="s">
        <v>401</v>
      </c>
      <c r="J75" s="403" t="s">
        <v>212</v>
      </c>
      <c r="K75" s="403" t="s">
        <v>218</v>
      </c>
      <c r="L75" s="403" t="s">
        <v>213</v>
      </c>
      <c r="M75" s="403" t="s">
        <v>388</v>
      </c>
      <c r="N75" s="404"/>
      <c r="O75" s="486">
        <v>42135</v>
      </c>
      <c r="P75" s="108">
        <v>43647</v>
      </c>
      <c r="Q75" s="176">
        <f>IF(P75&gt;$Q$2,MONTH(P75),0)</f>
        <v>7</v>
      </c>
      <c r="R75" s="176">
        <f>IF((P75-VLOOKUP(Q75,month!$A$1:$C$13,3,0))&lt;0,Q75,Q75+1)</f>
        <v>7</v>
      </c>
      <c r="S75" s="176"/>
      <c r="T75" s="110" t="str">
        <f>IF(S75&gt;0,"Y","")</f>
        <v/>
      </c>
      <c r="U75" s="483" t="s">
        <v>214</v>
      </c>
      <c r="V75" s="404"/>
      <c r="W75" s="405"/>
      <c r="X75" s="484">
        <v>3</v>
      </c>
      <c r="Y75" s="386"/>
      <c r="Z75" s="406" t="s">
        <v>545</v>
      </c>
      <c r="AA75" s="394">
        <v>1000</v>
      </c>
      <c r="AB75" s="394">
        <v>1000</v>
      </c>
      <c r="AC75" s="394">
        <v>1000</v>
      </c>
      <c r="AD75" s="394">
        <v>1000</v>
      </c>
      <c r="AE75" s="394">
        <v>1000</v>
      </c>
      <c r="AF75" s="394">
        <v>1000</v>
      </c>
      <c r="AG75" s="394">
        <v>1000</v>
      </c>
      <c r="AH75" s="394">
        <v>1000</v>
      </c>
      <c r="AI75" s="394">
        <v>1000</v>
      </c>
      <c r="AJ75" s="394">
        <v>1000</v>
      </c>
      <c r="AK75" s="394">
        <v>1000</v>
      </c>
      <c r="AL75" s="394">
        <v>1000</v>
      </c>
      <c r="AM75" s="388">
        <f>IF($H$2=1,SUM(AA75:AC75),IF($H$2=2,SUM(AA75:AF75),IF($H$2=3,SUM(AA75:AI75),SUM(AA75:AL75))))</f>
        <v>12000</v>
      </c>
      <c r="AN75" s="388">
        <f>SUM(AA75:AL75)+INDEX(AA75:AL75,,MATCH($H$3,$AA$5:$AL$5,0))*(12-COUNTA(AA75:AL75))</f>
        <v>12000</v>
      </c>
      <c r="AO75" s="389">
        <f>AI75</f>
        <v>1000</v>
      </c>
      <c r="AP75" s="502" t="s">
        <v>780</v>
      </c>
      <c r="AQ75" s="159">
        <v>0.8</v>
      </c>
      <c r="AR75" s="103" t="s">
        <v>211</v>
      </c>
      <c r="AS75" s="103" t="s">
        <v>210</v>
      </c>
      <c r="AT75" s="111"/>
      <c r="AU75" s="111"/>
      <c r="AV75" s="111">
        <v>532249.67026799999</v>
      </c>
      <c r="AW75" s="111">
        <v>678509.59369499981</v>
      </c>
      <c r="AX75" s="113"/>
      <c r="AY75" s="113"/>
      <c r="AZ75" s="113">
        <v>585532.62884814502</v>
      </c>
      <c r="BA75" s="113"/>
      <c r="BB75" s="113"/>
      <c r="BC75" s="113"/>
      <c r="BD75" s="113"/>
      <c r="BE75" s="113"/>
      <c r="BF75" s="114">
        <f>AX75+BB75</f>
        <v>0</v>
      </c>
      <c r="BG75" s="114">
        <f>AY75+BC75</f>
        <v>0</v>
      </c>
      <c r="BH75" s="114">
        <f>AZ75+BD75</f>
        <v>585532.62884814502</v>
      </c>
      <c r="BI75" s="114">
        <f>BA75+BE75</f>
        <v>0</v>
      </c>
      <c r="BJ75" s="114">
        <f>IF($BB$3="After AR Adjustment",IF($H$2=1,BF75,IF($H$2=2,SUM(BF75:BG75),IF($H$2=3,SUM(BF75:BH75),SUM(BF75:BI75)))),IF($H$2=1,AX75,IF($H$2=2,SUM(AX75:AY75),IF($H$2=3,SUM(AX75:AZ75),SUM(AX75:BA75)))))</f>
        <v>585532.62884814502</v>
      </c>
      <c r="BK75" s="115">
        <f>IF($H$2=1,AT75,IF($H$2=2,SUM(AT75:AU75),IF($H$2=3,SUM(AT75:AV75),SUM(AT75:AW75))))</f>
        <v>1210759.2639629999</v>
      </c>
      <c r="BL75" s="115">
        <f>SUM(AT75:AW75)</f>
        <v>1210759.2639629999</v>
      </c>
      <c r="BM75" s="116">
        <f>IFERROR(ROUND(BJ75/BK75,4),0)</f>
        <v>0.48359999999999997</v>
      </c>
      <c r="BN75" s="126">
        <f ca="1">IF(OR(AP75="MBO",AP75="10% Realized Price"),BM75,SUMPRODUCT(Lower_Payout*(Curve=AR75)*(Lower_Attain&lt;=BM75)*(Upper_Attain&gt;BM75))+(BM75-SUMPRODUCT(Lower_Attain*(Curve=AR75)*(Lower_Attain&lt;=BM75)*(Upper_Attain&gt;BM75)))*SUMPRODUCT(Slope*(Curve=AR75)*(Lower_Attain&lt;=BM75)*(Upper_Attain&gt;BM75)))</f>
        <v>0</v>
      </c>
      <c r="BO75" s="117">
        <f ca="1">IFERROR(AM75*AQ75*BN75,0)</f>
        <v>0</v>
      </c>
      <c r="BP75" s="118" t="str">
        <f>IF($T75="Y","100%",IF($H$2=4,"Uncapped",IF(N75="Y","100%",IF($G75="AA","50%",IF($G75="SA","90%",IF($G75="APJ Regional-AA","50%",IF($G75="APJ Regional-SA","90%",75%)))))))</f>
        <v>Uncapped</v>
      </c>
      <c r="BQ75" s="115">
        <f ca="1">IF(BP75="Uncapped",BO75,IFERROR(AM75*AQ75*BP75,0))</f>
        <v>0</v>
      </c>
      <c r="BR75" s="174" t="s">
        <v>781</v>
      </c>
      <c r="BS75" s="175"/>
      <c r="BT75" s="174"/>
      <c r="BU75" s="174"/>
      <c r="BV75" s="113"/>
      <c r="BW75" s="113"/>
      <c r="BX75" s="113">
        <v>2114904.2976073599</v>
      </c>
      <c r="BY75" s="113">
        <v>1687946.934656464</v>
      </c>
      <c r="BZ75" s="113"/>
      <c r="CA75" s="113"/>
      <c r="CB75" s="113">
        <v>2686187.06094814</v>
      </c>
      <c r="CC75" s="113"/>
      <c r="CD75" s="113"/>
      <c r="CE75" s="113"/>
      <c r="CF75" s="113"/>
      <c r="CG75" s="113"/>
      <c r="CH75" s="114">
        <f>BZ75+CD75</f>
        <v>0</v>
      </c>
      <c r="CI75" s="114">
        <f>CA75+CE75</f>
        <v>0</v>
      </c>
      <c r="CJ75" s="120">
        <f>CB75+CF75</f>
        <v>2686187.06094814</v>
      </c>
      <c r="CK75" s="114">
        <f>CC75+CG75</f>
        <v>0</v>
      </c>
      <c r="CL75" s="114">
        <f>IF($BB$3="After AR Adjustment",IF($H$2=1,CH75,IF($H$2=2,SUM(CH75:CI75),IF($H$2=3,SUM(CH75:CJ75),SUM(CH75:CK75)))),IF($H$2=1,BZ75,IF($H$2=2,SUM(BZ75:CA75),IF($H$2=3,SUM(BZ75:CB75),SUM(BZ75:CC75)))))</f>
        <v>2686187.06094814</v>
      </c>
      <c r="CM75" s="114">
        <f>IF($H$2=1,BV75,IF($H$2=2,SUM(BV75:BW75),IF($H$2=3,SUM(BV75:BX75),SUM(BV75:BY75))))</f>
        <v>3802851.232263824</v>
      </c>
      <c r="CN75" s="114">
        <f>SUM(BV75:BY75)</f>
        <v>3802851.232263824</v>
      </c>
      <c r="CO75" s="116">
        <f>IFERROR(ROUND(CL75/CM75,4),0)</f>
        <v>0.70640000000000003</v>
      </c>
      <c r="CP75" s="126">
        <f ca="1">IF(OR(BR75="MBO",BR75="10% Realized Price"),CO75,SUMPRODUCT(Lower_Payout*(Curve=BT75)*(Lower_Attain&lt;=CO75)*(Upper_Attain&gt;CO75))+(CO75-SUMPRODUCT(Lower_Attain*(Curve=BT75)*(Lower_Attain&lt;=CO75)*(Upper_Attain&gt;CO75)))*SUMPRODUCT(Slope*(Curve=BT75)*(Lower_Attain&lt;=CO75)*(Upper_Attain&gt;CO75)))</f>
        <v>0</v>
      </c>
      <c r="CQ75" s="115">
        <f ca="1">AM75*BS75*CP75</f>
        <v>0</v>
      </c>
      <c r="CR75" s="118" t="str">
        <f>IF($T75="Y","100%",IF($H$2=4,"Uncapped",IF(N75="Y","100%",IF($G75="AA","50%",IF($G75="SA","90%",IF($G75="APJ Regional-AA","50%",IF($G75="APJ Regional-SA","90%",75%)))))))</f>
        <v>Uncapped</v>
      </c>
      <c r="CS75" s="115">
        <f ca="1">IF(CR75="Uncapped",CQ75,IFERROR(AM75*BS75*CR75,0))</f>
        <v>0</v>
      </c>
      <c r="CT75" s="113"/>
      <c r="CU75" s="119"/>
      <c r="CV75" s="113"/>
      <c r="CW75" s="113"/>
      <c r="CX75" s="113"/>
      <c r="CY75" s="113"/>
      <c r="CZ75" s="113"/>
      <c r="DA75" s="113"/>
      <c r="DB75" s="113"/>
      <c r="DC75" s="113"/>
      <c r="DD75" s="113"/>
      <c r="DE75" s="113"/>
      <c r="DF75" s="113"/>
      <c r="DG75" s="113"/>
      <c r="DH75" s="113"/>
      <c r="DI75" s="113"/>
      <c r="DJ75" s="114">
        <f>DB75+DF75</f>
        <v>0</v>
      </c>
      <c r="DK75" s="114">
        <f>DC75+DG75</f>
        <v>0</v>
      </c>
      <c r="DL75" s="114">
        <f>DD75+DH75</f>
        <v>0</v>
      </c>
      <c r="DM75" s="114">
        <f>DE75+DI75</f>
        <v>0</v>
      </c>
      <c r="DN75" s="114">
        <f>IF($BB$3="After AR Adjustment",IF($H$2=1,DJ75,IF($H$2=2,SUM(DJ75:DK75),IF($H$2=3,SUM(DJ75:DL75),SUM(DJ75:DM75)))),IF($H$2=1,DB75,IF($H$2=2,SUM(DB75:DC75),IF($H$2=3,SUM(DB75:DD75),SUM(DB75:DE75)))))</f>
        <v>0</v>
      </c>
      <c r="DO75" s="114">
        <f>IF($H$2=1,CX75,IF($H$2=2,SUM(CX75:CY75),IF($H$2=3,SUM(CX75:CZ75),SUM(CX75:DA75))))</f>
        <v>0</v>
      </c>
      <c r="DP75" s="114">
        <f>SUM(CX75:DA75)</f>
        <v>0</v>
      </c>
      <c r="DQ75" s="116">
        <f>IFERROR(ROUND(DN75/DO75,4),0)</f>
        <v>0</v>
      </c>
      <c r="DR75" s="126">
        <f ca="1">IF(OR(CT75="MBO",CT75="10% Realized Price"),DQ75,SUMPRODUCT(Lower_Payout*(Curve=CV75)*(Lower_Attain&lt;=DQ75)*(Upper_Attain&gt;DQ75))+(DQ75-SUMPRODUCT(Lower_Attain*(Curve=CV75)*(Lower_Attain&lt;=DQ75)*(Upper_Attain&gt;DQ75)))*SUMPRODUCT(Slope*(Curve=CV75)*(Lower_Attain&lt;=DQ75)*(Upper_Attain&gt;DQ75)))</f>
        <v>0</v>
      </c>
      <c r="DS75" s="115">
        <f ca="1">AM75*CU75*DR75</f>
        <v>0</v>
      </c>
      <c r="DT75" s="118" t="str">
        <f>IF($T75="Y","100%",IF($H$2=4,"Uncapped",IF(N75="Y","100%",IF($G75="AA","50%",IF($G75="SA","90%",IF($G75="APJ Regional-AA","50%",IF($G75="APJ Regional-SA","90%",75%)))))))</f>
        <v>Uncapped</v>
      </c>
      <c r="DU75" s="115">
        <f ca="1">IF(DT75="Uncapped",DS75,IFERROR(AM75*CU75*DT75,0))</f>
        <v>0</v>
      </c>
      <c r="DV75" s="113"/>
      <c r="DW75" s="119"/>
      <c r="DX75" s="113"/>
      <c r="DY75" s="113"/>
      <c r="DZ75" s="113"/>
      <c r="EA75" s="113"/>
      <c r="EB75" s="113"/>
      <c r="EC75" s="113"/>
      <c r="ED75" s="113"/>
      <c r="EE75" s="113"/>
      <c r="EF75" s="113"/>
      <c r="EG75" s="113"/>
      <c r="EH75" s="113"/>
      <c r="EI75" s="113"/>
      <c r="EJ75" s="113"/>
      <c r="EK75" s="113"/>
      <c r="EL75" s="114">
        <f>ED75+EH75</f>
        <v>0</v>
      </c>
      <c r="EM75" s="114">
        <f>EE75+EI75</f>
        <v>0</v>
      </c>
      <c r="EN75" s="114">
        <f>EF75+EJ75</f>
        <v>0</v>
      </c>
      <c r="EO75" s="114">
        <f>EG75+EK75</f>
        <v>0</v>
      </c>
      <c r="EP75" s="114">
        <f>IF($BB$3="After AR Adjustment",IF($H$2=1,EL75,IF($H$2=2,SUM(EL75:EM75),IF($H$2=3,SUM(EL75:EN75),SUM(EL75:EO75)))),IF($H$2=1,ED75,IF($H$2=2,SUM(ED75:EE75),IF($H$2=3,SUM(ED75:EF75),SUM(ED75:EG75)))))</f>
        <v>0</v>
      </c>
      <c r="EQ75" s="114">
        <f>IF($H$2=1,DZ75,IF($H$2=2,SUM(DZ75:EA75),IF($H$2=3,SUM(DZ75:EB75),SUM(DZ75:EC75))))</f>
        <v>0</v>
      </c>
      <c r="ER75" s="114">
        <f>SUM(DZ75:EC75)</f>
        <v>0</v>
      </c>
      <c r="ES75" s="116">
        <f>IFERROR(ROUND(EP75/EQ75,4),0)</f>
        <v>0</v>
      </c>
      <c r="ET75" s="126">
        <f ca="1">IF(OR(DV75="MBO",DV75="10% Realized Price"),ES75,SUMPRODUCT(Lower_Payout*(Curve=DX75)*(Lower_Attain&lt;=ES75)*(Upper_Attain&gt;ES75))+(ES75-SUMPRODUCT(Lower_Attain*(Curve=DX75)*(Lower_Attain&lt;=ES75)*(Upper_Attain&gt;ES75)))*SUMPRODUCT(Slope*(Curve=DX75)*(Lower_Attain&lt;=ES75)*(Upper_Attain&gt;ES75)))</f>
        <v>0</v>
      </c>
      <c r="EU75" s="115">
        <f ca="1">AM75*DW75*ET75</f>
        <v>0</v>
      </c>
      <c r="EV75" s="118" t="str">
        <f>IF($T75="Y","100%",IF(DX75="T2","200%",IF($H$2=4,"Uncapped",IF($G75="AA","50%",IF($G75="SA","90%",IF($G75="APJ Regional-AA","50%",IF($G75="APJ Regional-SA","90%",75%)))))))</f>
        <v>Uncapped</v>
      </c>
      <c r="EW75" s="115">
        <f ca="1">IF(EV75="Uncapped",EU75,IFERROR(AM75*DW75*EV75,0))</f>
        <v>0</v>
      </c>
      <c r="EX75" s="112">
        <f ca="1">MIN(BO75,BQ75)+MIN(CQ75,CS75)+MIN(DS75,DU75)+MIN(EU75,EW75)</f>
        <v>0</v>
      </c>
      <c r="EY75" s="114">
        <f ca="1">MAX(EX75,GP75)</f>
        <v>3000</v>
      </c>
      <c r="EZ75" s="115">
        <v>0</v>
      </c>
      <c r="FA75" s="115">
        <v>0</v>
      </c>
      <c r="FB75" s="115"/>
      <c r="FC75" s="115">
        <v>0</v>
      </c>
      <c r="FD75" s="115">
        <f>IF($H$2=1,EZ75,IF($H$2=2,SUM(EZ75:FA75),IF($H$2=3,SUM(EZ75:FB75),SUM(EZ75:FC75))))</f>
        <v>0</v>
      </c>
      <c r="FE75" s="114">
        <f t="shared" si="140"/>
        <v>0</v>
      </c>
      <c r="FF75" s="115">
        <v>0</v>
      </c>
      <c r="FG75" s="115">
        <v>0</v>
      </c>
      <c r="FH75" s="115">
        <v>0</v>
      </c>
      <c r="FI75" s="115">
        <v>0</v>
      </c>
      <c r="FJ75" s="115">
        <f>IF($H$2=1,FF75,IF($H$2=2,SUM(FF75:FG75),IF($H$2=3,SUM(FF75:FH75),SUM(FF75:FI75))))</f>
        <v>0</v>
      </c>
      <c r="FK75" s="114">
        <f t="shared" si="141"/>
        <v>0</v>
      </c>
      <c r="FL75" s="113"/>
      <c r="FM75" s="111"/>
      <c r="FN75" s="111"/>
      <c r="FO75" s="111"/>
      <c r="FP75" s="115">
        <f>SUM(FL75:FO75)</f>
        <v>0</v>
      </c>
      <c r="FQ75" s="115"/>
      <c r="FR75" s="115"/>
      <c r="FS75" s="115"/>
      <c r="FT75" s="114">
        <f>SUM(FQ75:FS75)</f>
        <v>0</v>
      </c>
      <c r="FU75" s="366">
        <f ca="1">ROUND(MAX(FV75-FT75,0),2)</f>
        <v>3000</v>
      </c>
      <c r="FV75" s="121">
        <f ca="1">SUM(EY75,FD75,FJ75,FP75)</f>
        <v>3000</v>
      </c>
      <c r="FW75" s="114">
        <f>FF75</f>
        <v>0</v>
      </c>
      <c r="FX75" s="114">
        <f>FG75</f>
        <v>0</v>
      </c>
      <c r="FY75" s="114">
        <f>FH75</f>
        <v>0</v>
      </c>
      <c r="FZ75" s="114">
        <f>FI75</f>
        <v>0</v>
      </c>
      <c r="GA75" s="114">
        <f>SUM(FW75:FZ75)</f>
        <v>0</v>
      </c>
      <c r="GB75" s="114">
        <f>EZ75</f>
        <v>0</v>
      </c>
      <c r="GC75" s="114">
        <f>FA75</f>
        <v>0</v>
      </c>
      <c r="GD75" s="114">
        <f>FB75</f>
        <v>0</v>
      </c>
      <c r="GE75" s="114">
        <f>FC75</f>
        <v>0</v>
      </c>
      <c r="GF75" s="114">
        <f>GB75+FW75</f>
        <v>0</v>
      </c>
      <c r="GG75" s="114">
        <f>GC75+FX75</f>
        <v>0</v>
      </c>
      <c r="GH75" s="114">
        <f>GD75+FY75</f>
        <v>0</v>
      </c>
      <c r="GI75" s="114">
        <f>GE75+FZ75</f>
        <v>0</v>
      </c>
      <c r="GJ75" s="115">
        <f>IF($H$2=1,GF75,IF($H$2=2,SUM(GF75:GG75),IF($H$2=3,SUM(GF75:GH75),SUM(GF75:GI75))))</f>
        <v>0</v>
      </c>
      <c r="GK75" s="114">
        <f>SUM(GF75:GI75)</f>
        <v>0</v>
      </c>
      <c r="GL75" s="114">
        <f>IF(U75="Y",V75*AO75,0)</f>
        <v>0</v>
      </c>
      <c r="GM75" s="114">
        <f>IF(U75="Y",W75*AO75,0)</f>
        <v>0</v>
      </c>
      <c r="GN75" s="114">
        <f>IF(U75="Y",X75*AO75,0)</f>
        <v>3000</v>
      </c>
      <c r="GO75" s="114">
        <f>IF(U75="Y",Y75*AO75,0)</f>
        <v>0</v>
      </c>
      <c r="GP75" s="114">
        <f>IF($H$2=1,GL75,IF($H$2=2,SUM(GL75:GM75),IF($H$2=3,SUM(GL75:GN75),IF($H$2=4,SUM(GL75:GO75)))))</f>
        <v>3000</v>
      </c>
      <c r="GQ75" s="114">
        <f>SUM(GL75:GO75)</f>
        <v>3000</v>
      </c>
      <c r="GR75" s="193"/>
      <c r="GS75" s="122">
        <f>IFERROR(BJ75+CL75+DN75+EP75,0)</f>
        <v>3271719.6897962848</v>
      </c>
      <c r="GT75" s="122">
        <f>IFERROR(BK75+CM75+DO75+EQ75,0)</f>
        <v>5013610.4962268239</v>
      </c>
      <c r="GU75" s="123">
        <f>IFERROR(GS75/GT75,"")</f>
        <v>0.65256758423067307</v>
      </c>
      <c r="GV75" s="124">
        <f ca="1">BO75+CQ75+DS75+EU75</f>
        <v>0</v>
      </c>
      <c r="GW75" s="124">
        <v>0</v>
      </c>
      <c r="GX75" s="32">
        <f ca="1">IFERROR(GV75/AM75,0)</f>
        <v>0</v>
      </c>
      <c r="GY75" s="100"/>
    </row>
    <row r="76" spans="1:207" s="125" customFormat="1" ht="15" hidden="1" customHeight="1">
      <c r="A76" s="102"/>
      <c r="B76" s="103"/>
      <c r="C76" s="103"/>
      <c r="D76" s="104"/>
      <c r="E76" s="113" t="s">
        <v>388</v>
      </c>
      <c r="F76" s="113" t="s">
        <v>388</v>
      </c>
      <c r="G76" s="104" t="s">
        <v>226</v>
      </c>
      <c r="H76" s="154" t="s">
        <v>402</v>
      </c>
      <c r="I76" s="106" t="s">
        <v>403</v>
      </c>
      <c r="J76" s="104" t="s">
        <v>212</v>
      </c>
      <c r="K76" s="104" t="s">
        <v>218</v>
      </c>
      <c r="L76" s="104" t="s">
        <v>213</v>
      </c>
      <c r="M76" s="104" t="s">
        <v>388</v>
      </c>
      <c r="N76" s="107"/>
      <c r="O76" s="108">
        <v>42219</v>
      </c>
      <c r="P76" s="108">
        <v>42219</v>
      </c>
      <c r="Q76" s="322">
        <f t="shared" si="179"/>
        <v>0</v>
      </c>
      <c r="R76" s="109">
        <f>IF((P76-VLOOKUP(Q76,month!$A$1:$C$13,3,0))&lt;0,Q76,Q76+1)</f>
        <v>0</v>
      </c>
      <c r="S76" s="108"/>
      <c r="T76" s="110" t="str">
        <f t="shared" si="215"/>
        <v/>
      </c>
      <c r="U76" s="107"/>
      <c r="V76" s="107"/>
      <c r="W76" s="107"/>
      <c r="X76" s="107"/>
      <c r="Y76" s="386"/>
      <c r="Z76" s="386" t="s">
        <v>545</v>
      </c>
      <c r="AA76" s="387">
        <v>1000</v>
      </c>
      <c r="AB76" s="387">
        <v>1000</v>
      </c>
      <c r="AC76" s="387">
        <v>1000</v>
      </c>
      <c r="AD76" s="387">
        <v>1000</v>
      </c>
      <c r="AE76" s="387">
        <v>1000</v>
      </c>
      <c r="AF76" s="387">
        <v>1000</v>
      </c>
      <c r="AG76" s="387">
        <v>1000</v>
      </c>
      <c r="AH76" s="387">
        <v>1000</v>
      </c>
      <c r="AI76" s="387">
        <v>1000</v>
      </c>
      <c r="AJ76" s="387">
        <v>1000</v>
      </c>
      <c r="AK76" s="387">
        <v>1000</v>
      </c>
      <c r="AL76" s="387">
        <v>1000</v>
      </c>
      <c r="AM76" s="388">
        <f t="shared" si="142"/>
        <v>12000</v>
      </c>
      <c r="AN76" s="388">
        <f t="shared" si="180"/>
        <v>12000</v>
      </c>
      <c r="AO76" s="389">
        <f t="shared" ref="AO76:AO99" si="217">AI76</f>
        <v>1000</v>
      </c>
      <c r="AP76" s="498" t="s">
        <v>671</v>
      </c>
      <c r="AQ76" s="159">
        <v>0.4</v>
      </c>
      <c r="AR76" s="160" t="s">
        <v>392</v>
      </c>
      <c r="AS76" s="119" t="s">
        <v>210</v>
      </c>
      <c r="AT76" s="111">
        <v>147738.26233228881</v>
      </c>
      <c r="AU76" s="111">
        <v>388490.88880918256</v>
      </c>
      <c r="AV76" s="111">
        <v>282284.84890466108</v>
      </c>
      <c r="AW76" s="111">
        <v>295529.62087776372</v>
      </c>
      <c r="AX76" s="113">
        <v>194087.47500000003</v>
      </c>
      <c r="AY76" s="113">
        <v>824619.6</v>
      </c>
      <c r="AZ76" s="113">
        <v>558323.95050000015</v>
      </c>
      <c r="BA76" s="113"/>
      <c r="BB76" s="113"/>
      <c r="BC76" s="113"/>
      <c r="BD76" s="113"/>
      <c r="BE76" s="113"/>
      <c r="BF76" s="114">
        <f t="shared" si="152"/>
        <v>194087.47500000003</v>
      </c>
      <c r="BG76" s="114">
        <f t="shared" si="153"/>
        <v>824619.6</v>
      </c>
      <c r="BH76" s="114">
        <f t="shared" si="154"/>
        <v>558323.95050000015</v>
      </c>
      <c r="BI76" s="114">
        <f t="shared" si="155"/>
        <v>0</v>
      </c>
      <c r="BJ76" s="114">
        <f t="shared" si="182"/>
        <v>1577031.0255</v>
      </c>
      <c r="BK76" s="115">
        <f t="shared" si="144"/>
        <v>1114043.6209238961</v>
      </c>
      <c r="BL76" s="115">
        <f t="shared" si="156"/>
        <v>1114043.6209238961</v>
      </c>
      <c r="BM76" s="116">
        <f t="shared" si="157"/>
        <v>1.4156</v>
      </c>
      <c r="BN76" s="126">
        <f t="shared" ca="1" si="190"/>
        <v>0</v>
      </c>
      <c r="BO76" s="117">
        <f t="shared" ca="1" si="191"/>
        <v>0</v>
      </c>
      <c r="BP76" s="118" t="str">
        <f t="shared" si="183"/>
        <v>Uncapped</v>
      </c>
      <c r="BQ76" s="115">
        <f t="shared" ca="1" si="192"/>
        <v>0</v>
      </c>
      <c r="BR76" s="113" t="s">
        <v>691</v>
      </c>
      <c r="BS76" s="159">
        <v>0.4</v>
      </c>
      <c r="BT76" s="160" t="s">
        <v>211</v>
      </c>
      <c r="BU76" s="160" t="s">
        <v>210</v>
      </c>
      <c r="BV76" s="113">
        <v>2246364.6727575315</v>
      </c>
      <c r="BW76" s="113">
        <v>2632953.525930434</v>
      </c>
      <c r="BX76" s="113">
        <v>2703011.4750760142</v>
      </c>
      <c r="BY76" s="113">
        <v>2990054.5408638064</v>
      </c>
      <c r="BZ76" s="113">
        <v>2365839.7731999811</v>
      </c>
      <c r="CA76" s="113">
        <v>2498804.5458999714</v>
      </c>
      <c r="CB76" s="113">
        <v>2396910.0498999502</v>
      </c>
      <c r="CC76" s="113"/>
      <c r="CD76" s="113"/>
      <c r="CE76" s="113"/>
      <c r="CF76" s="113"/>
      <c r="CG76" s="113"/>
      <c r="CH76" s="114">
        <f t="shared" si="158"/>
        <v>2365839.7731999811</v>
      </c>
      <c r="CI76" s="114">
        <f t="shared" si="159"/>
        <v>2498804.5458999714</v>
      </c>
      <c r="CJ76" s="120">
        <f t="shared" si="160"/>
        <v>2396910.0498999502</v>
      </c>
      <c r="CK76" s="114">
        <f t="shared" si="161"/>
        <v>0</v>
      </c>
      <c r="CL76" s="114">
        <f t="shared" si="184"/>
        <v>7261554.3689999022</v>
      </c>
      <c r="CM76" s="114">
        <f t="shared" si="145"/>
        <v>10572384.214627786</v>
      </c>
      <c r="CN76" s="114">
        <f t="shared" si="162"/>
        <v>10572384.214627786</v>
      </c>
      <c r="CO76" s="116">
        <f t="shared" si="163"/>
        <v>0.68679999999999997</v>
      </c>
      <c r="CP76" s="126">
        <f t="shared" ca="1" si="164"/>
        <v>0</v>
      </c>
      <c r="CQ76" s="115">
        <f t="shared" ca="1" si="193"/>
        <v>0</v>
      </c>
      <c r="CR76" s="118" t="str">
        <f t="shared" si="185"/>
        <v>Uncapped</v>
      </c>
      <c r="CS76" s="115">
        <f t="shared" ca="1" si="194"/>
        <v>0</v>
      </c>
      <c r="CT76" s="113" t="s">
        <v>695</v>
      </c>
      <c r="CU76" s="119">
        <v>0.2</v>
      </c>
      <c r="CV76" s="113" t="s">
        <v>217</v>
      </c>
      <c r="CW76" s="113" t="s">
        <v>210</v>
      </c>
      <c r="CX76" s="113">
        <v>3218524.2772395075</v>
      </c>
      <c r="CY76" s="113">
        <v>4891430.2869874602</v>
      </c>
      <c r="CZ76" s="113">
        <v>4404508.3401344651</v>
      </c>
      <c r="DA76" s="113">
        <v>4778876.6076220032</v>
      </c>
      <c r="DB76" s="113">
        <v>3447884.2731999811</v>
      </c>
      <c r="DC76" s="113">
        <v>5129221.4675999712</v>
      </c>
      <c r="DD76" s="113">
        <v>4393334.4853999503</v>
      </c>
      <c r="DE76" s="113"/>
      <c r="DF76" s="113"/>
      <c r="DG76" s="113"/>
      <c r="DH76" s="113"/>
      <c r="DI76" s="113"/>
      <c r="DJ76" s="114">
        <f t="shared" si="165"/>
        <v>3447884.2731999811</v>
      </c>
      <c r="DK76" s="114">
        <f t="shared" si="166"/>
        <v>5129221.4675999712</v>
      </c>
      <c r="DL76" s="114">
        <f t="shared" si="167"/>
        <v>4393334.4853999503</v>
      </c>
      <c r="DM76" s="114">
        <f t="shared" si="168"/>
        <v>0</v>
      </c>
      <c r="DN76" s="114">
        <f t="shared" si="186"/>
        <v>12970440.226199903</v>
      </c>
      <c r="DO76" s="114">
        <f t="shared" si="146"/>
        <v>17293339.511983439</v>
      </c>
      <c r="DP76" s="114">
        <f t="shared" si="169"/>
        <v>17293339.511983439</v>
      </c>
      <c r="DQ76" s="116">
        <f t="shared" si="170"/>
        <v>0.75</v>
      </c>
      <c r="DR76" s="126">
        <f t="shared" ca="1" si="195"/>
        <v>0</v>
      </c>
      <c r="DS76" s="115">
        <f t="shared" ca="1" si="196"/>
        <v>0</v>
      </c>
      <c r="DT76" s="118" t="str">
        <f t="shared" si="187"/>
        <v>Uncapped</v>
      </c>
      <c r="DU76" s="115">
        <f t="shared" ca="1" si="197"/>
        <v>0</v>
      </c>
      <c r="DV76" s="113"/>
      <c r="DW76" s="119">
        <v>0</v>
      </c>
      <c r="DX76" s="113"/>
      <c r="DY76" s="113"/>
      <c r="DZ76" s="113">
        <v>0</v>
      </c>
      <c r="EA76" s="113">
        <v>0</v>
      </c>
      <c r="EB76" s="113">
        <v>0</v>
      </c>
      <c r="EC76" s="113">
        <v>0</v>
      </c>
      <c r="ED76" s="113">
        <v>0</v>
      </c>
      <c r="EE76" s="113">
        <v>0</v>
      </c>
      <c r="EF76" s="113"/>
      <c r="EG76" s="113"/>
      <c r="EH76" s="113"/>
      <c r="EI76" s="113"/>
      <c r="EJ76" s="113"/>
      <c r="EK76" s="113"/>
      <c r="EL76" s="114">
        <f t="shared" si="171"/>
        <v>0</v>
      </c>
      <c r="EM76" s="114">
        <f t="shared" si="172"/>
        <v>0</v>
      </c>
      <c r="EN76" s="114">
        <f t="shared" si="173"/>
        <v>0</v>
      </c>
      <c r="EO76" s="114">
        <f t="shared" si="174"/>
        <v>0</v>
      </c>
      <c r="EP76" s="114">
        <f t="shared" si="188"/>
        <v>0</v>
      </c>
      <c r="EQ76" s="114">
        <f t="shared" si="147"/>
        <v>0</v>
      </c>
      <c r="ER76" s="114">
        <f t="shared" si="175"/>
        <v>0</v>
      </c>
      <c r="ES76" s="116">
        <f t="shared" si="176"/>
        <v>0</v>
      </c>
      <c r="ET76" s="126">
        <f t="shared" ca="1" si="177"/>
        <v>0</v>
      </c>
      <c r="EU76" s="115">
        <f t="shared" ca="1" si="198"/>
        <v>0</v>
      </c>
      <c r="EV76" s="118" t="str">
        <f t="shared" si="189"/>
        <v>Uncapped</v>
      </c>
      <c r="EW76" s="115">
        <f t="shared" ca="1" si="199"/>
        <v>0</v>
      </c>
      <c r="EX76" s="112">
        <f t="shared" ca="1" si="200"/>
        <v>0</v>
      </c>
      <c r="EY76" s="114">
        <f t="shared" ca="1" si="178"/>
        <v>0</v>
      </c>
      <c r="EZ76" s="115">
        <v>349600</v>
      </c>
      <c r="FA76" s="115">
        <v>116636.39999999998</v>
      </c>
      <c r="FB76" s="115">
        <v>2231129</v>
      </c>
      <c r="FC76" s="115">
        <v>0</v>
      </c>
      <c r="FD76" s="115">
        <f t="shared" si="148"/>
        <v>2697365.4</v>
      </c>
      <c r="FE76" s="114">
        <f t="shared" si="140"/>
        <v>0</v>
      </c>
      <c r="FF76" s="115">
        <v>0</v>
      </c>
      <c r="FG76" s="115">
        <v>0</v>
      </c>
      <c r="FH76" s="115">
        <v>0</v>
      </c>
      <c r="FI76" s="115">
        <v>0</v>
      </c>
      <c r="FJ76" s="115">
        <f t="shared" si="149"/>
        <v>0</v>
      </c>
      <c r="FK76" s="114">
        <f t="shared" si="141"/>
        <v>0</v>
      </c>
      <c r="FL76" s="113"/>
      <c r="FM76" s="111"/>
      <c r="FN76" s="111"/>
      <c r="FO76" s="111"/>
      <c r="FP76" s="115">
        <f t="shared" si="216"/>
        <v>0</v>
      </c>
      <c r="FQ76" s="115"/>
      <c r="FR76" s="115"/>
      <c r="FS76" s="115"/>
      <c r="FT76" s="114">
        <f t="shared" si="209"/>
        <v>0</v>
      </c>
      <c r="FU76" s="366">
        <f t="shared" ca="1" si="210"/>
        <v>2697365.4</v>
      </c>
      <c r="FV76" s="121">
        <f t="shared" ca="1" si="211"/>
        <v>2697365.4</v>
      </c>
      <c r="FW76" s="114">
        <f t="shared" ref="FW76:FZ113" si="218">FF76</f>
        <v>0</v>
      </c>
      <c r="FX76" s="114">
        <f t="shared" si="218"/>
        <v>0</v>
      </c>
      <c r="FY76" s="114">
        <f t="shared" si="218"/>
        <v>0</v>
      </c>
      <c r="FZ76" s="114">
        <f t="shared" si="218"/>
        <v>0</v>
      </c>
      <c r="GA76" s="114">
        <f t="shared" si="89"/>
        <v>0</v>
      </c>
      <c r="GB76" s="114">
        <f t="shared" ref="GB76:GE113" si="219">EZ76</f>
        <v>349600</v>
      </c>
      <c r="GC76" s="114">
        <f t="shared" si="219"/>
        <v>116636.39999999998</v>
      </c>
      <c r="GD76" s="114">
        <f t="shared" si="219"/>
        <v>2231129</v>
      </c>
      <c r="GE76" s="114">
        <f t="shared" si="219"/>
        <v>0</v>
      </c>
      <c r="GF76" s="114">
        <f t="shared" si="87"/>
        <v>349600</v>
      </c>
      <c r="GG76" s="114">
        <f t="shared" si="87"/>
        <v>116636.39999999998</v>
      </c>
      <c r="GH76" s="114">
        <f t="shared" si="87"/>
        <v>2231129</v>
      </c>
      <c r="GI76" s="114">
        <f t="shared" si="87"/>
        <v>0</v>
      </c>
      <c r="GJ76" s="115">
        <f t="shared" si="150"/>
        <v>2697365.4</v>
      </c>
      <c r="GK76" s="114">
        <f t="shared" si="90"/>
        <v>2697365.4</v>
      </c>
      <c r="GL76" s="114">
        <f t="shared" si="201"/>
        <v>0</v>
      </c>
      <c r="GM76" s="114">
        <f t="shared" si="202"/>
        <v>0</v>
      </c>
      <c r="GN76" s="114">
        <f t="shared" si="203"/>
        <v>0</v>
      </c>
      <c r="GO76" s="114">
        <f t="shared" si="204"/>
        <v>0</v>
      </c>
      <c r="GP76" s="114">
        <f t="shared" si="151"/>
        <v>0</v>
      </c>
      <c r="GQ76" s="114">
        <f t="shared" si="91"/>
        <v>0</v>
      </c>
      <c r="GR76" s="216"/>
      <c r="GS76" s="122">
        <f t="shared" si="205"/>
        <v>21809025.620699804</v>
      </c>
      <c r="GT76" s="122">
        <f t="shared" si="206"/>
        <v>28979767.347535118</v>
      </c>
      <c r="GU76" s="123">
        <f t="shared" si="92"/>
        <v>0.7525604108258922</v>
      </c>
      <c r="GV76" s="124">
        <f t="shared" ca="1" si="207"/>
        <v>0</v>
      </c>
      <c r="GW76" s="124">
        <v>0</v>
      </c>
      <c r="GX76" s="32">
        <f t="shared" ca="1" si="208"/>
        <v>0</v>
      </c>
      <c r="GY76" s="100"/>
    </row>
    <row r="77" spans="1:207" s="152" customFormat="1" ht="15" hidden="1" customHeight="1">
      <c r="A77" s="129"/>
      <c r="B77" s="130"/>
      <c r="C77" s="130"/>
      <c r="D77" s="131"/>
      <c r="E77" s="138" t="s">
        <v>387</v>
      </c>
      <c r="F77" s="138" t="s">
        <v>404</v>
      </c>
      <c r="G77" s="131" t="s">
        <v>226</v>
      </c>
      <c r="H77" s="132" t="s">
        <v>405</v>
      </c>
      <c r="I77" s="133" t="s">
        <v>650</v>
      </c>
      <c r="J77" s="131" t="s">
        <v>238</v>
      </c>
      <c r="K77" s="131" t="s">
        <v>218</v>
      </c>
      <c r="L77" s="131" t="s">
        <v>264</v>
      </c>
      <c r="M77" s="131" t="s">
        <v>387</v>
      </c>
      <c r="N77" s="134"/>
      <c r="O77" s="155">
        <v>41276</v>
      </c>
      <c r="P77" s="155">
        <v>43191</v>
      </c>
      <c r="Q77" s="321">
        <f t="shared" si="179"/>
        <v>0</v>
      </c>
      <c r="R77" s="109">
        <f>IF((P77-VLOOKUP(Q77,month!$A$1:$C$13,3,0))&lt;0,Q77,Q77+1)</f>
        <v>0</v>
      </c>
      <c r="S77" s="108"/>
      <c r="T77" s="135" t="str">
        <f t="shared" si="215"/>
        <v/>
      </c>
      <c r="U77" s="134"/>
      <c r="V77" s="134"/>
      <c r="W77" s="134"/>
      <c r="X77" s="134"/>
      <c r="Y77" s="383"/>
      <c r="Z77" s="383" t="s">
        <v>545</v>
      </c>
      <c r="AA77" s="371">
        <v>1000</v>
      </c>
      <c r="AB77" s="371">
        <v>1000</v>
      </c>
      <c r="AC77" s="371">
        <v>1000</v>
      </c>
      <c r="AD77" s="371">
        <v>1000</v>
      </c>
      <c r="AE77" s="371">
        <v>1000</v>
      </c>
      <c r="AF77" s="371">
        <v>1000</v>
      </c>
      <c r="AG77" s="371">
        <v>1000</v>
      </c>
      <c r="AH77" s="371">
        <v>1000</v>
      </c>
      <c r="AI77" s="371">
        <v>1000</v>
      </c>
      <c r="AJ77" s="371">
        <v>1000</v>
      </c>
      <c r="AK77" s="371">
        <v>1000</v>
      </c>
      <c r="AL77" s="371">
        <v>1000</v>
      </c>
      <c r="AM77" s="384">
        <f t="shared" si="142"/>
        <v>12000</v>
      </c>
      <c r="AN77" s="384">
        <f t="shared" si="180"/>
        <v>12000</v>
      </c>
      <c r="AO77" s="385">
        <f t="shared" si="217"/>
        <v>1000</v>
      </c>
      <c r="AP77" s="497" t="s">
        <v>672</v>
      </c>
      <c r="AQ77" s="156">
        <v>0.4</v>
      </c>
      <c r="AR77" s="157" t="s">
        <v>211</v>
      </c>
      <c r="AS77" s="146" t="s">
        <v>210</v>
      </c>
      <c r="AT77" s="136">
        <v>3379521.1219363259</v>
      </c>
      <c r="AU77" s="136">
        <v>7327548.5634185346</v>
      </c>
      <c r="AV77" s="136">
        <v>5599955.3026327584</v>
      </c>
      <c r="AW77" s="136">
        <v>6039590.4343528077</v>
      </c>
      <c r="AX77" s="138">
        <v>3463592.7112599993</v>
      </c>
      <c r="AY77" s="138">
        <v>7899234.3228099998</v>
      </c>
      <c r="AZ77" s="138">
        <v>6302483.1859700009</v>
      </c>
      <c r="BA77" s="138"/>
      <c r="BB77" s="138"/>
      <c r="BC77" s="138"/>
      <c r="BD77" s="138"/>
      <c r="BE77" s="138"/>
      <c r="BF77" s="139">
        <f t="shared" si="152"/>
        <v>3463592.7112599993</v>
      </c>
      <c r="BG77" s="139">
        <f t="shared" si="153"/>
        <v>7899234.3228099998</v>
      </c>
      <c r="BH77" s="139">
        <f t="shared" si="154"/>
        <v>6302483.1859700009</v>
      </c>
      <c r="BI77" s="139">
        <f t="shared" si="155"/>
        <v>0</v>
      </c>
      <c r="BJ77" s="139">
        <f t="shared" si="182"/>
        <v>17665310.220040001</v>
      </c>
      <c r="BK77" s="140">
        <f t="shared" si="144"/>
        <v>22346615.422340427</v>
      </c>
      <c r="BL77" s="140">
        <f t="shared" si="156"/>
        <v>22346615.422340427</v>
      </c>
      <c r="BM77" s="141">
        <f t="shared" si="157"/>
        <v>0.79049999999999998</v>
      </c>
      <c r="BN77" s="142">
        <f t="shared" ca="1" si="190"/>
        <v>0</v>
      </c>
      <c r="BO77" s="143">
        <f t="shared" ca="1" si="191"/>
        <v>0</v>
      </c>
      <c r="BP77" s="144" t="str">
        <f t="shared" si="183"/>
        <v>Uncapped</v>
      </c>
      <c r="BQ77" s="140">
        <f t="shared" ca="1" si="192"/>
        <v>0</v>
      </c>
      <c r="BR77" s="138" t="s">
        <v>692</v>
      </c>
      <c r="BS77" s="158">
        <v>0.4</v>
      </c>
      <c r="BT77" s="138" t="s">
        <v>211</v>
      </c>
      <c r="BU77" s="157" t="s">
        <v>210</v>
      </c>
      <c r="BV77" s="138">
        <v>7503606.8202462839</v>
      </c>
      <c r="BW77" s="138">
        <v>8053589.731983399</v>
      </c>
      <c r="BX77" s="138">
        <v>8496001.8380627688</v>
      </c>
      <c r="BY77" s="138">
        <v>8697930.0394548904</v>
      </c>
      <c r="BZ77" s="138">
        <v>7755486.3438000018</v>
      </c>
      <c r="CA77" s="138">
        <v>6815255.5627299994</v>
      </c>
      <c r="CB77" s="138">
        <v>8017330.7311999984</v>
      </c>
      <c r="CC77" s="138"/>
      <c r="CD77" s="138"/>
      <c r="CE77" s="138"/>
      <c r="CF77" s="138"/>
      <c r="CG77" s="138"/>
      <c r="CH77" s="139">
        <f t="shared" si="158"/>
        <v>7755486.3438000018</v>
      </c>
      <c r="CI77" s="139">
        <f t="shared" si="159"/>
        <v>6815255.5627299994</v>
      </c>
      <c r="CJ77" s="145">
        <f t="shared" si="160"/>
        <v>8017330.7311999984</v>
      </c>
      <c r="CK77" s="139">
        <f t="shared" si="161"/>
        <v>0</v>
      </c>
      <c r="CL77" s="139">
        <f t="shared" si="184"/>
        <v>22588072.637729999</v>
      </c>
      <c r="CM77" s="139">
        <f t="shared" si="145"/>
        <v>32751128.429747343</v>
      </c>
      <c r="CN77" s="139">
        <f t="shared" si="162"/>
        <v>32751128.429747343</v>
      </c>
      <c r="CO77" s="141">
        <f t="shared" si="163"/>
        <v>0.68969999999999998</v>
      </c>
      <c r="CP77" s="142">
        <f t="shared" ca="1" si="164"/>
        <v>0</v>
      </c>
      <c r="CQ77" s="140">
        <f t="shared" ca="1" si="193"/>
        <v>0</v>
      </c>
      <c r="CR77" s="144" t="str">
        <f t="shared" si="185"/>
        <v>Uncapped</v>
      </c>
      <c r="CS77" s="140">
        <f t="shared" ca="1" si="194"/>
        <v>0</v>
      </c>
      <c r="CT77" s="138" t="s">
        <v>696</v>
      </c>
      <c r="CU77" s="158">
        <v>0.2</v>
      </c>
      <c r="CV77" s="138" t="s">
        <v>217</v>
      </c>
      <c r="CW77" s="157" t="s">
        <v>210</v>
      </c>
      <c r="CX77" s="138">
        <v>61881722.047854595</v>
      </c>
      <c r="CY77" s="138">
        <v>72180793.063260496</v>
      </c>
      <c r="CZ77" s="138">
        <v>69179032.514420599</v>
      </c>
      <c r="DA77" s="138">
        <v>76323964.015026003</v>
      </c>
      <c r="DB77" s="138">
        <v>63657388.730680585</v>
      </c>
      <c r="DC77" s="138">
        <v>65995192.891159974</v>
      </c>
      <c r="DD77" s="138">
        <v>66410604.684560001</v>
      </c>
      <c r="DE77" s="138"/>
      <c r="DF77" s="138"/>
      <c r="DG77" s="138"/>
      <c r="DH77" s="138"/>
      <c r="DI77" s="138"/>
      <c r="DJ77" s="139">
        <f t="shared" si="165"/>
        <v>63657388.730680585</v>
      </c>
      <c r="DK77" s="139">
        <f t="shared" si="166"/>
        <v>65995192.891159974</v>
      </c>
      <c r="DL77" s="139">
        <f t="shared" si="167"/>
        <v>66410604.684560001</v>
      </c>
      <c r="DM77" s="139">
        <f t="shared" si="168"/>
        <v>0</v>
      </c>
      <c r="DN77" s="139">
        <f t="shared" si="186"/>
        <v>196063186.30640057</v>
      </c>
      <c r="DO77" s="139">
        <f t="shared" si="146"/>
        <v>279565511.6405617</v>
      </c>
      <c r="DP77" s="139">
        <f t="shared" si="169"/>
        <v>279565511.6405617</v>
      </c>
      <c r="DQ77" s="141">
        <f t="shared" si="170"/>
        <v>0.70130000000000003</v>
      </c>
      <c r="DR77" s="142">
        <f t="shared" ca="1" si="195"/>
        <v>0</v>
      </c>
      <c r="DS77" s="140">
        <f t="shared" ca="1" si="196"/>
        <v>0</v>
      </c>
      <c r="DT77" s="144" t="str">
        <f t="shared" si="187"/>
        <v>Uncapped</v>
      </c>
      <c r="DU77" s="140">
        <f t="shared" ca="1" si="197"/>
        <v>0</v>
      </c>
      <c r="DV77" s="138"/>
      <c r="DW77" s="146">
        <v>0</v>
      </c>
      <c r="DX77" s="138"/>
      <c r="DY77" s="138"/>
      <c r="DZ77" s="138">
        <v>0</v>
      </c>
      <c r="EA77" s="138">
        <v>0</v>
      </c>
      <c r="EB77" s="138">
        <v>0</v>
      </c>
      <c r="EC77" s="138">
        <v>0</v>
      </c>
      <c r="ED77" s="138">
        <v>0</v>
      </c>
      <c r="EE77" s="138">
        <v>0</v>
      </c>
      <c r="EF77" s="138"/>
      <c r="EG77" s="138"/>
      <c r="EH77" s="138"/>
      <c r="EI77" s="138"/>
      <c r="EJ77" s="138"/>
      <c r="EK77" s="138"/>
      <c r="EL77" s="139">
        <f t="shared" si="171"/>
        <v>0</v>
      </c>
      <c r="EM77" s="139">
        <f t="shared" si="172"/>
        <v>0</v>
      </c>
      <c r="EN77" s="139">
        <f t="shared" si="173"/>
        <v>0</v>
      </c>
      <c r="EO77" s="139">
        <f t="shared" si="174"/>
        <v>0</v>
      </c>
      <c r="EP77" s="139">
        <f t="shared" si="188"/>
        <v>0</v>
      </c>
      <c r="EQ77" s="139">
        <f t="shared" si="147"/>
        <v>0</v>
      </c>
      <c r="ER77" s="139">
        <f t="shared" si="175"/>
        <v>0</v>
      </c>
      <c r="ES77" s="141">
        <f t="shared" si="176"/>
        <v>0</v>
      </c>
      <c r="ET77" s="142">
        <f t="shared" ca="1" si="177"/>
        <v>0</v>
      </c>
      <c r="EU77" s="140">
        <f t="shared" ca="1" si="198"/>
        <v>0</v>
      </c>
      <c r="EV77" s="144" t="str">
        <f t="shared" si="189"/>
        <v>Uncapped</v>
      </c>
      <c r="EW77" s="140">
        <f t="shared" ca="1" si="199"/>
        <v>0</v>
      </c>
      <c r="EX77" s="137">
        <f t="shared" ca="1" si="200"/>
        <v>0</v>
      </c>
      <c r="EY77" s="139">
        <f t="shared" ca="1" si="178"/>
        <v>0</v>
      </c>
      <c r="EZ77" s="140">
        <v>0</v>
      </c>
      <c r="FA77" s="140"/>
      <c r="FB77" s="140"/>
      <c r="FC77" s="140">
        <v>0</v>
      </c>
      <c r="FD77" s="140">
        <f t="shared" si="148"/>
        <v>0</v>
      </c>
      <c r="FE77" s="139">
        <f t="shared" si="140"/>
        <v>0</v>
      </c>
      <c r="FF77" s="140">
        <v>0</v>
      </c>
      <c r="FG77" s="140">
        <v>0</v>
      </c>
      <c r="FH77" s="140">
        <v>0</v>
      </c>
      <c r="FI77" s="140">
        <v>0</v>
      </c>
      <c r="FJ77" s="140">
        <f t="shared" si="149"/>
        <v>0</v>
      </c>
      <c r="FK77" s="139">
        <f t="shared" si="141"/>
        <v>0</v>
      </c>
      <c r="FL77" s="138"/>
      <c r="FM77" s="136"/>
      <c r="FN77" s="136"/>
      <c r="FO77" s="136"/>
      <c r="FP77" s="140">
        <f t="shared" si="216"/>
        <v>0</v>
      </c>
      <c r="FQ77" s="140"/>
      <c r="FR77" s="140"/>
      <c r="FS77" s="140"/>
      <c r="FT77" s="139">
        <f t="shared" si="209"/>
        <v>0</v>
      </c>
      <c r="FU77" s="365">
        <f t="shared" ca="1" si="210"/>
        <v>0</v>
      </c>
      <c r="FV77" s="147">
        <f t="shared" ca="1" si="211"/>
        <v>0</v>
      </c>
      <c r="FW77" s="139">
        <f t="shared" si="218"/>
        <v>0</v>
      </c>
      <c r="FX77" s="139">
        <f t="shared" si="218"/>
        <v>0</v>
      </c>
      <c r="FY77" s="139">
        <f t="shared" si="218"/>
        <v>0</v>
      </c>
      <c r="FZ77" s="139">
        <f t="shared" si="218"/>
        <v>0</v>
      </c>
      <c r="GA77" s="139">
        <f t="shared" si="89"/>
        <v>0</v>
      </c>
      <c r="GB77" s="139">
        <f t="shared" si="219"/>
        <v>0</v>
      </c>
      <c r="GC77" s="139">
        <f t="shared" si="219"/>
        <v>0</v>
      </c>
      <c r="GD77" s="139">
        <f t="shared" si="219"/>
        <v>0</v>
      </c>
      <c r="GE77" s="139">
        <f t="shared" si="219"/>
        <v>0</v>
      </c>
      <c r="GF77" s="139">
        <f t="shared" ref="GF77:GI113" si="220">GB77+FW77</f>
        <v>0</v>
      </c>
      <c r="GG77" s="139">
        <f t="shared" si="220"/>
        <v>0</v>
      </c>
      <c r="GH77" s="139">
        <f t="shared" si="220"/>
        <v>0</v>
      </c>
      <c r="GI77" s="139">
        <f t="shared" si="220"/>
        <v>0</v>
      </c>
      <c r="GJ77" s="140">
        <f t="shared" si="150"/>
        <v>0</v>
      </c>
      <c r="GK77" s="139">
        <f t="shared" si="90"/>
        <v>0</v>
      </c>
      <c r="GL77" s="139">
        <f t="shared" si="201"/>
        <v>0</v>
      </c>
      <c r="GM77" s="139">
        <f t="shared" si="202"/>
        <v>0</v>
      </c>
      <c r="GN77" s="139">
        <f t="shared" si="203"/>
        <v>0</v>
      </c>
      <c r="GO77" s="139">
        <f t="shared" si="204"/>
        <v>0</v>
      </c>
      <c r="GP77" s="139">
        <f t="shared" si="151"/>
        <v>0</v>
      </c>
      <c r="GQ77" s="139">
        <f t="shared" si="91"/>
        <v>0</v>
      </c>
      <c r="GR77" s="409"/>
      <c r="GS77" s="148">
        <f t="shared" si="205"/>
        <v>236316569.16417056</v>
      </c>
      <c r="GT77" s="148">
        <f t="shared" si="206"/>
        <v>334663255.49264944</v>
      </c>
      <c r="GU77" s="149">
        <f t="shared" si="92"/>
        <v>0.70613240409764988</v>
      </c>
      <c r="GV77" s="150">
        <f t="shared" ca="1" si="207"/>
        <v>0</v>
      </c>
      <c r="GW77" s="150">
        <v>0</v>
      </c>
      <c r="GX77" s="151">
        <f t="shared" ca="1" si="208"/>
        <v>0</v>
      </c>
      <c r="GY77" s="100"/>
    </row>
    <row r="78" spans="1:207" s="128" customFormat="1" ht="15" hidden="1" customHeight="1">
      <c r="A78" s="102"/>
      <c r="B78" s="103"/>
      <c r="C78" s="103"/>
      <c r="D78" s="104"/>
      <c r="E78" s="113" t="s">
        <v>388</v>
      </c>
      <c r="F78" s="113" t="s">
        <v>388</v>
      </c>
      <c r="G78" s="104" t="s">
        <v>226</v>
      </c>
      <c r="H78" s="105" t="s">
        <v>406</v>
      </c>
      <c r="I78" s="106" t="s">
        <v>407</v>
      </c>
      <c r="J78" s="104" t="s">
        <v>212</v>
      </c>
      <c r="K78" s="104" t="s">
        <v>218</v>
      </c>
      <c r="L78" s="104" t="s">
        <v>213</v>
      </c>
      <c r="M78" s="104" t="s">
        <v>388</v>
      </c>
      <c r="N78" s="107"/>
      <c r="O78" s="108">
        <v>41430</v>
      </c>
      <c r="P78" s="108">
        <v>42856</v>
      </c>
      <c r="Q78" s="322">
        <f t="shared" si="179"/>
        <v>0</v>
      </c>
      <c r="R78" s="109">
        <f>IF((P78-VLOOKUP(Q78,month!$A$1:$C$13,3,0))&lt;0,Q78,Q78+1)</f>
        <v>0</v>
      </c>
      <c r="S78" s="108"/>
      <c r="T78" s="127" t="str">
        <f t="shared" si="215"/>
        <v/>
      </c>
      <c r="U78" s="107"/>
      <c r="V78" s="107"/>
      <c r="W78" s="107"/>
      <c r="X78" s="107"/>
      <c r="Y78" s="386"/>
      <c r="Z78" s="386" t="s">
        <v>545</v>
      </c>
      <c r="AA78" s="387">
        <v>1000</v>
      </c>
      <c r="AB78" s="387">
        <v>1000</v>
      </c>
      <c r="AC78" s="387">
        <v>1000</v>
      </c>
      <c r="AD78" s="387">
        <v>1000</v>
      </c>
      <c r="AE78" s="387">
        <v>1000</v>
      </c>
      <c r="AF78" s="387">
        <v>1000</v>
      </c>
      <c r="AG78" s="387">
        <v>1000</v>
      </c>
      <c r="AH78" s="387">
        <v>1000</v>
      </c>
      <c r="AI78" s="387">
        <v>1000</v>
      </c>
      <c r="AJ78" s="387">
        <v>1000</v>
      </c>
      <c r="AK78" s="387">
        <v>1000</v>
      </c>
      <c r="AL78" s="387">
        <v>1000</v>
      </c>
      <c r="AM78" s="388">
        <f t="shared" si="142"/>
        <v>12000</v>
      </c>
      <c r="AN78" s="388">
        <f t="shared" si="180"/>
        <v>12000</v>
      </c>
      <c r="AO78" s="389">
        <f t="shared" si="217"/>
        <v>1000</v>
      </c>
      <c r="AP78" s="498" t="s">
        <v>671</v>
      </c>
      <c r="AQ78" s="159">
        <v>0.4</v>
      </c>
      <c r="AR78" s="160" t="s">
        <v>392</v>
      </c>
      <c r="AS78" s="119" t="s">
        <v>210</v>
      </c>
      <c r="AT78" s="111">
        <v>188776.66853570245</v>
      </c>
      <c r="AU78" s="111">
        <v>496405.0245895111</v>
      </c>
      <c r="AV78" s="111">
        <v>360697.30693373369</v>
      </c>
      <c r="AW78" s="111">
        <v>377621.18223269813</v>
      </c>
      <c r="AX78" s="113">
        <v>249665.80499999996</v>
      </c>
      <c r="AY78" s="113">
        <v>296469.08999999997</v>
      </c>
      <c r="AZ78" s="113">
        <v>290460.87000000011</v>
      </c>
      <c r="BA78" s="113"/>
      <c r="BB78" s="113"/>
      <c r="BC78" s="113"/>
      <c r="BD78" s="113"/>
      <c r="BE78" s="113"/>
      <c r="BF78" s="114">
        <f t="shared" si="152"/>
        <v>249665.80499999996</v>
      </c>
      <c r="BG78" s="114">
        <f t="shared" si="153"/>
        <v>296469.08999999997</v>
      </c>
      <c r="BH78" s="114">
        <f t="shared" si="154"/>
        <v>290460.87000000011</v>
      </c>
      <c r="BI78" s="114">
        <f t="shared" si="155"/>
        <v>0</v>
      </c>
      <c r="BJ78" s="114">
        <f t="shared" si="182"/>
        <v>836595.76500000001</v>
      </c>
      <c r="BK78" s="115">
        <f t="shared" si="144"/>
        <v>1423500.1822916453</v>
      </c>
      <c r="BL78" s="115">
        <f t="shared" si="156"/>
        <v>1423500.1822916453</v>
      </c>
      <c r="BM78" s="116">
        <f t="shared" si="157"/>
        <v>0.5877</v>
      </c>
      <c r="BN78" s="126">
        <f t="shared" ca="1" si="190"/>
        <v>0</v>
      </c>
      <c r="BO78" s="117">
        <f t="shared" ca="1" si="191"/>
        <v>0</v>
      </c>
      <c r="BP78" s="118" t="str">
        <f t="shared" si="183"/>
        <v>Uncapped</v>
      </c>
      <c r="BQ78" s="115">
        <f t="shared" ca="1" si="192"/>
        <v>0</v>
      </c>
      <c r="BR78" s="113" t="s">
        <v>691</v>
      </c>
      <c r="BS78" s="159">
        <v>0.4</v>
      </c>
      <c r="BT78" s="160" t="s">
        <v>211</v>
      </c>
      <c r="BU78" s="160" t="s">
        <v>210</v>
      </c>
      <c r="BV78" s="113">
        <v>2250158.1834510453</v>
      </c>
      <c r="BW78" s="113">
        <v>2637050.2133630039</v>
      </c>
      <c r="BX78" s="113">
        <v>2707057.1062586419</v>
      </c>
      <c r="BY78" s="113">
        <v>2995026.9867832442</v>
      </c>
      <c r="BZ78" s="113">
        <v>2354679.7731999811</v>
      </c>
      <c r="CA78" s="113">
        <v>2482064.5458999714</v>
      </c>
      <c r="CB78" s="113">
        <v>2387052.07989995</v>
      </c>
      <c r="CC78" s="113"/>
      <c r="CD78" s="113"/>
      <c r="CE78" s="113"/>
      <c r="CF78" s="113"/>
      <c r="CG78" s="113"/>
      <c r="CH78" s="114">
        <f t="shared" si="158"/>
        <v>2354679.7731999811</v>
      </c>
      <c r="CI78" s="114">
        <f t="shared" si="159"/>
        <v>2482064.5458999714</v>
      </c>
      <c r="CJ78" s="120">
        <f t="shared" si="160"/>
        <v>2387052.07989995</v>
      </c>
      <c r="CK78" s="114">
        <f t="shared" si="161"/>
        <v>0</v>
      </c>
      <c r="CL78" s="114">
        <f t="shared" si="184"/>
        <v>7223796.3989999024</v>
      </c>
      <c r="CM78" s="114">
        <f t="shared" si="145"/>
        <v>10589292.489855936</v>
      </c>
      <c r="CN78" s="114">
        <f t="shared" si="162"/>
        <v>10589292.489855936</v>
      </c>
      <c r="CO78" s="116">
        <f t="shared" si="163"/>
        <v>0.68220000000000003</v>
      </c>
      <c r="CP78" s="126">
        <f t="shared" ca="1" si="164"/>
        <v>0</v>
      </c>
      <c r="CQ78" s="115">
        <f t="shared" ca="1" si="193"/>
        <v>0</v>
      </c>
      <c r="CR78" s="118" t="str">
        <f t="shared" si="185"/>
        <v>Uncapped</v>
      </c>
      <c r="CS78" s="115">
        <f t="shared" ca="1" si="194"/>
        <v>0</v>
      </c>
      <c r="CT78" s="113" t="s">
        <v>695</v>
      </c>
      <c r="CU78" s="119">
        <v>0.2</v>
      </c>
      <c r="CV78" s="113" t="s">
        <v>217</v>
      </c>
      <c r="CW78" s="113" t="s">
        <v>210</v>
      </c>
      <c r="CX78" s="113">
        <v>3218524.2772395075</v>
      </c>
      <c r="CY78" s="113">
        <v>4891430.2869874602</v>
      </c>
      <c r="CZ78" s="113">
        <v>4404508.3401344651</v>
      </c>
      <c r="DA78" s="113">
        <v>4778876.6076220032</v>
      </c>
      <c r="DB78" s="113">
        <v>3447884.2731999811</v>
      </c>
      <c r="DC78" s="113">
        <v>5129221.4675999712</v>
      </c>
      <c r="DD78" s="113">
        <v>4393334.4853999503</v>
      </c>
      <c r="DE78" s="113"/>
      <c r="DF78" s="113"/>
      <c r="DG78" s="113"/>
      <c r="DH78" s="113"/>
      <c r="DI78" s="113"/>
      <c r="DJ78" s="114">
        <f t="shared" si="165"/>
        <v>3447884.2731999811</v>
      </c>
      <c r="DK78" s="114">
        <f t="shared" si="166"/>
        <v>5129221.4675999712</v>
      </c>
      <c r="DL78" s="114">
        <f t="shared" si="167"/>
        <v>4393334.4853999503</v>
      </c>
      <c r="DM78" s="114">
        <f t="shared" si="168"/>
        <v>0</v>
      </c>
      <c r="DN78" s="114">
        <f t="shared" si="186"/>
        <v>12970440.226199903</v>
      </c>
      <c r="DO78" s="114">
        <f t="shared" si="146"/>
        <v>17293339.511983439</v>
      </c>
      <c r="DP78" s="114">
        <f t="shared" si="169"/>
        <v>17293339.511983439</v>
      </c>
      <c r="DQ78" s="116">
        <f t="shared" si="170"/>
        <v>0.75</v>
      </c>
      <c r="DR78" s="126">
        <f t="shared" ca="1" si="195"/>
        <v>0</v>
      </c>
      <c r="DS78" s="115">
        <f t="shared" ca="1" si="196"/>
        <v>0</v>
      </c>
      <c r="DT78" s="118" t="str">
        <f t="shared" si="187"/>
        <v>Uncapped</v>
      </c>
      <c r="DU78" s="115">
        <f t="shared" ca="1" si="197"/>
        <v>0</v>
      </c>
      <c r="DV78" s="113"/>
      <c r="DW78" s="119">
        <v>0</v>
      </c>
      <c r="DX78" s="113"/>
      <c r="DY78" s="113"/>
      <c r="DZ78" s="113">
        <v>0</v>
      </c>
      <c r="EA78" s="113">
        <v>0</v>
      </c>
      <c r="EB78" s="113">
        <v>0</v>
      </c>
      <c r="EC78" s="113">
        <v>0</v>
      </c>
      <c r="ED78" s="113">
        <v>0</v>
      </c>
      <c r="EE78" s="113">
        <v>0</v>
      </c>
      <c r="EF78" s="113"/>
      <c r="EG78" s="113"/>
      <c r="EH78" s="113"/>
      <c r="EI78" s="113"/>
      <c r="EJ78" s="113"/>
      <c r="EK78" s="113"/>
      <c r="EL78" s="114">
        <f t="shared" si="171"/>
        <v>0</v>
      </c>
      <c r="EM78" s="114">
        <f t="shared" si="172"/>
        <v>0</v>
      </c>
      <c r="EN78" s="114">
        <f t="shared" si="173"/>
        <v>0</v>
      </c>
      <c r="EO78" s="114">
        <f t="shared" si="174"/>
        <v>0</v>
      </c>
      <c r="EP78" s="114">
        <f t="shared" si="188"/>
        <v>0</v>
      </c>
      <c r="EQ78" s="114">
        <f t="shared" si="147"/>
        <v>0</v>
      </c>
      <c r="ER78" s="114">
        <f t="shared" si="175"/>
        <v>0</v>
      </c>
      <c r="ES78" s="116">
        <f t="shared" si="176"/>
        <v>0</v>
      </c>
      <c r="ET78" s="126">
        <f t="shared" ca="1" si="177"/>
        <v>0</v>
      </c>
      <c r="EU78" s="115">
        <f t="shared" ca="1" si="198"/>
        <v>0</v>
      </c>
      <c r="EV78" s="118" t="str">
        <f t="shared" si="189"/>
        <v>Uncapped</v>
      </c>
      <c r="EW78" s="115">
        <f t="shared" ca="1" si="199"/>
        <v>0</v>
      </c>
      <c r="EX78" s="112">
        <f t="shared" ca="1" si="200"/>
        <v>0</v>
      </c>
      <c r="EY78" s="114">
        <f t="shared" ca="1" si="178"/>
        <v>0</v>
      </c>
      <c r="EZ78" s="115">
        <v>0</v>
      </c>
      <c r="FA78" s="115"/>
      <c r="FB78" s="115"/>
      <c r="FC78" s="115">
        <v>0</v>
      </c>
      <c r="FD78" s="115">
        <f t="shared" si="148"/>
        <v>0</v>
      </c>
      <c r="FE78" s="114">
        <f t="shared" si="140"/>
        <v>0</v>
      </c>
      <c r="FF78" s="115">
        <v>0</v>
      </c>
      <c r="FG78" s="115">
        <v>0</v>
      </c>
      <c r="FH78" s="115">
        <v>0</v>
      </c>
      <c r="FI78" s="115">
        <v>0</v>
      </c>
      <c r="FJ78" s="115">
        <f t="shared" si="149"/>
        <v>0</v>
      </c>
      <c r="FK78" s="114">
        <f t="shared" si="141"/>
        <v>0</v>
      </c>
      <c r="FL78" s="113"/>
      <c r="FM78" s="111"/>
      <c r="FN78" s="111"/>
      <c r="FO78" s="111"/>
      <c r="FP78" s="115">
        <f t="shared" si="216"/>
        <v>0</v>
      </c>
      <c r="FQ78" s="115"/>
      <c r="FR78" s="115"/>
      <c r="FS78" s="115"/>
      <c r="FT78" s="114">
        <f t="shared" si="209"/>
        <v>0</v>
      </c>
      <c r="FU78" s="366">
        <f t="shared" ca="1" si="210"/>
        <v>0</v>
      </c>
      <c r="FV78" s="121">
        <f t="shared" ca="1" si="211"/>
        <v>0</v>
      </c>
      <c r="FW78" s="114">
        <f t="shared" si="218"/>
        <v>0</v>
      </c>
      <c r="FX78" s="114">
        <f t="shared" si="218"/>
        <v>0</v>
      </c>
      <c r="FY78" s="114">
        <f t="shared" si="218"/>
        <v>0</v>
      </c>
      <c r="FZ78" s="114">
        <f t="shared" si="218"/>
        <v>0</v>
      </c>
      <c r="GA78" s="114">
        <f t="shared" si="89"/>
        <v>0</v>
      </c>
      <c r="GB78" s="114">
        <f t="shared" si="219"/>
        <v>0</v>
      </c>
      <c r="GC78" s="114">
        <f t="shared" si="219"/>
        <v>0</v>
      </c>
      <c r="GD78" s="114">
        <f t="shared" si="219"/>
        <v>0</v>
      </c>
      <c r="GE78" s="114">
        <f t="shared" si="219"/>
        <v>0</v>
      </c>
      <c r="GF78" s="114">
        <f t="shared" si="220"/>
        <v>0</v>
      </c>
      <c r="GG78" s="114">
        <f t="shared" si="220"/>
        <v>0</v>
      </c>
      <c r="GH78" s="114">
        <f t="shared" si="220"/>
        <v>0</v>
      </c>
      <c r="GI78" s="114">
        <f t="shared" si="220"/>
        <v>0</v>
      </c>
      <c r="GJ78" s="115">
        <f t="shared" si="150"/>
        <v>0</v>
      </c>
      <c r="GK78" s="114">
        <f t="shared" si="90"/>
        <v>0</v>
      </c>
      <c r="GL78" s="114">
        <f t="shared" si="201"/>
        <v>0</v>
      </c>
      <c r="GM78" s="114">
        <f t="shared" si="202"/>
        <v>0</v>
      </c>
      <c r="GN78" s="114">
        <f t="shared" si="203"/>
        <v>0</v>
      </c>
      <c r="GO78" s="114">
        <f t="shared" si="204"/>
        <v>0</v>
      </c>
      <c r="GP78" s="114">
        <f t="shared" si="151"/>
        <v>0</v>
      </c>
      <c r="GQ78" s="114">
        <f t="shared" si="91"/>
        <v>0</v>
      </c>
      <c r="GR78" s="193"/>
      <c r="GS78" s="122">
        <f t="shared" si="205"/>
        <v>21030832.390199803</v>
      </c>
      <c r="GT78" s="122">
        <f t="shared" si="206"/>
        <v>29306132.184131019</v>
      </c>
      <c r="GU78" s="123">
        <f t="shared" si="92"/>
        <v>0.71762565793611588</v>
      </c>
      <c r="GV78" s="124">
        <f t="shared" ca="1" si="207"/>
        <v>0</v>
      </c>
      <c r="GW78" s="124">
        <v>0</v>
      </c>
      <c r="GX78" s="32">
        <f t="shared" ca="1" si="208"/>
        <v>0</v>
      </c>
      <c r="GY78" s="100"/>
    </row>
    <row r="79" spans="1:207" s="125" customFormat="1" ht="15" hidden="1" customHeight="1">
      <c r="A79" s="102"/>
      <c r="B79" s="103"/>
      <c r="C79" s="103"/>
      <c r="D79" s="104"/>
      <c r="E79" s="113" t="s">
        <v>388</v>
      </c>
      <c r="F79" s="113" t="s">
        <v>388</v>
      </c>
      <c r="G79" s="104" t="s">
        <v>226</v>
      </c>
      <c r="H79" s="105" t="s">
        <v>408</v>
      </c>
      <c r="I79" s="106" t="s">
        <v>409</v>
      </c>
      <c r="J79" s="104" t="s">
        <v>212</v>
      </c>
      <c r="K79" s="104" t="s">
        <v>218</v>
      </c>
      <c r="L79" s="104" t="s">
        <v>213</v>
      </c>
      <c r="M79" s="104" t="s">
        <v>388</v>
      </c>
      <c r="N79" s="107"/>
      <c r="O79" s="108">
        <v>41430</v>
      </c>
      <c r="P79" s="108">
        <v>41640</v>
      </c>
      <c r="Q79" s="322">
        <f t="shared" si="179"/>
        <v>0</v>
      </c>
      <c r="R79" s="109">
        <f>IF((P79-VLOOKUP(Q79,month!$A$1:$C$13,3,0))&lt;0,Q79,Q79+1)</f>
        <v>0</v>
      </c>
      <c r="S79" s="108"/>
      <c r="T79" s="110" t="str">
        <f t="shared" si="215"/>
        <v/>
      </c>
      <c r="U79" s="107"/>
      <c r="V79" s="107"/>
      <c r="W79" s="107"/>
      <c r="X79" s="107"/>
      <c r="Y79" s="386"/>
      <c r="Z79" s="386" t="s">
        <v>545</v>
      </c>
      <c r="AA79" s="387">
        <v>1000</v>
      </c>
      <c r="AB79" s="387">
        <v>1000</v>
      </c>
      <c r="AC79" s="387">
        <v>1000</v>
      </c>
      <c r="AD79" s="387">
        <v>1000</v>
      </c>
      <c r="AE79" s="387">
        <v>1000</v>
      </c>
      <c r="AF79" s="387">
        <v>1000</v>
      </c>
      <c r="AG79" s="387">
        <v>1000</v>
      </c>
      <c r="AH79" s="387">
        <v>1000</v>
      </c>
      <c r="AI79" s="387">
        <v>1000</v>
      </c>
      <c r="AJ79" s="387">
        <v>1000</v>
      </c>
      <c r="AK79" s="387">
        <v>1000</v>
      </c>
      <c r="AL79" s="387">
        <v>1000</v>
      </c>
      <c r="AM79" s="388">
        <f t="shared" si="142"/>
        <v>12000</v>
      </c>
      <c r="AN79" s="388">
        <f t="shared" si="180"/>
        <v>12000</v>
      </c>
      <c r="AO79" s="389">
        <f t="shared" si="217"/>
        <v>1000</v>
      </c>
      <c r="AP79" s="498" t="s">
        <v>671</v>
      </c>
      <c r="AQ79" s="159">
        <v>0.4</v>
      </c>
      <c r="AR79" s="160" t="s">
        <v>392</v>
      </c>
      <c r="AS79" s="119" t="s">
        <v>210</v>
      </c>
      <c r="AT79" s="111">
        <v>123959.04886597887</v>
      </c>
      <c r="AU79" s="111">
        <v>308643.88949107425</v>
      </c>
      <c r="AV79" s="111">
        <v>234201.17258112875</v>
      </c>
      <c r="AW79" s="111">
        <v>263171.21434825927</v>
      </c>
      <c r="AX79" s="113">
        <v>34004.699999999997</v>
      </c>
      <c r="AY79" s="113">
        <v>439587.16200000001</v>
      </c>
      <c r="AZ79" s="113">
        <v>525637.96199999994</v>
      </c>
      <c r="BA79" s="113"/>
      <c r="BB79" s="113"/>
      <c r="BC79" s="113"/>
      <c r="BD79" s="113"/>
      <c r="BE79" s="113"/>
      <c r="BF79" s="114">
        <f t="shared" si="152"/>
        <v>34004.699999999997</v>
      </c>
      <c r="BG79" s="114">
        <f t="shared" si="153"/>
        <v>439587.16200000001</v>
      </c>
      <c r="BH79" s="114">
        <f t="shared" si="154"/>
        <v>525637.96199999994</v>
      </c>
      <c r="BI79" s="114">
        <f t="shared" si="155"/>
        <v>0</v>
      </c>
      <c r="BJ79" s="114">
        <f t="shared" si="182"/>
        <v>999229.82400000002</v>
      </c>
      <c r="BK79" s="115">
        <f t="shared" si="144"/>
        <v>929975.32528644113</v>
      </c>
      <c r="BL79" s="115">
        <f t="shared" si="156"/>
        <v>929975.32528644113</v>
      </c>
      <c r="BM79" s="116">
        <f t="shared" si="157"/>
        <v>1.0745</v>
      </c>
      <c r="BN79" s="126">
        <f t="shared" ca="1" si="190"/>
        <v>0</v>
      </c>
      <c r="BO79" s="117">
        <f t="shared" ca="1" si="191"/>
        <v>0</v>
      </c>
      <c r="BP79" s="118" t="str">
        <f t="shared" si="183"/>
        <v>Uncapped</v>
      </c>
      <c r="BQ79" s="115">
        <f t="shared" ca="1" si="192"/>
        <v>0</v>
      </c>
      <c r="BR79" s="113" t="s">
        <v>691</v>
      </c>
      <c r="BS79" s="159">
        <v>0.4</v>
      </c>
      <c r="BT79" s="160" t="s">
        <v>211</v>
      </c>
      <c r="BU79" s="160" t="s">
        <v>210</v>
      </c>
      <c r="BV79" s="113">
        <v>2616407.1981056477</v>
      </c>
      <c r="BW79" s="113">
        <v>3516179.7032821518</v>
      </c>
      <c r="BX79" s="113">
        <v>3720581.9762100568</v>
      </c>
      <c r="BY79" s="113">
        <v>4249439.0333433365</v>
      </c>
      <c r="BZ79" s="113">
        <v>2600578.9209999898</v>
      </c>
      <c r="CA79" s="113">
        <v>2812623.530200005</v>
      </c>
      <c r="CB79" s="113">
        <v>3288683.4781000158</v>
      </c>
      <c r="CC79" s="113"/>
      <c r="CD79" s="113"/>
      <c r="CE79" s="113"/>
      <c r="CF79" s="113"/>
      <c r="CG79" s="113"/>
      <c r="CH79" s="114">
        <f t="shared" si="158"/>
        <v>2600578.9209999898</v>
      </c>
      <c r="CI79" s="114">
        <f t="shared" si="159"/>
        <v>2812623.530200005</v>
      </c>
      <c r="CJ79" s="120">
        <f t="shared" si="160"/>
        <v>3288683.4781000158</v>
      </c>
      <c r="CK79" s="114">
        <f t="shared" si="161"/>
        <v>0</v>
      </c>
      <c r="CL79" s="114">
        <f t="shared" si="184"/>
        <v>8701885.9293000102</v>
      </c>
      <c r="CM79" s="114">
        <f t="shared" si="145"/>
        <v>14102607.910941195</v>
      </c>
      <c r="CN79" s="114">
        <f t="shared" si="162"/>
        <v>14102607.910941195</v>
      </c>
      <c r="CO79" s="116">
        <f t="shared" si="163"/>
        <v>0.61699999999999999</v>
      </c>
      <c r="CP79" s="126">
        <f t="shared" ca="1" si="164"/>
        <v>0</v>
      </c>
      <c r="CQ79" s="115">
        <f t="shared" ca="1" si="193"/>
        <v>0</v>
      </c>
      <c r="CR79" s="118" t="str">
        <f t="shared" si="185"/>
        <v>Uncapped</v>
      </c>
      <c r="CS79" s="115">
        <f t="shared" ca="1" si="194"/>
        <v>0</v>
      </c>
      <c r="CT79" s="113" t="s">
        <v>695</v>
      </c>
      <c r="CU79" s="119">
        <v>0.2</v>
      </c>
      <c r="CV79" s="113" t="s">
        <v>217</v>
      </c>
      <c r="CW79" s="113" t="s">
        <v>210</v>
      </c>
      <c r="CX79" s="113">
        <v>3388073.5421928586</v>
      </c>
      <c r="CY79" s="113">
        <v>5062451.297281133</v>
      </c>
      <c r="CZ79" s="113">
        <v>5007580.1611671867</v>
      </c>
      <c r="DA79" s="113">
        <v>5631651.4300548239</v>
      </c>
      <c r="DB79" s="113">
        <v>3247390.7157999901</v>
      </c>
      <c r="DC79" s="113">
        <v>4335350.6797000095</v>
      </c>
      <c r="DD79" s="113">
        <v>4536881.2534000156</v>
      </c>
      <c r="DE79" s="113"/>
      <c r="DF79" s="113"/>
      <c r="DG79" s="113"/>
      <c r="DH79" s="113"/>
      <c r="DI79" s="113"/>
      <c r="DJ79" s="114">
        <f t="shared" si="165"/>
        <v>3247390.7157999901</v>
      </c>
      <c r="DK79" s="114">
        <f t="shared" si="166"/>
        <v>4335350.6797000095</v>
      </c>
      <c r="DL79" s="114">
        <f t="shared" si="167"/>
        <v>4536881.2534000156</v>
      </c>
      <c r="DM79" s="114">
        <f t="shared" si="168"/>
        <v>0</v>
      </c>
      <c r="DN79" s="114">
        <f t="shared" si="186"/>
        <v>12119622.648900015</v>
      </c>
      <c r="DO79" s="114">
        <f t="shared" si="146"/>
        <v>19089756.430696003</v>
      </c>
      <c r="DP79" s="114">
        <f t="shared" si="169"/>
        <v>19089756.430696003</v>
      </c>
      <c r="DQ79" s="116">
        <f t="shared" si="170"/>
        <v>0.63490000000000002</v>
      </c>
      <c r="DR79" s="126">
        <f t="shared" ca="1" si="195"/>
        <v>0</v>
      </c>
      <c r="DS79" s="115">
        <f t="shared" ca="1" si="196"/>
        <v>0</v>
      </c>
      <c r="DT79" s="118" t="str">
        <f t="shared" si="187"/>
        <v>Uncapped</v>
      </c>
      <c r="DU79" s="115">
        <f t="shared" ca="1" si="197"/>
        <v>0</v>
      </c>
      <c r="DV79" s="113"/>
      <c r="DW79" s="119">
        <v>0</v>
      </c>
      <c r="DX79" s="113"/>
      <c r="DY79" s="113"/>
      <c r="DZ79" s="113">
        <v>0</v>
      </c>
      <c r="EA79" s="113">
        <v>0</v>
      </c>
      <c r="EB79" s="113">
        <v>0</v>
      </c>
      <c r="EC79" s="113">
        <v>0</v>
      </c>
      <c r="ED79" s="113">
        <v>0</v>
      </c>
      <c r="EE79" s="113">
        <v>0</v>
      </c>
      <c r="EF79" s="113"/>
      <c r="EG79" s="113"/>
      <c r="EH79" s="113"/>
      <c r="EI79" s="113"/>
      <c r="EJ79" s="113"/>
      <c r="EK79" s="113"/>
      <c r="EL79" s="114">
        <f t="shared" si="171"/>
        <v>0</v>
      </c>
      <c r="EM79" s="114">
        <f t="shared" si="172"/>
        <v>0</v>
      </c>
      <c r="EN79" s="114">
        <f t="shared" si="173"/>
        <v>0</v>
      </c>
      <c r="EO79" s="114">
        <f t="shared" si="174"/>
        <v>0</v>
      </c>
      <c r="EP79" s="114">
        <f t="shared" si="188"/>
        <v>0</v>
      </c>
      <c r="EQ79" s="114">
        <f t="shared" si="147"/>
        <v>0</v>
      </c>
      <c r="ER79" s="114">
        <f t="shared" si="175"/>
        <v>0</v>
      </c>
      <c r="ES79" s="116">
        <f t="shared" si="176"/>
        <v>0</v>
      </c>
      <c r="ET79" s="126">
        <f t="shared" ca="1" si="177"/>
        <v>0</v>
      </c>
      <c r="EU79" s="115">
        <f t="shared" ca="1" si="198"/>
        <v>0</v>
      </c>
      <c r="EV79" s="118" t="str">
        <f t="shared" si="189"/>
        <v>Uncapped</v>
      </c>
      <c r="EW79" s="115">
        <f t="shared" ca="1" si="199"/>
        <v>0</v>
      </c>
      <c r="EX79" s="112">
        <f t="shared" ca="1" si="200"/>
        <v>0</v>
      </c>
      <c r="EY79" s="114">
        <f t="shared" ca="1" si="178"/>
        <v>0</v>
      </c>
      <c r="EZ79" s="115">
        <v>0</v>
      </c>
      <c r="FA79" s="115"/>
      <c r="FB79" s="115"/>
      <c r="FC79" s="115">
        <v>0</v>
      </c>
      <c r="FD79" s="115">
        <f t="shared" si="148"/>
        <v>0</v>
      </c>
      <c r="FE79" s="114">
        <f t="shared" si="140"/>
        <v>0</v>
      </c>
      <c r="FF79" s="115">
        <v>0</v>
      </c>
      <c r="FG79" s="115">
        <v>0</v>
      </c>
      <c r="FH79" s="115">
        <v>0</v>
      </c>
      <c r="FI79" s="115">
        <v>0</v>
      </c>
      <c r="FJ79" s="115">
        <f t="shared" si="149"/>
        <v>0</v>
      </c>
      <c r="FK79" s="114">
        <f t="shared" si="141"/>
        <v>0</v>
      </c>
      <c r="FL79" s="113"/>
      <c r="FM79" s="111"/>
      <c r="FN79" s="111"/>
      <c r="FO79" s="111"/>
      <c r="FP79" s="115">
        <f t="shared" si="216"/>
        <v>0</v>
      </c>
      <c r="FQ79" s="115"/>
      <c r="FR79" s="115"/>
      <c r="FS79" s="115"/>
      <c r="FT79" s="114">
        <f t="shared" si="209"/>
        <v>0</v>
      </c>
      <c r="FU79" s="366">
        <f t="shared" ca="1" si="210"/>
        <v>0</v>
      </c>
      <c r="FV79" s="121">
        <f t="shared" ca="1" si="211"/>
        <v>0</v>
      </c>
      <c r="FW79" s="114">
        <f t="shared" si="218"/>
        <v>0</v>
      </c>
      <c r="FX79" s="114">
        <f t="shared" si="218"/>
        <v>0</v>
      </c>
      <c r="FY79" s="114">
        <f t="shared" si="218"/>
        <v>0</v>
      </c>
      <c r="FZ79" s="114">
        <f t="shared" si="218"/>
        <v>0</v>
      </c>
      <c r="GA79" s="114">
        <f t="shared" si="89"/>
        <v>0</v>
      </c>
      <c r="GB79" s="114">
        <f t="shared" si="219"/>
        <v>0</v>
      </c>
      <c r="GC79" s="114">
        <f t="shared" si="219"/>
        <v>0</v>
      </c>
      <c r="GD79" s="114">
        <f t="shared" si="219"/>
        <v>0</v>
      </c>
      <c r="GE79" s="114">
        <f t="shared" si="219"/>
        <v>0</v>
      </c>
      <c r="GF79" s="114">
        <f t="shared" si="220"/>
        <v>0</v>
      </c>
      <c r="GG79" s="114">
        <f t="shared" si="220"/>
        <v>0</v>
      </c>
      <c r="GH79" s="114">
        <f t="shared" si="220"/>
        <v>0</v>
      </c>
      <c r="GI79" s="114">
        <f t="shared" si="220"/>
        <v>0</v>
      </c>
      <c r="GJ79" s="115">
        <f t="shared" si="150"/>
        <v>0</v>
      </c>
      <c r="GK79" s="114">
        <f t="shared" si="90"/>
        <v>0</v>
      </c>
      <c r="GL79" s="114">
        <f t="shared" si="201"/>
        <v>0</v>
      </c>
      <c r="GM79" s="114">
        <f t="shared" si="202"/>
        <v>0</v>
      </c>
      <c r="GN79" s="114">
        <f t="shared" si="203"/>
        <v>0</v>
      </c>
      <c r="GO79" s="114">
        <f t="shared" si="204"/>
        <v>0</v>
      </c>
      <c r="GP79" s="114">
        <f t="shared" si="151"/>
        <v>0</v>
      </c>
      <c r="GQ79" s="114">
        <f t="shared" si="91"/>
        <v>0</v>
      </c>
      <c r="GR79" s="193"/>
      <c r="GS79" s="122">
        <f t="shared" si="205"/>
        <v>21820738.402200028</v>
      </c>
      <c r="GT79" s="122">
        <f t="shared" si="206"/>
        <v>34122339.666923642</v>
      </c>
      <c r="GU79" s="123">
        <f t="shared" si="92"/>
        <v>0.63948541088323663</v>
      </c>
      <c r="GV79" s="124">
        <f t="shared" ca="1" si="207"/>
        <v>0</v>
      </c>
      <c r="GW79" s="124">
        <v>0</v>
      </c>
      <c r="GX79" s="32">
        <f t="shared" ca="1" si="208"/>
        <v>0</v>
      </c>
      <c r="GY79" s="100"/>
    </row>
    <row r="80" spans="1:207" s="125" customFormat="1" ht="15" hidden="1" customHeight="1">
      <c r="A80" s="102"/>
      <c r="B80" s="103"/>
      <c r="C80" s="103"/>
      <c r="D80" s="104"/>
      <c r="E80" s="104" t="s">
        <v>388</v>
      </c>
      <c r="F80" s="104" t="s">
        <v>389</v>
      </c>
      <c r="G80" s="104" t="s">
        <v>226</v>
      </c>
      <c r="H80" s="105" t="s">
        <v>410</v>
      </c>
      <c r="I80" s="106" t="s">
        <v>411</v>
      </c>
      <c r="J80" s="104" t="s">
        <v>207</v>
      </c>
      <c r="K80" s="104" t="s">
        <v>218</v>
      </c>
      <c r="L80" s="104" t="s">
        <v>412</v>
      </c>
      <c r="M80" s="104" t="s">
        <v>413</v>
      </c>
      <c r="N80" s="107"/>
      <c r="O80" s="108">
        <v>42758</v>
      </c>
      <c r="P80" s="108">
        <v>42758</v>
      </c>
      <c r="Q80" s="322">
        <f t="shared" si="179"/>
        <v>0</v>
      </c>
      <c r="R80" s="109">
        <f>IF((P80-VLOOKUP(Q80,month!$A$1:$C$13,3,0))&lt;0,Q80,Q80+1)</f>
        <v>0</v>
      </c>
      <c r="S80" s="108"/>
      <c r="T80" s="127" t="str">
        <f t="shared" si="215"/>
        <v/>
      </c>
      <c r="U80" s="107"/>
      <c r="V80" s="107"/>
      <c r="W80" s="107"/>
      <c r="X80" s="107"/>
      <c r="Y80" s="386"/>
      <c r="Z80" s="386" t="s">
        <v>545</v>
      </c>
      <c r="AA80" s="387">
        <v>1000</v>
      </c>
      <c r="AB80" s="387">
        <v>1000</v>
      </c>
      <c r="AC80" s="387">
        <v>1000</v>
      </c>
      <c r="AD80" s="387">
        <v>1000</v>
      </c>
      <c r="AE80" s="387">
        <v>1000</v>
      </c>
      <c r="AF80" s="387">
        <v>1000</v>
      </c>
      <c r="AG80" s="387">
        <v>1000</v>
      </c>
      <c r="AH80" s="387">
        <v>1000</v>
      </c>
      <c r="AI80" s="387">
        <v>1000</v>
      </c>
      <c r="AJ80" s="387">
        <v>1000</v>
      </c>
      <c r="AK80" s="387">
        <v>1000</v>
      </c>
      <c r="AL80" s="387">
        <v>1000</v>
      </c>
      <c r="AM80" s="388">
        <f t="shared" si="142"/>
        <v>12000</v>
      </c>
      <c r="AN80" s="388">
        <f t="shared" si="180"/>
        <v>12000</v>
      </c>
      <c r="AO80" s="389">
        <f t="shared" si="217"/>
        <v>1000</v>
      </c>
      <c r="AP80" s="498" t="s">
        <v>670</v>
      </c>
      <c r="AQ80" s="159">
        <v>0.4</v>
      </c>
      <c r="AR80" s="160" t="s">
        <v>392</v>
      </c>
      <c r="AS80" s="119" t="s">
        <v>210</v>
      </c>
      <c r="AT80" s="111">
        <v>534339.98163352837</v>
      </c>
      <c r="AU80" s="111">
        <v>1310179.331144524</v>
      </c>
      <c r="AV80" s="111">
        <v>1005301.6465663062</v>
      </c>
      <c r="AW80" s="111">
        <v>1103151.0722983615</v>
      </c>
      <c r="AX80" s="113">
        <v>395383.87079999992</v>
      </c>
      <c r="AY80" s="113">
        <v>1328606.0189999999</v>
      </c>
      <c r="AZ80" s="113">
        <v>1125554.8770000001</v>
      </c>
      <c r="BA80" s="113"/>
      <c r="BB80" s="113"/>
      <c r="BC80" s="113"/>
      <c r="BD80" s="113"/>
      <c r="BE80" s="113"/>
      <c r="BF80" s="114">
        <f t="shared" si="152"/>
        <v>395383.87079999992</v>
      </c>
      <c r="BG80" s="114">
        <f t="shared" si="153"/>
        <v>1328606.0189999999</v>
      </c>
      <c r="BH80" s="114">
        <f t="shared" si="154"/>
        <v>1125554.8770000001</v>
      </c>
      <c r="BI80" s="114">
        <f t="shared" si="155"/>
        <v>0</v>
      </c>
      <c r="BJ80" s="114">
        <f t="shared" si="182"/>
        <v>2849544.7667999999</v>
      </c>
      <c r="BK80" s="115">
        <f t="shared" si="144"/>
        <v>3952972.0316427201</v>
      </c>
      <c r="BL80" s="115">
        <f t="shared" si="156"/>
        <v>3952972.0316427201</v>
      </c>
      <c r="BM80" s="116">
        <f t="shared" si="157"/>
        <v>0.72089999999999999</v>
      </c>
      <c r="BN80" s="126">
        <f t="shared" ca="1" si="190"/>
        <v>0</v>
      </c>
      <c r="BO80" s="117">
        <f t="shared" ca="1" si="191"/>
        <v>0</v>
      </c>
      <c r="BP80" s="118" t="str">
        <f t="shared" si="183"/>
        <v>Uncapped</v>
      </c>
      <c r="BQ80" s="115">
        <f t="shared" ca="1" si="192"/>
        <v>0</v>
      </c>
      <c r="BR80" s="113" t="s">
        <v>690</v>
      </c>
      <c r="BS80" s="159">
        <v>0.4</v>
      </c>
      <c r="BT80" s="160" t="s">
        <v>211</v>
      </c>
      <c r="BU80" s="160" t="s">
        <v>210</v>
      </c>
      <c r="BV80" s="113">
        <v>2841040.714533044</v>
      </c>
      <c r="BW80" s="113">
        <v>3768691.8545067301</v>
      </c>
      <c r="BX80" s="113">
        <v>3999056.4883045726</v>
      </c>
      <c r="BY80" s="113">
        <v>4527995.3417089377</v>
      </c>
      <c r="BZ80" s="113">
        <v>2852006.84499999</v>
      </c>
      <c r="CA80" s="113">
        <v>3006744.6607000101</v>
      </c>
      <c r="CB80" s="113">
        <v>3451184.6764000161</v>
      </c>
      <c r="CC80" s="113"/>
      <c r="CD80" s="113"/>
      <c r="CE80" s="113"/>
      <c r="CF80" s="113"/>
      <c r="CG80" s="113"/>
      <c r="CH80" s="114">
        <f t="shared" si="158"/>
        <v>2852006.84499999</v>
      </c>
      <c r="CI80" s="114">
        <f t="shared" si="159"/>
        <v>3006744.6607000101</v>
      </c>
      <c r="CJ80" s="120">
        <f t="shared" si="160"/>
        <v>3451184.6764000161</v>
      </c>
      <c r="CK80" s="114">
        <f t="shared" si="161"/>
        <v>0</v>
      </c>
      <c r="CL80" s="114">
        <f t="shared" si="184"/>
        <v>9309936.1821000166</v>
      </c>
      <c r="CM80" s="114">
        <f t="shared" si="145"/>
        <v>15136784.399053285</v>
      </c>
      <c r="CN80" s="114">
        <f t="shared" si="162"/>
        <v>15136784.399053285</v>
      </c>
      <c r="CO80" s="116">
        <f t="shared" si="163"/>
        <v>0.61509999999999998</v>
      </c>
      <c r="CP80" s="126">
        <f t="shared" ca="1" si="164"/>
        <v>0</v>
      </c>
      <c r="CQ80" s="115">
        <f t="shared" ca="1" si="193"/>
        <v>0</v>
      </c>
      <c r="CR80" s="118" t="str">
        <f t="shared" si="185"/>
        <v>Uncapped</v>
      </c>
      <c r="CS80" s="115">
        <f t="shared" ca="1" si="194"/>
        <v>0</v>
      </c>
      <c r="CT80" s="113" t="s">
        <v>736</v>
      </c>
      <c r="CU80" s="119">
        <v>0.2</v>
      </c>
      <c r="CV80" s="113" t="s">
        <v>217</v>
      </c>
      <c r="CW80" s="113" t="s">
        <v>210</v>
      </c>
      <c r="CX80" s="113">
        <v>11953048.942182608</v>
      </c>
      <c r="CY80" s="113">
        <v>16757506.295401936</v>
      </c>
      <c r="CZ80" s="113">
        <v>15470532.140695527</v>
      </c>
      <c r="DA80" s="113">
        <v>16440443.473807694</v>
      </c>
      <c r="DB80" s="113">
        <v>12211557.946359999</v>
      </c>
      <c r="DC80" s="113">
        <v>15972657.057939999</v>
      </c>
      <c r="DD80" s="113">
        <v>15545756.2063</v>
      </c>
      <c r="DE80" s="113"/>
      <c r="DF80" s="113"/>
      <c r="DG80" s="113"/>
      <c r="DH80" s="113"/>
      <c r="DI80" s="113"/>
      <c r="DJ80" s="114">
        <f t="shared" si="165"/>
        <v>12211557.946359999</v>
      </c>
      <c r="DK80" s="114">
        <f t="shared" si="166"/>
        <v>15972657.057939999</v>
      </c>
      <c r="DL80" s="114">
        <f t="shared" si="167"/>
        <v>15545756.2063</v>
      </c>
      <c r="DM80" s="114">
        <f t="shared" si="168"/>
        <v>0</v>
      </c>
      <c r="DN80" s="114">
        <f t="shared" si="186"/>
        <v>43729971.210599996</v>
      </c>
      <c r="DO80" s="114">
        <f t="shared" si="146"/>
        <v>60621530.852087766</v>
      </c>
      <c r="DP80" s="114">
        <f t="shared" si="169"/>
        <v>60621530.852087766</v>
      </c>
      <c r="DQ80" s="116">
        <f t="shared" si="170"/>
        <v>0.72140000000000004</v>
      </c>
      <c r="DR80" s="126">
        <f t="shared" ca="1" si="195"/>
        <v>0</v>
      </c>
      <c r="DS80" s="115">
        <f t="shared" ca="1" si="196"/>
        <v>0</v>
      </c>
      <c r="DT80" s="118" t="str">
        <f t="shared" si="187"/>
        <v>Uncapped</v>
      </c>
      <c r="DU80" s="115">
        <f t="shared" ca="1" si="197"/>
        <v>0</v>
      </c>
      <c r="DV80" s="113"/>
      <c r="DW80" s="119">
        <v>0</v>
      </c>
      <c r="DX80" s="113"/>
      <c r="DY80" s="113"/>
      <c r="DZ80" s="113">
        <v>0</v>
      </c>
      <c r="EA80" s="113">
        <v>0</v>
      </c>
      <c r="EB80" s="113">
        <v>0</v>
      </c>
      <c r="EC80" s="113">
        <v>0</v>
      </c>
      <c r="ED80" s="113">
        <v>0</v>
      </c>
      <c r="EE80" s="113">
        <v>0</v>
      </c>
      <c r="EF80" s="113"/>
      <c r="EG80" s="113"/>
      <c r="EH80" s="113"/>
      <c r="EI80" s="113"/>
      <c r="EJ80" s="113"/>
      <c r="EK80" s="113"/>
      <c r="EL80" s="114">
        <f t="shared" si="171"/>
        <v>0</v>
      </c>
      <c r="EM80" s="114">
        <f t="shared" si="172"/>
        <v>0</v>
      </c>
      <c r="EN80" s="114">
        <f t="shared" si="173"/>
        <v>0</v>
      </c>
      <c r="EO80" s="114">
        <f t="shared" si="174"/>
        <v>0</v>
      </c>
      <c r="EP80" s="114">
        <f t="shared" si="188"/>
        <v>0</v>
      </c>
      <c r="EQ80" s="114">
        <f t="shared" si="147"/>
        <v>0</v>
      </c>
      <c r="ER80" s="114">
        <f t="shared" si="175"/>
        <v>0</v>
      </c>
      <c r="ES80" s="116">
        <f t="shared" si="176"/>
        <v>0</v>
      </c>
      <c r="ET80" s="126">
        <f t="shared" ca="1" si="177"/>
        <v>0</v>
      </c>
      <c r="EU80" s="115">
        <f t="shared" ca="1" si="198"/>
        <v>0</v>
      </c>
      <c r="EV80" s="118" t="str">
        <f t="shared" si="189"/>
        <v>Uncapped</v>
      </c>
      <c r="EW80" s="115">
        <f t="shared" ca="1" si="199"/>
        <v>0</v>
      </c>
      <c r="EX80" s="112">
        <f t="shared" ca="1" si="200"/>
        <v>0</v>
      </c>
      <c r="EY80" s="114">
        <f t="shared" ca="1" si="178"/>
        <v>0</v>
      </c>
      <c r="EZ80" s="115">
        <v>0</v>
      </c>
      <c r="FA80" s="115"/>
      <c r="FB80" s="115"/>
      <c r="FC80" s="115">
        <v>0</v>
      </c>
      <c r="FD80" s="115">
        <f t="shared" si="148"/>
        <v>0</v>
      </c>
      <c r="FE80" s="114">
        <f t="shared" si="140"/>
        <v>0</v>
      </c>
      <c r="FF80" s="115">
        <v>0</v>
      </c>
      <c r="FG80" s="115">
        <v>0</v>
      </c>
      <c r="FH80" s="115">
        <v>0</v>
      </c>
      <c r="FI80" s="115">
        <v>0</v>
      </c>
      <c r="FJ80" s="115">
        <f t="shared" si="149"/>
        <v>0</v>
      </c>
      <c r="FK80" s="114">
        <f t="shared" si="141"/>
        <v>0</v>
      </c>
      <c r="FL80" s="113"/>
      <c r="FM80" s="111"/>
      <c r="FN80" s="111"/>
      <c r="FO80" s="111"/>
      <c r="FP80" s="115">
        <f t="shared" si="216"/>
        <v>0</v>
      </c>
      <c r="FQ80" s="115"/>
      <c r="FR80" s="115"/>
      <c r="FS80" s="115"/>
      <c r="FT80" s="114">
        <f t="shared" si="209"/>
        <v>0</v>
      </c>
      <c r="FU80" s="366">
        <f t="shared" ca="1" si="210"/>
        <v>0</v>
      </c>
      <c r="FV80" s="121">
        <f t="shared" ca="1" si="211"/>
        <v>0</v>
      </c>
      <c r="FW80" s="114">
        <f t="shared" si="218"/>
        <v>0</v>
      </c>
      <c r="FX80" s="114">
        <f t="shared" si="218"/>
        <v>0</v>
      </c>
      <c r="FY80" s="114">
        <f t="shared" si="218"/>
        <v>0</v>
      </c>
      <c r="FZ80" s="114">
        <f t="shared" si="218"/>
        <v>0</v>
      </c>
      <c r="GA80" s="114">
        <f t="shared" si="89"/>
        <v>0</v>
      </c>
      <c r="GB80" s="114">
        <f t="shared" si="219"/>
        <v>0</v>
      </c>
      <c r="GC80" s="114">
        <f t="shared" si="219"/>
        <v>0</v>
      </c>
      <c r="GD80" s="114">
        <f t="shared" si="219"/>
        <v>0</v>
      </c>
      <c r="GE80" s="114">
        <f t="shared" si="219"/>
        <v>0</v>
      </c>
      <c r="GF80" s="114">
        <f t="shared" si="220"/>
        <v>0</v>
      </c>
      <c r="GG80" s="114">
        <f t="shared" si="220"/>
        <v>0</v>
      </c>
      <c r="GH80" s="114">
        <f t="shared" si="220"/>
        <v>0</v>
      </c>
      <c r="GI80" s="114">
        <f t="shared" si="220"/>
        <v>0</v>
      </c>
      <c r="GJ80" s="115">
        <f t="shared" si="150"/>
        <v>0</v>
      </c>
      <c r="GK80" s="114">
        <f t="shared" si="90"/>
        <v>0</v>
      </c>
      <c r="GL80" s="114">
        <f t="shared" si="201"/>
        <v>0</v>
      </c>
      <c r="GM80" s="114">
        <f t="shared" si="202"/>
        <v>0</v>
      </c>
      <c r="GN80" s="114">
        <f t="shared" si="203"/>
        <v>0</v>
      </c>
      <c r="GO80" s="114">
        <f t="shared" si="204"/>
        <v>0</v>
      </c>
      <c r="GP80" s="114">
        <f t="shared" si="151"/>
        <v>0</v>
      </c>
      <c r="GQ80" s="114">
        <f t="shared" si="91"/>
        <v>0</v>
      </c>
      <c r="GR80" s="193"/>
      <c r="GS80" s="122">
        <f t="shared" si="205"/>
        <v>55889452.15950001</v>
      </c>
      <c r="GT80" s="122">
        <f t="shared" si="206"/>
        <v>79711287.282783777</v>
      </c>
      <c r="GU80" s="123">
        <f t="shared" si="92"/>
        <v>0.70114853322123105</v>
      </c>
      <c r="GV80" s="124">
        <f t="shared" ca="1" si="207"/>
        <v>0</v>
      </c>
      <c r="GW80" s="124">
        <v>0</v>
      </c>
      <c r="GX80" s="32">
        <f t="shared" ca="1" si="208"/>
        <v>0</v>
      </c>
      <c r="GY80" s="100"/>
    </row>
    <row r="81" spans="1:207" s="125" customFormat="1" ht="15" hidden="1" customHeight="1">
      <c r="A81" s="102"/>
      <c r="B81" s="103"/>
      <c r="C81" s="103"/>
      <c r="D81" s="104"/>
      <c r="E81" s="113" t="s">
        <v>388</v>
      </c>
      <c r="F81" s="113" t="s">
        <v>389</v>
      </c>
      <c r="G81" s="104" t="s">
        <v>226</v>
      </c>
      <c r="H81" s="105" t="s">
        <v>414</v>
      </c>
      <c r="I81" s="106" t="s">
        <v>415</v>
      </c>
      <c r="J81" s="104" t="s">
        <v>207</v>
      </c>
      <c r="K81" s="104" t="s">
        <v>218</v>
      </c>
      <c r="L81" s="104" t="s">
        <v>412</v>
      </c>
      <c r="M81" s="104" t="s">
        <v>413</v>
      </c>
      <c r="N81" s="107"/>
      <c r="O81" s="108">
        <v>41430</v>
      </c>
      <c r="P81" s="108">
        <v>43191</v>
      </c>
      <c r="Q81" s="322">
        <f t="shared" si="179"/>
        <v>0</v>
      </c>
      <c r="R81" s="109">
        <f>IF((P81-VLOOKUP(Q81,month!$A$1:$C$13,3,0))&lt;0,Q81,Q81+1)</f>
        <v>0</v>
      </c>
      <c r="S81" s="108"/>
      <c r="T81" s="127" t="str">
        <f t="shared" si="215"/>
        <v/>
      </c>
      <c r="U81" s="107"/>
      <c r="V81" s="107"/>
      <c r="W81" s="107"/>
      <c r="X81" s="107"/>
      <c r="Y81" s="386"/>
      <c r="Z81" s="386" t="s">
        <v>545</v>
      </c>
      <c r="AA81" s="387">
        <v>1000</v>
      </c>
      <c r="AB81" s="387">
        <v>1000</v>
      </c>
      <c r="AC81" s="387">
        <v>1000</v>
      </c>
      <c r="AD81" s="387">
        <v>1000</v>
      </c>
      <c r="AE81" s="387">
        <v>1000</v>
      </c>
      <c r="AF81" s="387">
        <v>1000</v>
      </c>
      <c r="AG81" s="387">
        <v>1000</v>
      </c>
      <c r="AH81" s="387">
        <v>1000</v>
      </c>
      <c r="AI81" s="387">
        <v>1000</v>
      </c>
      <c r="AJ81" s="387">
        <v>1000</v>
      </c>
      <c r="AK81" s="387">
        <v>1000</v>
      </c>
      <c r="AL81" s="387">
        <v>1000</v>
      </c>
      <c r="AM81" s="388">
        <f t="shared" si="142"/>
        <v>12000</v>
      </c>
      <c r="AN81" s="388">
        <f t="shared" si="180"/>
        <v>12000</v>
      </c>
      <c r="AO81" s="389">
        <f t="shared" si="217"/>
        <v>1000</v>
      </c>
      <c r="AP81" s="498" t="s">
        <v>670</v>
      </c>
      <c r="AQ81" s="159">
        <v>0.4</v>
      </c>
      <c r="AR81" s="160" t="s">
        <v>392</v>
      </c>
      <c r="AS81" s="119" t="s">
        <v>210</v>
      </c>
      <c r="AT81" s="111">
        <v>572461.11271470052</v>
      </c>
      <c r="AU81" s="111">
        <v>1658989.9960819613</v>
      </c>
      <c r="AV81" s="111">
        <v>1077390.2462300584</v>
      </c>
      <c r="AW81" s="111">
        <v>1222149.6230844765</v>
      </c>
      <c r="AX81" s="113">
        <v>827548.4608</v>
      </c>
      <c r="AY81" s="113">
        <v>1801449.6228</v>
      </c>
      <c r="AZ81" s="113">
        <v>885970.64970000007</v>
      </c>
      <c r="BA81" s="113"/>
      <c r="BB81" s="113"/>
      <c r="BC81" s="113"/>
      <c r="BD81" s="113"/>
      <c r="BE81" s="113"/>
      <c r="BF81" s="114">
        <f t="shared" si="152"/>
        <v>827548.4608</v>
      </c>
      <c r="BG81" s="114">
        <f t="shared" si="153"/>
        <v>1801449.6228</v>
      </c>
      <c r="BH81" s="114">
        <f t="shared" si="154"/>
        <v>885970.64970000007</v>
      </c>
      <c r="BI81" s="114">
        <f t="shared" si="155"/>
        <v>0</v>
      </c>
      <c r="BJ81" s="114">
        <f t="shared" si="182"/>
        <v>3514968.7333</v>
      </c>
      <c r="BK81" s="115">
        <f t="shared" si="144"/>
        <v>4530990.9781111963</v>
      </c>
      <c r="BL81" s="115">
        <f t="shared" si="156"/>
        <v>4530990.9781111963</v>
      </c>
      <c r="BM81" s="116">
        <f t="shared" si="157"/>
        <v>0.77580000000000005</v>
      </c>
      <c r="BN81" s="126">
        <f t="shared" ca="1" si="190"/>
        <v>0</v>
      </c>
      <c r="BO81" s="117">
        <f t="shared" ca="1" si="191"/>
        <v>0</v>
      </c>
      <c r="BP81" s="118" t="str">
        <f t="shared" si="183"/>
        <v>Uncapped</v>
      </c>
      <c r="BQ81" s="115">
        <f t="shared" ca="1" si="192"/>
        <v>0</v>
      </c>
      <c r="BR81" s="113" t="s">
        <v>690</v>
      </c>
      <c r="BS81" s="159">
        <v>0.4</v>
      </c>
      <c r="BT81" s="160" t="s">
        <v>211</v>
      </c>
      <c r="BU81" s="160" t="s">
        <v>210</v>
      </c>
      <c r="BV81" s="113">
        <v>2841040.714533044</v>
      </c>
      <c r="BW81" s="113">
        <v>3768691.8545067278</v>
      </c>
      <c r="BX81" s="113">
        <v>3999056.4883045731</v>
      </c>
      <c r="BY81" s="113">
        <v>4527995.3417089367</v>
      </c>
      <c r="BZ81" s="113">
        <v>2852006.84499999</v>
      </c>
      <c r="CA81" s="113">
        <v>3006744.6607000101</v>
      </c>
      <c r="CB81" s="113">
        <v>3451184.6764000161</v>
      </c>
      <c r="CC81" s="113"/>
      <c r="CD81" s="113"/>
      <c r="CE81" s="113"/>
      <c r="CF81" s="113"/>
      <c r="CG81" s="113"/>
      <c r="CH81" s="114">
        <f t="shared" si="158"/>
        <v>2852006.84499999</v>
      </c>
      <c r="CI81" s="114">
        <f t="shared" si="159"/>
        <v>3006744.6607000101</v>
      </c>
      <c r="CJ81" s="120">
        <f t="shared" si="160"/>
        <v>3451184.6764000161</v>
      </c>
      <c r="CK81" s="114">
        <f t="shared" si="161"/>
        <v>0</v>
      </c>
      <c r="CL81" s="114">
        <f t="shared" si="184"/>
        <v>9309936.1821000166</v>
      </c>
      <c r="CM81" s="114">
        <f t="shared" si="145"/>
        <v>15136784.399053279</v>
      </c>
      <c r="CN81" s="114">
        <f t="shared" si="162"/>
        <v>15136784.399053279</v>
      </c>
      <c r="CO81" s="116">
        <f t="shared" si="163"/>
        <v>0.61509999999999998</v>
      </c>
      <c r="CP81" s="126">
        <f t="shared" ca="1" si="164"/>
        <v>0</v>
      </c>
      <c r="CQ81" s="115">
        <f t="shared" ca="1" si="193"/>
        <v>0</v>
      </c>
      <c r="CR81" s="118" t="str">
        <f t="shared" si="185"/>
        <v>Uncapped</v>
      </c>
      <c r="CS81" s="115">
        <f t="shared" ca="1" si="194"/>
        <v>0</v>
      </c>
      <c r="CT81" s="113" t="s">
        <v>736</v>
      </c>
      <c r="CU81" s="119">
        <v>0.2</v>
      </c>
      <c r="CV81" s="113" t="s">
        <v>217</v>
      </c>
      <c r="CW81" s="113" t="s">
        <v>210</v>
      </c>
      <c r="CX81" s="113">
        <v>11953048.942182608</v>
      </c>
      <c r="CY81" s="113">
        <v>16757506.295401936</v>
      </c>
      <c r="CZ81" s="113">
        <v>15470532.140695527</v>
      </c>
      <c r="DA81" s="113">
        <v>16440443.473807694</v>
      </c>
      <c r="DB81" s="113">
        <v>12211557.946359999</v>
      </c>
      <c r="DC81" s="113">
        <v>15972657.057939999</v>
      </c>
      <c r="DD81" s="113">
        <v>15545756.2063</v>
      </c>
      <c r="DE81" s="113"/>
      <c r="DF81" s="113"/>
      <c r="DG81" s="113"/>
      <c r="DH81" s="113"/>
      <c r="DI81" s="113"/>
      <c r="DJ81" s="114">
        <f t="shared" si="165"/>
        <v>12211557.946359999</v>
      </c>
      <c r="DK81" s="114">
        <f t="shared" si="166"/>
        <v>15972657.057939999</v>
      </c>
      <c r="DL81" s="114">
        <f t="shared" si="167"/>
        <v>15545756.2063</v>
      </c>
      <c r="DM81" s="114">
        <f t="shared" si="168"/>
        <v>0</v>
      </c>
      <c r="DN81" s="114">
        <f t="shared" si="186"/>
        <v>43729971.210599996</v>
      </c>
      <c r="DO81" s="114">
        <f t="shared" si="146"/>
        <v>60621530.852087766</v>
      </c>
      <c r="DP81" s="114">
        <f t="shared" si="169"/>
        <v>60621530.852087766</v>
      </c>
      <c r="DQ81" s="116">
        <f t="shared" si="170"/>
        <v>0.72140000000000004</v>
      </c>
      <c r="DR81" s="126">
        <f t="shared" ca="1" si="195"/>
        <v>0</v>
      </c>
      <c r="DS81" s="115">
        <f t="shared" ca="1" si="196"/>
        <v>0</v>
      </c>
      <c r="DT81" s="118" t="str">
        <f t="shared" si="187"/>
        <v>Uncapped</v>
      </c>
      <c r="DU81" s="115">
        <f t="shared" ca="1" si="197"/>
        <v>0</v>
      </c>
      <c r="DV81" s="113"/>
      <c r="DW81" s="119">
        <v>0</v>
      </c>
      <c r="DX81" s="113"/>
      <c r="DY81" s="113"/>
      <c r="DZ81" s="113">
        <v>0</v>
      </c>
      <c r="EA81" s="113">
        <v>0</v>
      </c>
      <c r="EB81" s="113">
        <v>0</v>
      </c>
      <c r="EC81" s="113">
        <v>0</v>
      </c>
      <c r="ED81" s="113">
        <v>0</v>
      </c>
      <c r="EE81" s="113">
        <v>0</v>
      </c>
      <c r="EF81" s="113"/>
      <c r="EG81" s="113"/>
      <c r="EH81" s="113"/>
      <c r="EI81" s="113"/>
      <c r="EJ81" s="113"/>
      <c r="EK81" s="113"/>
      <c r="EL81" s="114">
        <f t="shared" si="171"/>
        <v>0</v>
      </c>
      <c r="EM81" s="114">
        <f t="shared" si="172"/>
        <v>0</v>
      </c>
      <c r="EN81" s="114">
        <f t="shared" si="173"/>
        <v>0</v>
      </c>
      <c r="EO81" s="114">
        <f t="shared" si="174"/>
        <v>0</v>
      </c>
      <c r="EP81" s="114">
        <f t="shared" si="188"/>
        <v>0</v>
      </c>
      <c r="EQ81" s="114">
        <f t="shared" si="147"/>
        <v>0</v>
      </c>
      <c r="ER81" s="114">
        <f t="shared" si="175"/>
        <v>0</v>
      </c>
      <c r="ES81" s="116">
        <f t="shared" si="176"/>
        <v>0</v>
      </c>
      <c r="ET81" s="126">
        <f t="shared" ca="1" si="177"/>
        <v>0</v>
      </c>
      <c r="EU81" s="115">
        <f t="shared" ca="1" si="198"/>
        <v>0</v>
      </c>
      <c r="EV81" s="118" t="str">
        <f t="shared" si="189"/>
        <v>Uncapped</v>
      </c>
      <c r="EW81" s="115">
        <f t="shared" ca="1" si="199"/>
        <v>0</v>
      </c>
      <c r="EX81" s="112">
        <f t="shared" ca="1" si="200"/>
        <v>0</v>
      </c>
      <c r="EY81" s="114">
        <f t="shared" ca="1" si="178"/>
        <v>0</v>
      </c>
      <c r="EZ81" s="115">
        <v>79840</v>
      </c>
      <c r="FA81" s="115">
        <v>319360.00000000006</v>
      </c>
      <c r="FB81" s="115"/>
      <c r="FC81" s="115">
        <v>0</v>
      </c>
      <c r="FD81" s="115">
        <f t="shared" si="148"/>
        <v>399200.00000000006</v>
      </c>
      <c r="FE81" s="114">
        <f t="shared" si="140"/>
        <v>0</v>
      </c>
      <c r="FF81" s="115">
        <v>0</v>
      </c>
      <c r="FG81" s="115">
        <v>0</v>
      </c>
      <c r="FH81" s="115">
        <v>0</v>
      </c>
      <c r="FI81" s="115">
        <v>0</v>
      </c>
      <c r="FJ81" s="115">
        <f t="shared" si="149"/>
        <v>0</v>
      </c>
      <c r="FK81" s="114">
        <f t="shared" si="141"/>
        <v>0</v>
      </c>
      <c r="FL81" s="113"/>
      <c r="FM81" s="111"/>
      <c r="FN81" s="111"/>
      <c r="FO81" s="111"/>
      <c r="FP81" s="115">
        <f t="shared" si="216"/>
        <v>0</v>
      </c>
      <c r="FQ81" s="115"/>
      <c r="FR81" s="488"/>
      <c r="FS81" s="115"/>
      <c r="FT81" s="114">
        <f t="shared" si="209"/>
        <v>0</v>
      </c>
      <c r="FU81" s="366">
        <f t="shared" ca="1" si="210"/>
        <v>399200</v>
      </c>
      <c r="FV81" s="121">
        <f t="shared" ca="1" si="211"/>
        <v>399200.00000000006</v>
      </c>
      <c r="FW81" s="114">
        <f t="shared" si="218"/>
        <v>0</v>
      </c>
      <c r="FX81" s="114">
        <f t="shared" si="218"/>
        <v>0</v>
      </c>
      <c r="FY81" s="114">
        <f t="shared" si="218"/>
        <v>0</v>
      </c>
      <c r="FZ81" s="114">
        <f t="shared" si="218"/>
        <v>0</v>
      </c>
      <c r="GA81" s="114">
        <f t="shared" ref="GA81:GA113" si="221">SUM(FW81:FZ81)</f>
        <v>0</v>
      </c>
      <c r="GB81" s="114">
        <f t="shared" si="219"/>
        <v>79840</v>
      </c>
      <c r="GC81" s="114">
        <f t="shared" si="219"/>
        <v>319360.00000000006</v>
      </c>
      <c r="GD81" s="114">
        <f t="shared" si="219"/>
        <v>0</v>
      </c>
      <c r="GE81" s="114">
        <f t="shared" si="219"/>
        <v>0</v>
      </c>
      <c r="GF81" s="114">
        <f t="shared" si="220"/>
        <v>79840</v>
      </c>
      <c r="GG81" s="114">
        <f t="shared" si="220"/>
        <v>319360.00000000006</v>
      </c>
      <c r="GH81" s="114">
        <f t="shared" si="220"/>
        <v>0</v>
      </c>
      <c r="GI81" s="114">
        <f t="shared" si="220"/>
        <v>0</v>
      </c>
      <c r="GJ81" s="115">
        <f t="shared" si="150"/>
        <v>399200.00000000006</v>
      </c>
      <c r="GK81" s="114">
        <f t="shared" ref="GK81:GK113" si="222">SUM(GF81:GI81)</f>
        <v>399200.00000000006</v>
      </c>
      <c r="GL81" s="114">
        <f t="shared" si="201"/>
        <v>0</v>
      </c>
      <c r="GM81" s="114">
        <f t="shared" si="202"/>
        <v>0</v>
      </c>
      <c r="GN81" s="114">
        <f t="shared" si="203"/>
        <v>0</v>
      </c>
      <c r="GO81" s="114">
        <f t="shared" si="204"/>
        <v>0</v>
      </c>
      <c r="GP81" s="114">
        <f t="shared" si="151"/>
        <v>0</v>
      </c>
      <c r="GQ81" s="114">
        <f t="shared" ref="GQ81:GQ113" si="223">SUM(GL81:GO81)</f>
        <v>0</v>
      </c>
      <c r="GR81" s="193"/>
      <c r="GS81" s="122">
        <f t="shared" si="205"/>
        <v>56554876.126000017</v>
      </c>
      <c r="GT81" s="122">
        <f t="shared" si="206"/>
        <v>80289306.229252249</v>
      </c>
      <c r="GU81" s="123">
        <f t="shared" ref="GU81:GU113" si="224">IFERROR(GS81/GT81,"")</f>
        <v>0.70438865126717287</v>
      </c>
      <c r="GV81" s="124">
        <f t="shared" ca="1" si="207"/>
        <v>0</v>
      </c>
      <c r="GW81" s="124">
        <v>0</v>
      </c>
      <c r="GX81" s="32">
        <f t="shared" ca="1" si="208"/>
        <v>0</v>
      </c>
      <c r="GY81" s="100"/>
    </row>
    <row r="82" spans="1:207" s="125" customFormat="1" ht="15" hidden="1" customHeight="1">
      <c r="A82" s="102"/>
      <c r="B82" s="103"/>
      <c r="C82" s="103"/>
      <c r="D82" s="104"/>
      <c r="E82" s="113" t="s">
        <v>388</v>
      </c>
      <c r="F82" s="113" t="s">
        <v>388</v>
      </c>
      <c r="G82" s="104" t="s">
        <v>226</v>
      </c>
      <c r="H82" s="105" t="s">
        <v>416</v>
      </c>
      <c r="I82" s="106" t="s">
        <v>417</v>
      </c>
      <c r="J82" s="104" t="s">
        <v>212</v>
      </c>
      <c r="K82" s="104" t="s">
        <v>218</v>
      </c>
      <c r="L82" s="104" t="s">
        <v>213</v>
      </c>
      <c r="M82" s="104" t="s">
        <v>388</v>
      </c>
      <c r="N82" s="107"/>
      <c r="O82" s="108">
        <v>41430</v>
      </c>
      <c r="P82" s="108">
        <v>41640</v>
      </c>
      <c r="Q82" s="322">
        <f t="shared" si="179"/>
        <v>0</v>
      </c>
      <c r="R82" s="109">
        <f>IF((P82-VLOOKUP(Q82,month!$A$1:$C$13,3,0))&lt;0,Q82,Q82+1)</f>
        <v>0</v>
      </c>
      <c r="S82" s="108"/>
      <c r="T82" s="110" t="str">
        <f t="shared" si="215"/>
        <v/>
      </c>
      <c r="U82" s="107"/>
      <c r="V82" s="107"/>
      <c r="W82" s="107"/>
      <c r="X82" s="107"/>
      <c r="Y82" s="386"/>
      <c r="Z82" s="386" t="s">
        <v>545</v>
      </c>
      <c r="AA82" s="387">
        <v>1000</v>
      </c>
      <c r="AB82" s="387">
        <v>1000</v>
      </c>
      <c r="AC82" s="387">
        <v>1000</v>
      </c>
      <c r="AD82" s="387">
        <v>1000</v>
      </c>
      <c r="AE82" s="387">
        <v>1000</v>
      </c>
      <c r="AF82" s="387">
        <v>1000</v>
      </c>
      <c r="AG82" s="387">
        <v>1000</v>
      </c>
      <c r="AH82" s="387">
        <v>1000</v>
      </c>
      <c r="AI82" s="387">
        <v>1000</v>
      </c>
      <c r="AJ82" s="387">
        <v>1000</v>
      </c>
      <c r="AK82" s="387">
        <v>1000</v>
      </c>
      <c r="AL82" s="387">
        <v>1000</v>
      </c>
      <c r="AM82" s="388">
        <f t="shared" si="142"/>
        <v>12000</v>
      </c>
      <c r="AN82" s="388">
        <f t="shared" si="180"/>
        <v>12000</v>
      </c>
      <c r="AO82" s="389">
        <f t="shared" si="217"/>
        <v>1000</v>
      </c>
      <c r="AP82" s="498" t="s">
        <v>671</v>
      </c>
      <c r="AQ82" s="159">
        <v>0.4</v>
      </c>
      <c r="AR82" s="160" t="s">
        <v>392</v>
      </c>
      <c r="AS82" s="119" t="s">
        <v>210</v>
      </c>
      <c r="AT82" s="111">
        <v>132389.85684314658</v>
      </c>
      <c r="AU82" s="111">
        <v>487645.34272680385</v>
      </c>
      <c r="AV82" s="111">
        <v>251446.83714963554</v>
      </c>
      <c r="AW82" s="111">
        <v>315491.96075145539</v>
      </c>
      <c r="AX82" s="113">
        <v>191643.75</v>
      </c>
      <c r="AY82" s="113">
        <v>736127.76779999991</v>
      </c>
      <c r="AZ82" s="113">
        <v>446363.77500000002</v>
      </c>
      <c r="BA82" s="113"/>
      <c r="BB82" s="113"/>
      <c r="BC82" s="113"/>
      <c r="BD82" s="113"/>
      <c r="BE82" s="113"/>
      <c r="BF82" s="114">
        <f t="shared" si="152"/>
        <v>191643.75</v>
      </c>
      <c r="BG82" s="114">
        <f t="shared" si="153"/>
        <v>736127.76779999991</v>
      </c>
      <c r="BH82" s="114">
        <f t="shared" si="154"/>
        <v>446363.77500000002</v>
      </c>
      <c r="BI82" s="114">
        <f t="shared" si="155"/>
        <v>0</v>
      </c>
      <c r="BJ82" s="114">
        <f t="shared" si="182"/>
        <v>1374135.2927999999</v>
      </c>
      <c r="BK82" s="115">
        <f t="shared" si="144"/>
        <v>1186973.9974710415</v>
      </c>
      <c r="BL82" s="115">
        <f t="shared" si="156"/>
        <v>1186973.9974710415</v>
      </c>
      <c r="BM82" s="116">
        <f t="shared" si="157"/>
        <v>1.1577</v>
      </c>
      <c r="BN82" s="126">
        <f t="shared" ca="1" si="190"/>
        <v>0</v>
      </c>
      <c r="BO82" s="117">
        <f t="shared" ca="1" si="191"/>
        <v>0</v>
      </c>
      <c r="BP82" s="118" t="str">
        <f t="shared" si="183"/>
        <v>Uncapped</v>
      </c>
      <c r="BQ82" s="115">
        <f t="shared" ca="1" si="192"/>
        <v>0</v>
      </c>
      <c r="BR82" s="113" t="s">
        <v>691</v>
      </c>
      <c r="BS82" s="159">
        <v>0.4</v>
      </c>
      <c r="BT82" s="160" t="s">
        <v>211</v>
      </c>
      <c r="BU82" s="160" t="s">
        <v>210</v>
      </c>
      <c r="BV82" s="113">
        <v>2616407.1981056472</v>
      </c>
      <c r="BW82" s="113">
        <v>3516179.7032821523</v>
      </c>
      <c r="BX82" s="113">
        <v>3720581.9762100568</v>
      </c>
      <c r="BY82" s="113">
        <v>4249439.0333433365</v>
      </c>
      <c r="BZ82" s="113">
        <v>2600578.9209999898</v>
      </c>
      <c r="CA82" s="113">
        <v>2873509.7902000099</v>
      </c>
      <c r="CB82" s="113">
        <v>3288683.4781000158</v>
      </c>
      <c r="CC82" s="113"/>
      <c r="CD82" s="113"/>
      <c r="CE82" s="113"/>
      <c r="CF82" s="113"/>
      <c r="CG82" s="113"/>
      <c r="CH82" s="114">
        <f t="shared" si="158"/>
        <v>2600578.9209999898</v>
      </c>
      <c r="CI82" s="114">
        <f t="shared" si="159"/>
        <v>2873509.7902000099</v>
      </c>
      <c r="CJ82" s="120">
        <f t="shared" si="160"/>
        <v>3288683.4781000158</v>
      </c>
      <c r="CK82" s="114">
        <f t="shared" si="161"/>
        <v>0</v>
      </c>
      <c r="CL82" s="114">
        <f t="shared" si="184"/>
        <v>8762772.1893000156</v>
      </c>
      <c r="CM82" s="114">
        <f t="shared" si="145"/>
        <v>14102607.910941195</v>
      </c>
      <c r="CN82" s="114">
        <f t="shared" si="162"/>
        <v>14102607.910941195</v>
      </c>
      <c r="CO82" s="116">
        <f t="shared" si="163"/>
        <v>0.62139999999999995</v>
      </c>
      <c r="CP82" s="126">
        <f t="shared" ca="1" si="164"/>
        <v>0</v>
      </c>
      <c r="CQ82" s="115">
        <f t="shared" ca="1" si="193"/>
        <v>0</v>
      </c>
      <c r="CR82" s="118" t="str">
        <f t="shared" si="185"/>
        <v>Uncapped</v>
      </c>
      <c r="CS82" s="115">
        <f t="shared" ca="1" si="194"/>
        <v>0</v>
      </c>
      <c r="CT82" s="113" t="s">
        <v>695</v>
      </c>
      <c r="CU82" s="119">
        <v>0.2</v>
      </c>
      <c r="CV82" s="113" t="s">
        <v>217</v>
      </c>
      <c r="CW82" s="113" t="s">
        <v>210</v>
      </c>
      <c r="CX82" s="113">
        <v>3428789.7311367933</v>
      </c>
      <c r="CY82" s="113">
        <v>5408231.2228889018</v>
      </c>
      <c r="CZ82" s="113">
        <v>5079957.5438702796</v>
      </c>
      <c r="DA82" s="113">
        <v>5750796.8792685037</v>
      </c>
      <c r="DB82" s="113">
        <v>3679555.30579999</v>
      </c>
      <c r="DC82" s="113">
        <v>4808194.2835000101</v>
      </c>
      <c r="DD82" s="113">
        <v>4337155.326100016</v>
      </c>
      <c r="DE82" s="113"/>
      <c r="DF82" s="113"/>
      <c r="DG82" s="113"/>
      <c r="DH82" s="113"/>
      <c r="DI82" s="113"/>
      <c r="DJ82" s="114">
        <f t="shared" si="165"/>
        <v>3679555.30579999</v>
      </c>
      <c r="DK82" s="114">
        <f t="shared" si="166"/>
        <v>4808194.2835000101</v>
      </c>
      <c r="DL82" s="114">
        <f t="shared" si="167"/>
        <v>4337155.326100016</v>
      </c>
      <c r="DM82" s="114">
        <f t="shared" si="168"/>
        <v>0</v>
      </c>
      <c r="DN82" s="114">
        <f t="shared" si="186"/>
        <v>12824904.915400015</v>
      </c>
      <c r="DO82" s="114">
        <f t="shared" si="146"/>
        <v>19667775.377164479</v>
      </c>
      <c r="DP82" s="114">
        <f t="shared" si="169"/>
        <v>19667775.377164479</v>
      </c>
      <c r="DQ82" s="116">
        <f t="shared" si="170"/>
        <v>0.65210000000000001</v>
      </c>
      <c r="DR82" s="126">
        <f t="shared" ca="1" si="195"/>
        <v>0</v>
      </c>
      <c r="DS82" s="115">
        <f t="shared" ca="1" si="196"/>
        <v>0</v>
      </c>
      <c r="DT82" s="118" t="str">
        <f t="shared" si="187"/>
        <v>Uncapped</v>
      </c>
      <c r="DU82" s="115">
        <f t="shared" ca="1" si="197"/>
        <v>0</v>
      </c>
      <c r="DV82" s="113"/>
      <c r="DW82" s="119">
        <v>0</v>
      </c>
      <c r="DX82" s="113"/>
      <c r="DY82" s="113"/>
      <c r="DZ82" s="113">
        <v>0</v>
      </c>
      <c r="EA82" s="113">
        <v>0</v>
      </c>
      <c r="EB82" s="113">
        <v>0</v>
      </c>
      <c r="EC82" s="113">
        <v>0</v>
      </c>
      <c r="ED82" s="113">
        <v>0</v>
      </c>
      <c r="EE82" s="113">
        <v>0</v>
      </c>
      <c r="EF82" s="113"/>
      <c r="EG82" s="113"/>
      <c r="EH82" s="113"/>
      <c r="EI82" s="113"/>
      <c r="EJ82" s="113"/>
      <c r="EK82" s="113"/>
      <c r="EL82" s="114">
        <f t="shared" si="171"/>
        <v>0</v>
      </c>
      <c r="EM82" s="114">
        <f t="shared" si="172"/>
        <v>0</v>
      </c>
      <c r="EN82" s="114">
        <f t="shared" si="173"/>
        <v>0</v>
      </c>
      <c r="EO82" s="114">
        <f t="shared" si="174"/>
        <v>0</v>
      </c>
      <c r="EP82" s="114">
        <f t="shared" si="188"/>
        <v>0</v>
      </c>
      <c r="EQ82" s="114">
        <f t="shared" si="147"/>
        <v>0</v>
      </c>
      <c r="ER82" s="114">
        <f t="shared" si="175"/>
        <v>0</v>
      </c>
      <c r="ES82" s="116">
        <f t="shared" si="176"/>
        <v>0</v>
      </c>
      <c r="ET82" s="126">
        <f t="shared" ca="1" si="177"/>
        <v>0</v>
      </c>
      <c r="EU82" s="115">
        <f t="shared" ca="1" si="198"/>
        <v>0</v>
      </c>
      <c r="EV82" s="118" t="str">
        <f t="shared" si="189"/>
        <v>Uncapped</v>
      </c>
      <c r="EW82" s="115">
        <f t="shared" ca="1" si="199"/>
        <v>0</v>
      </c>
      <c r="EX82" s="112">
        <f t="shared" ca="1" si="200"/>
        <v>0</v>
      </c>
      <c r="EY82" s="114">
        <f t="shared" ca="1" si="178"/>
        <v>0</v>
      </c>
      <c r="EZ82" s="115">
        <v>442800</v>
      </c>
      <c r="FA82" s="115">
        <v>1076870</v>
      </c>
      <c r="FB82" s="115"/>
      <c r="FC82" s="115">
        <v>0</v>
      </c>
      <c r="FD82" s="115">
        <f t="shared" si="148"/>
        <v>1519670</v>
      </c>
      <c r="FE82" s="114">
        <f t="shared" si="140"/>
        <v>0</v>
      </c>
      <c r="FF82" s="115">
        <v>0</v>
      </c>
      <c r="FG82" s="115">
        <v>0</v>
      </c>
      <c r="FH82" s="115">
        <v>0</v>
      </c>
      <c r="FI82" s="115">
        <v>0</v>
      </c>
      <c r="FJ82" s="115">
        <f t="shared" si="149"/>
        <v>0</v>
      </c>
      <c r="FK82" s="114">
        <f t="shared" si="141"/>
        <v>0</v>
      </c>
      <c r="FL82" s="113"/>
      <c r="FM82" s="111"/>
      <c r="FN82" s="111"/>
      <c r="FO82" s="111"/>
      <c r="FP82" s="115">
        <f t="shared" si="216"/>
        <v>0</v>
      </c>
      <c r="FQ82" s="115"/>
      <c r="FR82" s="488"/>
      <c r="FS82" s="115"/>
      <c r="FT82" s="114">
        <f t="shared" si="209"/>
        <v>0</v>
      </c>
      <c r="FU82" s="366">
        <f t="shared" ca="1" si="210"/>
        <v>1519670</v>
      </c>
      <c r="FV82" s="121">
        <f t="shared" ca="1" si="211"/>
        <v>1519670</v>
      </c>
      <c r="FW82" s="114">
        <f t="shared" si="218"/>
        <v>0</v>
      </c>
      <c r="FX82" s="114">
        <f t="shared" si="218"/>
        <v>0</v>
      </c>
      <c r="FY82" s="114">
        <f t="shared" si="218"/>
        <v>0</v>
      </c>
      <c r="FZ82" s="114">
        <f t="shared" si="218"/>
        <v>0</v>
      </c>
      <c r="GA82" s="114">
        <f t="shared" si="221"/>
        <v>0</v>
      </c>
      <c r="GB82" s="114">
        <f t="shared" si="219"/>
        <v>442800</v>
      </c>
      <c r="GC82" s="114">
        <f t="shared" si="219"/>
        <v>1076870</v>
      </c>
      <c r="GD82" s="114">
        <f t="shared" si="219"/>
        <v>0</v>
      </c>
      <c r="GE82" s="114">
        <f t="shared" si="219"/>
        <v>0</v>
      </c>
      <c r="GF82" s="114">
        <f t="shared" si="220"/>
        <v>442800</v>
      </c>
      <c r="GG82" s="114">
        <f t="shared" si="220"/>
        <v>1076870</v>
      </c>
      <c r="GH82" s="114">
        <f t="shared" si="220"/>
        <v>0</v>
      </c>
      <c r="GI82" s="114">
        <f t="shared" si="220"/>
        <v>0</v>
      </c>
      <c r="GJ82" s="115">
        <f t="shared" si="150"/>
        <v>1519670</v>
      </c>
      <c r="GK82" s="114">
        <f t="shared" si="222"/>
        <v>1519670</v>
      </c>
      <c r="GL82" s="114">
        <f t="shared" si="201"/>
        <v>0</v>
      </c>
      <c r="GM82" s="114">
        <f t="shared" si="202"/>
        <v>0</v>
      </c>
      <c r="GN82" s="114">
        <f t="shared" si="203"/>
        <v>0</v>
      </c>
      <c r="GO82" s="114">
        <f t="shared" si="204"/>
        <v>0</v>
      </c>
      <c r="GP82" s="114">
        <f t="shared" si="151"/>
        <v>0</v>
      </c>
      <c r="GQ82" s="114">
        <f t="shared" si="223"/>
        <v>0</v>
      </c>
      <c r="GR82" s="193"/>
      <c r="GS82" s="122">
        <f t="shared" si="205"/>
        <v>22961812.397500031</v>
      </c>
      <c r="GT82" s="122">
        <f t="shared" si="206"/>
        <v>34957357.285576716</v>
      </c>
      <c r="GU82" s="123">
        <f t="shared" si="224"/>
        <v>0.65685206721773548</v>
      </c>
      <c r="GV82" s="124">
        <f t="shared" ca="1" si="207"/>
        <v>0</v>
      </c>
      <c r="GW82" s="124">
        <v>0</v>
      </c>
      <c r="GX82" s="32">
        <f t="shared" ca="1" si="208"/>
        <v>0</v>
      </c>
      <c r="GY82" s="100"/>
    </row>
    <row r="83" spans="1:207" s="481" customFormat="1" ht="15" hidden="1" customHeight="1">
      <c r="A83" s="447"/>
      <c r="B83" s="448"/>
      <c r="C83" s="448"/>
      <c r="D83" s="449"/>
      <c r="E83" s="460" t="s">
        <v>388</v>
      </c>
      <c r="F83" s="460" t="s">
        <v>388</v>
      </c>
      <c r="G83" s="449" t="s">
        <v>226</v>
      </c>
      <c r="H83" s="450" t="s">
        <v>418</v>
      </c>
      <c r="I83" s="451" t="s">
        <v>419</v>
      </c>
      <c r="J83" s="449" t="s">
        <v>212</v>
      </c>
      <c r="K83" s="449" t="s">
        <v>218</v>
      </c>
      <c r="L83" s="449" t="s">
        <v>213</v>
      </c>
      <c r="M83" s="449" t="s">
        <v>388</v>
      </c>
      <c r="N83" s="452"/>
      <c r="O83" s="420">
        <v>41430</v>
      </c>
      <c r="P83" s="420">
        <v>41640</v>
      </c>
      <c r="Q83" s="453">
        <f t="shared" si="179"/>
        <v>0</v>
      </c>
      <c r="R83" s="419">
        <f>IF((P83-VLOOKUP(Q83,month!$A$1:$C$13,3,0))&lt;0,Q83,Q83+1)</f>
        <v>0</v>
      </c>
      <c r="S83" s="420"/>
      <c r="T83" s="454" t="str">
        <f t="shared" si="215"/>
        <v/>
      </c>
      <c r="U83" s="107"/>
      <c r="V83" s="107"/>
      <c r="W83" s="107"/>
      <c r="X83" s="107"/>
      <c r="Y83" s="456"/>
      <c r="Z83" s="456" t="s">
        <v>545</v>
      </c>
      <c r="AA83" s="457">
        <v>1000</v>
      </c>
      <c r="AB83" s="457">
        <v>1000</v>
      </c>
      <c r="AC83" s="457">
        <v>1000</v>
      </c>
      <c r="AD83" s="457">
        <v>1000</v>
      </c>
      <c r="AE83" s="457">
        <v>1000</v>
      </c>
      <c r="AF83" s="457">
        <v>1000</v>
      </c>
      <c r="AG83" s="457">
        <v>1000</v>
      </c>
      <c r="AH83" s="457">
        <v>1000</v>
      </c>
      <c r="AI83" s="457">
        <v>1000</v>
      </c>
      <c r="AJ83" s="457">
        <v>1000</v>
      </c>
      <c r="AK83" s="457">
        <v>1000</v>
      </c>
      <c r="AL83" s="457">
        <v>1000</v>
      </c>
      <c r="AM83" s="458">
        <f t="shared" si="142"/>
        <v>12000</v>
      </c>
      <c r="AN83" s="458">
        <f t="shared" si="180"/>
        <v>12000</v>
      </c>
      <c r="AO83" s="459">
        <f t="shared" si="217"/>
        <v>1000</v>
      </c>
      <c r="AP83" s="500" t="s">
        <v>671</v>
      </c>
      <c r="AQ83" s="461">
        <v>0.4</v>
      </c>
      <c r="AR83" s="462" t="s">
        <v>392</v>
      </c>
      <c r="AS83" s="463" t="s">
        <v>210</v>
      </c>
      <c r="AT83" s="464">
        <v>198339.94189909767</v>
      </c>
      <c r="AU83" s="464">
        <v>465234.84238999593</v>
      </c>
      <c r="AV83" s="464">
        <v>377540.50957031891</v>
      </c>
      <c r="AW83" s="464">
        <v>379766.17677837767</v>
      </c>
      <c r="AX83" s="460">
        <v>147916.81079999998</v>
      </c>
      <c r="AY83" s="460">
        <v>282604.36499999999</v>
      </c>
      <c r="AZ83" s="460">
        <v>39858.300000000003</v>
      </c>
      <c r="BA83" s="460"/>
      <c r="BB83" s="460"/>
      <c r="BC83" s="460"/>
      <c r="BD83" s="460"/>
      <c r="BE83" s="460"/>
      <c r="BF83" s="465">
        <f t="shared" si="152"/>
        <v>147916.81079999998</v>
      </c>
      <c r="BG83" s="465">
        <f t="shared" si="153"/>
        <v>282604.36499999999</v>
      </c>
      <c r="BH83" s="465">
        <f t="shared" si="154"/>
        <v>39858.300000000003</v>
      </c>
      <c r="BI83" s="465">
        <f t="shared" si="155"/>
        <v>0</v>
      </c>
      <c r="BJ83" s="465">
        <f t="shared" si="182"/>
        <v>470379.47579999996</v>
      </c>
      <c r="BK83" s="466">
        <f t="shared" si="144"/>
        <v>1420881.4706377902</v>
      </c>
      <c r="BL83" s="466">
        <f t="shared" si="156"/>
        <v>1420881.4706377902</v>
      </c>
      <c r="BM83" s="467">
        <f t="shared" si="157"/>
        <v>0.33100000000000002</v>
      </c>
      <c r="BN83" s="468">
        <f t="shared" ca="1" si="190"/>
        <v>0</v>
      </c>
      <c r="BO83" s="469">
        <f t="shared" ca="1" si="191"/>
        <v>0</v>
      </c>
      <c r="BP83" s="470" t="str">
        <f t="shared" si="183"/>
        <v>Uncapped</v>
      </c>
      <c r="BQ83" s="466">
        <f t="shared" ca="1" si="192"/>
        <v>0</v>
      </c>
      <c r="BR83" s="460" t="s">
        <v>691</v>
      </c>
      <c r="BS83" s="461">
        <v>0.4</v>
      </c>
      <c r="BT83" s="462" t="s">
        <v>211</v>
      </c>
      <c r="BU83" s="462" t="s">
        <v>210</v>
      </c>
      <c r="BV83" s="460">
        <v>221568.61342828276</v>
      </c>
      <c r="BW83" s="460">
        <v>249202.30169127099</v>
      </c>
      <c r="BX83" s="460">
        <v>275205.91259744717</v>
      </c>
      <c r="BY83" s="460">
        <v>274538.90452976286</v>
      </c>
      <c r="BZ83" s="460">
        <v>251427.92399999997</v>
      </c>
      <c r="CA83" s="460">
        <v>194121.13049999997</v>
      </c>
      <c r="CB83" s="460">
        <v>162501.19830000005</v>
      </c>
      <c r="CC83" s="460"/>
      <c r="CD83" s="460"/>
      <c r="CE83" s="460"/>
      <c r="CF83" s="460"/>
      <c r="CG83" s="460"/>
      <c r="CH83" s="465">
        <f t="shared" si="158"/>
        <v>251427.92399999997</v>
      </c>
      <c r="CI83" s="465">
        <f t="shared" si="159"/>
        <v>194121.13049999997</v>
      </c>
      <c r="CJ83" s="472">
        <f t="shared" si="160"/>
        <v>162501.19830000005</v>
      </c>
      <c r="CK83" s="465">
        <f t="shared" si="161"/>
        <v>0</v>
      </c>
      <c r="CL83" s="465">
        <f t="shared" si="184"/>
        <v>608050.25280000002</v>
      </c>
      <c r="CM83" s="465">
        <f t="shared" si="145"/>
        <v>1020515.7322467638</v>
      </c>
      <c r="CN83" s="465">
        <f t="shared" si="162"/>
        <v>1020515.7322467638</v>
      </c>
      <c r="CO83" s="467">
        <f t="shared" si="163"/>
        <v>0.5958</v>
      </c>
      <c r="CP83" s="468">
        <f t="shared" ca="1" si="164"/>
        <v>0</v>
      </c>
      <c r="CQ83" s="466">
        <f t="shared" ca="1" si="193"/>
        <v>0</v>
      </c>
      <c r="CR83" s="470" t="str">
        <f t="shared" si="185"/>
        <v>Uncapped</v>
      </c>
      <c r="CS83" s="466">
        <f t="shared" ca="1" si="194"/>
        <v>0</v>
      </c>
      <c r="CT83" s="460" t="s">
        <v>695</v>
      </c>
      <c r="CU83" s="463">
        <v>0.2</v>
      </c>
      <c r="CV83" s="460" t="s">
        <v>217</v>
      </c>
      <c r="CW83" s="460" t="s">
        <v>210</v>
      </c>
      <c r="CX83" s="460">
        <v>3428789.7311367933</v>
      </c>
      <c r="CY83" s="460">
        <v>5408231.2228889018</v>
      </c>
      <c r="CZ83" s="460">
        <v>5079957.5438702796</v>
      </c>
      <c r="DA83" s="460">
        <v>5750796.8792685037</v>
      </c>
      <c r="DB83" s="460">
        <v>3679555.30579999</v>
      </c>
      <c r="DC83" s="460">
        <v>4808194.2835000101</v>
      </c>
      <c r="DD83" s="460">
        <v>4337155.326100016</v>
      </c>
      <c r="DE83" s="460"/>
      <c r="DF83" s="460"/>
      <c r="DG83" s="460"/>
      <c r="DH83" s="460"/>
      <c r="DI83" s="460"/>
      <c r="DJ83" s="465">
        <f t="shared" si="165"/>
        <v>3679555.30579999</v>
      </c>
      <c r="DK83" s="465">
        <f t="shared" si="166"/>
        <v>4808194.2835000101</v>
      </c>
      <c r="DL83" s="465">
        <f t="shared" si="167"/>
        <v>4337155.326100016</v>
      </c>
      <c r="DM83" s="465">
        <f t="shared" si="168"/>
        <v>0</v>
      </c>
      <c r="DN83" s="465">
        <f t="shared" si="186"/>
        <v>12824904.915400015</v>
      </c>
      <c r="DO83" s="465">
        <f t="shared" si="146"/>
        <v>19667775.377164479</v>
      </c>
      <c r="DP83" s="465">
        <f t="shared" si="169"/>
        <v>19667775.377164479</v>
      </c>
      <c r="DQ83" s="467">
        <f t="shared" si="170"/>
        <v>0.65210000000000001</v>
      </c>
      <c r="DR83" s="468">
        <f t="shared" ca="1" si="195"/>
        <v>0</v>
      </c>
      <c r="DS83" s="466">
        <f t="shared" ca="1" si="196"/>
        <v>0</v>
      </c>
      <c r="DT83" s="470" t="str">
        <f t="shared" si="187"/>
        <v>Uncapped</v>
      </c>
      <c r="DU83" s="466">
        <f t="shared" ca="1" si="197"/>
        <v>0</v>
      </c>
      <c r="DV83" s="460"/>
      <c r="DW83" s="463">
        <v>0</v>
      </c>
      <c r="DX83" s="460"/>
      <c r="DY83" s="460"/>
      <c r="DZ83" s="460">
        <v>0</v>
      </c>
      <c r="EA83" s="460">
        <v>0</v>
      </c>
      <c r="EB83" s="460">
        <v>0</v>
      </c>
      <c r="EC83" s="460">
        <v>0</v>
      </c>
      <c r="ED83" s="460">
        <v>0</v>
      </c>
      <c r="EE83" s="460">
        <v>0</v>
      </c>
      <c r="EF83" s="460"/>
      <c r="EG83" s="460"/>
      <c r="EH83" s="460"/>
      <c r="EI83" s="460"/>
      <c r="EJ83" s="460"/>
      <c r="EK83" s="460"/>
      <c r="EL83" s="465">
        <f t="shared" si="171"/>
        <v>0</v>
      </c>
      <c r="EM83" s="465">
        <f t="shared" si="172"/>
        <v>0</v>
      </c>
      <c r="EN83" s="465">
        <f t="shared" si="173"/>
        <v>0</v>
      </c>
      <c r="EO83" s="465">
        <f t="shared" si="174"/>
        <v>0</v>
      </c>
      <c r="EP83" s="465">
        <f t="shared" si="188"/>
        <v>0</v>
      </c>
      <c r="EQ83" s="465">
        <f t="shared" si="147"/>
        <v>0</v>
      </c>
      <c r="ER83" s="465">
        <f t="shared" si="175"/>
        <v>0</v>
      </c>
      <c r="ES83" s="467">
        <f t="shared" si="176"/>
        <v>0</v>
      </c>
      <c r="ET83" s="468">
        <f t="shared" ca="1" si="177"/>
        <v>0</v>
      </c>
      <c r="EU83" s="466">
        <f t="shared" ca="1" si="198"/>
        <v>0</v>
      </c>
      <c r="EV83" s="470" t="str">
        <f t="shared" si="189"/>
        <v>Uncapped</v>
      </c>
      <c r="EW83" s="466">
        <f t="shared" ca="1" si="199"/>
        <v>0</v>
      </c>
      <c r="EX83" s="473">
        <f t="shared" ca="1" si="200"/>
        <v>0</v>
      </c>
      <c r="EY83" s="465">
        <f t="shared" ca="1" si="178"/>
        <v>0</v>
      </c>
      <c r="EZ83" s="466">
        <v>0</v>
      </c>
      <c r="FA83" s="466"/>
      <c r="FB83" s="466"/>
      <c r="FC83" s="466">
        <v>0</v>
      </c>
      <c r="FD83" s="466">
        <f t="shared" si="148"/>
        <v>0</v>
      </c>
      <c r="FE83" s="465">
        <f t="shared" si="140"/>
        <v>0</v>
      </c>
      <c r="FF83" s="466">
        <v>0</v>
      </c>
      <c r="FG83" s="466">
        <v>0</v>
      </c>
      <c r="FH83" s="466">
        <v>0</v>
      </c>
      <c r="FI83" s="466">
        <v>0</v>
      </c>
      <c r="FJ83" s="466">
        <f t="shared" si="149"/>
        <v>0</v>
      </c>
      <c r="FK83" s="465">
        <f t="shared" si="141"/>
        <v>0</v>
      </c>
      <c r="FL83" s="460"/>
      <c r="FM83" s="464"/>
      <c r="FN83" s="464"/>
      <c r="FO83" s="464"/>
      <c r="FP83" s="466">
        <f t="shared" si="216"/>
        <v>0</v>
      </c>
      <c r="FQ83" s="466"/>
      <c r="FR83" s="466"/>
      <c r="FS83" s="466"/>
      <c r="FT83" s="465">
        <f t="shared" si="209"/>
        <v>0</v>
      </c>
      <c r="FU83" s="474">
        <f t="shared" ca="1" si="210"/>
        <v>0</v>
      </c>
      <c r="FV83" s="475">
        <f t="shared" ca="1" si="211"/>
        <v>0</v>
      </c>
      <c r="FW83" s="465">
        <f t="shared" si="218"/>
        <v>0</v>
      </c>
      <c r="FX83" s="465">
        <f t="shared" si="218"/>
        <v>0</v>
      </c>
      <c r="FY83" s="465">
        <f t="shared" si="218"/>
        <v>0</v>
      </c>
      <c r="FZ83" s="465">
        <f t="shared" si="218"/>
        <v>0</v>
      </c>
      <c r="GA83" s="465">
        <f t="shared" si="221"/>
        <v>0</v>
      </c>
      <c r="GB83" s="465">
        <f t="shared" si="219"/>
        <v>0</v>
      </c>
      <c r="GC83" s="465">
        <f t="shared" si="219"/>
        <v>0</v>
      </c>
      <c r="GD83" s="465">
        <f t="shared" si="219"/>
        <v>0</v>
      </c>
      <c r="GE83" s="465">
        <f t="shared" si="219"/>
        <v>0</v>
      </c>
      <c r="GF83" s="465">
        <f t="shared" si="220"/>
        <v>0</v>
      </c>
      <c r="GG83" s="465">
        <f t="shared" si="220"/>
        <v>0</v>
      </c>
      <c r="GH83" s="465">
        <f t="shared" si="220"/>
        <v>0</v>
      </c>
      <c r="GI83" s="465">
        <f t="shared" si="220"/>
        <v>0</v>
      </c>
      <c r="GJ83" s="466">
        <f t="shared" si="150"/>
        <v>0</v>
      </c>
      <c r="GK83" s="465">
        <f t="shared" si="222"/>
        <v>0</v>
      </c>
      <c r="GL83" s="465">
        <f t="shared" si="201"/>
        <v>0</v>
      </c>
      <c r="GM83" s="465">
        <f t="shared" si="202"/>
        <v>0</v>
      </c>
      <c r="GN83" s="465">
        <f t="shared" si="203"/>
        <v>0</v>
      </c>
      <c r="GO83" s="465">
        <f t="shared" si="204"/>
        <v>0</v>
      </c>
      <c r="GP83" s="465">
        <f t="shared" si="151"/>
        <v>0</v>
      </c>
      <c r="GQ83" s="465">
        <f t="shared" si="223"/>
        <v>0</v>
      </c>
      <c r="GR83" s="476"/>
      <c r="GS83" s="477">
        <f t="shared" si="205"/>
        <v>13903334.644000016</v>
      </c>
      <c r="GT83" s="477">
        <f t="shared" si="206"/>
        <v>22109172.580049034</v>
      </c>
      <c r="GU83" s="478">
        <f t="shared" si="224"/>
        <v>0.62884916175226591</v>
      </c>
      <c r="GV83" s="479">
        <f t="shared" ca="1" si="207"/>
        <v>0</v>
      </c>
      <c r="GW83" s="479">
        <v>0</v>
      </c>
      <c r="GX83" s="480">
        <f t="shared" ca="1" si="208"/>
        <v>0</v>
      </c>
      <c r="GY83" s="100"/>
    </row>
    <row r="84" spans="1:207" s="481" customFormat="1" ht="15" hidden="1" customHeight="1">
      <c r="A84" s="447"/>
      <c r="B84" s="448"/>
      <c r="C84" s="448"/>
      <c r="D84" s="449"/>
      <c r="E84" s="460" t="s">
        <v>388</v>
      </c>
      <c r="F84" s="460" t="s">
        <v>388</v>
      </c>
      <c r="G84" s="449" t="s">
        <v>226</v>
      </c>
      <c r="H84" s="450" t="s">
        <v>418</v>
      </c>
      <c r="I84" s="451" t="s">
        <v>419</v>
      </c>
      <c r="J84" s="449" t="s">
        <v>212</v>
      </c>
      <c r="K84" s="449" t="s">
        <v>218</v>
      </c>
      <c r="L84" s="449" t="s">
        <v>213</v>
      </c>
      <c r="M84" s="449" t="s">
        <v>388</v>
      </c>
      <c r="N84" s="452"/>
      <c r="O84" s="420">
        <v>41430</v>
      </c>
      <c r="P84" s="108">
        <v>43647</v>
      </c>
      <c r="Q84" s="453">
        <f t="shared" ref="Q84" si="225">IF(P84&gt;$Q$2,MONTH(P84),0)</f>
        <v>7</v>
      </c>
      <c r="R84" s="419">
        <f>IF((P84-VLOOKUP(Q84,month!$A$1:$C$13,3,0))&lt;0,Q84,Q84+1)</f>
        <v>7</v>
      </c>
      <c r="S84" s="420"/>
      <c r="T84" s="454" t="str">
        <f t="shared" ref="T84" si="226">IF(S84&gt;0,"Y","")</f>
        <v/>
      </c>
      <c r="U84" s="483" t="s">
        <v>214</v>
      </c>
      <c r="V84" s="404"/>
      <c r="W84" s="405"/>
      <c r="X84" s="484">
        <v>3</v>
      </c>
      <c r="Y84" s="456"/>
      <c r="Z84" s="456" t="s">
        <v>545</v>
      </c>
      <c r="AA84" s="457">
        <v>1000</v>
      </c>
      <c r="AB84" s="457">
        <v>1000</v>
      </c>
      <c r="AC84" s="457">
        <v>1000</v>
      </c>
      <c r="AD84" s="457">
        <v>1000</v>
      </c>
      <c r="AE84" s="457">
        <v>1000</v>
      </c>
      <c r="AF84" s="457">
        <v>1000</v>
      </c>
      <c r="AG84" s="457">
        <v>1000</v>
      </c>
      <c r="AH84" s="457">
        <v>1000</v>
      </c>
      <c r="AI84" s="457">
        <v>1000</v>
      </c>
      <c r="AJ84" s="457">
        <v>1000</v>
      </c>
      <c r="AK84" s="457">
        <v>1000</v>
      </c>
      <c r="AL84" s="457">
        <v>1000</v>
      </c>
      <c r="AM84" s="458">
        <f t="shared" ref="AM84" si="227">IF($H$2=1,SUM(AA84:AC84),IF($H$2=2,SUM(AA84:AF84),IF($H$2=3,SUM(AA84:AI84),SUM(AA84:AL84))))</f>
        <v>12000</v>
      </c>
      <c r="AN84" s="458">
        <f t="shared" ref="AN84" si="228">SUM(AA84:AL84)+INDEX(AA84:AL84,,MATCH($H$3,$AA$5:$AL$5,0))*(12-COUNTA(AA84:AL84))</f>
        <v>12000</v>
      </c>
      <c r="AO84" s="459">
        <f t="shared" ref="AO84" si="229">AI84</f>
        <v>1000</v>
      </c>
      <c r="AP84" s="500" t="s">
        <v>671</v>
      </c>
      <c r="AQ84" s="461">
        <v>0.4</v>
      </c>
      <c r="AR84" s="462" t="s">
        <v>392</v>
      </c>
      <c r="AS84" s="463" t="s">
        <v>210</v>
      </c>
      <c r="AT84" s="464">
        <v>198339.94189909767</v>
      </c>
      <c r="AU84" s="464">
        <v>465234.84238999593</v>
      </c>
      <c r="AV84" s="464">
        <v>377540.50957031891</v>
      </c>
      <c r="AW84" s="464">
        <v>379766.17677837767</v>
      </c>
      <c r="AX84" s="460">
        <v>147916.81079999998</v>
      </c>
      <c r="AY84" s="460">
        <v>282604.36499999999</v>
      </c>
      <c r="AZ84" s="460">
        <v>39858.300000000003</v>
      </c>
      <c r="BA84" s="460"/>
      <c r="BB84" s="460"/>
      <c r="BC84" s="460"/>
      <c r="BD84" s="460"/>
      <c r="BE84" s="460"/>
      <c r="BF84" s="465">
        <f t="shared" ref="BF84" si="230">AX84+BB84</f>
        <v>147916.81079999998</v>
      </c>
      <c r="BG84" s="465">
        <f t="shared" ref="BG84" si="231">AY84+BC84</f>
        <v>282604.36499999999</v>
      </c>
      <c r="BH84" s="465">
        <f t="shared" ref="BH84" si="232">AZ84+BD84</f>
        <v>39858.300000000003</v>
      </c>
      <c r="BI84" s="465">
        <f t="shared" ref="BI84" si="233">BA84+BE84</f>
        <v>0</v>
      </c>
      <c r="BJ84" s="465">
        <f t="shared" ref="BJ84" si="234">IF($BB$3="After AR Adjustment",IF($H$2=1,BF84,IF($H$2=2,SUM(BF84:BG84),IF($H$2=3,SUM(BF84:BH84),SUM(BF84:BI84)))),IF($H$2=1,AX84,IF($H$2=2,SUM(AX84:AY84),IF($H$2=3,SUM(AX84:AZ84),SUM(AX84:BA84)))))</f>
        <v>470379.47579999996</v>
      </c>
      <c r="BK84" s="466">
        <f t="shared" ref="BK84" si="235">IF($H$2=1,AT84,IF($H$2=2,SUM(AT84:AU84),IF($H$2=3,SUM(AT84:AV84),SUM(AT84:AW84))))</f>
        <v>1420881.4706377902</v>
      </c>
      <c r="BL84" s="466">
        <f t="shared" ref="BL84" si="236">SUM(AT84:AW84)</f>
        <v>1420881.4706377902</v>
      </c>
      <c r="BM84" s="467">
        <f t="shared" ref="BM84" si="237">IFERROR(ROUND(BJ84/BK84,4),0)</f>
        <v>0.33100000000000002</v>
      </c>
      <c r="BN84" s="468">
        <f t="shared" ref="BN84" ca="1" si="238">IF(OR(AP84="MBO",AP84="10% Realized Price"),BM84,SUMPRODUCT(Lower_Payout*(Curve=AR84)*(Lower_Attain&lt;=BM84)*(Upper_Attain&gt;BM84))+(BM84-SUMPRODUCT(Lower_Attain*(Curve=AR84)*(Lower_Attain&lt;=BM84)*(Upper_Attain&gt;BM84)))*SUMPRODUCT(Slope*(Curve=AR84)*(Lower_Attain&lt;=BM84)*(Upper_Attain&gt;BM84)))</f>
        <v>0</v>
      </c>
      <c r="BO84" s="469">
        <f t="shared" ref="BO84" ca="1" si="239">IFERROR(AM84*AQ84*BN84,0)</f>
        <v>0</v>
      </c>
      <c r="BP84" s="470" t="str">
        <f t="shared" ref="BP84" si="240">IF($T84="Y","100%",IF($H$2=4,"Uncapped",IF(N84="Y","100%",IF($G84="AA","50%",IF($G84="SA","90%",IF($G84="APJ Regional-AA","50%",IF($G84="APJ Regional-SA","90%",75%)))))))</f>
        <v>Uncapped</v>
      </c>
      <c r="BQ84" s="466">
        <f t="shared" ref="BQ84" ca="1" si="241">IF(BP84="Uncapped",BO84,IFERROR(AM84*AQ84*BP84,0))</f>
        <v>0</v>
      </c>
      <c r="BR84" s="460" t="s">
        <v>691</v>
      </c>
      <c r="BS84" s="461">
        <v>0.4</v>
      </c>
      <c r="BT84" s="462" t="s">
        <v>211</v>
      </c>
      <c r="BU84" s="462" t="s">
        <v>210</v>
      </c>
      <c r="BV84" s="460">
        <v>221568.61342828276</v>
      </c>
      <c r="BW84" s="460">
        <v>249202.30169127099</v>
      </c>
      <c r="BX84" s="460">
        <v>275205.91259744717</v>
      </c>
      <c r="BY84" s="460">
        <v>274538.90452976286</v>
      </c>
      <c r="BZ84" s="460">
        <v>251427.92399999997</v>
      </c>
      <c r="CA84" s="460">
        <v>194121.13049999997</v>
      </c>
      <c r="CB84" s="460">
        <v>162501.19830000005</v>
      </c>
      <c r="CC84" s="460"/>
      <c r="CD84" s="460"/>
      <c r="CE84" s="460"/>
      <c r="CF84" s="460"/>
      <c r="CG84" s="460"/>
      <c r="CH84" s="465">
        <f t="shared" ref="CH84" si="242">BZ84+CD84</f>
        <v>251427.92399999997</v>
      </c>
      <c r="CI84" s="465">
        <f t="shared" ref="CI84" si="243">CA84+CE84</f>
        <v>194121.13049999997</v>
      </c>
      <c r="CJ84" s="472">
        <f t="shared" ref="CJ84" si="244">CB84+CF84</f>
        <v>162501.19830000005</v>
      </c>
      <c r="CK84" s="465">
        <f t="shared" ref="CK84" si="245">CC84+CG84</f>
        <v>0</v>
      </c>
      <c r="CL84" s="465">
        <f t="shared" ref="CL84" si="246">IF($BB$3="After AR Adjustment",IF($H$2=1,CH84,IF($H$2=2,SUM(CH84:CI84),IF($H$2=3,SUM(CH84:CJ84),SUM(CH84:CK84)))),IF($H$2=1,BZ84,IF($H$2=2,SUM(BZ84:CA84),IF($H$2=3,SUM(BZ84:CB84),SUM(BZ84:CC84)))))</f>
        <v>608050.25280000002</v>
      </c>
      <c r="CM84" s="465">
        <f t="shared" ref="CM84" si="247">IF($H$2=1,BV84,IF($H$2=2,SUM(BV84:BW84),IF($H$2=3,SUM(BV84:BX84),SUM(BV84:BY84))))</f>
        <v>1020515.7322467638</v>
      </c>
      <c r="CN84" s="465">
        <f t="shared" ref="CN84" si="248">SUM(BV84:BY84)</f>
        <v>1020515.7322467638</v>
      </c>
      <c r="CO84" s="467">
        <f t="shared" ref="CO84" si="249">IFERROR(ROUND(CL84/CM84,4),0)</f>
        <v>0.5958</v>
      </c>
      <c r="CP84" s="468">
        <f t="shared" ref="CP84" ca="1" si="250">IF(OR(BR84="MBO",BR84="10% Realized Price"),CO84,SUMPRODUCT(Lower_Payout*(Curve=BT84)*(Lower_Attain&lt;=CO84)*(Upper_Attain&gt;CO84))+(CO84-SUMPRODUCT(Lower_Attain*(Curve=BT84)*(Lower_Attain&lt;=CO84)*(Upper_Attain&gt;CO84)))*SUMPRODUCT(Slope*(Curve=BT84)*(Lower_Attain&lt;=CO84)*(Upper_Attain&gt;CO84)))</f>
        <v>0</v>
      </c>
      <c r="CQ84" s="466">
        <f t="shared" ref="CQ84" ca="1" si="251">AM84*BS84*CP84</f>
        <v>0</v>
      </c>
      <c r="CR84" s="470" t="str">
        <f t="shared" ref="CR84" si="252">IF($T84="Y","100%",IF($H$2=4,"Uncapped",IF(N84="Y","100%",IF($G84="AA","50%",IF($G84="SA","90%",IF($G84="APJ Regional-AA","50%",IF($G84="APJ Regional-SA","90%",75%)))))))</f>
        <v>Uncapped</v>
      </c>
      <c r="CS84" s="466">
        <f t="shared" ref="CS84" ca="1" si="253">IF(CR84="Uncapped",CQ84,IFERROR(AM84*BS84*CR84,0))</f>
        <v>0</v>
      </c>
      <c r="CT84" s="460" t="s">
        <v>695</v>
      </c>
      <c r="CU84" s="463">
        <v>0.2</v>
      </c>
      <c r="CV84" s="460" t="s">
        <v>217</v>
      </c>
      <c r="CW84" s="460" t="s">
        <v>210</v>
      </c>
      <c r="CX84" s="460">
        <v>3428789.7311367933</v>
      </c>
      <c r="CY84" s="460">
        <v>5408231.2228889018</v>
      </c>
      <c r="CZ84" s="460">
        <v>5079957.5438702796</v>
      </c>
      <c r="DA84" s="460">
        <v>5750796.8792685037</v>
      </c>
      <c r="DB84" s="460">
        <v>3679555.30579999</v>
      </c>
      <c r="DC84" s="460">
        <v>4808194.2835000101</v>
      </c>
      <c r="DD84" s="460">
        <v>4337155.326100016</v>
      </c>
      <c r="DE84" s="460"/>
      <c r="DF84" s="460"/>
      <c r="DG84" s="460"/>
      <c r="DH84" s="460"/>
      <c r="DI84" s="460"/>
      <c r="DJ84" s="465">
        <f t="shared" ref="DJ84" si="254">DB84+DF84</f>
        <v>3679555.30579999</v>
      </c>
      <c r="DK84" s="465">
        <f t="shared" ref="DK84" si="255">DC84+DG84</f>
        <v>4808194.2835000101</v>
      </c>
      <c r="DL84" s="465">
        <f t="shared" ref="DL84" si="256">DD84+DH84</f>
        <v>4337155.326100016</v>
      </c>
      <c r="DM84" s="465">
        <f t="shared" ref="DM84" si="257">DE84+DI84</f>
        <v>0</v>
      </c>
      <c r="DN84" s="465">
        <f t="shared" ref="DN84" si="258">IF($BB$3="After AR Adjustment",IF($H$2=1,DJ84,IF($H$2=2,SUM(DJ84:DK84),IF($H$2=3,SUM(DJ84:DL84),SUM(DJ84:DM84)))),IF($H$2=1,DB84,IF($H$2=2,SUM(DB84:DC84),IF($H$2=3,SUM(DB84:DD84),SUM(DB84:DE84)))))</f>
        <v>12824904.915400015</v>
      </c>
      <c r="DO84" s="465">
        <f t="shared" ref="DO84" si="259">IF($H$2=1,CX84,IF($H$2=2,SUM(CX84:CY84),IF($H$2=3,SUM(CX84:CZ84),SUM(CX84:DA84))))</f>
        <v>19667775.377164479</v>
      </c>
      <c r="DP84" s="465">
        <f t="shared" ref="DP84" si="260">SUM(CX84:DA84)</f>
        <v>19667775.377164479</v>
      </c>
      <c r="DQ84" s="467">
        <f t="shared" ref="DQ84" si="261">IFERROR(ROUND(DN84/DO84,4),0)</f>
        <v>0.65210000000000001</v>
      </c>
      <c r="DR84" s="468">
        <f t="shared" ref="DR84" ca="1" si="262">IF(OR(CT84="MBO",CT84="10% Realized Price"),DQ84,SUMPRODUCT(Lower_Payout*(Curve=CV84)*(Lower_Attain&lt;=DQ84)*(Upper_Attain&gt;DQ84))+(DQ84-SUMPRODUCT(Lower_Attain*(Curve=CV84)*(Lower_Attain&lt;=DQ84)*(Upper_Attain&gt;DQ84)))*SUMPRODUCT(Slope*(Curve=CV84)*(Lower_Attain&lt;=DQ84)*(Upper_Attain&gt;DQ84)))</f>
        <v>0</v>
      </c>
      <c r="DS84" s="466">
        <f t="shared" ref="DS84" ca="1" si="263">AM84*CU84*DR84</f>
        <v>0</v>
      </c>
      <c r="DT84" s="470" t="str">
        <f t="shared" ref="DT84" si="264">IF($T84="Y","100%",IF($H$2=4,"Uncapped",IF(N84="Y","100%",IF($G84="AA","50%",IF($G84="SA","90%",IF($G84="APJ Regional-AA","50%",IF($G84="APJ Regional-SA","90%",75%)))))))</f>
        <v>Uncapped</v>
      </c>
      <c r="DU84" s="466">
        <f t="shared" ref="DU84" ca="1" si="265">IF(DT84="Uncapped",DS84,IFERROR(AM84*CU84*DT84,0))</f>
        <v>0</v>
      </c>
      <c r="DV84" s="460"/>
      <c r="DW84" s="463">
        <v>0</v>
      </c>
      <c r="DX84" s="460"/>
      <c r="DY84" s="460"/>
      <c r="DZ84" s="460">
        <v>0</v>
      </c>
      <c r="EA84" s="460">
        <v>0</v>
      </c>
      <c r="EB84" s="460">
        <v>0</v>
      </c>
      <c r="EC84" s="460">
        <v>0</v>
      </c>
      <c r="ED84" s="460">
        <v>0</v>
      </c>
      <c r="EE84" s="460">
        <v>0</v>
      </c>
      <c r="EF84" s="460"/>
      <c r="EG84" s="460"/>
      <c r="EH84" s="460"/>
      <c r="EI84" s="460"/>
      <c r="EJ84" s="460"/>
      <c r="EK84" s="460"/>
      <c r="EL84" s="465">
        <f t="shared" ref="EL84" si="266">ED84+EH84</f>
        <v>0</v>
      </c>
      <c r="EM84" s="465">
        <f t="shared" ref="EM84" si="267">EE84+EI84</f>
        <v>0</v>
      </c>
      <c r="EN84" s="465">
        <f t="shared" ref="EN84" si="268">EF84+EJ84</f>
        <v>0</v>
      </c>
      <c r="EO84" s="465">
        <f t="shared" ref="EO84" si="269">EG84+EK84</f>
        <v>0</v>
      </c>
      <c r="EP84" s="465">
        <f t="shared" ref="EP84" si="270">IF($BB$3="After AR Adjustment",IF($H$2=1,EL84,IF($H$2=2,SUM(EL84:EM84),IF($H$2=3,SUM(EL84:EN84),SUM(EL84:EO84)))),IF($H$2=1,ED84,IF($H$2=2,SUM(ED84:EE84),IF($H$2=3,SUM(ED84:EF84),SUM(ED84:EG84)))))</f>
        <v>0</v>
      </c>
      <c r="EQ84" s="465">
        <f t="shared" ref="EQ84" si="271">IF($H$2=1,DZ84,IF($H$2=2,SUM(DZ84:EA84),IF($H$2=3,SUM(DZ84:EB84),SUM(DZ84:EC84))))</f>
        <v>0</v>
      </c>
      <c r="ER84" s="465">
        <f t="shared" ref="ER84" si="272">SUM(DZ84:EC84)</f>
        <v>0</v>
      </c>
      <c r="ES84" s="467">
        <f t="shared" ref="ES84" si="273">IFERROR(ROUND(EP84/EQ84,4),0)</f>
        <v>0</v>
      </c>
      <c r="ET84" s="468">
        <f t="shared" ref="ET84" ca="1" si="274">IF(OR(DV84="MBO",DV84="10% Realized Price"),ES84,SUMPRODUCT(Lower_Payout*(Curve=DX84)*(Lower_Attain&lt;=ES84)*(Upper_Attain&gt;ES84))+(ES84-SUMPRODUCT(Lower_Attain*(Curve=DX84)*(Lower_Attain&lt;=ES84)*(Upper_Attain&gt;ES84)))*SUMPRODUCT(Slope*(Curve=DX84)*(Lower_Attain&lt;=ES84)*(Upper_Attain&gt;ES84)))</f>
        <v>0</v>
      </c>
      <c r="EU84" s="466">
        <f t="shared" ref="EU84" ca="1" si="275">AM84*DW84*ET84</f>
        <v>0</v>
      </c>
      <c r="EV84" s="470" t="str">
        <f t="shared" ref="EV84" si="276">IF($T84="Y","100%",IF(DX84="T2","200%",IF($H$2=4,"Uncapped",IF($G84="AA","50%",IF($G84="SA","90%",IF($G84="APJ Regional-AA","50%",IF($G84="APJ Regional-SA","90%",75%)))))))</f>
        <v>Uncapped</v>
      </c>
      <c r="EW84" s="466">
        <f t="shared" ref="EW84" ca="1" si="277">IF(EV84="Uncapped",EU84,IFERROR(AM84*DW84*EV84,0))</f>
        <v>0</v>
      </c>
      <c r="EX84" s="473">
        <f t="shared" ref="EX84" ca="1" si="278">MIN(BO84,BQ84)+MIN(CQ84,CS84)+MIN(DS84,DU84)+MIN(EU84,EW84)</f>
        <v>0</v>
      </c>
      <c r="EY84" s="465">
        <f t="shared" ref="EY84" ca="1" si="279">MAX(EX84,GP84)</f>
        <v>3000</v>
      </c>
      <c r="EZ84" s="466">
        <v>0</v>
      </c>
      <c r="FA84" s="466"/>
      <c r="FB84" s="466"/>
      <c r="FC84" s="466">
        <v>0</v>
      </c>
      <c r="FD84" s="466">
        <f t="shared" ref="FD84" si="280">IF($H$2=1,EZ84,IF($H$2=2,SUM(EZ84:FA84),IF($H$2=3,SUM(EZ84:FB84),SUM(EZ84:FC84))))</f>
        <v>0</v>
      </c>
      <c r="FE84" s="465">
        <f t="shared" si="140"/>
        <v>0</v>
      </c>
      <c r="FF84" s="466">
        <v>0</v>
      </c>
      <c r="FG84" s="466">
        <v>0</v>
      </c>
      <c r="FH84" s="466">
        <v>0</v>
      </c>
      <c r="FI84" s="466">
        <v>0</v>
      </c>
      <c r="FJ84" s="466">
        <f t="shared" ref="FJ84" si="281">IF($H$2=1,FF84,IF($H$2=2,SUM(FF84:FG84),IF($H$2=3,SUM(FF84:FH84),SUM(FF84:FI84))))</f>
        <v>0</v>
      </c>
      <c r="FK84" s="465">
        <f t="shared" si="141"/>
        <v>0</v>
      </c>
      <c r="FL84" s="460"/>
      <c r="FM84" s="464"/>
      <c r="FN84" s="464"/>
      <c r="FO84" s="464"/>
      <c r="FP84" s="466">
        <f t="shared" ref="FP84" si="282">SUM(FL84:FO84)</f>
        <v>0</v>
      </c>
      <c r="FQ84" s="466"/>
      <c r="FR84" s="466"/>
      <c r="FS84" s="466"/>
      <c r="FT84" s="465">
        <f t="shared" ref="FT84" si="283">SUM(FQ84:FS84)</f>
        <v>0</v>
      </c>
      <c r="FU84" s="474">
        <f t="shared" ref="FU84" ca="1" si="284">ROUND(MAX(FV84-FT84,0),2)</f>
        <v>3000</v>
      </c>
      <c r="FV84" s="475">
        <f t="shared" ref="FV84" ca="1" si="285">SUM(EY84,FD84,FJ84,FP84)</f>
        <v>3000</v>
      </c>
      <c r="FW84" s="465">
        <f t="shared" ref="FW84" si="286">FF84</f>
        <v>0</v>
      </c>
      <c r="FX84" s="465">
        <f t="shared" ref="FX84" si="287">FG84</f>
        <v>0</v>
      </c>
      <c r="FY84" s="465">
        <f t="shared" ref="FY84" si="288">FH84</f>
        <v>0</v>
      </c>
      <c r="FZ84" s="465">
        <f t="shared" ref="FZ84" si="289">FI84</f>
        <v>0</v>
      </c>
      <c r="GA84" s="465">
        <f t="shared" ref="GA84" si="290">SUM(FW84:FZ84)</f>
        <v>0</v>
      </c>
      <c r="GB84" s="465">
        <f t="shared" ref="GB84" si="291">EZ84</f>
        <v>0</v>
      </c>
      <c r="GC84" s="465">
        <f t="shared" ref="GC84" si="292">FA84</f>
        <v>0</v>
      </c>
      <c r="GD84" s="465">
        <f t="shared" ref="GD84" si="293">FB84</f>
        <v>0</v>
      </c>
      <c r="GE84" s="465">
        <f t="shared" ref="GE84" si="294">FC84</f>
        <v>0</v>
      </c>
      <c r="GF84" s="465">
        <f t="shared" ref="GF84" si="295">GB84+FW84</f>
        <v>0</v>
      </c>
      <c r="GG84" s="465">
        <f t="shared" ref="GG84" si="296">GC84+FX84</f>
        <v>0</v>
      </c>
      <c r="GH84" s="465">
        <f t="shared" ref="GH84" si="297">GD84+FY84</f>
        <v>0</v>
      </c>
      <c r="GI84" s="465">
        <f t="shared" ref="GI84" si="298">GE84+FZ84</f>
        <v>0</v>
      </c>
      <c r="GJ84" s="466">
        <f t="shared" ref="GJ84" si="299">IF($H$2=1,GF84,IF($H$2=2,SUM(GF84:GG84),IF($H$2=3,SUM(GF84:GH84),SUM(GF84:GI84))))</f>
        <v>0</v>
      </c>
      <c r="GK84" s="465">
        <f t="shared" ref="GK84" si="300">SUM(GF84:GI84)</f>
        <v>0</v>
      </c>
      <c r="GL84" s="465">
        <f t="shared" ref="GL84" si="301">IF(U84="Y",V84*AO84,0)</f>
        <v>0</v>
      </c>
      <c r="GM84" s="465">
        <f t="shared" ref="GM84" si="302">IF(U84="Y",W84*AO84,0)</f>
        <v>0</v>
      </c>
      <c r="GN84" s="465">
        <f t="shared" ref="GN84" si="303">IF(U84="Y",X84*AO84,0)</f>
        <v>3000</v>
      </c>
      <c r="GO84" s="465">
        <f t="shared" ref="GO84" si="304">IF(U84="Y",Y84*AO84,0)</f>
        <v>0</v>
      </c>
      <c r="GP84" s="465">
        <f t="shared" ref="GP84" si="305">IF($H$2=1,GL84,IF($H$2=2,SUM(GL84:GM84),IF($H$2=3,SUM(GL84:GN84),IF($H$2=4,SUM(GL84:GO84)))))</f>
        <v>3000</v>
      </c>
      <c r="GQ84" s="465">
        <f t="shared" ref="GQ84" si="306">SUM(GL84:GO84)</f>
        <v>3000</v>
      </c>
      <c r="GR84" s="476"/>
      <c r="GS84" s="477">
        <f t="shared" ref="GS84" si="307">IFERROR(BJ84+CL84+DN84+EP84,0)</f>
        <v>13903334.644000016</v>
      </c>
      <c r="GT84" s="477">
        <f t="shared" ref="GT84" si="308">IFERROR(BK84+CM84+DO84+EQ84,0)</f>
        <v>22109172.580049034</v>
      </c>
      <c r="GU84" s="478">
        <f t="shared" ref="GU84" si="309">IFERROR(GS84/GT84,"")</f>
        <v>0.62884916175226591</v>
      </c>
      <c r="GV84" s="479">
        <f t="shared" ref="GV84" ca="1" si="310">BO84+CQ84+DS84+EU84</f>
        <v>0</v>
      </c>
      <c r="GW84" s="479">
        <v>0</v>
      </c>
      <c r="GX84" s="480">
        <f t="shared" ref="GX84" ca="1" si="311">IFERROR(GV84/AM84,0)</f>
        <v>0</v>
      </c>
      <c r="GY84" s="100"/>
    </row>
    <row r="85" spans="1:207" s="125" customFormat="1" ht="15" hidden="1" customHeight="1">
      <c r="A85" s="102"/>
      <c r="B85" s="103"/>
      <c r="C85" s="103"/>
      <c r="D85" s="104"/>
      <c r="E85" s="104" t="s">
        <v>388</v>
      </c>
      <c r="F85" s="104" t="s">
        <v>388</v>
      </c>
      <c r="G85" s="104" t="s">
        <v>226</v>
      </c>
      <c r="H85" s="105" t="s">
        <v>420</v>
      </c>
      <c r="I85" s="106" t="s">
        <v>421</v>
      </c>
      <c r="J85" s="104" t="s">
        <v>212</v>
      </c>
      <c r="K85" s="104" t="s">
        <v>218</v>
      </c>
      <c r="L85" s="104" t="s">
        <v>213</v>
      </c>
      <c r="M85" s="104" t="s">
        <v>388</v>
      </c>
      <c r="N85" s="107"/>
      <c r="O85" s="108">
        <v>43052</v>
      </c>
      <c r="P85" s="108">
        <v>43052</v>
      </c>
      <c r="Q85" s="322">
        <f t="shared" si="179"/>
        <v>0</v>
      </c>
      <c r="R85" s="109">
        <f>IF((P85-VLOOKUP(Q85,month!$A$1:$C$13,3,0))&lt;0,Q85,Q85+1)</f>
        <v>0</v>
      </c>
      <c r="S85" s="108"/>
      <c r="T85" s="127" t="str">
        <f t="shared" si="215"/>
        <v/>
      </c>
      <c r="U85" s="107"/>
      <c r="V85" s="107"/>
      <c r="W85" s="107"/>
      <c r="X85" s="107"/>
      <c r="Y85" s="386"/>
      <c r="Z85" s="386" t="s">
        <v>545</v>
      </c>
      <c r="AA85" s="387">
        <v>1000</v>
      </c>
      <c r="AB85" s="387">
        <v>1000</v>
      </c>
      <c r="AC85" s="387">
        <v>1000</v>
      </c>
      <c r="AD85" s="387">
        <v>1000</v>
      </c>
      <c r="AE85" s="387">
        <v>1000</v>
      </c>
      <c r="AF85" s="387">
        <v>1000</v>
      </c>
      <c r="AG85" s="387">
        <v>1000</v>
      </c>
      <c r="AH85" s="387">
        <v>1000</v>
      </c>
      <c r="AI85" s="387">
        <v>1000</v>
      </c>
      <c r="AJ85" s="387">
        <v>1000</v>
      </c>
      <c r="AK85" s="387">
        <v>1000</v>
      </c>
      <c r="AL85" s="387">
        <v>1000</v>
      </c>
      <c r="AM85" s="388">
        <f t="shared" si="142"/>
        <v>12000</v>
      </c>
      <c r="AN85" s="388">
        <f t="shared" si="180"/>
        <v>12000</v>
      </c>
      <c r="AO85" s="389">
        <f t="shared" si="217"/>
        <v>1000</v>
      </c>
      <c r="AP85" s="498" t="s">
        <v>671</v>
      </c>
      <c r="AQ85" s="159">
        <v>0.4</v>
      </c>
      <c r="AR85" s="160" t="s">
        <v>392</v>
      </c>
      <c r="AS85" s="119" t="s">
        <v>210</v>
      </c>
      <c r="AT85" s="111">
        <v>117297.85036982478</v>
      </c>
      <c r="AU85" s="111">
        <v>296002.26976761874</v>
      </c>
      <c r="AV85" s="111">
        <v>214603.9886461517</v>
      </c>
      <c r="AW85" s="111">
        <v>251124.43430784965</v>
      </c>
      <c r="AX85" s="113">
        <v>169231.31999999998</v>
      </c>
      <c r="AY85" s="113">
        <v>181446.91199999998</v>
      </c>
      <c r="AZ85" s="113">
        <v>354277.8</v>
      </c>
      <c r="BA85" s="113"/>
      <c r="BB85" s="113"/>
      <c r="BC85" s="113"/>
      <c r="BD85" s="113"/>
      <c r="BE85" s="113"/>
      <c r="BF85" s="114">
        <f t="shared" si="152"/>
        <v>169231.31999999998</v>
      </c>
      <c r="BG85" s="114">
        <f t="shared" si="153"/>
        <v>181446.91199999998</v>
      </c>
      <c r="BH85" s="114">
        <f t="shared" si="154"/>
        <v>354277.8</v>
      </c>
      <c r="BI85" s="114">
        <f t="shared" si="155"/>
        <v>0</v>
      </c>
      <c r="BJ85" s="114">
        <f t="shared" si="182"/>
        <v>704956.03199999989</v>
      </c>
      <c r="BK85" s="115">
        <f t="shared" si="144"/>
        <v>879028.54309144488</v>
      </c>
      <c r="BL85" s="115">
        <f t="shared" si="156"/>
        <v>879028.54309144488</v>
      </c>
      <c r="BM85" s="116">
        <f t="shared" si="157"/>
        <v>0.80200000000000005</v>
      </c>
      <c r="BN85" s="126">
        <f t="shared" ca="1" si="190"/>
        <v>0</v>
      </c>
      <c r="BO85" s="117">
        <f t="shared" ca="1" si="191"/>
        <v>0</v>
      </c>
      <c r="BP85" s="118" t="str">
        <f t="shared" si="183"/>
        <v>Uncapped</v>
      </c>
      <c r="BQ85" s="115">
        <f t="shared" ca="1" si="192"/>
        <v>0</v>
      </c>
      <c r="BR85" s="113" t="s">
        <v>691</v>
      </c>
      <c r="BS85" s="159">
        <v>0.4</v>
      </c>
      <c r="BT85" s="160" t="s">
        <v>211</v>
      </c>
      <c r="BU85" s="160" t="s">
        <v>210</v>
      </c>
      <c r="BV85" s="113">
        <v>2616407.1981056477</v>
      </c>
      <c r="BW85" s="113">
        <v>3516179.7032821518</v>
      </c>
      <c r="BX85" s="113">
        <v>3720581.9762100568</v>
      </c>
      <c r="BY85" s="113">
        <v>4249439.0333433365</v>
      </c>
      <c r="BZ85" s="113">
        <v>2600578.9209999898</v>
      </c>
      <c r="CA85" s="113">
        <v>2812623.530200005</v>
      </c>
      <c r="CB85" s="113">
        <v>3288683.4781000158</v>
      </c>
      <c r="CC85" s="113"/>
      <c r="CD85" s="113"/>
      <c r="CE85" s="113"/>
      <c r="CF85" s="113"/>
      <c r="CG85" s="113"/>
      <c r="CH85" s="114">
        <f t="shared" si="158"/>
        <v>2600578.9209999898</v>
      </c>
      <c r="CI85" s="114">
        <f t="shared" si="159"/>
        <v>2812623.530200005</v>
      </c>
      <c r="CJ85" s="120">
        <f t="shared" si="160"/>
        <v>3288683.4781000158</v>
      </c>
      <c r="CK85" s="114">
        <f t="shared" si="161"/>
        <v>0</v>
      </c>
      <c r="CL85" s="114">
        <f t="shared" si="184"/>
        <v>8701885.9293000102</v>
      </c>
      <c r="CM85" s="114">
        <f t="shared" si="145"/>
        <v>14102607.910941195</v>
      </c>
      <c r="CN85" s="114">
        <f t="shared" si="162"/>
        <v>14102607.910941195</v>
      </c>
      <c r="CO85" s="116">
        <f t="shared" si="163"/>
        <v>0.61699999999999999</v>
      </c>
      <c r="CP85" s="126">
        <f t="shared" ca="1" si="164"/>
        <v>0</v>
      </c>
      <c r="CQ85" s="115">
        <f t="shared" ca="1" si="193"/>
        <v>0</v>
      </c>
      <c r="CR85" s="118" t="str">
        <f t="shared" si="185"/>
        <v>Uncapped</v>
      </c>
      <c r="CS85" s="115">
        <f t="shared" ca="1" si="194"/>
        <v>0</v>
      </c>
      <c r="CT85" s="113" t="s">
        <v>695</v>
      </c>
      <c r="CU85" s="119">
        <v>0.2</v>
      </c>
      <c r="CV85" s="113" t="s">
        <v>217</v>
      </c>
      <c r="CW85" s="113" t="s">
        <v>210</v>
      </c>
      <c r="CX85" s="113">
        <v>3388073.5421928586</v>
      </c>
      <c r="CY85" s="113">
        <v>5062451.297281133</v>
      </c>
      <c r="CZ85" s="113">
        <v>5007580.1611671867</v>
      </c>
      <c r="DA85" s="113">
        <v>5631651.4300548239</v>
      </c>
      <c r="DB85" s="113">
        <v>3247390.7157999901</v>
      </c>
      <c r="DC85" s="113">
        <v>4335350.6797000095</v>
      </c>
      <c r="DD85" s="113">
        <v>4536881.2534000156</v>
      </c>
      <c r="DE85" s="113"/>
      <c r="DF85" s="113"/>
      <c r="DG85" s="113"/>
      <c r="DH85" s="113"/>
      <c r="DI85" s="113"/>
      <c r="DJ85" s="114">
        <f t="shared" si="165"/>
        <v>3247390.7157999901</v>
      </c>
      <c r="DK85" s="114">
        <f t="shared" si="166"/>
        <v>4335350.6797000095</v>
      </c>
      <c r="DL85" s="114">
        <f t="shared" si="167"/>
        <v>4536881.2534000156</v>
      </c>
      <c r="DM85" s="114">
        <f t="shared" si="168"/>
        <v>0</v>
      </c>
      <c r="DN85" s="114">
        <f t="shared" si="186"/>
        <v>12119622.648900015</v>
      </c>
      <c r="DO85" s="114">
        <f t="shared" si="146"/>
        <v>19089756.430696003</v>
      </c>
      <c r="DP85" s="114">
        <f t="shared" si="169"/>
        <v>19089756.430696003</v>
      </c>
      <c r="DQ85" s="116">
        <f t="shared" si="170"/>
        <v>0.63490000000000002</v>
      </c>
      <c r="DR85" s="126">
        <f t="shared" ca="1" si="195"/>
        <v>0</v>
      </c>
      <c r="DS85" s="115">
        <f t="shared" ca="1" si="196"/>
        <v>0</v>
      </c>
      <c r="DT85" s="118" t="str">
        <f t="shared" si="187"/>
        <v>Uncapped</v>
      </c>
      <c r="DU85" s="115">
        <f t="shared" ca="1" si="197"/>
        <v>0</v>
      </c>
      <c r="DV85" s="113"/>
      <c r="DW85" s="119">
        <v>0</v>
      </c>
      <c r="DX85" s="113"/>
      <c r="DY85" s="113"/>
      <c r="DZ85" s="113">
        <v>0</v>
      </c>
      <c r="EA85" s="113">
        <v>0</v>
      </c>
      <c r="EB85" s="113">
        <v>0</v>
      </c>
      <c r="EC85" s="113">
        <v>0</v>
      </c>
      <c r="ED85" s="113">
        <v>0</v>
      </c>
      <c r="EE85" s="113">
        <v>0</v>
      </c>
      <c r="EF85" s="113"/>
      <c r="EG85" s="113"/>
      <c r="EH85" s="113"/>
      <c r="EI85" s="113"/>
      <c r="EJ85" s="113"/>
      <c r="EK85" s="113"/>
      <c r="EL85" s="114">
        <f t="shared" si="171"/>
        <v>0</v>
      </c>
      <c r="EM85" s="114">
        <f t="shared" si="172"/>
        <v>0</v>
      </c>
      <c r="EN85" s="114">
        <f t="shared" si="173"/>
        <v>0</v>
      </c>
      <c r="EO85" s="114">
        <f t="shared" si="174"/>
        <v>0</v>
      </c>
      <c r="EP85" s="114">
        <f t="shared" si="188"/>
        <v>0</v>
      </c>
      <c r="EQ85" s="114">
        <f t="shared" si="147"/>
        <v>0</v>
      </c>
      <c r="ER85" s="114">
        <f t="shared" si="175"/>
        <v>0</v>
      </c>
      <c r="ES85" s="116">
        <f t="shared" si="176"/>
        <v>0</v>
      </c>
      <c r="ET85" s="126">
        <f t="shared" ca="1" si="177"/>
        <v>0</v>
      </c>
      <c r="EU85" s="115">
        <f t="shared" ca="1" si="198"/>
        <v>0</v>
      </c>
      <c r="EV85" s="118" t="str">
        <f t="shared" si="189"/>
        <v>Uncapped</v>
      </c>
      <c r="EW85" s="115">
        <f t="shared" ca="1" si="199"/>
        <v>0</v>
      </c>
      <c r="EX85" s="112">
        <f t="shared" ca="1" si="200"/>
        <v>0</v>
      </c>
      <c r="EY85" s="114">
        <f t="shared" ca="1" si="178"/>
        <v>0</v>
      </c>
      <c r="EZ85" s="115">
        <v>0</v>
      </c>
      <c r="FA85" s="115">
        <v>70000</v>
      </c>
      <c r="FB85" s="115"/>
      <c r="FC85" s="115">
        <v>0</v>
      </c>
      <c r="FD85" s="115">
        <f t="shared" si="148"/>
        <v>70000</v>
      </c>
      <c r="FE85" s="114">
        <f t="shared" si="140"/>
        <v>0</v>
      </c>
      <c r="FF85" s="115">
        <v>0</v>
      </c>
      <c r="FG85" s="115">
        <v>0</v>
      </c>
      <c r="FH85" s="115">
        <v>0</v>
      </c>
      <c r="FI85" s="115">
        <v>0</v>
      </c>
      <c r="FJ85" s="115">
        <f t="shared" si="149"/>
        <v>0</v>
      </c>
      <c r="FK85" s="114">
        <f t="shared" si="141"/>
        <v>0</v>
      </c>
      <c r="FL85" s="113"/>
      <c r="FM85" s="111"/>
      <c r="FN85" s="111"/>
      <c r="FO85" s="111"/>
      <c r="FP85" s="115">
        <f t="shared" si="216"/>
        <v>0</v>
      </c>
      <c r="FQ85" s="115"/>
      <c r="FR85" s="488"/>
      <c r="FS85" s="115"/>
      <c r="FT85" s="114">
        <f t="shared" si="209"/>
        <v>0</v>
      </c>
      <c r="FU85" s="366">
        <f t="shared" ca="1" si="210"/>
        <v>70000</v>
      </c>
      <c r="FV85" s="121">
        <f t="shared" ca="1" si="211"/>
        <v>70000</v>
      </c>
      <c r="FW85" s="114">
        <f t="shared" si="218"/>
        <v>0</v>
      </c>
      <c r="FX85" s="114">
        <f t="shared" si="218"/>
        <v>0</v>
      </c>
      <c r="FY85" s="114">
        <f t="shared" si="218"/>
        <v>0</v>
      </c>
      <c r="FZ85" s="114">
        <f t="shared" si="218"/>
        <v>0</v>
      </c>
      <c r="GA85" s="114">
        <f t="shared" si="221"/>
        <v>0</v>
      </c>
      <c r="GB85" s="114">
        <f t="shared" si="219"/>
        <v>0</v>
      </c>
      <c r="GC85" s="114">
        <f t="shared" si="219"/>
        <v>70000</v>
      </c>
      <c r="GD85" s="114">
        <f t="shared" si="219"/>
        <v>0</v>
      </c>
      <c r="GE85" s="114">
        <f t="shared" si="219"/>
        <v>0</v>
      </c>
      <c r="GF85" s="114">
        <f t="shared" si="220"/>
        <v>0</v>
      </c>
      <c r="GG85" s="114">
        <f t="shared" si="220"/>
        <v>70000</v>
      </c>
      <c r="GH85" s="114">
        <f t="shared" si="220"/>
        <v>0</v>
      </c>
      <c r="GI85" s="114">
        <f t="shared" si="220"/>
        <v>0</v>
      </c>
      <c r="GJ85" s="115">
        <f t="shared" si="150"/>
        <v>70000</v>
      </c>
      <c r="GK85" s="114">
        <f t="shared" si="222"/>
        <v>70000</v>
      </c>
      <c r="GL85" s="114">
        <f t="shared" si="201"/>
        <v>0</v>
      </c>
      <c r="GM85" s="114">
        <f t="shared" si="202"/>
        <v>0</v>
      </c>
      <c r="GN85" s="114">
        <f t="shared" si="203"/>
        <v>0</v>
      </c>
      <c r="GO85" s="114">
        <f t="shared" si="204"/>
        <v>0</v>
      </c>
      <c r="GP85" s="114">
        <f t="shared" si="151"/>
        <v>0</v>
      </c>
      <c r="GQ85" s="114">
        <f t="shared" si="223"/>
        <v>0</v>
      </c>
      <c r="GR85" s="216"/>
      <c r="GS85" s="122">
        <f t="shared" si="205"/>
        <v>21526464.610200025</v>
      </c>
      <c r="GT85" s="122">
        <f t="shared" si="206"/>
        <v>34071392.88472864</v>
      </c>
      <c r="GU85" s="123">
        <f t="shared" si="224"/>
        <v>0.63180465450969403</v>
      </c>
      <c r="GV85" s="124">
        <f t="shared" ca="1" si="207"/>
        <v>0</v>
      </c>
      <c r="GW85" s="124">
        <v>0</v>
      </c>
      <c r="GX85" s="32">
        <f t="shared" ca="1" si="208"/>
        <v>0</v>
      </c>
      <c r="GY85" s="100"/>
    </row>
    <row r="86" spans="1:207" s="125" customFormat="1" ht="15" hidden="1" customHeight="1">
      <c r="A86" s="102"/>
      <c r="B86" s="103"/>
      <c r="C86" s="103"/>
      <c r="D86" s="104"/>
      <c r="E86" s="104"/>
      <c r="F86" s="104" t="s">
        <v>388</v>
      </c>
      <c r="G86" s="104" t="s">
        <v>226</v>
      </c>
      <c r="H86" s="105" t="s">
        <v>422</v>
      </c>
      <c r="I86" s="106" t="s">
        <v>423</v>
      </c>
      <c r="J86" s="104" t="s">
        <v>212</v>
      </c>
      <c r="K86" s="104" t="s">
        <v>218</v>
      </c>
      <c r="L86" s="104" t="s">
        <v>213</v>
      </c>
      <c r="M86" s="104" t="s">
        <v>388</v>
      </c>
      <c r="N86" s="107"/>
      <c r="O86" s="108">
        <v>43353</v>
      </c>
      <c r="P86" s="108">
        <v>43353</v>
      </c>
      <c r="Q86" s="322">
        <f t="shared" si="179"/>
        <v>0</v>
      </c>
      <c r="R86" s="109">
        <f>IF((P86-VLOOKUP(Q86,month!$A$1:$C$13,3,0))&lt;0,Q86,Q86+1)</f>
        <v>0</v>
      </c>
      <c r="S86" s="108"/>
      <c r="T86" s="127" t="str">
        <f t="shared" si="215"/>
        <v/>
      </c>
      <c r="U86" s="107"/>
      <c r="V86" s="107"/>
      <c r="W86" s="107"/>
      <c r="X86" s="107"/>
      <c r="Y86" s="386"/>
      <c r="Z86" s="386" t="s">
        <v>545</v>
      </c>
      <c r="AA86" s="387">
        <v>1000</v>
      </c>
      <c r="AB86" s="387">
        <v>1000</v>
      </c>
      <c r="AC86" s="387">
        <v>1000</v>
      </c>
      <c r="AD86" s="387">
        <v>1000</v>
      </c>
      <c r="AE86" s="387">
        <v>1000</v>
      </c>
      <c r="AF86" s="387">
        <v>1000</v>
      </c>
      <c r="AG86" s="387">
        <v>1000</v>
      </c>
      <c r="AH86" s="387">
        <v>1000</v>
      </c>
      <c r="AI86" s="387">
        <v>1000</v>
      </c>
      <c r="AJ86" s="387">
        <v>1000</v>
      </c>
      <c r="AK86" s="387">
        <v>1000</v>
      </c>
      <c r="AL86" s="387">
        <v>1000</v>
      </c>
      <c r="AM86" s="388">
        <f t="shared" si="142"/>
        <v>12000</v>
      </c>
      <c r="AN86" s="388">
        <f t="shared" si="180"/>
        <v>12000</v>
      </c>
      <c r="AO86" s="389">
        <f t="shared" si="217"/>
        <v>1000</v>
      </c>
      <c r="AP86" s="498" t="s">
        <v>671</v>
      </c>
      <c r="AQ86" s="159">
        <v>0.4</v>
      </c>
      <c r="AR86" s="160" t="s">
        <v>392</v>
      </c>
      <c r="AS86" s="119" t="s">
        <v>210</v>
      </c>
      <c r="AT86" s="111">
        <v>94743.140498627225</v>
      </c>
      <c r="AU86" s="111">
        <v>241057.19423549771</v>
      </c>
      <c r="AV86" s="111">
        <v>178955.9757687067</v>
      </c>
      <c r="AW86" s="111">
        <v>208330.38212421231</v>
      </c>
      <c r="AX86" s="113">
        <v>44231.039999999994</v>
      </c>
      <c r="AY86" s="113">
        <v>424967.57999999996</v>
      </c>
      <c r="AZ86" s="113">
        <v>205780.81499999997</v>
      </c>
      <c r="BA86" s="113"/>
      <c r="BB86" s="113"/>
      <c r="BC86" s="113"/>
      <c r="BD86" s="113"/>
      <c r="BE86" s="113"/>
      <c r="BF86" s="114">
        <f t="shared" si="152"/>
        <v>44231.039999999994</v>
      </c>
      <c r="BG86" s="114">
        <f t="shared" si="153"/>
        <v>424967.57999999996</v>
      </c>
      <c r="BH86" s="114">
        <f t="shared" si="154"/>
        <v>205780.81499999997</v>
      </c>
      <c r="BI86" s="114">
        <f t="shared" si="155"/>
        <v>0</v>
      </c>
      <c r="BJ86" s="114">
        <f t="shared" si="182"/>
        <v>674979.43499999994</v>
      </c>
      <c r="BK86" s="115">
        <f t="shared" si="144"/>
        <v>723086.69262704393</v>
      </c>
      <c r="BL86" s="115">
        <f t="shared" si="156"/>
        <v>723086.69262704393</v>
      </c>
      <c r="BM86" s="116">
        <f t="shared" si="157"/>
        <v>0.9335</v>
      </c>
      <c r="BN86" s="126">
        <f t="shared" ca="1" si="190"/>
        <v>0</v>
      </c>
      <c r="BO86" s="117">
        <f t="shared" ca="1" si="191"/>
        <v>0</v>
      </c>
      <c r="BP86" s="118" t="str">
        <f t="shared" si="183"/>
        <v>Uncapped</v>
      </c>
      <c r="BQ86" s="115">
        <f t="shared" ca="1" si="192"/>
        <v>0</v>
      </c>
      <c r="BR86" s="113" t="s">
        <v>691</v>
      </c>
      <c r="BS86" s="159">
        <v>0.4</v>
      </c>
      <c r="BT86" s="160" t="s">
        <v>211</v>
      </c>
      <c r="BU86" s="160" t="s">
        <v>210</v>
      </c>
      <c r="BV86" s="113">
        <v>2616407.1981056472</v>
      </c>
      <c r="BW86" s="113">
        <v>3516179.7032821523</v>
      </c>
      <c r="BX86" s="113">
        <v>3720581.9762100573</v>
      </c>
      <c r="BY86" s="113">
        <v>4249439.0333433365</v>
      </c>
      <c r="BZ86" s="113">
        <v>2600578.9209999898</v>
      </c>
      <c r="CA86" s="113">
        <v>2812623.530200005</v>
      </c>
      <c r="CB86" s="113">
        <v>3288683.4781000158</v>
      </c>
      <c r="CC86" s="113"/>
      <c r="CD86" s="113"/>
      <c r="CE86" s="113"/>
      <c r="CF86" s="113"/>
      <c r="CG86" s="113"/>
      <c r="CH86" s="114">
        <f t="shared" si="158"/>
        <v>2600578.9209999898</v>
      </c>
      <c r="CI86" s="114">
        <f t="shared" si="159"/>
        <v>2812623.530200005</v>
      </c>
      <c r="CJ86" s="120">
        <f t="shared" si="160"/>
        <v>3288683.4781000158</v>
      </c>
      <c r="CK86" s="114">
        <f t="shared" si="161"/>
        <v>0</v>
      </c>
      <c r="CL86" s="114">
        <f t="shared" si="184"/>
        <v>8701885.9293000102</v>
      </c>
      <c r="CM86" s="114">
        <f t="shared" si="145"/>
        <v>14102607.910941195</v>
      </c>
      <c r="CN86" s="114">
        <f t="shared" si="162"/>
        <v>14102607.910941195</v>
      </c>
      <c r="CO86" s="116">
        <f t="shared" si="163"/>
        <v>0.61699999999999999</v>
      </c>
      <c r="CP86" s="126">
        <f t="shared" ca="1" si="164"/>
        <v>0</v>
      </c>
      <c r="CQ86" s="115">
        <f t="shared" ca="1" si="193"/>
        <v>0</v>
      </c>
      <c r="CR86" s="118" t="str">
        <f t="shared" si="185"/>
        <v>Uncapped</v>
      </c>
      <c r="CS86" s="115">
        <f t="shared" ca="1" si="194"/>
        <v>0</v>
      </c>
      <c r="CT86" s="113" t="s">
        <v>695</v>
      </c>
      <c r="CU86" s="119">
        <v>0.2</v>
      </c>
      <c r="CV86" s="113" t="s">
        <v>217</v>
      </c>
      <c r="CW86" s="113" t="s">
        <v>210</v>
      </c>
      <c r="CX86" s="113">
        <v>3388073.5421928586</v>
      </c>
      <c r="CY86" s="113">
        <v>5062451.297281133</v>
      </c>
      <c r="CZ86" s="113">
        <v>5007580.1611671867</v>
      </c>
      <c r="DA86" s="113">
        <v>5631651.4300548239</v>
      </c>
      <c r="DB86" s="113">
        <v>3247390.7157999901</v>
      </c>
      <c r="DC86" s="113">
        <v>4335350.6797000095</v>
      </c>
      <c r="DD86" s="113">
        <v>4536881.2534000156</v>
      </c>
      <c r="DE86" s="113"/>
      <c r="DF86" s="113"/>
      <c r="DG86" s="113"/>
      <c r="DH86" s="113"/>
      <c r="DI86" s="113"/>
      <c r="DJ86" s="114">
        <f t="shared" si="165"/>
        <v>3247390.7157999901</v>
      </c>
      <c r="DK86" s="114">
        <f t="shared" si="166"/>
        <v>4335350.6797000095</v>
      </c>
      <c r="DL86" s="114">
        <f t="shared" si="167"/>
        <v>4536881.2534000156</v>
      </c>
      <c r="DM86" s="114">
        <f t="shared" si="168"/>
        <v>0</v>
      </c>
      <c r="DN86" s="114">
        <f t="shared" si="186"/>
        <v>12119622.648900015</v>
      </c>
      <c r="DO86" s="114">
        <f t="shared" si="146"/>
        <v>19089756.430696003</v>
      </c>
      <c r="DP86" s="114">
        <f t="shared" si="169"/>
        <v>19089756.430696003</v>
      </c>
      <c r="DQ86" s="116">
        <f t="shared" si="170"/>
        <v>0.63490000000000002</v>
      </c>
      <c r="DR86" s="126">
        <f t="shared" ca="1" si="195"/>
        <v>0</v>
      </c>
      <c r="DS86" s="115">
        <f t="shared" ca="1" si="196"/>
        <v>0</v>
      </c>
      <c r="DT86" s="118" t="str">
        <f t="shared" si="187"/>
        <v>Uncapped</v>
      </c>
      <c r="DU86" s="115">
        <f t="shared" ca="1" si="197"/>
        <v>0</v>
      </c>
      <c r="DV86" s="113"/>
      <c r="DW86" s="119">
        <v>0</v>
      </c>
      <c r="DX86" s="113"/>
      <c r="DY86" s="113"/>
      <c r="DZ86" s="113">
        <v>0</v>
      </c>
      <c r="EA86" s="113">
        <v>0</v>
      </c>
      <c r="EB86" s="113">
        <v>0</v>
      </c>
      <c r="EC86" s="113">
        <v>0</v>
      </c>
      <c r="ED86" s="113">
        <v>0</v>
      </c>
      <c r="EE86" s="113">
        <v>0</v>
      </c>
      <c r="EF86" s="113"/>
      <c r="EG86" s="113"/>
      <c r="EH86" s="113"/>
      <c r="EI86" s="113"/>
      <c r="EJ86" s="113"/>
      <c r="EK86" s="113"/>
      <c r="EL86" s="114">
        <f t="shared" si="171"/>
        <v>0</v>
      </c>
      <c r="EM86" s="114">
        <f t="shared" si="172"/>
        <v>0</v>
      </c>
      <c r="EN86" s="114">
        <f t="shared" si="173"/>
        <v>0</v>
      </c>
      <c r="EO86" s="114">
        <f t="shared" si="174"/>
        <v>0</v>
      </c>
      <c r="EP86" s="114">
        <f t="shared" si="188"/>
        <v>0</v>
      </c>
      <c r="EQ86" s="114">
        <f t="shared" si="147"/>
        <v>0</v>
      </c>
      <c r="ER86" s="114">
        <f t="shared" si="175"/>
        <v>0</v>
      </c>
      <c r="ES86" s="116">
        <f t="shared" si="176"/>
        <v>0</v>
      </c>
      <c r="ET86" s="126">
        <f t="shared" ca="1" si="177"/>
        <v>0</v>
      </c>
      <c r="EU86" s="115">
        <f t="shared" ca="1" si="198"/>
        <v>0</v>
      </c>
      <c r="EV86" s="118" t="str">
        <f t="shared" si="189"/>
        <v>Uncapped</v>
      </c>
      <c r="EW86" s="115">
        <f t="shared" ca="1" si="199"/>
        <v>0</v>
      </c>
      <c r="EX86" s="112">
        <f t="shared" ca="1" si="200"/>
        <v>0</v>
      </c>
      <c r="EY86" s="114">
        <f t="shared" ca="1" si="178"/>
        <v>0</v>
      </c>
      <c r="EZ86" s="115">
        <v>0</v>
      </c>
      <c r="FA86" s="115"/>
      <c r="FB86" s="115"/>
      <c r="FC86" s="115">
        <v>0</v>
      </c>
      <c r="FD86" s="115">
        <f t="shared" si="148"/>
        <v>0</v>
      </c>
      <c r="FE86" s="114">
        <f t="shared" si="140"/>
        <v>0</v>
      </c>
      <c r="FF86" s="115">
        <v>0</v>
      </c>
      <c r="FG86" s="115">
        <v>0</v>
      </c>
      <c r="FH86" s="115">
        <v>0</v>
      </c>
      <c r="FI86" s="115">
        <v>0</v>
      </c>
      <c r="FJ86" s="115">
        <f t="shared" si="149"/>
        <v>0</v>
      </c>
      <c r="FK86" s="114">
        <f t="shared" si="141"/>
        <v>0</v>
      </c>
      <c r="FL86" s="113"/>
      <c r="FM86" s="111"/>
      <c r="FN86" s="111"/>
      <c r="FO86" s="111"/>
      <c r="FP86" s="115">
        <f t="shared" si="216"/>
        <v>0</v>
      </c>
      <c r="FQ86" s="115"/>
      <c r="FR86" s="115"/>
      <c r="FS86" s="115"/>
      <c r="FT86" s="114">
        <f t="shared" si="209"/>
        <v>0</v>
      </c>
      <c r="FU86" s="366">
        <f t="shared" ca="1" si="210"/>
        <v>0</v>
      </c>
      <c r="FV86" s="121">
        <f t="shared" ca="1" si="211"/>
        <v>0</v>
      </c>
      <c r="FW86" s="114">
        <f t="shared" si="218"/>
        <v>0</v>
      </c>
      <c r="FX86" s="114">
        <f t="shared" si="218"/>
        <v>0</v>
      </c>
      <c r="FY86" s="114">
        <f t="shared" si="218"/>
        <v>0</v>
      </c>
      <c r="FZ86" s="114">
        <f t="shared" si="218"/>
        <v>0</v>
      </c>
      <c r="GA86" s="114">
        <f>SUM(FW86:FZ86)</f>
        <v>0</v>
      </c>
      <c r="GB86" s="114">
        <f t="shared" si="219"/>
        <v>0</v>
      </c>
      <c r="GC86" s="114">
        <f t="shared" si="219"/>
        <v>0</v>
      </c>
      <c r="GD86" s="114">
        <f t="shared" si="219"/>
        <v>0</v>
      </c>
      <c r="GE86" s="114">
        <f t="shared" si="219"/>
        <v>0</v>
      </c>
      <c r="GF86" s="114">
        <f t="shared" si="220"/>
        <v>0</v>
      </c>
      <c r="GG86" s="114">
        <f t="shared" si="220"/>
        <v>0</v>
      </c>
      <c r="GH86" s="114">
        <f t="shared" si="220"/>
        <v>0</v>
      </c>
      <c r="GI86" s="114">
        <f t="shared" si="220"/>
        <v>0</v>
      </c>
      <c r="GJ86" s="115">
        <f t="shared" si="150"/>
        <v>0</v>
      </c>
      <c r="GK86" s="114">
        <f>SUM(GF86:GI86)</f>
        <v>0</v>
      </c>
      <c r="GL86" s="114">
        <f t="shared" si="201"/>
        <v>0</v>
      </c>
      <c r="GM86" s="114">
        <f t="shared" si="202"/>
        <v>0</v>
      </c>
      <c r="GN86" s="114">
        <f t="shared" si="203"/>
        <v>0</v>
      </c>
      <c r="GO86" s="114">
        <f t="shared" si="204"/>
        <v>0</v>
      </c>
      <c r="GP86" s="114">
        <f t="shared" si="151"/>
        <v>0</v>
      </c>
      <c r="GQ86" s="114">
        <f>SUM(GL86:GO86)</f>
        <v>0</v>
      </c>
      <c r="GR86" s="216"/>
      <c r="GS86" s="122">
        <f t="shared" si="205"/>
        <v>21496488.013200026</v>
      </c>
      <c r="GT86" s="122">
        <f t="shared" si="206"/>
        <v>33915451.034264244</v>
      </c>
      <c r="GU86" s="123">
        <f>IFERROR(GS86/GT86,"")</f>
        <v>0.63382580380495201</v>
      </c>
      <c r="GV86" s="124">
        <f t="shared" ca="1" si="207"/>
        <v>0</v>
      </c>
      <c r="GW86" s="124">
        <v>0</v>
      </c>
      <c r="GX86" s="32">
        <f t="shared" ca="1" si="208"/>
        <v>0</v>
      </c>
      <c r="GY86" s="100"/>
    </row>
    <row r="87" spans="1:207" s="125" customFormat="1" ht="15" hidden="1" customHeight="1">
      <c r="A87" s="102"/>
      <c r="B87" s="103"/>
      <c r="C87" s="103"/>
      <c r="D87" s="104"/>
      <c r="E87" s="104"/>
      <c r="F87" s="104" t="s">
        <v>388</v>
      </c>
      <c r="G87" s="104" t="s">
        <v>226</v>
      </c>
      <c r="H87" s="105" t="s">
        <v>424</v>
      </c>
      <c r="I87" s="106" t="s">
        <v>425</v>
      </c>
      <c r="J87" s="104" t="s">
        <v>212</v>
      </c>
      <c r="K87" s="104" t="s">
        <v>218</v>
      </c>
      <c r="L87" s="104" t="s">
        <v>213</v>
      </c>
      <c r="M87" s="104" t="s">
        <v>388</v>
      </c>
      <c r="N87" s="107"/>
      <c r="O87" s="108">
        <v>43374</v>
      </c>
      <c r="P87" s="108">
        <v>43374</v>
      </c>
      <c r="Q87" s="322">
        <f t="shared" si="179"/>
        <v>0</v>
      </c>
      <c r="R87" s="109">
        <f>IF((P87-VLOOKUP(Q87,month!$A$1:$C$13,3,0))&lt;0,Q87,Q87+1)</f>
        <v>0</v>
      </c>
      <c r="S87" s="108"/>
      <c r="T87" s="110" t="str">
        <f t="shared" si="215"/>
        <v/>
      </c>
      <c r="U87" s="107"/>
      <c r="V87" s="107"/>
      <c r="W87" s="107"/>
      <c r="X87" s="107"/>
      <c r="Y87" s="386"/>
      <c r="Z87" s="386" t="s">
        <v>545</v>
      </c>
      <c r="AA87" s="387">
        <v>1000</v>
      </c>
      <c r="AB87" s="387">
        <v>1000</v>
      </c>
      <c r="AC87" s="387">
        <v>1000</v>
      </c>
      <c r="AD87" s="387">
        <v>1000</v>
      </c>
      <c r="AE87" s="387">
        <v>1000</v>
      </c>
      <c r="AF87" s="387">
        <v>1000</v>
      </c>
      <c r="AG87" s="387">
        <v>1000</v>
      </c>
      <c r="AH87" s="387">
        <v>1000</v>
      </c>
      <c r="AI87" s="387">
        <v>1000</v>
      </c>
      <c r="AJ87" s="387">
        <v>1000</v>
      </c>
      <c r="AK87" s="387">
        <v>1000</v>
      </c>
      <c r="AL87" s="387">
        <v>1000</v>
      </c>
      <c r="AM87" s="388">
        <f t="shared" si="142"/>
        <v>12000</v>
      </c>
      <c r="AN87" s="388">
        <f t="shared" si="180"/>
        <v>12000</v>
      </c>
      <c r="AO87" s="389">
        <f t="shared" si="217"/>
        <v>1000</v>
      </c>
      <c r="AP87" s="498" t="s">
        <v>671</v>
      </c>
      <c r="AQ87" s="159">
        <v>0.4</v>
      </c>
      <c r="AR87" s="160" t="s">
        <v>392</v>
      </c>
      <c r="AS87" s="119" t="s">
        <v>210</v>
      </c>
      <c r="AT87" s="111">
        <v>128216.36251042612</v>
      </c>
      <c r="AU87" s="111">
        <v>410722.1334074763</v>
      </c>
      <c r="AV87" s="111">
        <v>234548.81075934312</v>
      </c>
      <c r="AW87" s="111">
        <v>286339.19533844042</v>
      </c>
      <c r="AX87" s="113">
        <v>432900</v>
      </c>
      <c r="AY87" s="113">
        <v>619279.65</v>
      </c>
      <c r="AZ87" s="113">
        <v>399748.57470000006</v>
      </c>
      <c r="BA87" s="113"/>
      <c r="BB87" s="113"/>
      <c r="BC87" s="113"/>
      <c r="BD87" s="113"/>
      <c r="BE87" s="113"/>
      <c r="BF87" s="114">
        <f t="shared" si="152"/>
        <v>432900</v>
      </c>
      <c r="BG87" s="114">
        <f t="shared" si="153"/>
        <v>619279.65</v>
      </c>
      <c r="BH87" s="114">
        <f t="shared" si="154"/>
        <v>399748.57470000006</v>
      </c>
      <c r="BI87" s="114">
        <f t="shared" si="155"/>
        <v>0</v>
      </c>
      <c r="BJ87" s="114">
        <f t="shared" si="182"/>
        <v>1451928.2246999999</v>
      </c>
      <c r="BK87" s="115">
        <f t="shared" si="144"/>
        <v>1059826.5020156859</v>
      </c>
      <c r="BL87" s="115">
        <f t="shared" si="156"/>
        <v>1059826.5020156859</v>
      </c>
      <c r="BM87" s="116">
        <f t="shared" si="157"/>
        <v>1.37</v>
      </c>
      <c r="BN87" s="126">
        <f t="shared" ca="1" si="190"/>
        <v>0</v>
      </c>
      <c r="BO87" s="117">
        <f t="shared" ca="1" si="191"/>
        <v>0</v>
      </c>
      <c r="BP87" s="118" t="str">
        <f t="shared" si="183"/>
        <v>Uncapped</v>
      </c>
      <c r="BQ87" s="115">
        <f t="shared" ca="1" si="192"/>
        <v>0</v>
      </c>
      <c r="BR87" s="113" t="s">
        <v>691</v>
      </c>
      <c r="BS87" s="159">
        <v>0.4</v>
      </c>
      <c r="BT87" s="160" t="s">
        <v>211</v>
      </c>
      <c r="BU87" s="160" t="s">
        <v>210</v>
      </c>
      <c r="BV87" s="113">
        <v>2616407.1981056477</v>
      </c>
      <c r="BW87" s="113">
        <v>3516179.7032821523</v>
      </c>
      <c r="BX87" s="113">
        <v>3720581.9762100563</v>
      </c>
      <c r="BY87" s="113">
        <v>4249439.0333433356</v>
      </c>
      <c r="BZ87" s="113">
        <v>2600578.9209999898</v>
      </c>
      <c r="CA87" s="113">
        <v>2812623.530200005</v>
      </c>
      <c r="CB87" s="113">
        <v>3288683.4781000158</v>
      </c>
      <c r="CC87" s="113"/>
      <c r="CD87" s="113"/>
      <c r="CE87" s="113"/>
      <c r="CF87" s="113"/>
      <c r="CG87" s="113"/>
      <c r="CH87" s="114">
        <f t="shared" si="158"/>
        <v>2600578.9209999898</v>
      </c>
      <c r="CI87" s="114">
        <f t="shared" si="159"/>
        <v>2812623.530200005</v>
      </c>
      <c r="CJ87" s="120">
        <f t="shared" si="160"/>
        <v>3288683.4781000158</v>
      </c>
      <c r="CK87" s="114">
        <f t="shared" si="161"/>
        <v>0</v>
      </c>
      <c r="CL87" s="114">
        <f t="shared" si="184"/>
        <v>8701885.9293000102</v>
      </c>
      <c r="CM87" s="114">
        <f t="shared" si="145"/>
        <v>14102607.910941191</v>
      </c>
      <c r="CN87" s="114">
        <f t="shared" si="162"/>
        <v>14102607.910941191</v>
      </c>
      <c r="CO87" s="116">
        <f t="shared" si="163"/>
        <v>0.61699999999999999</v>
      </c>
      <c r="CP87" s="126">
        <f t="shared" ca="1" si="164"/>
        <v>0</v>
      </c>
      <c r="CQ87" s="115">
        <f t="shared" ca="1" si="193"/>
        <v>0</v>
      </c>
      <c r="CR87" s="118" t="str">
        <f t="shared" si="185"/>
        <v>Uncapped</v>
      </c>
      <c r="CS87" s="115">
        <f t="shared" ca="1" si="194"/>
        <v>0</v>
      </c>
      <c r="CT87" s="113" t="s">
        <v>695</v>
      </c>
      <c r="CU87" s="119">
        <v>0.2</v>
      </c>
      <c r="CV87" s="113" t="s">
        <v>217</v>
      </c>
      <c r="CW87" s="113" t="s">
        <v>210</v>
      </c>
      <c r="CX87" s="113">
        <v>3428789.7311367933</v>
      </c>
      <c r="CY87" s="113">
        <v>5408231.2228889018</v>
      </c>
      <c r="CZ87" s="113">
        <v>5079957.5438702796</v>
      </c>
      <c r="DA87" s="113">
        <v>5750796.8792685037</v>
      </c>
      <c r="DB87" s="113">
        <v>3679555.30579999</v>
      </c>
      <c r="DC87" s="113">
        <v>4808194.2835000101</v>
      </c>
      <c r="DD87" s="113">
        <v>4337155.326100016</v>
      </c>
      <c r="DE87" s="113"/>
      <c r="DF87" s="113"/>
      <c r="DG87" s="113"/>
      <c r="DH87" s="113"/>
      <c r="DI87" s="113"/>
      <c r="DJ87" s="114">
        <f t="shared" si="165"/>
        <v>3679555.30579999</v>
      </c>
      <c r="DK87" s="114">
        <f t="shared" si="166"/>
        <v>4808194.2835000101</v>
      </c>
      <c r="DL87" s="114">
        <f t="shared" si="167"/>
        <v>4337155.326100016</v>
      </c>
      <c r="DM87" s="114">
        <f t="shared" si="168"/>
        <v>0</v>
      </c>
      <c r="DN87" s="114">
        <f t="shared" si="186"/>
        <v>12824904.915400015</v>
      </c>
      <c r="DO87" s="114">
        <f t="shared" si="146"/>
        <v>19667775.377164479</v>
      </c>
      <c r="DP87" s="114">
        <f t="shared" si="169"/>
        <v>19667775.377164479</v>
      </c>
      <c r="DQ87" s="116">
        <f t="shared" si="170"/>
        <v>0.65210000000000001</v>
      </c>
      <c r="DR87" s="126">
        <f t="shared" ca="1" si="195"/>
        <v>0</v>
      </c>
      <c r="DS87" s="115">
        <f t="shared" ca="1" si="196"/>
        <v>0</v>
      </c>
      <c r="DT87" s="118" t="str">
        <f t="shared" si="187"/>
        <v>Uncapped</v>
      </c>
      <c r="DU87" s="115">
        <f t="shared" ca="1" si="197"/>
        <v>0</v>
      </c>
      <c r="DV87" s="113"/>
      <c r="DW87" s="119">
        <v>0</v>
      </c>
      <c r="DX87" s="113"/>
      <c r="DY87" s="113"/>
      <c r="DZ87" s="113">
        <v>0</v>
      </c>
      <c r="EA87" s="113">
        <v>0</v>
      </c>
      <c r="EB87" s="113">
        <v>0</v>
      </c>
      <c r="EC87" s="113">
        <v>0</v>
      </c>
      <c r="ED87" s="113">
        <v>0</v>
      </c>
      <c r="EE87" s="113">
        <v>0</v>
      </c>
      <c r="EF87" s="113"/>
      <c r="EG87" s="113"/>
      <c r="EH87" s="113"/>
      <c r="EI87" s="113"/>
      <c r="EJ87" s="113"/>
      <c r="EK87" s="113"/>
      <c r="EL87" s="114">
        <f t="shared" si="171"/>
        <v>0</v>
      </c>
      <c r="EM87" s="114">
        <f t="shared" si="172"/>
        <v>0</v>
      </c>
      <c r="EN87" s="114">
        <f t="shared" si="173"/>
        <v>0</v>
      </c>
      <c r="EO87" s="114">
        <f t="shared" si="174"/>
        <v>0</v>
      </c>
      <c r="EP87" s="114">
        <f t="shared" si="188"/>
        <v>0</v>
      </c>
      <c r="EQ87" s="114">
        <f t="shared" si="147"/>
        <v>0</v>
      </c>
      <c r="ER87" s="114">
        <f t="shared" si="175"/>
        <v>0</v>
      </c>
      <c r="ES87" s="116">
        <f t="shared" si="176"/>
        <v>0</v>
      </c>
      <c r="ET87" s="126">
        <f t="shared" ca="1" si="177"/>
        <v>0</v>
      </c>
      <c r="EU87" s="115">
        <f t="shared" ca="1" si="198"/>
        <v>0</v>
      </c>
      <c r="EV87" s="118" t="str">
        <f t="shared" si="189"/>
        <v>Uncapped</v>
      </c>
      <c r="EW87" s="115">
        <f t="shared" ca="1" si="199"/>
        <v>0</v>
      </c>
      <c r="EX87" s="112">
        <f t="shared" ca="1" si="200"/>
        <v>0</v>
      </c>
      <c r="EY87" s="114">
        <f t="shared" ca="1" si="178"/>
        <v>0</v>
      </c>
      <c r="EZ87" s="115">
        <v>0</v>
      </c>
      <c r="FA87" s="115"/>
      <c r="FB87" s="115"/>
      <c r="FC87" s="115">
        <v>0</v>
      </c>
      <c r="FD87" s="115">
        <f t="shared" si="148"/>
        <v>0</v>
      </c>
      <c r="FE87" s="114">
        <f t="shared" si="140"/>
        <v>0</v>
      </c>
      <c r="FF87" s="115">
        <v>0</v>
      </c>
      <c r="FG87" s="115">
        <v>0</v>
      </c>
      <c r="FH87" s="115">
        <v>0</v>
      </c>
      <c r="FI87" s="115">
        <v>0</v>
      </c>
      <c r="FJ87" s="115">
        <f t="shared" si="149"/>
        <v>0</v>
      </c>
      <c r="FK87" s="114">
        <f t="shared" si="141"/>
        <v>0</v>
      </c>
      <c r="FL87" s="113"/>
      <c r="FM87" s="111"/>
      <c r="FN87" s="111"/>
      <c r="FO87" s="111"/>
      <c r="FP87" s="115">
        <f t="shared" si="216"/>
        <v>0</v>
      </c>
      <c r="FQ87" s="115"/>
      <c r="FR87" s="115"/>
      <c r="FS87" s="115"/>
      <c r="FT87" s="114">
        <f t="shared" si="209"/>
        <v>0</v>
      </c>
      <c r="FU87" s="366">
        <f t="shared" ca="1" si="210"/>
        <v>0</v>
      </c>
      <c r="FV87" s="121">
        <f t="shared" ca="1" si="211"/>
        <v>0</v>
      </c>
      <c r="FW87" s="114">
        <f t="shared" si="218"/>
        <v>0</v>
      </c>
      <c r="FX87" s="114">
        <f t="shared" si="218"/>
        <v>0</v>
      </c>
      <c r="FY87" s="114">
        <f t="shared" si="218"/>
        <v>0</v>
      </c>
      <c r="FZ87" s="114">
        <f t="shared" si="218"/>
        <v>0</v>
      </c>
      <c r="GA87" s="114">
        <f>SUM(FW87:FZ87)</f>
        <v>0</v>
      </c>
      <c r="GB87" s="114">
        <f t="shared" si="219"/>
        <v>0</v>
      </c>
      <c r="GC87" s="114">
        <f t="shared" si="219"/>
        <v>0</v>
      </c>
      <c r="GD87" s="114">
        <f t="shared" si="219"/>
        <v>0</v>
      </c>
      <c r="GE87" s="114">
        <f t="shared" si="219"/>
        <v>0</v>
      </c>
      <c r="GF87" s="114">
        <f t="shared" si="220"/>
        <v>0</v>
      </c>
      <c r="GG87" s="114">
        <f t="shared" si="220"/>
        <v>0</v>
      </c>
      <c r="GH87" s="114">
        <f t="shared" si="220"/>
        <v>0</v>
      </c>
      <c r="GI87" s="114">
        <f t="shared" si="220"/>
        <v>0</v>
      </c>
      <c r="GJ87" s="115">
        <f t="shared" si="150"/>
        <v>0</v>
      </c>
      <c r="GK87" s="114">
        <f>SUM(GF87:GI87)</f>
        <v>0</v>
      </c>
      <c r="GL87" s="114">
        <f t="shared" si="201"/>
        <v>0</v>
      </c>
      <c r="GM87" s="114">
        <f t="shared" si="202"/>
        <v>0</v>
      </c>
      <c r="GN87" s="114">
        <f t="shared" si="203"/>
        <v>0</v>
      </c>
      <c r="GO87" s="114">
        <f t="shared" si="204"/>
        <v>0</v>
      </c>
      <c r="GP87" s="114">
        <f t="shared" si="151"/>
        <v>0</v>
      </c>
      <c r="GQ87" s="114">
        <f>SUM(GL87:GO87)</f>
        <v>0</v>
      </c>
      <c r="GR87" s="216"/>
      <c r="GS87" s="122">
        <f t="shared" si="205"/>
        <v>22978719.069400027</v>
      </c>
      <c r="GT87" s="122">
        <f t="shared" si="206"/>
        <v>34830209.790121354</v>
      </c>
      <c r="GU87" s="123">
        <f>IFERROR(GS87/GT87,"")</f>
        <v>0.65973530472151565</v>
      </c>
      <c r="GV87" s="124">
        <f t="shared" ca="1" si="207"/>
        <v>0</v>
      </c>
      <c r="GW87" s="124">
        <v>0</v>
      </c>
      <c r="GX87" s="32">
        <f t="shared" ca="1" si="208"/>
        <v>0</v>
      </c>
      <c r="GY87" s="100"/>
    </row>
    <row r="88" spans="1:207" s="125" customFormat="1" ht="15" hidden="1" customHeight="1">
      <c r="A88" s="102"/>
      <c r="B88" s="103"/>
      <c r="C88" s="103"/>
      <c r="D88" s="104"/>
      <c r="E88" s="113" t="s">
        <v>388</v>
      </c>
      <c r="F88" s="113" t="s">
        <v>388</v>
      </c>
      <c r="G88" s="104" t="s">
        <v>226</v>
      </c>
      <c r="H88" s="105" t="s">
        <v>426</v>
      </c>
      <c r="I88" s="106" t="s">
        <v>427</v>
      </c>
      <c r="J88" s="104" t="s">
        <v>212</v>
      </c>
      <c r="K88" s="104" t="s">
        <v>218</v>
      </c>
      <c r="L88" s="104" t="s">
        <v>213</v>
      </c>
      <c r="M88" s="104" t="s">
        <v>388</v>
      </c>
      <c r="N88" s="107"/>
      <c r="O88" s="108">
        <v>42611</v>
      </c>
      <c r="P88" s="108">
        <v>42611</v>
      </c>
      <c r="Q88" s="322">
        <f t="shared" si="179"/>
        <v>0</v>
      </c>
      <c r="R88" s="109">
        <f>IF((P88-VLOOKUP(Q88,month!$A$1:$C$13,3,0))&lt;0,Q88,Q88+1)</f>
        <v>0</v>
      </c>
      <c r="S88" s="108"/>
      <c r="T88" s="110" t="str">
        <f t="shared" si="215"/>
        <v/>
      </c>
      <c r="U88" s="107"/>
      <c r="V88" s="107"/>
      <c r="W88" s="107"/>
      <c r="X88" s="107"/>
      <c r="Y88" s="386"/>
      <c r="Z88" s="386" t="s">
        <v>545</v>
      </c>
      <c r="AA88" s="387">
        <v>1000</v>
      </c>
      <c r="AB88" s="387">
        <v>1000</v>
      </c>
      <c r="AC88" s="387">
        <v>1000</v>
      </c>
      <c r="AD88" s="387">
        <v>1000</v>
      </c>
      <c r="AE88" s="387">
        <v>1000</v>
      </c>
      <c r="AF88" s="387">
        <v>1000</v>
      </c>
      <c r="AG88" s="387">
        <v>1000</v>
      </c>
      <c r="AH88" s="387">
        <v>1000</v>
      </c>
      <c r="AI88" s="387">
        <v>1000</v>
      </c>
      <c r="AJ88" s="387">
        <v>1000</v>
      </c>
      <c r="AK88" s="387">
        <v>1000</v>
      </c>
      <c r="AL88" s="387">
        <v>1000</v>
      </c>
      <c r="AM88" s="388">
        <f t="shared" si="142"/>
        <v>12000</v>
      </c>
      <c r="AN88" s="388">
        <f t="shared" si="180"/>
        <v>12000</v>
      </c>
      <c r="AO88" s="389">
        <f t="shared" si="217"/>
        <v>1000</v>
      </c>
      <c r="AP88" s="498" t="s">
        <v>671</v>
      </c>
      <c r="AQ88" s="159">
        <v>0.4</v>
      </c>
      <c r="AR88" s="160" t="s">
        <v>392</v>
      </c>
      <c r="AS88" s="119" t="s">
        <v>210</v>
      </c>
      <c r="AT88" s="111">
        <v>154118.13175840577</v>
      </c>
      <c r="AU88" s="111">
        <v>374071.32421701169</v>
      </c>
      <c r="AV88" s="111">
        <v>301734.93237707467</v>
      </c>
      <c r="AW88" s="111">
        <v>298493.33309197734</v>
      </c>
      <c r="AX88" s="113">
        <v>61973.099999999991</v>
      </c>
      <c r="AY88" s="113">
        <v>89908.74</v>
      </c>
      <c r="AZ88" s="113">
        <v>234363.68999999997</v>
      </c>
      <c r="BA88" s="113"/>
      <c r="BB88" s="113"/>
      <c r="BC88" s="113"/>
      <c r="BD88" s="113"/>
      <c r="BE88" s="113"/>
      <c r="BF88" s="114">
        <f t="shared" si="152"/>
        <v>61973.099999999991</v>
      </c>
      <c r="BG88" s="114">
        <f t="shared" si="153"/>
        <v>89908.74</v>
      </c>
      <c r="BH88" s="114">
        <f t="shared" si="154"/>
        <v>234363.68999999997</v>
      </c>
      <c r="BI88" s="114">
        <f t="shared" si="155"/>
        <v>0</v>
      </c>
      <c r="BJ88" s="114">
        <f t="shared" si="182"/>
        <v>386245.52999999997</v>
      </c>
      <c r="BK88" s="115">
        <f t="shared" si="144"/>
        <v>1128417.7214444694</v>
      </c>
      <c r="BL88" s="115">
        <f t="shared" si="156"/>
        <v>1128417.7214444694</v>
      </c>
      <c r="BM88" s="116">
        <f t="shared" si="157"/>
        <v>0.34229999999999999</v>
      </c>
      <c r="BN88" s="126">
        <f t="shared" ca="1" si="190"/>
        <v>0</v>
      </c>
      <c r="BO88" s="117">
        <f t="shared" ca="1" si="191"/>
        <v>0</v>
      </c>
      <c r="BP88" s="118" t="str">
        <f t="shared" si="183"/>
        <v>Uncapped</v>
      </c>
      <c r="BQ88" s="115">
        <f t="shared" ca="1" si="192"/>
        <v>0</v>
      </c>
      <c r="BR88" s="113" t="s">
        <v>691</v>
      </c>
      <c r="BS88" s="159">
        <v>0.4</v>
      </c>
      <c r="BT88" s="160" t="s">
        <v>211</v>
      </c>
      <c r="BU88" s="160" t="s">
        <v>210</v>
      </c>
      <c r="BV88" s="113">
        <v>455713.73208901437</v>
      </c>
      <c r="BW88" s="113">
        <v>566720.43541389843</v>
      </c>
      <c r="BX88" s="113">
        <v>552429.64427486737</v>
      </c>
      <c r="BY88" s="113">
        <v>635493.00233442453</v>
      </c>
      <c r="BZ88" s="113">
        <v>636747.64379999985</v>
      </c>
      <c r="CA88" s="113">
        <v>650482.56099999894</v>
      </c>
      <c r="CB88" s="113">
        <v>651675.16909999982</v>
      </c>
      <c r="CC88" s="113"/>
      <c r="CD88" s="113"/>
      <c r="CE88" s="113"/>
      <c r="CF88" s="113"/>
      <c r="CG88" s="113"/>
      <c r="CH88" s="114">
        <f t="shared" si="158"/>
        <v>636747.64379999985</v>
      </c>
      <c r="CI88" s="114">
        <f t="shared" si="159"/>
        <v>650482.56099999894</v>
      </c>
      <c r="CJ88" s="120">
        <f t="shared" si="160"/>
        <v>651675.16909999982</v>
      </c>
      <c r="CK88" s="114">
        <f t="shared" si="161"/>
        <v>0</v>
      </c>
      <c r="CL88" s="114">
        <f t="shared" si="184"/>
        <v>1938905.3738999986</v>
      </c>
      <c r="CM88" s="114">
        <f t="shared" si="145"/>
        <v>2210356.8141122051</v>
      </c>
      <c r="CN88" s="114">
        <f t="shared" si="162"/>
        <v>2210356.8141122051</v>
      </c>
      <c r="CO88" s="116">
        <f t="shared" si="163"/>
        <v>0.87719999999999998</v>
      </c>
      <c r="CP88" s="126">
        <f t="shared" ca="1" si="164"/>
        <v>0</v>
      </c>
      <c r="CQ88" s="115">
        <f t="shared" ca="1" si="193"/>
        <v>0</v>
      </c>
      <c r="CR88" s="118" t="str">
        <f t="shared" si="185"/>
        <v>Uncapped</v>
      </c>
      <c r="CS88" s="115">
        <f t="shared" ca="1" si="194"/>
        <v>0</v>
      </c>
      <c r="CT88" s="113" t="s">
        <v>695</v>
      </c>
      <c r="CU88" s="119">
        <v>0.2</v>
      </c>
      <c r="CV88" s="113" t="s">
        <v>217</v>
      </c>
      <c r="CW88" s="113" t="s">
        <v>210</v>
      </c>
      <c r="CX88" s="113">
        <v>1684531.0634844592</v>
      </c>
      <c r="CY88" s="113">
        <v>2940295.572967723</v>
      </c>
      <c r="CZ88" s="113">
        <v>2454540.4501669211</v>
      </c>
      <c r="DA88" s="113">
        <v>2733783.5790788382</v>
      </c>
      <c r="DB88" s="113">
        <v>1213071.3144</v>
      </c>
      <c r="DC88" s="113">
        <v>2676628.4935999992</v>
      </c>
      <c r="DD88" s="113">
        <v>2326677.1224999996</v>
      </c>
      <c r="DE88" s="113"/>
      <c r="DF88" s="113"/>
      <c r="DG88" s="113"/>
      <c r="DH88" s="113"/>
      <c r="DI88" s="113"/>
      <c r="DJ88" s="114">
        <f t="shared" si="165"/>
        <v>1213071.3144</v>
      </c>
      <c r="DK88" s="114">
        <f t="shared" si="166"/>
        <v>2676628.4935999992</v>
      </c>
      <c r="DL88" s="114">
        <f t="shared" si="167"/>
        <v>2326677.1224999996</v>
      </c>
      <c r="DM88" s="114">
        <f t="shared" si="168"/>
        <v>0</v>
      </c>
      <c r="DN88" s="114">
        <f t="shared" si="186"/>
        <v>6216376.9304999989</v>
      </c>
      <c r="DO88" s="114">
        <f t="shared" si="146"/>
        <v>9813150.6656979416</v>
      </c>
      <c r="DP88" s="114">
        <f t="shared" si="169"/>
        <v>9813150.6656979416</v>
      </c>
      <c r="DQ88" s="116">
        <f t="shared" si="170"/>
        <v>0.63349999999999995</v>
      </c>
      <c r="DR88" s="126">
        <f t="shared" ca="1" si="195"/>
        <v>0</v>
      </c>
      <c r="DS88" s="115">
        <f t="shared" ca="1" si="196"/>
        <v>0</v>
      </c>
      <c r="DT88" s="118" t="str">
        <f t="shared" si="187"/>
        <v>Uncapped</v>
      </c>
      <c r="DU88" s="115">
        <f t="shared" ca="1" si="197"/>
        <v>0</v>
      </c>
      <c r="DV88" s="113"/>
      <c r="DW88" s="119">
        <v>0</v>
      </c>
      <c r="DX88" s="113"/>
      <c r="DY88" s="113"/>
      <c r="DZ88" s="113">
        <v>0</v>
      </c>
      <c r="EA88" s="113">
        <v>0</v>
      </c>
      <c r="EB88" s="113">
        <v>0</v>
      </c>
      <c r="EC88" s="113">
        <v>0</v>
      </c>
      <c r="ED88" s="113">
        <v>0</v>
      </c>
      <c r="EE88" s="113">
        <v>0</v>
      </c>
      <c r="EF88" s="113"/>
      <c r="EG88" s="113"/>
      <c r="EH88" s="113"/>
      <c r="EI88" s="113"/>
      <c r="EJ88" s="113"/>
      <c r="EK88" s="113"/>
      <c r="EL88" s="114">
        <f t="shared" si="171"/>
        <v>0</v>
      </c>
      <c r="EM88" s="114">
        <f t="shared" si="172"/>
        <v>0</v>
      </c>
      <c r="EN88" s="114">
        <f t="shared" si="173"/>
        <v>0</v>
      </c>
      <c r="EO88" s="114">
        <f t="shared" si="174"/>
        <v>0</v>
      </c>
      <c r="EP88" s="114">
        <f t="shared" si="188"/>
        <v>0</v>
      </c>
      <c r="EQ88" s="114">
        <f t="shared" si="147"/>
        <v>0</v>
      </c>
      <c r="ER88" s="114">
        <f t="shared" si="175"/>
        <v>0</v>
      </c>
      <c r="ES88" s="116">
        <f t="shared" si="176"/>
        <v>0</v>
      </c>
      <c r="ET88" s="126">
        <f t="shared" ca="1" si="177"/>
        <v>0</v>
      </c>
      <c r="EU88" s="115">
        <f t="shared" ca="1" si="198"/>
        <v>0</v>
      </c>
      <c r="EV88" s="118" t="str">
        <f t="shared" si="189"/>
        <v>Uncapped</v>
      </c>
      <c r="EW88" s="115">
        <f t="shared" ca="1" si="199"/>
        <v>0</v>
      </c>
      <c r="EX88" s="112">
        <f t="shared" ca="1" si="200"/>
        <v>0</v>
      </c>
      <c r="EY88" s="114">
        <f t="shared" ca="1" si="178"/>
        <v>0</v>
      </c>
      <c r="EZ88" s="115">
        <v>0</v>
      </c>
      <c r="FA88" s="115">
        <v>880000</v>
      </c>
      <c r="FB88" s="115"/>
      <c r="FC88" s="115">
        <v>0</v>
      </c>
      <c r="FD88" s="115">
        <f t="shared" si="148"/>
        <v>880000</v>
      </c>
      <c r="FE88" s="114">
        <f t="shared" si="140"/>
        <v>0</v>
      </c>
      <c r="FF88" s="115">
        <v>0</v>
      </c>
      <c r="FG88" s="115">
        <v>0</v>
      </c>
      <c r="FH88" s="115">
        <v>0</v>
      </c>
      <c r="FI88" s="115">
        <v>0</v>
      </c>
      <c r="FJ88" s="115">
        <f t="shared" si="149"/>
        <v>0</v>
      </c>
      <c r="FK88" s="114">
        <f t="shared" si="141"/>
        <v>0</v>
      </c>
      <c r="FL88" s="113"/>
      <c r="FM88" s="111"/>
      <c r="FN88" s="111"/>
      <c r="FO88" s="111"/>
      <c r="FP88" s="115">
        <f t="shared" si="216"/>
        <v>0</v>
      </c>
      <c r="FQ88" s="115"/>
      <c r="FR88" s="115"/>
      <c r="FS88" s="115"/>
      <c r="FT88" s="114">
        <f t="shared" si="209"/>
        <v>0</v>
      </c>
      <c r="FU88" s="366">
        <f t="shared" ca="1" si="210"/>
        <v>880000</v>
      </c>
      <c r="FV88" s="121">
        <f t="shared" ca="1" si="211"/>
        <v>880000</v>
      </c>
      <c r="FW88" s="114">
        <f t="shared" si="218"/>
        <v>0</v>
      </c>
      <c r="FX88" s="114">
        <f t="shared" si="218"/>
        <v>0</v>
      </c>
      <c r="FY88" s="114">
        <f t="shared" si="218"/>
        <v>0</v>
      </c>
      <c r="FZ88" s="114">
        <f t="shared" si="218"/>
        <v>0</v>
      </c>
      <c r="GA88" s="114">
        <f t="shared" si="221"/>
        <v>0</v>
      </c>
      <c r="GB88" s="114">
        <f t="shared" si="219"/>
        <v>0</v>
      </c>
      <c r="GC88" s="114">
        <f t="shared" si="219"/>
        <v>880000</v>
      </c>
      <c r="GD88" s="114">
        <f t="shared" si="219"/>
        <v>0</v>
      </c>
      <c r="GE88" s="114">
        <f t="shared" si="219"/>
        <v>0</v>
      </c>
      <c r="GF88" s="114">
        <f t="shared" si="220"/>
        <v>0</v>
      </c>
      <c r="GG88" s="114">
        <f t="shared" si="220"/>
        <v>880000</v>
      </c>
      <c r="GH88" s="114">
        <f t="shared" si="220"/>
        <v>0</v>
      </c>
      <c r="GI88" s="114">
        <f t="shared" si="220"/>
        <v>0</v>
      </c>
      <c r="GJ88" s="115">
        <f t="shared" si="150"/>
        <v>880000</v>
      </c>
      <c r="GK88" s="114">
        <f t="shared" si="222"/>
        <v>880000</v>
      </c>
      <c r="GL88" s="114">
        <f t="shared" si="201"/>
        <v>0</v>
      </c>
      <c r="GM88" s="114">
        <f t="shared" si="202"/>
        <v>0</v>
      </c>
      <c r="GN88" s="114">
        <f t="shared" si="203"/>
        <v>0</v>
      </c>
      <c r="GO88" s="114">
        <f t="shared" si="204"/>
        <v>0</v>
      </c>
      <c r="GP88" s="114">
        <f t="shared" si="151"/>
        <v>0</v>
      </c>
      <c r="GQ88" s="114">
        <f t="shared" si="223"/>
        <v>0</v>
      </c>
      <c r="GR88" s="193"/>
      <c r="GS88" s="122">
        <f t="shared" si="205"/>
        <v>8541527.8343999982</v>
      </c>
      <c r="GT88" s="122">
        <f t="shared" si="206"/>
        <v>13151925.201254616</v>
      </c>
      <c r="GU88" s="123">
        <f t="shared" si="224"/>
        <v>0.64945076129122048</v>
      </c>
      <c r="GV88" s="124">
        <f t="shared" ca="1" si="207"/>
        <v>0</v>
      </c>
      <c r="GW88" s="124">
        <v>0</v>
      </c>
      <c r="GX88" s="32">
        <f t="shared" ca="1" si="208"/>
        <v>0</v>
      </c>
      <c r="GY88" s="100"/>
    </row>
    <row r="89" spans="1:207" s="125" customFormat="1" ht="15" hidden="1" customHeight="1">
      <c r="A89" s="102"/>
      <c r="B89" s="103"/>
      <c r="C89" s="103"/>
      <c r="D89" s="104"/>
      <c r="E89" s="104" t="s">
        <v>388</v>
      </c>
      <c r="F89" s="104" t="s">
        <v>388</v>
      </c>
      <c r="G89" s="104" t="s">
        <v>226</v>
      </c>
      <c r="H89" s="105" t="s">
        <v>428</v>
      </c>
      <c r="I89" s="106" t="s">
        <v>429</v>
      </c>
      <c r="J89" s="104" t="s">
        <v>212</v>
      </c>
      <c r="K89" s="104" t="s">
        <v>218</v>
      </c>
      <c r="L89" s="104" t="s">
        <v>213</v>
      </c>
      <c r="M89" s="104" t="s">
        <v>388</v>
      </c>
      <c r="N89" s="107"/>
      <c r="O89" s="108">
        <v>42821</v>
      </c>
      <c r="P89" s="108">
        <v>42821</v>
      </c>
      <c r="Q89" s="322">
        <f t="shared" si="179"/>
        <v>0</v>
      </c>
      <c r="R89" s="109">
        <f>IF((P89-VLOOKUP(Q89,month!$A$1:$C$13,3,0))&lt;0,Q89,Q89+1)</f>
        <v>0</v>
      </c>
      <c r="S89" s="108"/>
      <c r="T89" s="127" t="str">
        <f t="shared" si="215"/>
        <v/>
      </c>
      <c r="U89" s="107"/>
      <c r="V89" s="107"/>
      <c r="W89" s="107"/>
      <c r="X89" s="107"/>
      <c r="Y89" s="386"/>
      <c r="Z89" s="386" t="s">
        <v>545</v>
      </c>
      <c r="AA89" s="387">
        <v>1000</v>
      </c>
      <c r="AB89" s="387">
        <v>1000</v>
      </c>
      <c r="AC89" s="387">
        <v>1000</v>
      </c>
      <c r="AD89" s="387">
        <v>1000</v>
      </c>
      <c r="AE89" s="387">
        <v>1000</v>
      </c>
      <c r="AF89" s="387">
        <v>1000</v>
      </c>
      <c r="AG89" s="387">
        <v>1000</v>
      </c>
      <c r="AH89" s="387">
        <v>1000</v>
      </c>
      <c r="AI89" s="387">
        <v>1000</v>
      </c>
      <c r="AJ89" s="387">
        <v>1000</v>
      </c>
      <c r="AK89" s="387">
        <v>1000</v>
      </c>
      <c r="AL89" s="387">
        <v>1000</v>
      </c>
      <c r="AM89" s="388">
        <f t="shared" si="142"/>
        <v>12000</v>
      </c>
      <c r="AN89" s="388">
        <f t="shared" si="180"/>
        <v>12000</v>
      </c>
      <c r="AO89" s="389">
        <f t="shared" si="217"/>
        <v>1000</v>
      </c>
      <c r="AP89" s="498" t="s">
        <v>671</v>
      </c>
      <c r="AQ89" s="159">
        <v>0.4</v>
      </c>
      <c r="AR89" s="160" t="s">
        <v>392</v>
      </c>
      <c r="AS89" s="119" t="s">
        <v>210</v>
      </c>
      <c r="AT89" s="111">
        <v>263303.48451226496</v>
      </c>
      <c r="AU89" s="111">
        <v>636189.91475011222</v>
      </c>
      <c r="AV89" s="111">
        <v>465495.13940788998</v>
      </c>
      <c r="AW89" s="111">
        <v>490214.39956719993</v>
      </c>
      <c r="AX89" s="113">
        <v>18861.480000000003</v>
      </c>
      <c r="AY89" s="113">
        <v>837972.15</v>
      </c>
      <c r="AZ89" s="113">
        <v>632651.10000000009</v>
      </c>
      <c r="BA89" s="113"/>
      <c r="BB89" s="113"/>
      <c r="BC89" s="113"/>
      <c r="BD89" s="113"/>
      <c r="BE89" s="113"/>
      <c r="BF89" s="114">
        <f t="shared" si="152"/>
        <v>18861.480000000003</v>
      </c>
      <c r="BG89" s="114">
        <f t="shared" si="153"/>
        <v>837972.15</v>
      </c>
      <c r="BH89" s="114">
        <f t="shared" si="154"/>
        <v>632651.10000000009</v>
      </c>
      <c r="BI89" s="114">
        <f t="shared" si="155"/>
        <v>0</v>
      </c>
      <c r="BJ89" s="114">
        <f t="shared" si="182"/>
        <v>1489484.73</v>
      </c>
      <c r="BK89" s="115">
        <f t="shared" si="144"/>
        <v>1855202.9382374671</v>
      </c>
      <c r="BL89" s="115">
        <f t="shared" si="156"/>
        <v>1855202.9382374671</v>
      </c>
      <c r="BM89" s="116">
        <f t="shared" si="157"/>
        <v>0.80289999999999995</v>
      </c>
      <c r="BN89" s="126">
        <f t="shared" ca="1" si="190"/>
        <v>0</v>
      </c>
      <c r="BO89" s="117">
        <f t="shared" ca="1" si="191"/>
        <v>0</v>
      </c>
      <c r="BP89" s="118" t="str">
        <f t="shared" si="183"/>
        <v>Uncapped</v>
      </c>
      <c r="BQ89" s="115">
        <f t="shared" ca="1" si="192"/>
        <v>0</v>
      </c>
      <c r="BR89" s="113" t="s">
        <v>691</v>
      </c>
      <c r="BS89" s="159">
        <v>0.4</v>
      </c>
      <c r="BT89" s="160" t="s">
        <v>211</v>
      </c>
      <c r="BU89" s="160" t="s">
        <v>210</v>
      </c>
      <c r="BV89" s="113">
        <v>511168.38342075865</v>
      </c>
      <c r="BW89" s="113">
        <v>664334.82681689446</v>
      </c>
      <c r="BX89" s="113">
        <v>621750.36755416926</v>
      </c>
      <c r="BY89" s="113">
        <v>755664.14647578995</v>
      </c>
      <c r="BZ89" s="113">
        <v>614766.62879999995</v>
      </c>
      <c r="CA89" s="113">
        <v>717653.70599999896</v>
      </c>
      <c r="CB89" s="113">
        <v>668888.40709999984</v>
      </c>
      <c r="CC89" s="113"/>
      <c r="CD89" s="113"/>
      <c r="CE89" s="113"/>
      <c r="CF89" s="113"/>
      <c r="CG89" s="113"/>
      <c r="CH89" s="114">
        <f t="shared" si="158"/>
        <v>614766.62879999995</v>
      </c>
      <c r="CI89" s="114">
        <f t="shared" si="159"/>
        <v>717653.70599999896</v>
      </c>
      <c r="CJ89" s="120">
        <f t="shared" si="160"/>
        <v>668888.40709999984</v>
      </c>
      <c r="CK89" s="114">
        <f t="shared" si="161"/>
        <v>0</v>
      </c>
      <c r="CL89" s="114">
        <f t="shared" si="184"/>
        <v>2001308.7418999989</v>
      </c>
      <c r="CM89" s="114">
        <f t="shared" si="145"/>
        <v>2552917.7242676122</v>
      </c>
      <c r="CN89" s="114">
        <f t="shared" si="162"/>
        <v>2552917.7242676122</v>
      </c>
      <c r="CO89" s="116">
        <f t="shared" si="163"/>
        <v>0.78390000000000004</v>
      </c>
      <c r="CP89" s="126">
        <f t="shared" ca="1" si="164"/>
        <v>0</v>
      </c>
      <c r="CQ89" s="115">
        <f t="shared" ca="1" si="193"/>
        <v>0</v>
      </c>
      <c r="CR89" s="118" t="str">
        <f t="shared" si="185"/>
        <v>Uncapped</v>
      </c>
      <c r="CS89" s="115">
        <f t="shared" ca="1" si="194"/>
        <v>0</v>
      </c>
      <c r="CT89" s="113" t="s">
        <v>695</v>
      </c>
      <c r="CU89" s="119">
        <v>0.2</v>
      </c>
      <c r="CV89" s="113" t="s">
        <v>217</v>
      </c>
      <c r="CW89" s="113" t="s">
        <v>210</v>
      </c>
      <c r="CX89" s="113">
        <v>1684531.0634844592</v>
      </c>
      <c r="CY89" s="113">
        <v>2940295.572967723</v>
      </c>
      <c r="CZ89" s="113">
        <v>2454540.4501669211</v>
      </c>
      <c r="DA89" s="113">
        <v>2733783.5790788382</v>
      </c>
      <c r="DB89" s="113">
        <v>1213071.3144</v>
      </c>
      <c r="DC89" s="113">
        <v>2676628.4935999992</v>
      </c>
      <c r="DD89" s="113">
        <v>2326677.1224999996</v>
      </c>
      <c r="DE89" s="113"/>
      <c r="DF89" s="113"/>
      <c r="DG89" s="113"/>
      <c r="DH89" s="113"/>
      <c r="DI89" s="113"/>
      <c r="DJ89" s="114">
        <f t="shared" si="165"/>
        <v>1213071.3144</v>
      </c>
      <c r="DK89" s="114">
        <f t="shared" si="166"/>
        <v>2676628.4935999992</v>
      </c>
      <c r="DL89" s="114">
        <f t="shared" si="167"/>
        <v>2326677.1224999996</v>
      </c>
      <c r="DM89" s="114">
        <f t="shared" si="168"/>
        <v>0</v>
      </c>
      <c r="DN89" s="114">
        <f t="shared" si="186"/>
        <v>6216376.9304999989</v>
      </c>
      <c r="DO89" s="114">
        <f t="shared" si="146"/>
        <v>9813150.6656979416</v>
      </c>
      <c r="DP89" s="114">
        <f t="shared" si="169"/>
        <v>9813150.6656979416</v>
      </c>
      <c r="DQ89" s="116">
        <f t="shared" si="170"/>
        <v>0.63349999999999995</v>
      </c>
      <c r="DR89" s="126">
        <f t="shared" ca="1" si="195"/>
        <v>0</v>
      </c>
      <c r="DS89" s="115">
        <f t="shared" ca="1" si="196"/>
        <v>0</v>
      </c>
      <c r="DT89" s="118" t="str">
        <f t="shared" si="187"/>
        <v>Uncapped</v>
      </c>
      <c r="DU89" s="115">
        <f t="shared" ca="1" si="197"/>
        <v>0</v>
      </c>
      <c r="DV89" s="113"/>
      <c r="DW89" s="119">
        <v>0</v>
      </c>
      <c r="DX89" s="113"/>
      <c r="DY89" s="113"/>
      <c r="DZ89" s="113">
        <v>0</v>
      </c>
      <c r="EA89" s="113">
        <v>0</v>
      </c>
      <c r="EB89" s="113">
        <v>0</v>
      </c>
      <c r="EC89" s="113">
        <v>0</v>
      </c>
      <c r="ED89" s="113">
        <v>0</v>
      </c>
      <c r="EE89" s="113">
        <v>0</v>
      </c>
      <c r="EF89" s="113"/>
      <c r="EG89" s="113"/>
      <c r="EH89" s="113"/>
      <c r="EI89" s="113"/>
      <c r="EJ89" s="113"/>
      <c r="EK89" s="113"/>
      <c r="EL89" s="114">
        <f t="shared" si="171"/>
        <v>0</v>
      </c>
      <c r="EM89" s="114">
        <f t="shared" si="172"/>
        <v>0</v>
      </c>
      <c r="EN89" s="114">
        <f t="shared" si="173"/>
        <v>0</v>
      </c>
      <c r="EO89" s="114">
        <f t="shared" si="174"/>
        <v>0</v>
      </c>
      <c r="EP89" s="114">
        <f t="shared" si="188"/>
        <v>0</v>
      </c>
      <c r="EQ89" s="114">
        <f t="shared" si="147"/>
        <v>0</v>
      </c>
      <c r="ER89" s="114">
        <f t="shared" si="175"/>
        <v>0</v>
      </c>
      <c r="ES89" s="116">
        <f t="shared" si="176"/>
        <v>0</v>
      </c>
      <c r="ET89" s="126">
        <f t="shared" ca="1" si="177"/>
        <v>0</v>
      </c>
      <c r="EU89" s="115">
        <f t="shared" ca="1" si="198"/>
        <v>0</v>
      </c>
      <c r="EV89" s="118" t="str">
        <f t="shared" si="189"/>
        <v>Uncapped</v>
      </c>
      <c r="EW89" s="115">
        <f t="shared" ca="1" si="199"/>
        <v>0</v>
      </c>
      <c r="EX89" s="112">
        <f t="shared" ca="1" si="200"/>
        <v>0</v>
      </c>
      <c r="EY89" s="114">
        <f t="shared" ca="1" si="178"/>
        <v>0</v>
      </c>
      <c r="EZ89" s="115">
        <v>0</v>
      </c>
      <c r="FA89" s="115"/>
      <c r="FB89" s="115"/>
      <c r="FC89" s="115">
        <v>0</v>
      </c>
      <c r="FD89" s="115">
        <f t="shared" si="148"/>
        <v>0</v>
      </c>
      <c r="FE89" s="114">
        <f t="shared" si="140"/>
        <v>0</v>
      </c>
      <c r="FF89" s="115">
        <v>0</v>
      </c>
      <c r="FG89" s="115">
        <v>0</v>
      </c>
      <c r="FH89" s="115">
        <v>0</v>
      </c>
      <c r="FI89" s="115">
        <v>0</v>
      </c>
      <c r="FJ89" s="115">
        <f t="shared" si="149"/>
        <v>0</v>
      </c>
      <c r="FK89" s="114">
        <f t="shared" si="141"/>
        <v>0</v>
      </c>
      <c r="FL89" s="113"/>
      <c r="FM89" s="111"/>
      <c r="FN89" s="111"/>
      <c r="FO89" s="111"/>
      <c r="FP89" s="115">
        <f t="shared" si="216"/>
        <v>0</v>
      </c>
      <c r="FQ89" s="115"/>
      <c r="FR89" s="115"/>
      <c r="FS89" s="115"/>
      <c r="FT89" s="114">
        <f t="shared" si="209"/>
        <v>0</v>
      </c>
      <c r="FU89" s="366">
        <f t="shared" ca="1" si="210"/>
        <v>0</v>
      </c>
      <c r="FV89" s="121">
        <f t="shared" ca="1" si="211"/>
        <v>0</v>
      </c>
      <c r="FW89" s="114">
        <f t="shared" si="218"/>
        <v>0</v>
      </c>
      <c r="FX89" s="114">
        <f t="shared" si="218"/>
        <v>0</v>
      </c>
      <c r="FY89" s="114">
        <f t="shared" si="218"/>
        <v>0</v>
      </c>
      <c r="FZ89" s="114">
        <f t="shared" si="218"/>
        <v>0</v>
      </c>
      <c r="GA89" s="114">
        <f t="shared" si="221"/>
        <v>0</v>
      </c>
      <c r="GB89" s="114">
        <f t="shared" si="219"/>
        <v>0</v>
      </c>
      <c r="GC89" s="114">
        <f t="shared" si="219"/>
        <v>0</v>
      </c>
      <c r="GD89" s="114">
        <f t="shared" si="219"/>
        <v>0</v>
      </c>
      <c r="GE89" s="114">
        <f t="shared" si="219"/>
        <v>0</v>
      </c>
      <c r="GF89" s="114">
        <f t="shared" si="220"/>
        <v>0</v>
      </c>
      <c r="GG89" s="114">
        <f t="shared" si="220"/>
        <v>0</v>
      </c>
      <c r="GH89" s="114">
        <f t="shared" si="220"/>
        <v>0</v>
      </c>
      <c r="GI89" s="114">
        <f t="shared" si="220"/>
        <v>0</v>
      </c>
      <c r="GJ89" s="115">
        <f t="shared" si="150"/>
        <v>0</v>
      </c>
      <c r="GK89" s="114">
        <f t="shared" si="222"/>
        <v>0</v>
      </c>
      <c r="GL89" s="114">
        <f t="shared" si="201"/>
        <v>0</v>
      </c>
      <c r="GM89" s="114">
        <f t="shared" si="202"/>
        <v>0</v>
      </c>
      <c r="GN89" s="114">
        <f t="shared" si="203"/>
        <v>0</v>
      </c>
      <c r="GO89" s="114">
        <f t="shared" si="204"/>
        <v>0</v>
      </c>
      <c r="GP89" s="114">
        <f t="shared" si="151"/>
        <v>0</v>
      </c>
      <c r="GQ89" s="114">
        <f t="shared" si="223"/>
        <v>0</v>
      </c>
      <c r="GR89" s="193"/>
      <c r="GS89" s="122">
        <f t="shared" si="205"/>
        <v>9707170.4023999982</v>
      </c>
      <c r="GT89" s="122">
        <f t="shared" si="206"/>
        <v>14221271.328203021</v>
      </c>
      <c r="GU89" s="123">
        <f t="shared" si="224"/>
        <v>0.6825810561077722</v>
      </c>
      <c r="GV89" s="124">
        <f t="shared" ca="1" si="207"/>
        <v>0</v>
      </c>
      <c r="GW89" s="124">
        <v>0</v>
      </c>
      <c r="GX89" s="32">
        <f t="shared" ca="1" si="208"/>
        <v>0</v>
      </c>
      <c r="GY89" s="100"/>
    </row>
    <row r="90" spans="1:207" s="125" customFormat="1" ht="15" hidden="1" customHeight="1">
      <c r="A90" s="102"/>
      <c r="B90" s="103"/>
      <c r="C90" s="103"/>
      <c r="D90" s="104"/>
      <c r="E90" s="104" t="s">
        <v>388</v>
      </c>
      <c r="F90" s="104" t="s">
        <v>388</v>
      </c>
      <c r="G90" s="104" t="s">
        <v>226</v>
      </c>
      <c r="H90" s="105" t="s">
        <v>430</v>
      </c>
      <c r="I90" s="106" t="s">
        <v>431</v>
      </c>
      <c r="J90" s="104" t="s">
        <v>212</v>
      </c>
      <c r="K90" s="104" t="s">
        <v>218</v>
      </c>
      <c r="L90" s="104" t="s">
        <v>213</v>
      </c>
      <c r="M90" s="104" t="s">
        <v>388</v>
      </c>
      <c r="N90" s="107"/>
      <c r="O90" s="108">
        <v>42989</v>
      </c>
      <c r="P90" s="108">
        <v>42989</v>
      </c>
      <c r="Q90" s="322">
        <f t="shared" si="179"/>
        <v>0</v>
      </c>
      <c r="R90" s="109">
        <f>IF((P90-VLOOKUP(Q90,month!$A$1:$C$13,3,0))&lt;0,Q90,Q90+1)</f>
        <v>0</v>
      </c>
      <c r="S90" s="108"/>
      <c r="T90" s="127" t="str">
        <f t="shared" si="215"/>
        <v/>
      </c>
      <c r="U90" s="107"/>
      <c r="V90" s="107"/>
      <c r="W90" s="107"/>
      <c r="X90" s="107"/>
      <c r="Y90" s="386"/>
      <c r="Z90" s="386" t="s">
        <v>545</v>
      </c>
      <c r="AA90" s="387">
        <v>1000</v>
      </c>
      <c r="AB90" s="387">
        <v>1000</v>
      </c>
      <c r="AC90" s="387">
        <v>1000</v>
      </c>
      <c r="AD90" s="387">
        <v>1000</v>
      </c>
      <c r="AE90" s="387">
        <v>1000</v>
      </c>
      <c r="AF90" s="387">
        <v>1000</v>
      </c>
      <c r="AG90" s="387">
        <v>1000</v>
      </c>
      <c r="AH90" s="387">
        <v>1000</v>
      </c>
      <c r="AI90" s="387">
        <v>1000</v>
      </c>
      <c r="AJ90" s="387">
        <v>1000</v>
      </c>
      <c r="AK90" s="387">
        <v>1000</v>
      </c>
      <c r="AL90" s="387">
        <v>1000</v>
      </c>
      <c r="AM90" s="388">
        <f t="shared" si="142"/>
        <v>12000</v>
      </c>
      <c r="AN90" s="388">
        <f t="shared" si="180"/>
        <v>12000</v>
      </c>
      <c r="AO90" s="389">
        <f t="shared" si="217"/>
        <v>1000</v>
      </c>
      <c r="AP90" s="498" t="s">
        <v>671</v>
      </c>
      <c r="AQ90" s="159">
        <v>0.4</v>
      </c>
      <c r="AR90" s="160" t="s">
        <v>392</v>
      </c>
      <c r="AS90" s="119" t="s">
        <v>210</v>
      </c>
      <c r="AT90" s="111">
        <v>286660.29907014075</v>
      </c>
      <c r="AU90" s="111">
        <v>721810.37244538998</v>
      </c>
      <c r="AV90" s="111">
        <v>519680.36146548868</v>
      </c>
      <c r="AW90" s="111">
        <v>551805.23676638957</v>
      </c>
      <c r="AX90" s="113">
        <v>185153.4</v>
      </c>
      <c r="AY90" s="113">
        <v>753289.17500000005</v>
      </c>
      <c r="AZ90" s="113">
        <v>459128.24</v>
      </c>
      <c r="BA90" s="113"/>
      <c r="BB90" s="113"/>
      <c r="BC90" s="113"/>
      <c r="BD90" s="113"/>
      <c r="BE90" s="113"/>
      <c r="BF90" s="114">
        <f t="shared" si="152"/>
        <v>185153.4</v>
      </c>
      <c r="BG90" s="114">
        <f t="shared" si="153"/>
        <v>753289.17500000005</v>
      </c>
      <c r="BH90" s="114">
        <f t="shared" si="154"/>
        <v>459128.24</v>
      </c>
      <c r="BI90" s="114">
        <f t="shared" si="155"/>
        <v>0</v>
      </c>
      <c r="BJ90" s="114">
        <f t="shared" si="182"/>
        <v>1397570.8149999999</v>
      </c>
      <c r="BK90" s="115">
        <f t="shared" si="144"/>
        <v>2079956.269747409</v>
      </c>
      <c r="BL90" s="115">
        <f t="shared" si="156"/>
        <v>2079956.269747409</v>
      </c>
      <c r="BM90" s="116">
        <f t="shared" si="157"/>
        <v>0.67190000000000005</v>
      </c>
      <c r="BN90" s="126">
        <f t="shared" ca="1" si="190"/>
        <v>0</v>
      </c>
      <c r="BO90" s="117">
        <f t="shared" ca="1" si="191"/>
        <v>0</v>
      </c>
      <c r="BP90" s="118" t="str">
        <f t="shared" si="183"/>
        <v>Uncapped</v>
      </c>
      <c r="BQ90" s="115">
        <f t="shared" ca="1" si="192"/>
        <v>0</v>
      </c>
      <c r="BR90" s="113" t="s">
        <v>691</v>
      </c>
      <c r="BS90" s="159">
        <v>0.4</v>
      </c>
      <c r="BT90" s="160" t="s">
        <v>211</v>
      </c>
      <c r="BU90" s="160" t="s">
        <v>210</v>
      </c>
      <c r="BV90" s="113">
        <v>636978.67468448018</v>
      </c>
      <c r="BW90" s="113">
        <v>802549.88720976899</v>
      </c>
      <c r="BX90" s="113">
        <v>773594.16525400302</v>
      </c>
      <c r="BY90" s="113">
        <v>903844.13879380503</v>
      </c>
      <c r="BZ90" s="113">
        <v>836683.0334999999</v>
      </c>
      <c r="CA90" s="113">
        <v>875812.06359999895</v>
      </c>
      <c r="CB90" s="113">
        <v>878227.69249999977</v>
      </c>
      <c r="CC90" s="113"/>
      <c r="CD90" s="113"/>
      <c r="CE90" s="113"/>
      <c r="CF90" s="113"/>
      <c r="CG90" s="113"/>
      <c r="CH90" s="114">
        <f t="shared" si="158"/>
        <v>836683.0334999999</v>
      </c>
      <c r="CI90" s="114">
        <f t="shared" si="159"/>
        <v>875812.06359999895</v>
      </c>
      <c r="CJ90" s="120">
        <f t="shared" si="160"/>
        <v>878227.69249999977</v>
      </c>
      <c r="CK90" s="114">
        <f t="shared" si="161"/>
        <v>0</v>
      </c>
      <c r="CL90" s="114">
        <f t="shared" si="184"/>
        <v>2590722.7895999989</v>
      </c>
      <c r="CM90" s="114">
        <f t="shared" si="145"/>
        <v>3116966.8659420572</v>
      </c>
      <c r="CN90" s="114">
        <f t="shared" si="162"/>
        <v>3116966.8659420572</v>
      </c>
      <c r="CO90" s="116">
        <f t="shared" si="163"/>
        <v>0.83120000000000005</v>
      </c>
      <c r="CP90" s="126">
        <f t="shared" ca="1" si="164"/>
        <v>0</v>
      </c>
      <c r="CQ90" s="115">
        <f t="shared" ca="1" si="193"/>
        <v>0</v>
      </c>
      <c r="CR90" s="118" t="str">
        <f t="shared" si="185"/>
        <v>Uncapped</v>
      </c>
      <c r="CS90" s="115">
        <f t="shared" ca="1" si="194"/>
        <v>0</v>
      </c>
      <c r="CT90" s="113" t="s">
        <v>695</v>
      </c>
      <c r="CU90" s="119">
        <v>0.2</v>
      </c>
      <c r="CV90" s="113" t="s">
        <v>217</v>
      </c>
      <c r="CW90" s="113" t="s">
        <v>210</v>
      </c>
      <c r="CX90" s="113">
        <v>1684531.0634844592</v>
      </c>
      <c r="CY90" s="113">
        <v>2940295.572967723</v>
      </c>
      <c r="CZ90" s="113">
        <v>2454540.4501669211</v>
      </c>
      <c r="DA90" s="113">
        <v>2733783.5790788382</v>
      </c>
      <c r="DB90" s="113">
        <v>1213071.3144</v>
      </c>
      <c r="DC90" s="113">
        <v>2676628.4935999992</v>
      </c>
      <c r="DD90" s="113">
        <v>2326677.1224999996</v>
      </c>
      <c r="DE90" s="113"/>
      <c r="DF90" s="113"/>
      <c r="DG90" s="113"/>
      <c r="DH90" s="113"/>
      <c r="DI90" s="113"/>
      <c r="DJ90" s="114">
        <f t="shared" si="165"/>
        <v>1213071.3144</v>
      </c>
      <c r="DK90" s="114">
        <f t="shared" si="166"/>
        <v>2676628.4935999992</v>
      </c>
      <c r="DL90" s="114">
        <f t="shared" si="167"/>
        <v>2326677.1224999996</v>
      </c>
      <c r="DM90" s="114">
        <f t="shared" si="168"/>
        <v>0</v>
      </c>
      <c r="DN90" s="114">
        <f t="shared" si="186"/>
        <v>6216376.9304999989</v>
      </c>
      <c r="DO90" s="114">
        <f t="shared" si="146"/>
        <v>9813150.6656979416</v>
      </c>
      <c r="DP90" s="114">
        <f t="shared" si="169"/>
        <v>9813150.6656979416</v>
      </c>
      <c r="DQ90" s="116">
        <f t="shared" si="170"/>
        <v>0.63349999999999995</v>
      </c>
      <c r="DR90" s="126">
        <f t="shared" ca="1" si="195"/>
        <v>0</v>
      </c>
      <c r="DS90" s="115">
        <f t="shared" ca="1" si="196"/>
        <v>0</v>
      </c>
      <c r="DT90" s="118" t="str">
        <f t="shared" si="187"/>
        <v>Uncapped</v>
      </c>
      <c r="DU90" s="115">
        <f t="shared" ca="1" si="197"/>
        <v>0</v>
      </c>
      <c r="DV90" s="113"/>
      <c r="DW90" s="119">
        <v>0</v>
      </c>
      <c r="DX90" s="113"/>
      <c r="DY90" s="113"/>
      <c r="DZ90" s="113">
        <v>0</v>
      </c>
      <c r="EA90" s="113">
        <v>0</v>
      </c>
      <c r="EB90" s="113">
        <v>0</v>
      </c>
      <c r="EC90" s="113">
        <v>0</v>
      </c>
      <c r="ED90" s="113">
        <v>0</v>
      </c>
      <c r="EE90" s="113">
        <v>0</v>
      </c>
      <c r="EF90" s="113"/>
      <c r="EG90" s="113"/>
      <c r="EH90" s="113"/>
      <c r="EI90" s="113"/>
      <c r="EJ90" s="113"/>
      <c r="EK90" s="113"/>
      <c r="EL90" s="114">
        <f t="shared" si="171"/>
        <v>0</v>
      </c>
      <c r="EM90" s="114">
        <f t="shared" si="172"/>
        <v>0</v>
      </c>
      <c r="EN90" s="114">
        <f t="shared" si="173"/>
        <v>0</v>
      </c>
      <c r="EO90" s="114">
        <f t="shared" si="174"/>
        <v>0</v>
      </c>
      <c r="EP90" s="114">
        <f t="shared" si="188"/>
        <v>0</v>
      </c>
      <c r="EQ90" s="114">
        <f t="shared" si="147"/>
        <v>0</v>
      </c>
      <c r="ER90" s="114">
        <f t="shared" si="175"/>
        <v>0</v>
      </c>
      <c r="ES90" s="116">
        <f t="shared" si="176"/>
        <v>0</v>
      </c>
      <c r="ET90" s="126">
        <f t="shared" ca="1" si="177"/>
        <v>0</v>
      </c>
      <c r="EU90" s="115">
        <f t="shared" ca="1" si="198"/>
        <v>0</v>
      </c>
      <c r="EV90" s="118" t="str">
        <f t="shared" si="189"/>
        <v>Uncapped</v>
      </c>
      <c r="EW90" s="115">
        <f t="shared" ca="1" si="199"/>
        <v>0</v>
      </c>
      <c r="EX90" s="112">
        <f t="shared" ca="1" si="200"/>
        <v>0</v>
      </c>
      <c r="EY90" s="114">
        <f t="shared" ca="1" si="178"/>
        <v>0</v>
      </c>
      <c r="EZ90" s="115">
        <v>0</v>
      </c>
      <c r="FA90" s="115"/>
      <c r="FB90" s="115">
        <v>719558</v>
      </c>
      <c r="FC90" s="115">
        <v>0</v>
      </c>
      <c r="FD90" s="115">
        <f t="shared" si="148"/>
        <v>719558</v>
      </c>
      <c r="FE90" s="114">
        <f t="shared" si="140"/>
        <v>0</v>
      </c>
      <c r="FF90" s="115">
        <v>0</v>
      </c>
      <c r="FG90" s="115">
        <v>0</v>
      </c>
      <c r="FH90" s="115">
        <v>0</v>
      </c>
      <c r="FI90" s="115">
        <v>0</v>
      </c>
      <c r="FJ90" s="115">
        <f t="shared" si="149"/>
        <v>0</v>
      </c>
      <c r="FK90" s="114">
        <f t="shared" si="141"/>
        <v>0</v>
      </c>
      <c r="FL90" s="113"/>
      <c r="FM90" s="111"/>
      <c r="FN90" s="111"/>
      <c r="FO90" s="111"/>
      <c r="FP90" s="115">
        <f t="shared" si="216"/>
        <v>0</v>
      </c>
      <c r="FQ90" s="115"/>
      <c r="FR90" s="115"/>
      <c r="FS90" s="115"/>
      <c r="FT90" s="114">
        <f t="shared" si="209"/>
        <v>0</v>
      </c>
      <c r="FU90" s="366">
        <f t="shared" ca="1" si="210"/>
        <v>719558</v>
      </c>
      <c r="FV90" s="121">
        <f t="shared" ca="1" si="211"/>
        <v>719558</v>
      </c>
      <c r="FW90" s="114">
        <f t="shared" si="218"/>
        <v>0</v>
      </c>
      <c r="FX90" s="114">
        <f t="shared" si="218"/>
        <v>0</v>
      </c>
      <c r="FY90" s="114">
        <f t="shared" si="218"/>
        <v>0</v>
      </c>
      <c r="FZ90" s="114">
        <f t="shared" si="218"/>
        <v>0</v>
      </c>
      <c r="GA90" s="114">
        <f t="shared" si="221"/>
        <v>0</v>
      </c>
      <c r="GB90" s="114">
        <f t="shared" si="219"/>
        <v>0</v>
      </c>
      <c r="GC90" s="114">
        <f t="shared" si="219"/>
        <v>0</v>
      </c>
      <c r="GD90" s="114">
        <f t="shared" si="219"/>
        <v>719558</v>
      </c>
      <c r="GE90" s="114">
        <f t="shared" si="219"/>
        <v>0</v>
      </c>
      <c r="GF90" s="114">
        <f t="shared" si="220"/>
        <v>0</v>
      </c>
      <c r="GG90" s="114">
        <f t="shared" si="220"/>
        <v>0</v>
      </c>
      <c r="GH90" s="114">
        <f t="shared" si="220"/>
        <v>719558</v>
      </c>
      <c r="GI90" s="114">
        <f t="shared" si="220"/>
        <v>0</v>
      </c>
      <c r="GJ90" s="115">
        <f t="shared" si="150"/>
        <v>719558</v>
      </c>
      <c r="GK90" s="114">
        <f t="shared" si="222"/>
        <v>719558</v>
      </c>
      <c r="GL90" s="114">
        <f t="shared" si="201"/>
        <v>0</v>
      </c>
      <c r="GM90" s="114">
        <f t="shared" si="202"/>
        <v>0</v>
      </c>
      <c r="GN90" s="114">
        <f t="shared" si="203"/>
        <v>0</v>
      </c>
      <c r="GO90" s="114">
        <f t="shared" si="204"/>
        <v>0</v>
      </c>
      <c r="GP90" s="114">
        <f t="shared" si="151"/>
        <v>0</v>
      </c>
      <c r="GQ90" s="114">
        <f t="shared" si="223"/>
        <v>0</v>
      </c>
      <c r="GR90" s="193"/>
      <c r="GS90" s="122">
        <f t="shared" si="205"/>
        <v>10204670.535099998</v>
      </c>
      <c r="GT90" s="122">
        <f t="shared" si="206"/>
        <v>15010073.801387407</v>
      </c>
      <c r="GU90" s="123">
        <f t="shared" si="224"/>
        <v>0.67985478753320738</v>
      </c>
      <c r="GV90" s="124">
        <f t="shared" ca="1" si="207"/>
        <v>0</v>
      </c>
      <c r="GW90" s="124">
        <v>0</v>
      </c>
      <c r="GX90" s="32">
        <f t="shared" ca="1" si="208"/>
        <v>0</v>
      </c>
      <c r="GY90" s="100"/>
    </row>
    <row r="91" spans="1:207" s="152" customFormat="1" ht="15" hidden="1" customHeight="1">
      <c r="A91" s="129"/>
      <c r="B91" s="130"/>
      <c r="C91" s="130"/>
      <c r="D91" s="131"/>
      <c r="E91" s="131" t="s">
        <v>432</v>
      </c>
      <c r="F91" s="131" t="s">
        <v>433</v>
      </c>
      <c r="G91" s="131" t="s">
        <v>226</v>
      </c>
      <c r="H91" s="172" t="s">
        <v>434</v>
      </c>
      <c r="I91" s="133" t="s">
        <v>435</v>
      </c>
      <c r="J91" s="131" t="s">
        <v>207</v>
      </c>
      <c r="K91" s="131" t="s">
        <v>218</v>
      </c>
      <c r="L91" s="131" t="s">
        <v>220</v>
      </c>
      <c r="M91" s="131" t="s">
        <v>436</v>
      </c>
      <c r="N91" s="134"/>
      <c r="O91" s="155">
        <v>41430</v>
      </c>
      <c r="P91" s="155">
        <v>43191</v>
      </c>
      <c r="Q91" s="321">
        <f t="shared" si="179"/>
        <v>0</v>
      </c>
      <c r="R91" s="109">
        <f>IF((P91-VLOOKUP(Q91,month!$A$1:$C$13,3,0))&lt;0,Q91,Q91+1)</f>
        <v>0</v>
      </c>
      <c r="S91" s="108"/>
      <c r="T91" s="135" t="str">
        <f t="shared" si="215"/>
        <v/>
      </c>
      <c r="U91" s="134"/>
      <c r="V91" s="134"/>
      <c r="W91" s="134"/>
      <c r="X91" s="134"/>
      <c r="Y91" s="383"/>
      <c r="Z91" s="383" t="s">
        <v>545</v>
      </c>
      <c r="AA91" s="371">
        <v>1000</v>
      </c>
      <c r="AB91" s="371">
        <v>1000</v>
      </c>
      <c r="AC91" s="371">
        <v>1000</v>
      </c>
      <c r="AD91" s="371">
        <v>1000</v>
      </c>
      <c r="AE91" s="371">
        <v>1000</v>
      </c>
      <c r="AF91" s="371">
        <v>1000</v>
      </c>
      <c r="AG91" s="371">
        <v>1000</v>
      </c>
      <c r="AH91" s="371">
        <v>1000</v>
      </c>
      <c r="AI91" s="371">
        <v>1000</v>
      </c>
      <c r="AJ91" s="371">
        <v>1000</v>
      </c>
      <c r="AK91" s="371">
        <v>1000</v>
      </c>
      <c r="AL91" s="371">
        <v>1000</v>
      </c>
      <c r="AM91" s="384">
        <f t="shared" si="142"/>
        <v>12000</v>
      </c>
      <c r="AN91" s="384">
        <f t="shared" si="180"/>
        <v>12000</v>
      </c>
      <c r="AO91" s="385">
        <f t="shared" si="217"/>
        <v>1000</v>
      </c>
      <c r="AP91" s="497" t="s">
        <v>678</v>
      </c>
      <c r="AQ91" s="156">
        <v>0.6</v>
      </c>
      <c r="AR91" s="157" t="s">
        <v>217</v>
      </c>
      <c r="AS91" s="146" t="s">
        <v>210</v>
      </c>
      <c r="AT91" s="136">
        <v>860683.93048418383</v>
      </c>
      <c r="AU91" s="136">
        <v>1485032.7223889697</v>
      </c>
      <c r="AV91" s="136">
        <v>1201920.2574670948</v>
      </c>
      <c r="AW91" s="136">
        <v>1615966.3706384827</v>
      </c>
      <c r="AX91" s="138">
        <v>666700</v>
      </c>
      <c r="AY91" s="138">
        <v>1029054.5640000002</v>
      </c>
      <c r="AZ91" s="138">
        <v>914751.37799999944</v>
      </c>
      <c r="BA91" s="138"/>
      <c r="BB91" s="138"/>
      <c r="BC91" s="138"/>
      <c r="BD91" s="138"/>
      <c r="BE91" s="138"/>
      <c r="BF91" s="139">
        <f t="shared" si="152"/>
        <v>666700</v>
      </c>
      <c r="BG91" s="139">
        <f t="shared" si="153"/>
        <v>1029054.5640000002</v>
      </c>
      <c r="BH91" s="139">
        <f t="shared" si="154"/>
        <v>914751.37799999944</v>
      </c>
      <c r="BI91" s="139">
        <f t="shared" si="155"/>
        <v>0</v>
      </c>
      <c r="BJ91" s="139">
        <f t="shared" si="182"/>
        <v>2610505.9419999998</v>
      </c>
      <c r="BK91" s="140">
        <f t="shared" si="144"/>
        <v>5163603.2809787318</v>
      </c>
      <c r="BL91" s="140">
        <f t="shared" si="156"/>
        <v>5163603.2809787318</v>
      </c>
      <c r="BM91" s="141">
        <f t="shared" si="157"/>
        <v>0.50560000000000005</v>
      </c>
      <c r="BN91" s="142">
        <f t="shared" ca="1" si="190"/>
        <v>0</v>
      </c>
      <c r="BO91" s="143">
        <f t="shared" ca="1" si="191"/>
        <v>0</v>
      </c>
      <c r="BP91" s="144" t="str">
        <f t="shared" si="183"/>
        <v>Uncapped</v>
      </c>
      <c r="BQ91" s="140">
        <f t="shared" ca="1" si="192"/>
        <v>0</v>
      </c>
      <c r="BR91" s="138" t="s">
        <v>699</v>
      </c>
      <c r="BS91" s="158">
        <v>0.2</v>
      </c>
      <c r="BT91" s="138" t="s">
        <v>211</v>
      </c>
      <c r="BU91" s="157" t="s">
        <v>210</v>
      </c>
      <c r="BV91" s="138">
        <v>11953048.942182608</v>
      </c>
      <c r="BW91" s="138">
        <v>16757506.295401936</v>
      </c>
      <c r="BX91" s="138">
        <v>15470532.140695527</v>
      </c>
      <c r="BY91" s="138">
        <v>16440443.473807694</v>
      </c>
      <c r="BZ91" s="138">
        <v>12211557.946359999</v>
      </c>
      <c r="CA91" s="138">
        <v>15972657.057939999</v>
      </c>
      <c r="CB91" s="138">
        <v>15545756.2063</v>
      </c>
      <c r="CC91" s="138"/>
      <c r="CD91" s="138"/>
      <c r="CE91" s="138"/>
      <c r="CF91" s="138"/>
      <c r="CG91" s="138"/>
      <c r="CH91" s="139">
        <f t="shared" si="158"/>
        <v>12211557.946359999</v>
      </c>
      <c r="CI91" s="139">
        <f t="shared" si="159"/>
        <v>15972657.057939999</v>
      </c>
      <c r="CJ91" s="145">
        <f t="shared" si="160"/>
        <v>15545756.2063</v>
      </c>
      <c r="CK91" s="139">
        <f t="shared" si="161"/>
        <v>0</v>
      </c>
      <c r="CL91" s="139">
        <f t="shared" si="184"/>
        <v>43729971.210599996</v>
      </c>
      <c r="CM91" s="139">
        <f t="shared" si="145"/>
        <v>60621530.852087766</v>
      </c>
      <c r="CN91" s="139">
        <f t="shared" si="162"/>
        <v>60621530.852087766</v>
      </c>
      <c r="CO91" s="141">
        <f t="shared" si="163"/>
        <v>0.72140000000000004</v>
      </c>
      <c r="CP91" s="142">
        <f t="shared" ca="1" si="164"/>
        <v>0</v>
      </c>
      <c r="CQ91" s="140">
        <f t="shared" ca="1" si="193"/>
        <v>0</v>
      </c>
      <c r="CR91" s="144" t="str">
        <f t="shared" si="185"/>
        <v>Uncapped</v>
      </c>
      <c r="CS91" s="140">
        <f t="shared" ca="1" si="194"/>
        <v>0</v>
      </c>
      <c r="CT91" s="138" t="s">
        <v>696</v>
      </c>
      <c r="CU91" s="146">
        <v>0.2</v>
      </c>
      <c r="CV91" s="138" t="s">
        <v>217</v>
      </c>
      <c r="CW91" s="138" t="s">
        <v>210</v>
      </c>
      <c r="CX91" s="138">
        <v>61881722.047854595</v>
      </c>
      <c r="CY91" s="138">
        <v>72180793.063260496</v>
      </c>
      <c r="CZ91" s="138">
        <v>69179032.514420599</v>
      </c>
      <c r="DA91" s="138">
        <v>76323964.015026003</v>
      </c>
      <c r="DB91" s="138">
        <v>63657388.730680585</v>
      </c>
      <c r="DC91" s="138">
        <v>65995192.891159974</v>
      </c>
      <c r="DD91" s="138">
        <v>66410604.684560001</v>
      </c>
      <c r="DE91" s="138"/>
      <c r="DF91" s="138"/>
      <c r="DG91" s="138"/>
      <c r="DH91" s="138"/>
      <c r="DI91" s="138"/>
      <c r="DJ91" s="139">
        <f t="shared" si="165"/>
        <v>63657388.730680585</v>
      </c>
      <c r="DK91" s="139">
        <f t="shared" si="166"/>
        <v>65995192.891159974</v>
      </c>
      <c r="DL91" s="139">
        <f t="shared" si="167"/>
        <v>66410604.684560001</v>
      </c>
      <c r="DM91" s="139">
        <f t="shared" si="168"/>
        <v>0</v>
      </c>
      <c r="DN91" s="139">
        <f t="shared" si="186"/>
        <v>196063186.30640057</v>
      </c>
      <c r="DO91" s="139">
        <f t="shared" si="146"/>
        <v>279565511.6405617</v>
      </c>
      <c r="DP91" s="139">
        <f t="shared" si="169"/>
        <v>279565511.6405617</v>
      </c>
      <c r="DQ91" s="141">
        <f t="shared" si="170"/>
        <v>0.70130000000000003</v>
      </c>
      <c r="DR91" s="142">
        <f t="shared" ca="1" si="195"/>
        <v>0</v>
      </c>
      <c r="DS91" s="140">
        <f t="shared" ca="1" si="196"/>
        <v>0</v>
      </c>
      <c r="DT91" s="144" t="str">
        <f t="shared" si="187"/>
        <v>Uncapped</v>
      </c>
      <c r="DU91" s="140">
        <f t="shared" ca="1" si="197"/>
        <v>0</v>
      </c>
      <c r="DV91" s="138"/>
      <c r="DW91" s="146">
        <v>0</v>
      </c>
      <c r="DX91" s="138"/>
      <c r="DY91" s="138"/>
      <c r="DZ91" s="138">
        <v>0</v>
      </c>
      <c r="EA91" s="138">
        <v>0</v>
      </c>
      <c r="EB91" s="138">
        <v>0</v>
      </c>
      <c r="EC91" s="138">
        <v>0</v>
      </c>
      <c r="ED91" s="138">
        <v>0</v>
      </c>
      <c r="EE91" s="138">
        <v>0</v>
      </c>
      <c r="EF91" s="138"/>
      <c r="EG91" s="138"/>
      <c r="EH91" s="138"/>
      <c r="EI91" s="138"/>
      <c r="EJ91" s="138"/>
      <c r="EK91" s="138"/>
      <c r="EL91" s="139">
        <f t="shared" si="171"/>
        <v>0</v>
      </c>
      <c r="EM91" s="139">
        <f t="shared" si="172"/>
        <v>0</v>
      </c>
      <c r="EN91" s="139">
        <f t="shared" si="173"/>
        <v>0</v>
      </c>
      <c r="EO91" s="139">
        <f t="shared" si="174"/>
        <v>0</v>
      </c>
      <c r="EP91" s="139">
        <f t="shared" si="188"/>
        <v>0</v>
      </c>
      <c r="EQ91" s="139">
        <f t="shared" si="147"/>
        <v>0</v>
      </c>
      <c r="ER91" s="139">
        <f t="shared" si="175"/>
        <v>0</v>
      </c>
      <c r="ES91" s="141">
        <f t="shared" si="176"/>
        <v>0</v>
      </c>
      <c r="ET91" s="142">
        <f t="shared" ca="1" si="177"/>
        <v>0</v>
      </c>
      <c r="EU91" s="140">
        <f t="shared" ca="1" si="198"/>
        <v>0</v>
      </c>
      <c r="EV91" s="144" t="str">
        <f t="shared" si="189"/>
        <v>Uncapped</v>
      </c>
      <c r="EW91" s="140">
        <f t="shared" ca="1" si="199"/>
        <v>0</v>
      </c>
      <c r="EX91" s="137">
        <f t="shared" ca="1" si="200"/>
        <v>0</v>
      </c>
      <c r="EY91" s="139">
        <f t="shared" ca="1" si="178"/>
        <v>0</v>
      </c>
      <c r="EZ91" s="140">
        <v>0</v>
      </c>
      <c r="FA91" s="140"/>
      <c r="FB91" s="140"/>
      <c r="FC91" s="140">
        <v>0</v>
      </c>
      <c r="FD91" s="140">
        <f t="shared" si="148"/>
        <v>0</v>
      </c>
      <c r="FE91" s="139">
        <f t="shared" ref="FE91:FE122" si="312">SUMIFS(91:91,$5:$5,"SPIFF payout $ (Local CCY)",$4:$4,CONCATENATE("Q",$H$2))</f>
        <v>0</v>
      </c>
      <c r="FF91" s="140">
        <v>0</v>
      </c>
      <c r="FG91" s="140">
        <v>0</v>
      </c>
      <c r="FH91" s="140">
        <v>0</v>
      </c>
      <c r="FI91" s="140">
        <v>0</v>
      </c>
      <c r="FJ91" s="140">
        <f t="shared" si="149"/>
        <v>0</v>
      </c>
      <c r="FK91" s="139">
        <f t="shared" ref="FK91:FK122" si="313">SUMIFS(91:91,$5:$5,"Other payout $ (Local CCY)",$4:$4,CONCATENATE("Q",$H$2))</f>
        <v>0</v>
      </c>
      <c r="FL91" s="138"/>
      <c r="FM91" s="136"/>
      <c r="FN91" s="136"/>
      <c r="FO91" s="136"/>
      <c r="FP91" s="140">
        <f t="shared" si="216"/>
        <v>0</v>
      </c>
      <c r="FQ91" s="140"/>
      <c r="FR91" s="140"/>
      <c r="FS91" s="140"/>
      <c r="FT91" s="139">
        <f t="shared" si="209"/>
        <v>0</v>
      </c>
      <c r="FU91" s="365">
        <f t="shared" ca="1" si="210"/>
        <v>0</v>
      </c>
      <c r="FV91" s="147">
        <f t="shared" ca="1" si="211"/>
        <v>0</v>
      </c>
      <c r="FW91" s="139">
        <f t="shared" si="218"/>
        <v>0</v>
      </c>
      <c r="FX91" s="139">
        <f t="shared" si="218"/>
        <v>0</v>
      </c>
      <c r="FY91" s="139">
        <f t="shared" si="218"/>
        <v>0</v>
      </c>
      <c r="FZ91" s="139">
        <f t="shared" si="218"/>
        <v>0</v>
      </c>
      <c r="GA91" s="139">
        <f t="shared" si="221"/>
        <v>0</v>
      </c>
      <c r="GB91" s="139">
        <f t="shared" si="219"/>
        <v>0</v>
      </c>
      <c r="GC91" s="139">
        <f t="shared" si="219"/>
        <v>0</v>
      </c>
      <c r="GD91" s="139">
        <f t="shared" si="219"/>
        <v>0</v>
      </c>
      <c r="GE91" s="139">
        <f t="shared" si="219"/>
        <v>0</v>
      </c>
      <c r="GF91" s="139">
        <f t="shared" si="220"/>
        <v>0</v>
      </c>
      <c r="GG91" s="139">
        <f t="shared" si="220"/>
        <v>0</v>
      </c>
      <c r="GH91" s="139">
        <f t="shared" si="220"/>
        <v>0</v>
      </c>
      <c r="GI91" s="139">
        <f t="shared" si="220"/>
        <v>0</v>
      </c>
      <c r="GJ91" s="140">
        <f t="shared" si="150"/>
        <v>0</v>
      </c>
      <c r="GK91" s="139">
        <f t="shared" si="222"/>
        <v>0</v>
      </c>
      <c r="GL91" s="139">
        <f t="shared" si="201"/>
        <v>0</v>
      </c>
      <c r="GM91" s="139">
        <f t="shared" si="202"/>
        <v>0</v>
      </c>
      <c r="GN91" s="139">
        <f t="shared" si="203"/>
        <v>0</v>
      </c>
      <c r="GO91" s="139">
        <f t="shared" si="204"/>
        <v>0</v>
      </c>
      <c r="GP91" s="139">
        <f t="shared" si="151"/>
        <v>0</v>
      </c>
      <c r="GQ91" s="139">
        <f t="shared" si="223"/>
        <v>0</v>
      </c>
      <c r="GR91" s="409"/>
      <c r="GS91" s="148">
        <f t="shared" si="205"/>
        <v>242403663.45900056</v>
      </c>
      <c r="GT91" s="148">
        <f t="shared" si="206"/>
        <v>345350645.77362818</v>
      </c>
      <c r="GU91" s="149">
        <f t="shared" si="224"/>
        <v>0.70190592206939806</v>
      </c>
      <c r="GV91" s="150">
        <f t="shared" ca="1" si="207"/>
        <v>0</v>
      </c>
      <c r="GW91" s="150">
        <v>0</v>
      </c>
      <c r="GX91" s="151">
        <f t="shared" ca="1" si="208"/>
        <v>0</v>
      </c>
      <c r="GY91" s="100"/>
    </row>
    <row r="92" spans="1:207" s="125" customFormat="1" ht="15" hidden="1" customHeight="1">
      <c r="A92" s="102"/>
      <c r="B92" s="103"/>
      <c r="C92" s="103"/>
      <c r="D92" s="104"/>
      <c r="E92" s="104" t="s">
        <v>437</v>
      </c>
      <c r="F92" s="104" t="s">
        <v>438</v>
      </c>
      <c r="G92" s="104" t="s">
        <v>226</v>
      </c>
      <c r="H92" s="105" t="s">
        <v>439</v>
      </c>
      <c r="I92" s="106" t="s">
        <v>440</v>
      </c>
      <c r="J92" s="104" t="s">
        <v>212</v>
      </c>
      <c r="K92" s="104" t="s">
        <v>218</v>
      </c>
      <c r="L92" s="104" t="s">
        <v>213</v>
      </c>
      <c r="M92" s="104" t="s">
        <v>388</v>
      </c>
      <c r="N92" s="107"/>
      <c r="O92" s="108">
        <v>42730</v>
      </c>
      <c r="P92" s="108">
        <v>43191</v>
      </c>
      <c r="Q92" s="322">
        <f t="shared" si="179"/>
        <v>0</v>
      </c>
      <c r="R92" s="109">
        <f>IF((P92-VLOOKUP(Q92,month!$A$1:$C$13,3,0))&lt;0,Q92,Q92+1)</f>
        <v>0</v>
      </c>
      <c r="S92" s="108"/>
      <c r="T92" s="127" t="str">
        <f>IF(S92&gt;0,"Y","")</f>
        <v/>
      </c>
      <c r="U92" s="107"/>
      <c r="V92" s="107"/>
      <c r="W92" s="107"/>
      <c r="X92" s="107"/>
      <c r="Y92" s="386"/>
      <c r="Z92" s="386" t="s">
        <v>545</v>
      </c>
      <c r="AA92" s="387">
        <v>1000</v>
      </c>
      <c r="AB92" s="387">
        <v>1000</v>
      </c>
      <c r="AC92" s="387">
        <v>1000</v>
      </c>
      <c r="AD92" s="387">
        <v>1000</v>
      </c>
      <c r="AE92" s="387">
        <v>1000</v>
      </c>
      <c r="AF92" s="387">
        <v>1000</v>
      </c>
      <c r="AG92" s="387">
        <v>1000</v>
      </c>
      <c r="AH92" s="387">
        <v>1000</v>
      </c>
      <c r="AI92" s="387">
        <v>1000</v>
      </c>
      <c r="AJ92" s="387">
        <v>1000</v>
      </c>
      <c r="AK92" s="387">
        <v>1000</v>
      </c>
      <c r="AL92" s="387">
        <v>1000</v>
      </c>
      <c r="AM92" s="388">
        <f t="shared" si="142"/>
        <v>12000</v>
      </c>
      <c r="AN92" s="388">
        <f t="shared" si="180"/>
        <v>12000</v>
      </c>
      <c r="AO92" s="389">
        <f t="shared" si="217"/>
        <v>1000</v>
      </c>
      <c r="AP92" s="498" t="s">
        <v>679</v>
      </c>
      <c r="AQ92" s="159">
        <v>0.6</v>
      </c>
      <c r="AR92" s="160" t="s">
        <v>217</v>
      </c>
      <c r="AS92" s="119" t="s">
        <v>210</v>
      </c>
      <c r="AT92" s="111">
        <v>511923.19370118791</v>
      </c>
      <c r="AU92" s="111">
        <v>887826.3133218654</v>
      </c>
      <c r="AV92" s="111">
        <v>724049.67183483741</v>
      </c>
      <c r="AW92" s="111">
        <v>955044.60243923403</v>
      </c>
      <c r="AX92" s="113">
        <v>604140</v>
      </c>
      <c r="AY92" s="113">
        <v>764012.60999999987</v>
      </c>
      <c r="AZ92" s="113">
        <v>696951.37799999944</v>
      </c>
      <c r="BA92" s="113"/>
      <c r="BB92" s="113"/>
      <c r="BC92" s="113"/>
      <c r="BD92" s="113"/>
      <c r="BE92" s="113"/>
      <c r="BF92" s="114">
        <f t="shared" si="152"/>
        <v>604140</v>
      </c>
      <c r="BG92" s="114">
        <f t="shared" si="153"/>
        <v>764012.60999999987</v>
      </c>
      <c r="BH92" s="114">
        <f t="shared" si="154"/>
        <v>696951.37799999944</v>
      </c>
      <c r="BI92" s="114">
        <f t="shared" si="155"/>
        <v>0</v>
      </c>
      <c r="BJ92" s="114">
        <f t="shared" si="182"/>
        <v>2065103.9879999994</v>
      </c>
      <c r="BK92" s="115">
        <f t="shared" si="144"/>
        <v>3078843.7812971249</v>
      </c>
      <c r="BL92" s="115">
        <f t="shared" si="156"/>
        <v>3078843.7812971249</v>
      </c>
      <c r="BM92" s="116">
        <f t="shared" si="157"/>
        <v>0.67069999999999996</v>
      </c>
      <c r="BN92" s="126">
        <f t="shared" ca="1" si="190"/>
        <v>0</v>
      </c>
      <c r="BO92" s="117">
        <f t="shared" ca="1" si="191"/>
        <v>0</v>
      </c>
      <c r="BP92" s="118" t="str">
        <f t="shared" si="183"/>
        <v>Uncapped</v>
      </c>
      <c r="BQ92" s="115">
        <f t="shared" ca="1" si="192"/>
        <v>0</v>
      </c>
      <c r="BR92" s="113" t="s">
        <v>699</v>
      </c>
      <c r="BS92" s="161">
        <v>0.2</v>
      </c>
      <c r="BT92" s="113" t="s">
        <v>211</v>
      </c>
      <c r="BU92" s="160" t="s">
        <v>210</v>
      </c>
      <c r="BV92" s="113">
        <v>11953048.942182608</v>
      </c>
      <c r="BW92" s="113">
        <v>16757506.295401936</v>
      </c>
      <c r="BX92" s="113">
        <v>15470532.140695527</v>
      </c>
      <c r="BY92" s="113">
        <v>16440443.473807694</v>
      </c>
      <c r="BZ92" s="113">
        <v>12211557.946359999</v>
      </c>
      <c r="CA92" s="113">
        <v>15972657.057939999</v>
      </c>
      <c r="CB92" s="113">
        <v>15545756.2063</v>
      </c>
      <c r="CC92" s="113"/>
      <c r="CD92" s="113"/>
      <c r="CE92" s="113"/>
      <c r="CF92" s="113"/>
      <c r="CG92" s="113"/>
      <c r="CH92" s="114">
        <f t="shared" si="158"/>
        <v>12211557.946359999</v>
      </c>
      <c r="CI92" s="114">
        <f t="shared" si="159"/>
        <v>15972657.057939999</v>
      </c>
      <c r="CJ92" s="120">
        <f t="shared" si="160"/>
        <v>15545756.2063</v>
      </c>
      <c r="CK92" s="114">
        <f t="shared" si="161"/>
        <v>0</v>
      </c>
      <c r="CL92" s="114">
        <f t="shared" si="184"/>
        <v>43729971.210599996</v>
      </c>
      <c r="CM92" s="114">
        <f t="shared" si="145"/>
        <v>60621530.852087766</v>
      </c>
      <c r="CN92" s="114">
        <f t="shared" si="162"/>
        <v>60621530.852087766</v>
      </c>
      <c r="CO92" s="116">
        <f t="shared" si="163"/>
        <v>0.72140000000000004</v>
      </c>
      <c r="CP92" s="126">
        <f t="shared" ca="1" si="164"/>
        <v>0</v>
      </c>
      <c r="CQ92" s="115">
        <f t="shared" ca="1" si="193"/>
        <v>0</v>
      </c>
      <c r="CR92" s="118" t="str">
        <f t="shared" si="185"/>
        <v>Uncapped</v>
      </c>
      <c r="CS92" s="115">
        <f t="shared" ca="1" si="194"/>
        <v>0</v>
      </c>
      <c r="CT92" s="113" t="s">
        <v>696</v>
      </c>
      <c r="CU92" s="119">
        <v>0.2</v>
      </c>
      <c r="CV92" s="113" t="s">
        <v>217</v>
      </c>
      <c r="CW92" s="113" t="s">
        <v>210</v>
      </c>
      <c r="CX92" s="113">
        <v>61881722.047854595</v>
      </c>
      <c r="CY92" s="113">
        <v>72180793.063260496</v>
      </c>
      <c r="CZ92" s="113">
        <v>69179032.514420599</v>
      </c>
      <c r="DA92" s="113">
        <v>76323964.015026003</v>
      </c>
      <c r="DB92" s="113">
        <v>63657388.730680585</v>
      </c>
      <c r="DC92" s="113">
        <v>65995192.891159974</v>
      </c>
      <c r="DD92" s="113">
        <v>66410604.684560001</v>
      </c>
      <c r="DE92" s="113"/>
      <c r="DF92" s="113"/>
      <c r="DG92" s="113"/>
      <c r="DH92" s="113"/>
      <c r="DI92" s="113"/>
      <c r="DJ92" s="114">
        <f t="shared" si="165"/>
        <v>63657388.730680585</v>
      </c>
      <c r="DK92" s="114">
        <f t="shared" si="166"/>
        <v>65995192.891159974</v>
      </c>
      <c r="DL92" s="114">
        <f t="shared" si="167"/>
        <v>66410604.684560001</v>
      </c>
      <c r="DM92" s="114">
        <f t="shared" si="168"/>
        <v>0</v>
      </c>
      <c r="DN92" s="114">
        <f t="shared" si="186"/>
        <v>196063186.30640057</v>
      </c>
      <c r="DO92" s="114">
        <f t="shared" si="146"/>
        <v>279565511.6405617</v>
      </c>
      <c r="DP92" s="114">
        <f t="shared" si="169"/>
        <v>279565511.6405617</v>
      </c>
      <c r="DQ92" s="116">
        <f t="shared" si="170"/>
        <v>0.70130000000000003</v>
      </c>
      <c r="DR92" s="126">
        <f t="shared" ca="1" si="195"/>
        <v>0</v>
      </c>
      <c r="DS92" s="115">
        <f t="shared" ca="1" si="196"/>
        <v>0</v>
      </c>
      <c r="DT92" s="118" t="str">
        <f t="shared" si="187"/>
        <v>Uncapped</v>
      </c>
      <c r="DU92" s="115">
        <f t="shared" ca="1" si="197"/>
        <v>0</v>
      </c>
      <c r="DV92" s="113"/>
      <c r="DW92" s="119">
        <v>0</v>
      </c>
      <c r="DX92" s="113"/>
      <c r="DY92" s="113"/>
      <c r="DZ92" s="113">
        <v>0</v>
      </c>
      <c r="EA92" s="113">
        <v>0</v>
      </c>
      <c r="EB92" s="113">
        <v>0</v>
      </c>
      <c r="EC92" s="113">
        <v>0</v>
      </c>
      <c r="ED92" s="113">
        <v>0</v>
      </c>
      <c r="EE92" s="113">
        <v>0</v>
      </c>
      <c r="EF92" s="113"/>
      <c r="EG92" s="113"/>
      <c r="EH92" s="113"/>
      <c r="EI92" s="113"/>
      <c r="EJ92" s="113"/>
      <c r="EK92" s="113"/>
      <c r="EL92" s="114">
        <f t="shared" si="171"/>
        <v>0</v>
      </c>
      <c r="EM92" s="114">
        <f t="shared" si="172"/>
        <v>0</v>
      </c>
      <c r="EN92" s="114">
        <f t="shared" si="173"/>
        <v>0</v>
      </c>
      <c r="EO92" s="114">
        <f t="shared" si="174"/>
        <v>0</v>
      </c>
      <c r="EP92" s="114">
        <f t="shared" si="188"/>
        <v>0</v>
      </c>
      <c r="EQ92" s="114">
        <f t="shared" si="147"/>
        <v>0</v>
      </c>
      <c r="ER92" s="114">
        <f t="shared" si="175"/>
        <v>0</v>
      </c>
      <c r="ES92" s="116">
        <f t="shared" si="176"/>
        <v>0</v>
      </c>
      <c r="ET92" s="126">
        <f t="shared" ca="1" si="177"/>
        <v>0</v>
      </c>
      <c r="EU92" s="115">
        <f t="shared" ca="1" si="198"/>
        <v>0</v>
      </c>
      <c r="EV92" s="118" t="str">
        <f t="shared" si="189"/>
        <v>Uncapped</v>
      </c>
      <c r="EW92" s="115">
        <f t="shared" ca="1" si="199"/>
        <v>0</v>
      </c>
      <c r="EX92" s="112">
        <f t="shared" ca="1" si="200"/>
        <v>0</v>
      </c>
      <c r="EY92" s="114">
        <f t="shared" ca="1" si="178"/>
        <v>0</v>
      </c>
      <c r="EZ92" s="115">
        <v>0</v>
      </c>
      <c r="FA92" s="115"/>
      <c r="FB92" s="115"/>
      <c r="FC92" s="115">
        <v>0</v>
      </c>
      <c r="FD92" s="115">
        <f t="shared" si="148"/>
        <v>0</v>
      </c>
      <c r="FE92" s="114">
        <f t="shared" si="312"/>
        <v>0</v>
      </c>
      <c r="FF92" s="115">
        <v>0</v>
      </c>
      <c r="FG92" s="115">
        <v>0</v>
      </c>
      <c r="FH92" s="115">
        <v>0</v>
      </c>
      <c r="FI92" s="115">
        <v>0</v>
      </c>
      <c r="FJ92" s="115">
        <f t="shared" si="149"/>
        <v>0</v>
      </c>
      <c r="FK92" s="114">
        <f t="shared" si="313"/>
        <v>0</v>
      </c>
      <c r="FL92" s="113"/>
      <c r="FM92" s="111"/>
      <c r="FN92" s="111"/>
      <c r="FO92" s="111"/>
      <c r="FP92" s="115">
        <f>SUM(FL92:FO92)</f>
        <v>0</v>
      </c>
      <c r="FQ92" s="115"/>
      <c r="FR92" s="115"/>
      <c r="FS92" s="115"/>
      <c r="FT92" s="114">
        <f t="shared" si="209"/>
        <v>0</v>
      </c>
      <c r="FU92" s="366">
        <f t="shared" ca="1" si="210"/>
        <v>0</v>
      </c>
      <c r="FV92" s="121">
        <f t="shared" ca="1" si="211"/>
        <v>0</v>
      </c>
      <c r="FW92" s="114">
        <f>FF92</f>
        <v>0</v>
      </c>
      <c r="FX92" s="114">
        <f>FG92</f>
        <v>0</v>
      </c>
      <c r="FY92" s="114">
        <f>FH92</f>
        <v>0</v>
      </c>
      <c r="FZ92" s="114">
        <f>FI92</f>
        <v>0</v>
      </c>
      <c r="GA92" s="114">
        <f>SUM(FW92:FZ92)</f>
        <v>0</v>
      </c>
      <c r="GB92" s="114">
        <f>EZ92</f>
        <v>0</v>
      </c>
      <c r="GC92" s="114">
        <f>FA92</f>
        <v>0</v>
      </c>
      <c r="GD92" s="114">
        <f>FB92</f>
        <v>0</v>
      </c>
      <c r="GE92" s="114">
        <f>FC92</f>
        <v>0</v>
      </c>
      <c r="GF92" s="114">
        <f>GB92+FW92</f>
        <v>0</v>
      </c>
      <c r="GG92" s="114">
        <f>GC92+FX92</f>
        <v>0</v>
      </c>
      <c r="GH92" s="114">
        <f>GD92+FY92</f>
        <v>0</v>
      </c>
      <c r="GI92" s="114">
        <f>GE92+FZ92</f>
        <v>0</v>
      </c>
      <c r="GJ92" s="115">
        <f t="shared" si="150"/>
        <v>0</v>
      </c>
      <c r="GK92" s="114">
        <f>SUM(GF92:GI92)</f>
        <v>0</v>
      </c>
      <c r="GL92" s="114">
        <f t="shared" si="201"/>
        <v>0</v>
      </c>
      <c r="GM92" s="114">
        <f t="shared" si="202"/>
        <v>0</v>
      </c>
      <c r="GN92" s="114">
        <f t="shared" si="203"/>
        <v>0</v>
      </c>
      <c r="GO92" s="114">
        <f t="shared" si="204"/>
        <v>0</v>
      </c>
      <c r="GP92" s="114">
        <f t="shared" si="151"/>
        <v>0</v>
      </c>
      <c r="GQ92" s="114">
        <f>SUM(GL92:GO92)</f>
        <v>0</v>
      </c>
      <c r="GR92" s="193"/>
      <c r="GS92" s="122">
        <f t="shared" si="205"/>
        <v>241858261.50500056</v>
      </c>
      <c r="GT92" s="122">
        <f t="shared" si="206"/>
        <v>343265886.27394658</v>
      </c>
      <c r="GU92" s="123">
        <f>IFERROR(GS92/GT92,"")</f>
        <v>0.70457995150727937</v>
      </c>
      <c r="GV92" s="124">
        <f t="shared" ca="1" si="207"/>
        <v>0</v>
      </c>
      <c r="GW92" s="124">
        <v>0</v>
      </c>
      <c r="GX92" s="32">
        <f t="shared" ca="1" si="208"/>
        <v>0</v>
      </c>
      <c r="GY92" s="100"/>
    </row>
    <row r="93" spans="1:207" s="125" customFormat="1" ht="15" hidden="1" customHeight="1">
      <c r="A93" s="102"/>
      <c r="B93" s="103"/>
      <c r="C93" s="103"/>
      <c r="D93" s="104"/>
      <c r="E93" s="104" t="s">
        <v>441</v>
      </c>
      <c r="F93" s="104" t="s">
        <v>442</v>
      </c>
      <c r="G93" s="104" t="s">
        <v>226</v>
      </c>
      <c r="H93" s="105" t="s">
        <v>443</v>
      </c>
      <c r="I93" s="106" t="s">
        <v>444</v>
      </c>
      <c r="J93" s="104" t="s">
        <v>212</v>
      </c>
      <c r="K93" s="104" t="s">
        <v>218</v>
      </c>
      <c r="L93" s="104" t="s">
        <v>213</v>
      </c>
      <c r="M93" s="104" t="s">
        <v>388</v>
      </c>
      <c r="N93" s="107"/>
      <c r="O93" s="108">
        <v>41430</v>
      </c>
      <c r="P93" s="108">
        <v>43191</v>
      </c>
      <c r="Q93" s="322">
        <f t="shared" si="179"/>
        <v>0</v>
      </c>
      <c r="R93" s="109">
        <f>IF((P93-VLOOKUP(Q93,month!$A$1:$C$13,3,0))&lt;0,Q93,Q93+1)</f>
        <v>0</v>
      </c>
      <c r="S93" s="108"/>
      <c r="T93" s="127" t="str">
        <f t="shared" si="215"/>
        <v/>
      </c>
      <c r="U93" s="107"/>
      <c r="V93" s="107"/>
      <c r="W93" s="107"/>
      <c r="X93" s="107"/>
      <c r="Y93" s="386"/>
      <c r="Z93" s="386" t="s">
        <v>545</v>
      </c>
      <c r="AA93" s="387">
        <v>1000</v>
      </c>
      <c r="AB93" s="387">
        <v>1000</v>
      </c>
      <c r="AC93" s="387">
        <v>1000</v>
      </c>
      <c r="AD93" s="387">
        <v>1000</v>
      </c>
      <c r="AE93" s="387">
        <v>1000</v>
      </c>
      <c r="AF93" s="387">
        <v>1000</v>
      </c>
      <c r="AG93" s="387">
        <v>1000</v>
      </c>
      <c r="AH93" s="387">
        <v>1000</v>
      </c>
      <c r="AI93" s="387">
        <v>1000</v>
      </c>
      <c r="AJ93" s="387">
        <v>1000</v>
      </c>
      <c r="AK93" s="387">
        <v>1000</v>
      </c>
      <c r="AL93" s="387">
        <v>1000</v>
      </c>
      <c r="AM93" s="388">
        <f t="shared" si="142"/>
        <v>12000</v>
      </c>
      <c r="AN93" s="388">
        <f t="shared" si="180"/>
        <v>12000</v>
      </c>
      <c r="AO93" s="389">
        <f t="shared" si="217"/>
        <v>1000</v>
      </c>
      <c r="AP93" s="498" t="s">
        <v>687</v>
      </c>
      <c r="AQ93" s="159">
        <v>0.8</v>
      </c>
      <c r="AR93" s="160" t="s">
        <v>211</v>
      </c>
      <c r="AS93" s="119" t="s">
        <v>210</v>
      </c>
      <c r="AT93" s="111">
        <v>2605912.8313427921</v>
      </c>
      <c r="AU93" s="111">
        <v>1984866.1657477398</v>
      </c>
      <c r="AV93" s="111">
        <v>2114904.2976073599</v>
      </c>
      <c r="AW93" s="111">
        <v>1687946.934656464</v>
      </c>
      <c r="AX93" s="113">
        <v>2685275.1410999997</v>
      </c>
      <c r="AY93" s="113">
        <v>2588678.3796501099</v>
      </c>
      <c r="AZ93" s="113">
        <v>2686187.06094814</v>
      </c>
      <c r="BA93" s="113"/>
      <c r="BB93" s="113"/>
      <c r="BC93" s="113"/>
      <c r="BD93" s="113"/>
      <c r="BE93" s="113"/>
      <c r="BF93" s="114">
        <f t="shared" si="152"/>
        <v>2685275.1410999997</v>
      </c>
      <c r="BG93" s="114">
        <f t="shared" si="153"/>
        <v>2588678.3796501099</v>
      </c>
      <c r="BH93" s="114">
        <f t="shared" si="154"/>
        <v>2686187.06094814</v>
      </c>
      <c r="BI93" s="114">
        <f t="shared" si="155"/>
        <v>0</v>
      </c>
      <c r="BJ93" s="114">
        <f t="shared" si="182"/>
        <v>7960140.5816982491</v>
      </c>
      <c r="BK93" s="115">
        <f t="shared" si="144"/>
        <v>8393630.2293543555</v>
      </c>
      <c r="BL93" s="115">
        <f t="shared" si="156"/>
        <v>8393630.2293543555</v>
      </c>
      <c r="BM93" s="116">
        <f t="shared" si="157"/>
        <v>0.94840000000000002</v>
      </c>
      <c r="BN93" s="126">
        <f t="shared" ca="1" si="190"/>
        <v>0</v>
      </c>
      <c r="BO93" s="117">
        <f t="shared" ca="1" si="191"/>
        <v>0</v>
      </c>
      <c r="BP93" s="118" t="str">
        <f t="shared" si="183"/>
        <v>Uncapped</v>
      </c>
      <c r="BQ93" s="115">
        <f t="shared" ca="1" si="192"/>
        <v>0</v>
      </c>
      <c r="BR93" s="113" t="s">
        <v>699</v>
      </c>
      <c r="BS93" s="161">
        <v>0.2</v>
      </c>
      <c r="BT93" s="113" t="s">
        <v>217</v>
      </c>
      <c r="BU93" s="160" t="s">
        <v>210</v>
      </c>
      <c r="BV93" s="113">
        <v>11953048.942182608</v>
      </c>
      <c r="BW93" s="113">
        <v>16757506.295401936</v>
      </c>
      <c r="BX93" s="113">
        <v>15470532.140695527</v>
      </c>
      <c r="BY93" s="113">
        <v>16440443.473807694</v>
      </c>
      <c r="BZ93" s="113">
        <v>12211557.946359999</v>
      </c>
      <c r="CA93" s="113">
        <v>15972657.057939999</v>
      </c>
      <c r="CB93" s="113">
        <v>15545756.2063</v>
      </c>
      <c r="CC93" s="113"/>
      <c r="CD93" s="113"/>
      <c r="CE93" s="113"/>
      <c r="CF93" s="113"/>
      <c r="CG93" s="113"/>
      <c r="CH93" s="114">
        <f t="shared" si="158"/>
        <v>12211557.946359999</v>
      </c>
      <c r="CI93" s="114">
        <f t="shared" si="159"/>
        <v>15972657.057939999</v>
      </c>
      <c r="CJ93" s="120">
        <f t="shared" si="160"/>
        <v>15545756.2063</v>
      </c>
      <c r="CK93" s="114">
        <f t="shared" si="161"/>
        <v>0</v>
      </c>
      <c r="CL93" s="114">
        <f t="shared" si="184"/>
        <v>43729971.210599996</v>
      </c>
      <c r="CM93" s="114">
        <f t="shared" si="145"/>
        <v>60621530.852087766</v>
      </c>
      <c r="CN93" s="114">
        <f t="shared" si="162"/>
        <v>60621530.852087766</v>
      </c>
      <c r="CO93" s="116">
        <f t="shared" si="163"/>
        <v>0.72140000000000004</v>
      </c>
      <c r="CP93" s="126">
        <f t="shared" ca="1" si="164"/>
        <v>0</v>
      </c>
      <c r="CQ93" s="115">
        <f t="shared" ca="1" si="193"/>
        <v>0</v>
      </c>
      <c r="CR93" s="118" t="str">
        <f t="shared" si="185"/>
        <v>Uncapped</v>
      </c>
      <c r="CS93" s="115">
        <f t="shared" ca="1" si="194"/>
        <v>0</v>
      </c>
      <c r="CT93" s="113"/>
      <c r="CU93" s="119">
        <v>0</v>
      </c>
      <c r="CV93" s="113"/>
      <c r="CW93" s="113"/>
      <c r="CX93" s="113">
        <v>0</v>
      </c>
      <c r="CY93" s="113">
        <v>0</v>
      </c>
      <c r="CZ93" s="113">
        <v>0</v>
      </c>
      <c r="DA93" s="113">
        <v>0</v>
      </c>
      <c r="DB93" s="113">
        <v>0</v>
      </c>
      <c r="DC93" s="113">
        <v>0</v>
      </c>
      <c r="DD93" s="113">
        <v>0</v>
      </c>
      <c r="DE93" s="113"/>
      <c r="DF93" s="113"/>
      <c r="DG93" s="113"/>
      <c r="DH93" s="113"/>
      <c r="DI93" s="113"/>
      <c r="DJ93" s="114">
        <f t="shared" si="165"/>
        <v>0</v>
      </c>
      <c r="DK93" s="114">
        <f t="shared" si="166"/>
        <v>0</v>
      </c>
      <c r="DL93" s="114">
        <f t="shared" si="167"/>
        <v>0</v>
      </c>
      <c r="DM93" s="114">
        <f t="shared" si="168"/>
        <v>0</v>
      </c>
      <c r="DN93" s="114">
        <f t="shared" si="186"/>
        <v>0</v>
      </c>
      <c r="DO93" s="114">
        <f t="shared" si="146"/>
        <v>0</v>
      </c>
      <c r="DP93" s="114">
        <f t="shared" si="169"/>
        <v>0</v>
      </c>
      <c r="DQ93" s="116">
        <f t="shared" si="170"/>
        <v>0</v>
      </c>
      <c r="DR93" s="126">
        <f t="shared" ca="1" si="195"/>
        <v>0</v>
      </c>
      <c r="DS93" s="115">
        <f t="shared" ca="1" si="196"/>
        <v>0</v>
      </c>
      <c r="DT93" s="118" t="str">
        <f t="shared" si="187"/>
        <v>Uncapped</v>
      </c>
      <c r="DU93" s="115">
        <f t="shared" ca="1" si="197"/>
        <v>0</v>
      </c>
      <c r="DV93" s="113"/>
      <c r="DW93" s="119">
        <v>0</v>
      </c>
      <c r="DX93" s="113"/>
      <c r="DY93" s="113"/>
      <c r="DZ93" s="113">
        <v>0</v>
      </c>
      <c r="EA93" s="113">
        <v>0</v>
      </c>
      <c r="EB93" s="113">
        <v>0</v>
      </c>
      <c r="EC93" s="113">
        <v>0</v>
      </c>
      <c r="ED93" s="113">
        <v>0</v>
      </c>
      <c r="EE93" s="113">
        <v>0</v>
      </c>
      <c r="EF93" s="113"/>
      <c r="EG93" s="113"/>
      <c r="EH93" s="113"/>
      <c r="EI93" s="113"/>
      <c r="EJ93" s="113"/>
      <c r="EK93" s="113"/>
      <c r="EL93" s="114">
        <f t="shared" si="171"/>
        <v>0</v>
      </c>
      <c r="EM93" s="114">
        <f t="shared" si="172"/>
        <v>0</v>
      </c>
      <c r="EN93" s="114">
        <f t="shared" si="173"/>
        <v>0</v>
      </c>
      <c r="EO93" s="114">
        <f t="shared" si="174"/>
        <v>0</v>
      </c>
      <c r="EP93" s="114">
        <f t="shared" si="188"/>
        <v>0</v>
      </c>
      <c r="EQ93" s="114">
        <f t="shared" si="147"/>
        <v>0</v>
      </c>
      <c r="ER93" s="114">
        <f t="shared" si="175"/>
        <v>0</v>
      </c>
      <c r="ES93" s="116">
        <f t="shared" si="176"/>
        <v>0</v>
      </c>
      <c r="ET93" s="126">
        <f t="shared" ca="1" si="177"/>
        <v>0</v>
      </c>
      <c r="EU93" s="115">
        <f t="shared" ca="1" si="198"/>
        <v>0</v>
      </c>
      <c r="EV93" s="118" t="str">
        <f t="shared" si="189"/>
        <v>Uncapped</v>
      </c>
      <c r="EW93" s="115">
        <f t="shared" ca="1" si="199"/>
        <v>0</v>
      </c>
      <c r="EX93" s="112">
        <f t="shared" ca="1" si="200"/>
        <v>0</v>
      </c>
      <c r="EY93" s="114">
        <f t="shared" ca="1" si="178"/>
        <v>0</v>
      </c>
      <c r="EZ93" s="115">
        <v>0</v>
      </c>
      <c r="FA93" s="115">
        <f>147305+95327.5555555556</f>
        <v>242632.55555555562</v>
      </c>
      <c r="FB93" s="115">
        <f>547305</f>
        <v>547305</v>
      </c>
      <c r="FC93" s="115">
        <v>0</v>
      </c>
      <c r="FD93" s="115">
        <f t="shared" si="148"/>
        <v>789937.55555555562</v>
      </c>
      <c r="FE93" s="114">
        <f t="shared" si="312"/>
        <v>0</v>
      </c>
      <c r="FF93" s="115">
        <v>0</v>
      </c>
      <c r="FG93" s="115">
        <v>0</v>
      </c>
      <c r="FH93" s="115">
        <v>0</v>
      </c>
      <c r="FI93" s="115">
        <v>0</v>
      </c>
      <c r="FJ93" s="115">
        <f t="shared" si="149"/>
        <v>0</v>
      </c>
      <c r="FK93" s="114">
        <f t="shared" si="313"/>
        <v>0</v>
      </c>
      <c r="FL93" s="113"/>
      <c r="FM93" s="111"/>
      <c r="FN93" s="111"/>
      <c r="FO93" s="111"/>
      <c r="FP93" s="115">
        <f t="shared" si="216"/>
        <v>0</v>
      </c>
      <c r="FQ93" s="115"/>
      <c r="FR93" s="488"/>
      <c r="FS93" s="115"/>
      <c r="FT93" s="114">
        <f t="shared" si="209"/>
        <v>0</v>
      </c>
      <c r="FU93" s="366">
        <f t="shared" ca="1" si="210"/>
        <v>789937.56</v>
      </c>
      <c r="FV93" s="121">
        <f t="shared" ca="1" si="211"/>
        <v>789937.55555555562</v>
      </c>
      <c r="FW93" s="114">
        <f t="shared" si="218"/>
        <v>0</v>
      </c>
      <c r="FX93" s="114">
        <f t="shared" si="218"/>
        <v>0</v>
      </c>
      <c r="FY93" s="114">
        <f t="shared" si="218"/>
        <v>0</v>
      </c>
      <c r="FZ93" s="114">
        <f t="shared" si="218"/>
        <v>0</v>
      </c>
      <c r="GA93" s="114">
        <f t="shared" si="221"/>
        <v>0</v>
      </c>
      <c r="GB93" s="114">
        <f t="shared" si="219"/>
        <v>0</v>
      </c>
      <c r="GC93" s="114">
        <f t="shared" si="219"/>
        <v>242632.55555555562</v>
      </c>
      <c r="GD93" s="114">
        <f t="shared" si="219"/>
        <v>547305</v>
      </c>
      <c r="GE93" s="114">
        <f t="shared" si="219"/>
        <v>0</v>
      </c>
      <c r="GF93" s="114">
        <f t="shared" si="220"/>
        <v>0</v>
      </c>
      <c r="GG93" s="114">
        <f t="shared" si="220"/>
        <v>242632.55555555562</v>
      </c>
      <c r="GH93" s="114">
        <f t="shared" si="220"/>
        <v>547305</v>
      </c>
      <c r="GI93" s="114">
        <f t="shared" si="220"/>
        <v>0</v>
      </c>
      <c r="GJ93" s="115">
        <f t="shared" si="150"/>
        <v>789937.55555555562</v>
      </c>
      <c r="GK93" s="114">
        <f t="shared" si="222"/>
        <v>789937.55555555562</v>
      </c>
      <c r="GL93" s="114">
        <f t="shared" si="201"/>
        <v>0</v>
      </c>
      <c r="GM93" s="114">
        <f t="shared" si="202"/>
        <v>0</v>
      </c>
      <c r="GN93" s="114">
        <f t="shared" si="203"/>
        <v>0</v>
      </c>
      <c r="GO93" s="114">
        <f t="shared" si="204"/>
        <v>0</v>
      </c>
      <c r="GP93" s="114">
        <f t="shared" si="151"/>
        <v>0</v>
      </c>
      <c r="GQ93" s="114">
        <f t="shared" si="223"/>
        <v>0</v>
      </c>
      <c r="GR93" s="216"/>
      <c r="GS93" s="122">
        <f t="shared" si="205"/>
        <v>51690111.792298242</v>
      </c>
      <c r="GT93" s="122">
        <f t="shared" si="206"/>
        <v>69015161.081442118</v>
      </c>
      <c r="GU93" s="123">
        <f t="shared" si="224"/>
        <v>0.7489674874670037</v>
      </c>
      <c r="GV93" s="124">
        <f t="shared" ca="1" si="207"/>
        <v>0</v>
      </c>
      <c r="GW93" s="124">
        <v>0</v>
      </c>
      <c r="GX93" s="32">
        <f t="shared" ca="1" si="208"/>
        <v>0</v>
      </c>
      <c r="GY93" s="100"/>
    </row>
    <row r="94" spans="1:207" s="152" customFormat="1" ht="15" hidden="1" customHeight="1">
      <c r="A94" s="129"/>
      <c r="B94" s="130"/>
      <c r="C94" s="130"/>
      <c r="D94" s="131"/>
      <c r="E94" s="169" t="s">
        <v>445</v>
      </c>
      <c r="F94" s="169" t="s">
        <v>404</v>
      </c>
      <c r="G94" s="131" t="s">
        <v>226</v>
      </c>
      <c r="H94" s="132" t="s">
        <v>446</v>
      </c>
      <c r="I94" s="133" t="s">
        <v>447</v>
      </c>
      <c r="J94" s="131" t="s">
        <v>207</v>
      </c>
      <c r="K94" s="131" t="s">
        <v>218</v>
      </c>
      <c r="L94" s="131" t="s">
        <v>222</v>
      </c>
      <c r="M94" s="131" t="s">
        <v>448</v>
      </c>
      <c r="N94" s="134"/>
      <c r="O94" s="155">
        <v>40452</v>
      </c>
      <c r="P94" s="155">
        <v>43191</v>
      </c>
      <c r="Q94" s="321">
        <f t="shared" si="179"/>
        <v>0</v>
      </c>
      <c r="R94" s="109">
        <f>IF((P94-VLOOKUP(Q94,month!$A$1:$C$13,3,0))&lt;0,Q94,Q94+1)</f>
        <v>0</v>
      </c>
      <c r="S94" s="108"/>
      <c r="T94" s="135" t="str">
        <f t="shared" si="215"/>
        <v/>
      </c>
      <c r="U94" s="134"/>
      <c r="V94" s="134"/>
      <c r="W94" s="134"/>
      <c r="X94" s="134"/>
      <c r="Y94" s="383"/>
      <c r="Z94" s="383" t="s">
        <v>545</v>
      </c>
      <c r="AA94" s="371">
        <v>1000</v>
      </c>
      <c r="AB94" s="371">
        <v>1000</v>
      </c>
      <c r="AC94" s="371">
        <v>1000</v>
      </c>
      <c r="AD94" s="371">
        <v>1000</v>
      </c>
      <c r="AE94" s="371">
        <v>1000</v>
      </c>
      <c r="AF94" s="371">
        <v>1000</v>
      </c>
      <c r="AG94" s="371">
        <v>1000</v>
      </c>
      <c r="AH94" s="371">
        <v>1000</v>
      </c>
      <c r="AI94" s="371">
        <v>1000</v>
      </c>
      <c r="AJ94" s="371">
        <v>1000</v>
      </c>
      <c r="AK94" s="371">
        <v>1000</v>
      </c>
      <c r="AL94" s="371">
        <v>1000</v>
      </c>
      <c r="AM94" s="384">
        <f t="shared" si="142"/>
        <v>12000</v>
      </c>
      <c r="AN94" s="384">
        <f t="shared" si="180"/>
        <v>12000</v>
      </c>
      <c r="AO94" s="385">
        <f t="shared" si="217"/>
        <v>1000</v>
      </c>
      <c r="AP94" s="497" t="s">
        <v>672</v>
      </c>
      <c r="AQ94" s="156">
        <v>0.4</v>
      </c>
      <c r="AR94" s="157" t="s">
        <v>211</v>
      </c>
      <c r="AS94" s="146" t="s">
        <v>210</v>
      </c>
      <c r="AT94" s="136">
        <v>3379521.1219363259</v>
      </c>
      <c r="AU94" s="136">
        <v>7327548.5634185346</v>
      </c>
      <c r="AV94" s="136">
        <v>5599955.3026327584</v>
      </c>
      <c r="AW94" s="136">
        <v>6039590.4343528077</v>
      </c>
      <c r="AX94" s="138">
        <v>3463592.7112599993</v>
      </c>
      <c r="AY94" s="138">
        <v>7899234.3228099998</v>
      </c>
      <c r="AZ94" s="138">
        <v>6302483.1859700009</v>
      </c>
      <c r="BA94" s="138"/>
      <c r="BB94" s="138"/>
      <c r="BC94" s="138"/>
      <c r="BD94" s="138"/>
      <c r="BE94" s="138"/>
      <c r="BF94" s="139">
        <f t="shared" si="152"/>
        <v>3463592.7112599993</v>
      </c>
      <c r="BG94" s="139">
        <f t="shared" si="153"/>
        <v>7899234.3228099998</v>
      </c>
      <c r="BH94" s="139">
        <f t="shared" si="154"/>
        <v>6302483.1859700009</v>
      </c>
      <c r="BI94" s="139">
        <f t="shared" si="155"/>
        <v>0</v>
      </c>
      <c r="BJ94" s="139">
        <f t="shared" si="182"/>
        <v>17665310.220040001</v>
      </c>
      <c r="BK94" s="140">
        <f t="shared" si="144"/>
        <v>22346615.422340427</v>
      </c>
      <c r="BL94" s="140">
        <f t="shared" si="156"/>
        <v>22346615.422340427</v>
      </c>
      <c r="BM94" s="141">
        <f t="shared" si="157"/>
        <v>0.79049999999999998</v>
      </c>
      <c r="BN94" s="142">
        <f t="shared" ca="1" si="190"/>
        <v>0</v>
      </c>
      <c r="BO94" s="143">
        <f t="shared" ca="1" si="191"/>
        <v>0</v>
      </c>
      <c r="BP94" s="144" t="str">
        <f t="shared" si="183"/>
        <v>Uncapped</v>
      </c>
      <c r="BQ94" s="140">
        <f t="shared" ca="1" si="192"/>
        <v>0</v>
      </c>
      <c r="BR94" s="138" t="s">
        <v>692</v>
      </c>
      <c r="BS94" s="158">
        <v>0.4</v>
      </c>
      <c r="BT94" s="138" t="s">
        <v>211</v>
      </c>
      <c r="BU94" s="157" t="s">
        <v>210</v>
      </c>
      <c r="BV94" s="138">
        <v>7503606.8202462839</v>
      </c>
      <c r="BW94" s="138">
        <v>8053589.731983399</v>
      </c>
      <c r="BX94" s="138">
        <v>8496001.8380627688</v>
      </c>
      <c r="BY94" s="138">
        <v>8697930.0394548904</v>
      </c>
      <c r="BZ94" s="138">
        <v>7755486.3438000018</v>
      </c>
      <c r="CA94" s="138">
        <v>6815255.5627299994</v>
      </c>
      <c r="CB94" s="138">
        <v>8017330.7311999984</v>
      </c>
      <c r="CC94" s="138"/>
      <c r="CD94" s="138"/>
      <c r="CE94" s="138"/>
      <c r="CF94" s="138"/>
      <c r="CG94" s="138"/>
      <c r="CH94" s="139">
        <f t="shared" si="158"/>
        <v>7755486.3438000018</v>
      </c>
      <c r="CI94" s="139">
        <f t="shared" si="159"/>
        <v>6815255.5627299994</v>
      </c>
      <c r="CJ94" s="145">
        <f t="shared" si="160"/>
        <v>8017330.7311999984</v>
      </c>
      <c r="CK94" s="139">
        <f t="shared" si="161"/>
        <v>0</v>
      </c>
      <c r="CL94" s="139">
        <f t="shared" si="184"/>
        <v>22588072.637729999</v>
      </c>
      <c r="CM94" s="139">
        <f t="shared" si="145"/>
        <v>32751128.429747343</v>
      </c>
      <c r="CN94" s="139">
        <f t="shared" si="162"/>
        <v>32751128.429747343</v>
      </c>
      <c r="CO94" s="141">
        <f t="shared" si="163"/>
        <v>0.68969999999999998</v>
      </c>
      <c r="CP94" s="142">
        <f t="shared" ca="1" si="164"/>
        <v>0</v>
      </c>
      <c r="CQ94" s="140">
        <f t="shared" ca="1" si="193"/>
        <v>0</v>
      </c>
      <c r="CR94" s="144" t="str">
        <f t="shared" si="185"/>
        <v>Uncapped</v>
      </c>
      <c r="CS94" s="140">
        <f t="shared" ca="1" si="194"/>
        <v>0</v>
      </c>
      <c r="CT94" s="138" t="s">
        <v>696</v>
      </c>
      <c r="CU94" s="158">
        <v>0.2</v>
      </c>
      <c r="CV94" s="138" t="s">
        <v>217</v>
      </c>
      <c r="CW94" s="138" t="s">
        <v>210</v>
      </c>
      <c r="CX94" s="138">
        <v>61881722.047854595</v>
      </c>
      <c r="CY94" s="138">
        <v>72180793.063260496</v>
      </c>
      <c r="CZ94" s="138">
        <v>69179032.514420599</v>
      </c>
      <c r="DA94" s="138">
        <v>76323964.015026003</v>
      </c>
      <c r="DB94" s="138">
        <v>63657388.730680585</v>
      </c>
      <c r="DC94" s="138">
        <v>65995192.891159974</v>
      </c>
      <c r="DD94" s="138">
        <v>66410604.684560001</v>
      </c>
      <c r="DE94" s="138"/>
      <c r="DF94" s="138"/>
      <c r="DG94" s="138"/>
      <c r="DH94" s="138"/>
      <c r="DI94" s="138"/>
      <c r="DJ94" s="139">
        <f t="shared" si="165"/>
        <v>63657388.730680585</v>
      </c>
      <c r="DK94" s="139">
        <f t="shared" si="166"/>
        <v>65995192.891159974</v>
      </c>
      <c r="DL94" s="139">
        <f t="shared" si="167"/>
        <v>66410604.684560001</v>
      </c>
      <c r="DM94" s="139">
        <f t="shared" si="168"/>
        <v>0</v>
      </c>
      <c r="DN94" s="139">
        <f t="shared" si="186"/>
        <v>196063186.30640057</v>
      </c>
      <c r="DO94" s="139">
        <f t="shared" si="146"/>
        <v>279565511.6405617</v>
      </c>
      <c r="DP94" s="139">
        <f t="shared" si="169"/>
        <v>279565511.6405617</v>
      </c>
      <c r="DQ94" s="141">
        <f t="shared" si="170"/>
        <v>0.70130000000000003</v>
      </c>
      <c r="DR94" s="142">
        <f t="shared" ca="1" si="195"/>
        <v>0</v>
      </c>
      <c r="DS94" s="140">
        <f t="shared" ca="1" si="196"/>
        <v>0</v>
      </c>
      <c r="DT94" s="144" t="str">
        <f t="shared" si="187"/>
        <v>Uncapped</v>
      </c>
      <c r="DU94" s="140">
        <f t="shared" ca="1" si="197"/>
        <v>0</v>
      </c>
      <c r="DV94" s="138"/>
      <c r="DW94" s="146">
        <v>0</v>
      </c>
      <c r="DX94" s="138"/>
      <c r="DY94" s="138"/>
      <c r="DZ94" s="138">
        <v>0</v>
      </c>
      <c r="EA94" s="138">
        <v>0</v>
      </c>
      <c r="EB94" s="138">
        <v>0</v>
      </c>
      <c r="EC94" s="138">
        <v>0</v>
      </c>
      <c r="ED94" s="138">
        <v>0</v>
      </c>
      <c r="EE94" s="138">
        <v>0</v>
      </c>
      <c r="EF94" s="138"/>
      <c r="EG94" s="138"/>
      <c r="EH94" s="138"/>
      <c r="EI94" s="138"/>
      <c r="EJ94" s="138"/>
      <c r="EK94" s="138"/>
      <c r="EL94" s="139">
        <f t="shared" si="171"/>
        <v>0</v>
      </c>
      <c r="EM94" s="139">
        <f t="shared" si="172"/>
        <v>0</v>
      </c>
      <c r="EN94" s="139">
        <f t="shared" si="173"/>
        <v>0</v>
      </c>
      <c r="EO94" s="139">
        <f t="shared" si="174"/>
        <v>0</v>
      </c>
      <c r="EP94" s="139">
        <f t="shared" si="188"/>
        <v>0</v>
      </c>
      <c r="EQ94" s="139">
        <f t="shared" si="147"/>
        <v>0</v>
      </c>
      <c r="ER94" s="139">
        <f t="shared" si="175"/>
        <v>0</v>
      </c>
      <c r="ES94" s="141">
        <f t="shared" si="176"/>
        <v>0</v>
      </c>
      <c r="ET94" s="142">
        <f t="shared" ca="1" si="177"/>
        <v>0</v>
      </c>
      <c r="EU94" s="140">
        <f t="shared" ca="1" si="198"/>
        <v>0</v>
      </c>
      <c r="EV94" s="144" t="str">
        <f t="shared" si="189"/>
        <v>Uncapped</v>
      </c>
      <c r="EW94" s="140">
        <f t="shared" ca="1" si="199"/>
        <v>0</v>
      </c>
      <c r="EX94" s="137">
        <f t="shared" ca="1" si="200"/>
        <v>0</v>
      </c>
      <c r="EY94" s="139">
        <f t="shared" ca="1" si="178"/>
        <v>0</v>
      </c>
      <c r="EZ94" s="140">
        <v>0</v>
      </c>
      <c r="FA94" s="140"/>
      <c r="FB94" s="140"/>
      <c r="FC94" s="140">
        <v>0</v>
      </c>
      <c r="FD94" s="140">
        <f t="shared" si="148"/>
        <v>0</v>
      </c>
      <c r="FE94" s="139">
        <f t="shared" si="312"/>
        <v>0</v>
      </c>
      <c r="FF94" s="140">
        <v>0</v>
      </c>
      <c r="FG94" s="140">
        <v>0</v>
      </c>
      <c r="FH94" s="140">
        <v>0</v>
      </c>
      <c r="FI94" s="140">
        <v>0</v>
      </c>
      <c r="FJ94" s="140">
        <f t="shared" si="149"/>
        <v>0</v>
      </c>
      <c r="FK94" s="139">
        <f t="shared" si="313"/>
        <v>0</v>
      </c>
      <c r="FL94" s="138"/>
      <c r="FM94" s="136"/>
      <c r="FN94" s="136"/>
      <c r="FO94" s="136"/>
      <c r="FP94" s="140">
        <f t="shared" si="216"/>
        <v>0</v>
      </c>
      <c r="FQ94" s="140"/>
      <c r="FR94" s="140"/>
      <c r="FS94" s="140"/>
      <c r="FT94" s="139">
        <f t="shared" si="209"/>
        <v>0</v>
      </c>
      <c r="FU94" s="365">
        <f t="shared" ca="1" si="210"/>
        <v>0</v>
      </c>
      <c r="FV94" s="147">
        <f t="shared" ca="1" si="211"/>
        <v>0</v>
      </c>
      <c r="FW94" s="139">
        <f t="shared" si="218"/>
        <v>0</v>
      </c>
      <c r="FX94" s="139">
        <f t="shared" si="218"/>
        <v>0</v>
      </c>
      <c r="FY94" s="139">
        <f t="shared" si="218"/>
        <v>0</v>
      </c>
      <c r="FZ94" s="139">
        <f t="shared" si="218"/>
        <v>0</v>
      </c>
      <c r="GA94" s="139">
        <f t="shared" si="221"/>
        <v>0</v>
      </c>
      <c r="GB94" s="139">
        <f t="shared" si="219"/>
        <v>0</v>
      </c>
      <c r="GC94" s="139">
        <f t="shared" si="219"/>
        <v>0</v>
      </c>
      <c r="GD94" s="139">
        <f t="shared" si="219"/>
        <v>0</v>
      </c>
      <c r="GE94" s="139">
        <f t="shared" si="219"/>
        <v>0</v>
      </c>
      <c r="GF94" s="139">
        <f t="shared" si="220"/>
        <v>0</v>
      </c>
      <c r="GG94" s="139">
        <f t="shared" si="220"/>
        <v>0</v>
      </c>
      <c r="GH94" s="139">
        <f t="shared" si="220"/>
        <v>0</v>
      </c>
      <c r="GI94" s="139">
        <f t="shared" si="220"/>
        <v>0</v>
      </c>
      <c r="GJ94" s="140">
        <f t="shared" si="150"/>
        <v>0</v>
      </c>
      <c r="GK94" s="139">
        <f t="shared" si="222"/>
        <v>0</v>
      </c>
      <c r="GL94" s="139">
        <f t="shared" si="201"/>
        <v>0</v>
      </c>
      <c r="GM94" s="139">
        <f t="shared" si="202"/>
        <v>0</v>
      </c>
      <c r="GN94" s="139">
        <f t="shared" si="203"/>
        <v>0</v>
      </c>
      <c r="GO94" s="139">
        <f t="shared" si="204"/>
        <v>0</v>
      </c>
      <c r="GP94" s="139">
        <f t="shared" si="151"/>
        <v>0</v>
      </c>
      <c r="GQ94" s="139">
        <f t="shared" si="223"/>
        <v>0</v>
      </c>
      <c r="GR94" s="409"/>
      <c r="GS94" s="148">
        <f t="shared" si="205"/>
        <v>236316569.16417056</v>
      </c>
      <c r="GT94" s="148">
        <f t="shared" si="206"/>
        <v>334663255.49264944</v>
      </c>
      <c r="GU94" s="149">
        <f t="shared" si="224"/>
        <v>0.70613240409764988</v>
      </c>
      <c r="GV94" s="150">
        <f t="shared" ca="1" si="207"/>
        <v>0</v>
      </c>
      <c r="GW94" s="150">
        <v>0</v>
      </c>
      <c r="GX94" s="151">
        <f t="shared" ca="1" si="208"/>
        <v>0</v>
      </c>
      <c r="GY94" s="100"/>
    </row>
    <row r="95" spans="1:207" s="125" customFormat="1" ht="15" hidden="1" customHeight="1">
      <c r="A95" s="102"/>
      <c r="B95" s="103"/>
      <c r="C95" s="103"/>
      <c r="D95" s="104"/>
      <c r="E95" s="104" t="s">
        <v>449</v>
      </c>
      <c r="F95" s="170" t="s">
        <v>445</v>
      </c>
      <c r="G95" s="104" t="s">
        <v>226</v>
      </c>
      <c r="H95" s="105" t="s">
        <v>450</v>
      </c>
      <c r="I95" s="106" t="s">
        <v>451</v>
      </c>
      <c r="J95" s="104" t="s">
        <v>207</v>
      </c>
      <c r="K95" s="104" t="s">
        <v>218</v>
      </c>
      <c r="L95" s="104" t="s">
        <v>223</v>
      </c>
      <c r="M95" s="104" t="s">
        <v>223</v>
      </c>
      <c r="N95" s="107"/>
      <c r="O95" s="108">
        <v>41211</v>
      </c>
      <c r="P95" s="108">
        <v>41211</v>
      </c>
      <c r="Q95" s="322">
        <f t="shared" si="179"/>
        <v>0</v>
      </c>
      <c r="R95" s="109">
        <f>IF((P95-VLOOKUP(Q95,month!$A$1:$C$13,3,0))&lt;0,Q95,Q95+1)</f>
        <v>0</v>
      </c>
      <c r="S95" s="108"/>
      <c r="T95" s="110" t="str">
        <f t="shared" si="215"/>
        <v/>
      </c>
      <c r="U95" s="107"/>
      <c r="V95" s="107"/>
      <c r="W95" s="107"/>
      <c r="X95" s="107"/>
      <c r="Y95" s="386"/>
      <c r="Z95" s="386" t="s">
        <v>545</v>
      </c>
      <c r="AA95" s="387">
        <v>1000</v>
      </c>
      <c r="AB95" s="387">
        <v>1000</v>
      </c>
      <c r="AC95" s="387">
        <v>1000</v>
      </c>
      <c r="AD95" s="387">
        <v>1000</v>
      </c>
      <c r="AE95" s="387">
        <v>1000</v>
      </c>
      <c r="AF95" s="387">
        <v>1000</v>
      </c>
      <c r="AG95" s="387">
        <v>1000</v>
      </c>
      <c r="AH95" s="387">
        <v>1000</v>
      </c>
      <c r="AI95" s="387">
        <v>1000</v>
      </c>
      <c r="AJ95" s="387">
        <v>1000</v>
      </c>
      <c r="AK95" s="387">
        <v>1000</v>
      </c>
      <c r="AL95" s="387">
        <v>1000</v>
      </c>
      <c r="AM95" s="388">
        <f t="shared" ref="AM95:AM122" si="314">IF($H$2=1,SUM(AA95:AC95),IF($H$2=2,SUM(AA95:AF95),IF($H$2=3,SUM(AA95:AI95),SUM(AA95:AL95))))</f>
        <v>12000</v>
      </c>
      <c r="AN95" s="388">
        <f t="shared" si="180"/>
        <v>12000</v>
      </c>
      <c r="AO95" s="389">
        <f t="shared" si="217"/>
        <v>1000</v>
      </c>
      <c r="AP95" s="498" t="s">
        <v>672</v>
      </c>
      <c r="AQ95" s="159">
        <v>0.5</v>
      </c>
      <c r="AR95" s="160" t="s">
        <v>211</v>
      </c>
      <c r="AS95" s="119" t="s">
        <v>210</v>
      </c>
      <c r="AT95" s="111">
        <v>3379521.1219363259</v>
      </c>
      <c r="AU95" s="111">
        <v>7327548.5634185346</v>
      </c>
      <c r="AV95" s="111">
        <v>5599955.3026327584</v>
      </c>
      <c r="AW95" s="111">
        <v>6039590.4343528077</v>
      </c>
      <c r="AX95" s="113">
        <v>3463592.7112599993</v>
      </c>
      <c r="AY95" s="113">
        <v>7899234.3228099998</v>
      </c>
      <c r="AZ95" s="113">
        <v>6302483.1859700009</v>
      </c>
      <c r="BA95" s="113"/>
      <c r="BB95" s="113"/>
      <c r="BC95" s="113"/>
      <c r="BD95" s="113"/>
      <c r="BE95" s="113"/>
      <c r="BF95" s="114">
        <f t="shared" si="152"/>
        <v>3463592.7112599993</v>
      </c>
      <c r="BG95" s="114">
        <f t="shared" si="153"/>
        <v>7899234.3228099998</v>
      </c>
      <c r="BH95" s="114">
        <f t="shared" si="154"/>
        <v>6302483.1859700009</v>
      </c>
      <c r="BI95" s="114">
        <f t="shared" si="155"/>
        <v>0</v>
      </c>
      <c r="BJ95" s="114">
        <f t="shared" si="182"/>
        <v>17665310.220040001</v>
      </c>
      <c r="BK95" s="115">
        <f t="shared" ref="BK95:BK103" si="315">IF($H$2=1,AT95,IF($H$2=2,SUM(AT95:AU95),IF($H$2=3,SUM(AT95:AV95),SUM(AT95:AW95))))</f>
        <v>22346615.422340427</v>
      </c>
      <c r="BL95" s="115">
        <f t="shared" si="156"/>
        <v>22346615.422340427</v>
      </c>
      <c r="BM95" s="116">
        <f t="shared" si="157"/>
        <v>0.79049999999999998</v>
      </c>
      <c r="BN95" s="126">
        <f t="shared" ca="1" si="190"/>
        <v>0</v>
      </c>
      <c r="BO95" s="117">
        <f t="shared" ca="1" si="191"/>
        <v>0</v>
      </c>
      <c r="BP95" s="118" t="str">
        <f t="shared" si="183"/>
        <v>Uncapped</v>
      </c>
      <c r="BQ95" s="115">
        <f t="shared" ca="1" si="192"/>
        <v>0</v>
      </c>
      <c r="BR95" s="113" t="s">
        <v>692</v>
      </c>
      <c r="BS95" s="161">
        <v>0.3</v>
      </c>
      <c r="BT95" s="113" t="s">
        <v>211</v>
      </c>
      <c r="BU95" s="160" t="s">
        <v>210</v>
      </c>
      <c r="BV95" s="113">
        <v>7503606.8202462839</v>
      </c>
      <c r="BW95" s="113">
        <v>8053589.731983399</v>
      </c>
      <c r="BX95" s="113">
        <v>8496001.8380627688</v>
      </c>
      <c r="BY95" s="113">
        <v>8697930.0394548904</v>
      </c>
      <c r="BZ95" s="113">
        <v>7755486.3438000018</v>
      </c>
      <c r="CA95" s="113">
        <v>6815255.5627299994</v>
      </c>
      <c r="CB95" s="113">
        <v>8017330.7311999984</v>
      </c>
      <c r="CC95" s="113"/>
      <c r="CD95" s="113"/>
      <c r="CE95" s="113"/>
      <c r="CF95" s="113"/>
      <c r="CG95" s="113"/>
      <c r="CH95" s="114">
        <f t="shared" si="158"/>
        <v>7755486.3438000018</v>
      </c>
      <c r="CI95" s="114">
        <f t="shared" si="159"/>
        <v>6815255.5627299994</v>
      </c>
      <c r="CJ95" s="120">
        <f t="shared" si="160"/>
        <v>8017330.7311999984</v>
      </c>
      <c r="CK95" s="114">
        <f t="shared" si="161"/>
        <v>0</v>
      </c>
      <c r="CL95" s="114">
        <f t="shared" si="184"/>
        <v>22588072.637729999</v>
      </c>
      <c r="CM95" s="114">
        <f t="shared" ref="CM95:CM122" si="316">IF($H$2=1,BV95,IF($H$2=2,SUM(BV95:BW95),IF($H$2=3,SUM(BV95:BX95),SUM(BV95:BY95))))</f>
        <v>32751128.429747343</v>
      </c>
      <c r="CN95" s="114">
        <f t="shared" si="162"/>
        <v>32751128.429747343</v>
      </c>
      <c r="CO95" s="116">
        <f t="shared" si="163"/>
        <v>0.68969999999999998</v>
      </c>
      <c r="CP95" s="126">
        <f t="shared" ca="1" si="164"/>
        <v>0</v>
      </c>
      <c r="CQ95" s="115">
        <f t="shared" ca="1" si="193"/>
        <v>0</v>
      </c>
      <c r="CR95" s="118" t="str">
        <f t="shared" si="185"/>
        <v>Uncapped</v>
      </c>
      <c r="CS95" s="115">
        <f t="shared" ca="1" si="194"/>
        <v>0</v>
      </c>
      <c r="CT95" s="113" t="s">
        <v>696</v>
      </c>
      <c r="CU95" s="119">
        <v>0.2</v>
      </c>
      <c r="CV95" s="113" t="s">
        <v>217</v>
      </c>
      <c r="CW95" s="113" t="s">
        <v>210</v>
      </c>
      <c r="CX95" s="113">
        <v>61881722.047854595</v>
      </c>
      <c r="CY95" s="113">
        <v>72180793.063260496</v>
      </c>
      <c r="CZ95" s="113">
        <v>69179032.514420599</v>
      </c>
      <c r="DA95" s="113">
        <v>76323964.015026003</v>
      </c>
      <c r="DB95" s="113">
        <v>63657388.730680585</v>
      </c>
      <c r="DC95" s="113">
        <v>65995192.891159974</v>
      </c>
      <c r="DD95" s="113">
        <v>66410604.684560001</v>
      </c>
      <c r="DE95" s="113"/>
      <c r="DF95" s="113"/>
      <c r="DG95" s="113"/>
      <c r="DH95" s="113"/>
      <c r="DI95" s="113"/>
      <c r="DJ95" s="114">
        <f t="shared" si="165"/>
        <v>63657388.730680585</v>
      </c>
      <c r="DK95" s="114">
        <f t="shared" si="166"/>
        <v>65995192.891159974</v>
      </c>
      <c r="DL95" s="114">
        <f t="shared" si="167"/>
        <v>66410604.684560001</v>
      </c>
      <c r="DM95" s="114">
        <f t="shared" si="168"/>
        <v>0</v>
      </c>
      <c r="DN95" s="114">
        <f t="shared" si="186"/>
        <v>196063186.30640057</v>
      </c>
      <c r="DO95" s="114">
        <f t="shared" ref="DO95:DO122" si="317">IF($H$2=1,CX95,IF($H$2=2,SUM(CX95:CY95),IF($H$2=3,SUM(CX95:CZ95),SUM(CX95:DA95))))</f>
        <v>279565511.6405617</v>
      </c>
      <c r="DP95" s="114">
        <f t="shared" si="169"/>
        <v>279565511.6405617</v>
      </c>
      <c r="DQ95" s="116">
        <f t="shared" si="170"/>
        <v>0.70130000000000003</v>
      </c>
      <c r="DR95" s="126">
        <f t="shared" ca="1" si="195"/>
        <v>0</v>
      </c>
      <c r="DS95" s="115">
        <f t="shared" ca="1" si="196"/>
        <v>0</v>
      </c>
      <c r="DT95" s="118" t="str">
        <f t="shared" si="187"/>
        <v>Uncapped</v>
      </c>
      <c r="DU95" s="115">
        <f t="shared" ca="1" si="197"/>
        <v>0</v>
      </c>
      <c r="DV95" s="113"/>
      <c r="DW95" s="119">
        <v>0</v>
      </c>
      <c r="DX95" s="113"/>
      <c r="DY95" s="113"/>
      <c r="DZ95" s="113">
        <v>0</v>
      </c>
      <c r="EA95" s="113">
        <v>0</v>
      </c>
      <c r="EB95" s="113">
        <v>0</v>
      </c>
      <c r="EC95" s="113">
        <v>0</v>
      </c>
      <c r="ED95" s="113">
        <v>0</v>
      </c>
      <c r="EE95" s="113">
        <v>0</v>
      </c>
      <c r="EF95" s="113"/>
      <c r="EG95" s="113"/>
      <c r="EH95" s="113"/>
      <c r="EI95" s="113"/>
      <c r="EJ95" s="113"/>
      <c r="EK95" s="113"/>
      <c r="EL95" s="114">
        <f t="shared" si="171"/>
        <v>0</v>
      </c>
      <c r="EM95" s="114">
        <f t="shared" si="172"/>
        <v>0</v>
      </c>
      <c r="EN95" s="114">
        <f t="shared" si="173"/>
        <v>0</v>
      </c>
      <c r="EO95" s="114">
        <f t="shared" si="174"/>
        <v>0</v>
      </c>
      <c r="EP95" s="114">
        <f t="shared" si="188"/>
        <v>0</v>
      </c>
      <c r="EQ95" s="114">
        <f t="shared" ref="EQ95:EQ122" si="318">IF($H$2=1,DZ95,IF($H$2=2,SUM(DZ95:EA95),IF($H$2=3,SUM(DZ95:EB95),SUM(DZ95:EC95))))</f>
        <v>0</v>
      </c>
      <c r="ER95" s="114">
        <f t="shared" si="175"/>
        <v>0</v>
      </c>
      <c r="ES95" s="116">
        <f t="shared" si="176"/>
        <v>0</v>
      </c>
      <c r="ET95" s="126">
        <f t="shared" ca="1" si="177"/>
        <v>0</v>
      </c>
      <c r="EU95" s="115">
        <f t="shared" ca="1" si="198"/>
        <v>0</v>
      </c>
      <c r="EV95" s="118" t="str">
        <f t="shared" si="189"/>
        <v>Uncapped</v>
      </c>
      <c r="EW95" s="115">
        <f t="shared" ca="1" si="199"/>
        <v>0</v>
      </c>
      <c r="EX95" s="112">
        <f t="shared" ca="1" si="200"/>
        <v>0</v>
      </c>
      <c r="EY95" s="114">
        <f t="shared" ca="1" si="178"/>
        <v>0</v>
      </c>
      <c r="EZ95" s="115">
        <v>0</v>
      </c>
      <c r="FA95" s="115"/>
      <c r="FB95" s="115"/>
      <c r="FC95" s="115">
        <v>0</v>
      </c>
      <c r="FD95" s="115">
        <f t="shared" ref="FD95:FD122" si="319">IF($H$2=1,EZ95,IF($H$2=2,SUM(EZ95:FA95),IF($H$2=3,SUM(EZ95:FB95),SUM(EZ95:FC95))))</f>
        <v>0</v>
      </c>
      <c r="FE95" s="114">
        <f t="shared" si="312"/>
        <v>0</v>
      </c>
      <c r="FF95" s="115">
        <v>0</v>
      </c>
      <c r="FG95" s="115">
        <v>0</v>
      </c>
      <c r="FH95" s="115">
        <v>0</v>
      </c>
      <c r="FI95" s="115">
        <v>0</v>
      </c>
      <c r="FJ95" s="115">
        <f t="shared" ref="FJ95:FJ122" si="320">IF($H$2=1,FF95,IF($H$2=2,SUM(FF95:FG95),IF($H$2=3,SUM(FF95:FH95),SUM(FF95:FI95))))</f>
        <v>0</v>
      </c>
      <c r="FK95" s="114">
        <f t="shared" si="313"/>
        <v>0</v>
      </c>
      <c r="FL95" s="113"/>
      <c r="FM95" s="111"/>
      <c r="FN95" s="111"/>
      <c r="FO95" s="111"/>
      <c r="FP95" s="115">
        <f t="shared" si="216"/>
        <v>0</v>
      </c>
      <c r="FQ95" s="115"/>
      <c r="FR95" s="115"/>
      <c r="FS95" s="115"/>
      <c r="FT95" s="114">
        <f t="shared" si="209"/>
        <v>0</v>
      </c>
      <c r="FU95" s="366">
        <f t="shared" ca="1" si="210"/>
        <v>0</v>
      </c>
      <c r="FV95" s="121">
        <f t="shared" ca="1" si="211"/>
        <v>0</v>
      </c>
      <c r="FW95" s="114">
        <f t="shared" si="218"/>
        <v>0</v>
      </c>
      <c r="FX95" s="114">
        <f t="shared" si="218"/>
        <v>0</v>
      </c>
      <c r="FY95" s="114">
        <f t="shared" si="218"/>
        <v>0</v>
      </c>
      <c r="FZ95" s="114">
        <f t="shared" si="218"/>
        <v>0</v>
      </c>
      <c r="GA95" s="114">
        <f t="shared" si="221"/>
        <v>0</v>
      </c>
      <c r="GB95" s="114">
        <f t="shared" si="219"/>
        <v>0</v>
      </c>
      <c r="GC95" s="114">
        <f t="shared" si="219"/>
        <v>0</v>
      </c>
      <c r="GD95" s="114">
        <f t="shared" si="219"/>
        <v>0</v>
      </c>
      <c r="GE95" s="114">
        <f t="shared" si="219"/>
        <v>0</v>
      </c>
      <c r="GF95" s="114">
        <f t="shared" si="220"/>
        <v>0</v>
      </c>
      <c r="GG95" s="114">
        <f t="shared" si="220"/>
        <v>0</v>
      </c>
      <c r="GH95" s="114">
        <f t="shared" si="220"/>
        <v>0</v>
      </c>
      <c r="GI95" s="114">
        <f t="shared" si="220"/>
        <v>0</v>
      </c>
      <c r="GJ95" s="115">
        <f t="shared" ref="GJ95:GJ122" si="321">IF($H$2=1,GF95,IF($H$2=2,SUM(GF95:GG95),IF($H$2=3,SUM(GF95:GH95),SUM(GF95:GI95))))</f>
        <v>0</v>
      </c>
      <c r="GK95" s="114">
        <f t="shared" si="222"/>
        <v>0</v>
      </c>
      <c r="GL95" s="114">
        <f t="shared" si="201"/>
        <v>0</v>
      </c>
      <c r="GM95" s="114">
        <f t="shared" si="202"/>
        <v>0</v>
      </c>
      <c r="GN95" s="114">
        <f t="shared" si="203"/>
        <v>0</v>
      </c>
      <c r="GO95" s="114">
        <f t="shared" si="204"/>
        <v>0</v>
      </c>
      <c r="GP95" s="114">
        <f t="shared" ref="GP95:GP122" si="322">IF($H$2=1,GL95,IF($H$2=2,SUM(GL95:GM95),IF($H$2=3,SUM(GL95:GN95),IF($H$2=4,SUM(GL95:GO95)))))</f>
        <v>0</v>
      </c>
      <c r="GQ95" s="114">
        <f t="shared" si="223"/>
        <v>0</v>
      </c>
      <c r="GR95" s="193"/>
      <c r="GS95" s="122">
        <f t="shared" si="205"/>
        <v>236316569.16417056</v>
      </c>
      <c r="GT95" s="122">
        <f t="shared" si="206"/>
        <v>334663255.49264944</v>
      </c>
      <c r="GU95" s="123">
        <f t="shared" si="224"/>
        <v>0.70613240409764988</v>
      </c>
      <c r="GV95" s="124">
        <f t="shared" ca="1" si="207"/>
        <v>0</v>
      </c>
      <c r="GW95" s="124">
        <v>0</v>
      </c>
      <c r="GX95" s="32">
        <f t="shared" ca="1" si="208"/>
        <v>0</v>
      </c>
      <c r="GY95" s="100"/>
    </row>
    <row r="96" spans="1:207" s="125" customFormat="1" ht="15" hidden="1" customHeight="1">
      <c r="A96" s="102"/>
      <c r="B96" s="103"/>
      <c r="C96" s="103"/>
      <c r="D96" s="104"/>
      <c r="E96" s="104" t="s">
        <v>449</v>
      </c>
      <c r="F96" s="104" t="s">
        <v>449</v>
      </c>
      <c r="G96" s="104" t="s">
        <v>226</v>
      </c>
      <c r="H96" s="105" t="s">
        <v>452</v>
      </c>
      <c r="I96" s="106" t="s">
        <v>453</v>
      </c>
      <c r="J96" s="104" t="s">
        <v>212</v>
      </c>
      <c r="K96" s="104" t="s">
        <v>218</v>
      </c>
      <c r="L96" s="104" t="s">
        <v>223</v>
      </c>
      <c r="M96" s="104" t="s">
        <v>223</v>
      </c>
      <c r="N96" s="107"/>
      <c r="O96" s="108">
        <v>42926</v>
      </c>
      <c r="P96" s="108">
        <v>42926</v>
      </c>
      <c r="Q96" s="322">
        <f t="shared" ref="Q96:Q124" si="323">IF(P96&gt;$Q$2,MONTH(P96),0)</f>
        <v>0</v>
      </c>
      <c r="R96" s="109">
        <f>IF((P96-VLOOKUP(Q96,month!$A$1:$C$13,3,0))&lt;0,Q96,Q96+1)</f>
        <v>0</v>
      </c>
      <c r="S96" s="108"/>
      <c r="T96" s="127" t="str">
        <f t="shared" si="215"/>
        <v/>
      </c>
      <c r="U96" s="107"/>
      <c r="V96" s="107"/>
      <c r="W96" s="107"/>
      <c r="X96" s="107"/>
      <c r="Y96" s="386"/>
      <c r="Z96" s="386" t="s">
        <v>545</v>
      </c>
      <c r="AA96" s="387">
        <v>1000</v>
      </c>
      <c r="AB96" s="387">
        <v>1000</v>
      </c>
      <c r="AC96" s="387">
        <v>1000</v>
      </c>
      <c r="AD96" s="387">
        <v>1000</v>
      </c>
      <c r="AE96" s="387">
        <v>1000</v>
      </c>
      <c r="AF96" s="387">
        <v>1000</v>
      </c>
      <c r="AG96" s="387">
        <v>1000</v>
      </c>
      <c r="AH96" s="387">
        <v>1000</v>
      </c>
      <c r="AI96" s="387">
        <v>1000</v>
      </c>
      <c r="AJ96" s="387">
        <v>1000</v>
      </c>
      <c r="AK96" s="387">
        <v>1000</v>
      </c>
      <c r="AL96" s="387">
        <v>1000</v>
      </c>
      <c r="AM96" s="388">
        <f t="shared" si="314"/>
        <v>12000</v>
      </c>
      <c r="AN96" s="388">
        <f t="shared" ref="AN96:AN124" si="324">SUM(AA96:AL96)+INDEX(AA96:AL96,,MATCH($H$3,$AA$5:$AL$5,0))*(12-COUNTA(AA96:AL96))</f>
        <v>12000</v>
      </c>
      <c r="AO96" s="389">
        <f t="shared" si="217"/>
        <v>1000</v>
      </c>
      <c r="AP96" s="498" t="s">
        <v>672</v>
      </c>
      <c r="AQ96" s="159">
        <v>0.5</v>
      </c>
      <c r="AR96" s="160" t="s">
        <v>392</v>
      </c>
      <c r="AS96" s="119" t="s">
        <v>210</v>
      </c>
      <c r="AT96" s="111">
        <v>3379521.1219363259</v>
      </c>
      <c r="AU96" s="111">
        <v>7327548.5634185346</v>
      </c>
      <c r="AV96" s="111">
        <v>5599955.3026327584</v>
      </c>
      <c r="AW96" s="111">
        <v>6039590.4343528077</v>
      </c>
      <c r="AX96" s="113">
        <v>3463592.7112599993</v>
      </c>
      <c r="AY96" s="113">
        <v>7899234.3228099998</v>
      </c>
      <c r="AZ96" s="113">
        <v>6302483.1859700009</v>
      </c>
      <c r="BA96" s="113"/>
      <c r="BB96" s="113"/>
      <c r="BC96" s="113"/>
      <c r="BD96" s="113"/>
      <c r="BE96" s="113"/>
      <c r="BF96" s="114">
        <f t="shared" si="152"/>
        <v>3463592.7112599993</v>
      </c>
      <c r="BG96" s="114">
        <f t="shared" si="153"/>
        <v>7899234.3228099998</v>
      </c>
      <c r="BH96" s="114">
        <f t="shared" si="154"/>
        <v>6302483.1859700009</v>
      </c>
      <c r="BI96" s="114">
        <f t="shared" si="155"/>
        <v>0</v>
      </c>
      <c r="BJ96" s="114">
        <f t="shared" ref="BJ96:BJ124" si="325">IF($BB$3="After AR Adjustment",IF($H$2=1,BF96,IF($H$2=2,SUM(BF96:BG96),IF($H$2=3,SUM(BF96:BH96),SUM(BF96:BI96)))),IF($H$2=1,AX96,IF($H$2=2,SUM(AX96:AY96),IF($H$2=3,SUM(AX96:AZ96),SUM(AX96:BA96)))))</f>
        <v>17665310.220040001</v>
      </c>
      <c r="BK96" s="115">
        <f t="shared" si="315"/>
        <v>22346615.422340427</v>
      </c>
      <c r="BL96" s="115">
        <f t="shared" si="156"/>
        <v>22346615.422340427</v>
      </c>
      <c r="BM96" s="116">
        <f t="shared" si="157"/>
        <v>0.79049999999999998</v>
      </c>
      <c r="BN96" s="126">
        <f t="shared" ca="1" si="190"/>
        <v>0</v>
      </c>
      <c r="BO96" s="117">
        <f t="shared" ca="1" si="191"/>
        <v>0</v>
      </c>
      <c r="BP96" s="118" t="str">
        <f t="shared" ref="BP96:BP103" si="326">IF($T96="Y","100%",IF($H$2=4,"Uncapped",IF(N96="Y","100%",IF($G96="AA","50%",IF($G96="SA","90%",IF($G96="APJ Regional-AA","50%",IF($G96="APJ Regional-SA","90%",75%)))))))</f>
        <v>Uncapped</v>
      </c>
      <c r="BQ96" s="115">
        <f t="shared" ca="1" si="192"/>
        <v>0</v>
      </c>
      <c r="BR96" s="113" t="s">
        <v>692</v>
      </c>
      <c r="BS96" s="161">
        <v>0.3</v>
      </c>
      <c r="BT96" s="113" t="s">
        <v>211</v>
      </c>
      <c r="BU96" s="160" t="s">
        <v>210</v>
      </c>
      <c r="BV96" s="113">
        <v>7503606.8202462839</v>
      </c>
      <c r="BW96" s="113">
        <v>8053589.731983399</v>
      </c>
      <c r="BX96" s="113">
        <v>8496001.8380627688</v>
      </c>
      <c r="BY96" s="113">
        <v>8697930.0394548904</v>
      </c>
      <c r="BZ96" s="113">
        <v>7755486.3438000018</v>
      </c>
      <c r="CA96" s="113">
        <v>6815255.5627299994</v>
      </c>
      <c r="CB96" s="113">
        <v>8017330.7311999984</v>
      </c>
      <c r="CC96" s="113"/>
      <c r="CD96" s="113"/>
      <c r="CE96" s="113"/>
      <c r="CF96" s="113"/>
      <c r="CG96" s="113"/>
      <c r="CH96" s="114">
        <f t="shared" si="158"/>
        <v>7755486.3438000018</v>
      </c>
      <c r="CI96" s="114">
        <f t="shared" si="159"/>
        <v>6815255.5627299994</v>
      </c>
      <c r="CJ96" s="120">
        <f t="shared" si="160"/>
        <v>8017330.7311999984</v>
      </c>
      <c r="CK96" s="114">
        <f t="shared" si="161"/>
        <v>0</v>
      </c>
      <c r="CL96" s="114">
        <f t="shared" ref="CL96:CL124" si="327">IF($BB$3="After AR Adjustment",IF($H$2=1,CH96,IF($H$2=2,SUM(CH96:CI96),IF($H$2=3,SUM(CH96:CJ96),SUM(CH96:CK96)))),IF($H$2=1,BZ96,IF($H$2=2,SUM(BZ96:CA96),IF($H$2=3,SUM(BZ96:CB96),SUM(BZ96:CC96)))))</f>
        <v>22588072.637729999</v>
      </c>
      <c r="CM96" s="114">
        <f t="shared" si="316"/>
        <v>32751128.429747343</v>
      </c>
      <c r="CN96" s="114">
        <f t="shared" si="162"/>
        <v>32751128.429747343</v>
      </c>
      <c r="CO96" s="116">
        <f t="shared" si="163"/>
        <v>0.68969999999999998</v>
      </c>
      <c r="CP96" s="126">
        <f t="shared" ca="1" si="164"/>
        <v>0</v>
      </c>
      <c r="CQ96" s="115">
        <f t="shared" ca="1" si="193"/>
        <v>0</v>
      </c>
      <c r="CR96" s="118" t="str">
        <f t="shared" ref="CR96:CR124" si="328">IF($T96="Y","100%",IF($H$2=4,"Uncapped",IF(N96="Y","100%",IF($G96="AA","50%",IF($G96="SA","90%",IF($G96="APJ Regional-AA","50%",IF($G96="APJ Regional-SA","90%",75%)))))))</f>
        <v>Uncapped</v>
      </c>
      <c r="CS96" s="115">
        <f t="shared" ca="1" si="194"/>
        <v>0</v>
      </c>
      <c r="CT96" s="113" t="s">
        <v>696</v>
      </c>
      <c r="CU96" s="119">
        <v>0.2</v>
      </c>
      <c r="CV96" s="113" t="s">
        <v>217</v>
      </c>
      <c r="CW96" s="113" t="s">
        <v>210</v>
      </c>
      <c r="CX96" s="113">
        <v>61881722.047854595</v>
      </c>
      <c r="CY96" s="113">
        <v>72180793.063260496</v>
      </c>
      <c r="CZ96" s="113">
        <v>69179032.514420599</v>
      </c>
      <c r="DA96" s="113">
        <v>76323964.015026003</v>
      </c>
      <c r="DB96" s="113">
        <v>63657388.730680585</v>
      </c>
      <c r="DC96" s="113">
        <v>65995192.891159974</v>
      </c>
      <c r="DD96" s="113">
        <v>66410604.684560001</v>
      </c>
      <c r="DE96" s="113"/>
      <c r="DF96" s="113"/>
      <c r="DG96" s="113"/>
      <c r="DH96" s="113"/>
      <c r="DI96" s="113"/>
      <c r="DJ96" s="114">
        <f t="shared" si="165"/>
        <v>63657388.730680585</v>
      </c>
      <c r="DK96" s="114">
        <f t="shared" si="166"/>
        <v>65995192.891159974</v>
      </c>
      <c r="DL96" s="114">
        <f t="shared" si="167"/>
        <v>66410604.684560001</v>
      </c>
      <c r="DM96" s="114">
        <f t="shared" si="168"/>
        <v>0</v>
      </c>
      <c r="DN96" s="114">
        <f t="shared" ref="DN96:DN124" si="329">IF($BB$3="After AR Adjustment",IF($H$2=1,DJ96,IF($H$2=2,SUM(DJ96:DK96),IF($H$2=3,SUM(DJ96:DL96),SUM(DJ96:DM96)))),IF($H$2=1,DB96,IF($H$2=2,SUM(DB96:DC96),IF($H$2=3,SUM(DB96:DD96),SUM(DB96:DE96)))))</f>
        <v>196063186.30640057</v>
      </c>
      <c r="DO96" s="114">
        <f t="shared" si="317"/>
        <v>279565511.6405617</v>
      </c>
      <c r="DP96" s="114">
        <f t="shared" si="169"/>
        <v>279565511.6405617</v>
      </c>
      <c r="DQ96" s="116">
        <f t="shared" si="170"/>
        <v>0.70130000000000003</v>
      </c>
      <c r="DR96" s="126">
        <f t="shared" ca="1" si="195"/>
        <v>0</v>
      </c>
      <c r="DS96" s="115">
        <f t="shared" ca="1" si="196"/>
        <v>0</v>
      </c>
      <c r="DT96" s="118" t="str">
        <f t="shared" ref="DT96:DT124" si="330">IF($T96="Y","100%",IF($H$2=4,"Uncapped",IF(N96="Y","100%",IF($G96="AA","50%",IF($G96="SA","90%",IF($G96="APJ Regional-AA","50%",IF($G96="APJ Regional-SA","90%",75%)))))))</f>
        <v>Uncapped</v>
      </c>
      <c r="DU96" s="115">
        <f t="shared" ca="1" si="197"/>
        <v>0</v>
      </c>
      <c r="DV96" s="113"/>
      <c r="DW96" s="119">
        <v>0</v>
      </c>
      <c r="DX96" s="113"/>
      <c r="DY96" s="113"/>
      <c r="DZ96" s="113">
        <v>0</v>
      </c>
      <c r="EA96" s="113">
        <v>0</v>
      </c>
      <c r="EB96" s="113">
        <v>0</v>
      </c>
      <c r="EC96" s="113">
        <v>0</v>
      </c>
      <c r="ED96" s="113">
        <v>0</v>
      </c>
      <c r="EE96" s="113">
        <v>0</v>
      </c>
      <c r="EF96" s="113"/>
      <c r="EG96" s="113"/>
      <c r="EH96" s="113"/>
      <c r="EI96" s="113"/>
      <c r="EJ96" s="113"/>
      <c r="EK96" s="113"/>
      <c r="EL96" s="114">
        <f t="shared" si="171"/>
        <v>0</v>
      </c>
      <c r="EM96" s="114">
        <f t="shared" si="172"/>
        <v>0</v>
      </c>
      <c r="EN96" s="114">
        <f t="shared" si="173"/>
        <v>0</v>
      </c>
      <c r="EO96" s="114">
        <f t="shared" si="174"/>
        <v>0</v>
      </c>
      <c r="EP96" s="114">
        <f t="shared" ref="EP96:EP124" si="331">IF($BB$3="After AR Adjustment",IF($H$2=1,EL96,IF($H$2=2,SUM(EL96:EM96),IF($H$2=3,SUM(EL96:EN96),SUM(EL96:EO96)))),IF($H$2=1,ED96,IF($H$2=2,SUM(ED96:EE96),IF($H$2=3,SUM(ED96:EF96),SUM(ED96:EG96)))))</f>
        <v>0</v>
      </c>
      <c r="EQ96" s="114">
        <f t="shared" si="318"/>
        <v>0</v>
      </c>
      <c r="ER96" s="114">
        <f t="shared" si="175"/>
        <v>0</v>
      </c>
      <c r="ES96" s="116">
        <f t="shared" si="176"/>
        <v>0</v>
      </c>
      <c r="ET96" s="126">
        <f t="shared" ca="1" si="177"/>
        <v>0</v>
      </c>
      <c r="EU96" s="115">
        <f t="shared" ca="1" si="198"/>
        <v>0</v>
      </c>
      <c r="EV96" s="118" t="str">
        <f t="shared" ref="EV96:EV124" si="332">IF($T96="Y","100%",IF(DX96="T2","200%",IF($H$2=4,"Uncapped",IF($G96="AA","50%",IF($G96="SA","90%",IF($G96="APJ Regional-AA","50%",IF($G96="APJ Regional-SA","90%",75%)))))))</f>
        <v>Uncapped</v>
      </c>
      <c r="EW96" s="115">
        <f t="shared" ca="1" si="199"/>
        <v>0</v>
      </c>
      <c r="EX96" s="112">
        <f t="shared" ca="1" si="200"/>
        <v>0</v>
      </c>
      <c r="EY96" s="114">
        <f t="shared" ca="1" si="178"/>
        <v>0</v>
      </c>
      <c r="EZ96" s="115">
        <v>0</v>
      </c>
      <c r="FA96" s="115"/>
      <c r="FB96" s="115"/>
      <c r="FC96" s="115">
        <v>0</v>
      </c>
      <c r="FD96" s="115">
        <f t="shared" si="319"/>
        <v>0</v>
      </c>
      <c r="FE96" s="114">
        <f t="shared" si="312"/>
        <v>0</v>
      </c>
      <c r="FF96" s="115">
        <v>0</v>
      </c>
      <c r="FG96" s="115">
        <v>0</v>
      </c>
      <c r="FH96" s="115">
        <v>0</v>
      </c>
      <c r="FI96" s="115">
        <v>0</v>
      </c>
      <c r="FJ96" s="115">
        <f t="shared" si="320"/>
        <v>0</v>
      </c>
      <c r="FK96" s="114">
        <f t="shared" si="313"/>
        <v>0</v>
      </c>
      <c r="FL96" s="113"/>
      <c r="FM96" s="111"/>
      <c r="FN96" s="111"/>
      <c r="FO96" s="111"/>
      <c r="FP96" s="115">
        <f t="shared" si="216"/>
        <v>0</v>
      </c>
      <c r="FQ96" s="115"/>
      <c r="FR96" s="115"/>
      <c r="FS96" s="115"/>
      <c r="FT96" s="114">
        <f t="shared" si="209"/>
        <v>0</v>
      </c>
      <c r="FU96" s="366">
        <f t="shared" ca="1" si="210"/>
        <v>0</v>
      </c>
      <c r="FV96" s="121">
        <f t="shared" ca="1" si="211"/>
        <v>0</v>
      </c>
      <c r="FW96" s="114">
        <f t="shared" si="218"/>
        <v>0</v>
      </c>
      <c r="FX96" s="114">
        <f t="shared" si="218"/>
        <v>0</v>
      </c>
      <c r="FY96" s="114">
        <f t="shared" si="218"/>
        <v>0</v>
      </c>
      <c r="FZ96" s="114">
        <f t="shared" si="218"/>
        <v>0</v>
      </c>
      <c r="GA96" s="114">
        <f t="shared" si="221"/>
        <v>0</v>
      </c>
      <c r="GB96" s="114">
        <f t="shared" si="219"/>
        <v>0</v>
      </c>
      <c r="GC96" s="114">
        <f t="shared" si="219"/>
        <v>0</v>
      </c>
      <c r="GD96" s="114">
        <f t="shared" si="219"/>
        <v>0</v>
      </c>
      <c r="GE96" s="114">
        <f t="shared" si="219"/>
        <v>0</v>
      </c>
      <c r="GF96" s="114">
        <f t="shared" si="220"/>
        <v>0</v>
      </c>
      <c r="GG96" s="114">
        <f t="shared" si="220"/>
        <v>0</v>
      </c>
      <c r="GH96" s="114">
        <f t="shared" si="220"/>
        <v>0</v>
      </c>
      <c r="GI96" s="114">
        <f t="shared" si="220"/>
        <v>0</v>
      </c>
      <c r="GJ96" s="115">
        <f t="shared" si="321"/>
        <v>0</v>
      </c>
      <c r="GK96" s="114">
        <f t="shared" si="222"/>
        <v>0</v>
      </c>
      <c r="GL96" s="114">
        <f t="shared" si="201"/>
        <v>0</v>
      </c>
      <c r="GM96" s="114">
        <f t="shared" si="202"/>
        <v>0</v>
      </c>
      <c r="GN96" s="114">
        <f t="shared" si="203"/>
        <v>0</v>
      </c>
      <c r="GO96" s="114">
        <f t="shared" si="204"/>
        <v>0</v>
      </c>
      <c r="GP96" s="114">
        <f t="shared" si="322"/>
        <v>0</v>
      </c>
      <c r="GQ96" s="114">
        <f t="shared" si="223"/>
        <v>0</v>
      </c>
      <c r="GR96" s="216"/>
      <c r="GS96" s="122">
        <f t="shared" si="205"/>
        <v>236316569.16417056</v>
      </c>
      <c r="GT96" s="122">
        <f t="shared" si="206"/>
        <v>334663255.49264944</v>
      </c>
      <c r="GU96" s="123">
        <f t="shared" si="224"/>
        <v>0.70613240409764988</v>
      </c>
      <c r="GV96" s="124">
        <f t="shared" ca="1" si="207"/>
        <v>0</v>
      </c>
      <c r="GW96" s="124">
        <v>0</v>
      </c>
      <c r="GX96" s="32">
        <f t="shared" ca="1" si="208"/>
        <v>0</v>
      </c>
      <c r="GY96" s="100"/>
    </row>
    <row r="97" spans="1:207" s="125" customFormat="1" ht="15" hidden="1" customHeight="1">
      <c r="A97" s="102"/>
      <c r="B97" s="103"/>
      <c r="C97" s="103"/>
      <c r="D97" s="104"/>
      <c r="E97" s="104" t="s">
        <v>449</v>
      </c>
      <c r="F97" s="104" t="s">
        <v>449</v>
      </c>
      <c r="G97" s="104" t="s">
        <v>226</v>
      </c>
      <c r="H97" s="105" t="s">
        <v>454</v>
      </c>
      <c r="I97" s="106" t="s">
        <v>455</v>
      </c>
      <c r="J97" s="104" t="s">
        <v>212</v>
      </c>
      <c r="K97" s="104" t="s">
        <v>218</v>
      </c>
      <c r="L97" s="104" t="s">
        <v>223</v>
      </c>
      <c r="M97" s="104" t="s">
        <v>223</v>
      </c>
      <c r="N97" s="107"/>
      <c r="O97" s="108">
        <v>41430</v>
      </c>
      <c r="P97" s="108">
        <v>41640</v>
      </c>
      <c r="Q97" s="322">
        <f t="shared" si="323"/>
        <v>0</v>
      </c>
      <c r="R97" s="109">
        <f>IF((P97-VLOOKUP(Q97,month!$A$1:$C$13,3,0))&lt;0,Q97,Q97+1)</f>
        <v>0</v>
      </c>
      <c r="S97" s="108"/>
      <c r="T97" s="110" t="str">
        <f t="shared" si="215"/>
        <v/>
      </c>
      <c r="U97" s="107"/>
      <c r="V97" s="107"/>
      <c r="W97" s="107"/>
      <c r="X97" s="107"/>
      <c r="Y97" s="386"/>
      <c r="Z97" s="386" t="s">
        <v>545</v>
      </c>
      <c r="AA97" s="387">
        <v>1000</v>
      </c>
      <c r="AB97" s="387">
        <v>1000</v>
      </c>
      <c r="AC97" s="387">
        <v>1000</v>
      </c>
      <c r="AD97" s="387">
        <v>1000</v>
      </c>
      <c r="AE97" s="387">
        <v>1000</v>
      </c>
      <c r="AF97" s="387">
        <v>1000</v>
      </c>
      <c r="AG97" s="387">
        <v>1000</v>
      </c>
      <c r="AH97" s="387">
        <v>1000</v>
      </c>
      <c r="AI97" s="387">
        <v>1000</v>
      </c>
      <c r="AJ97" s="387">
        <v>1000</v>
      </c>
      <c r="AK97" s="387">
        <v>1000</v>
      </c>
      <c r="AL97" s="387">
        <v>1000</v>
      </c>
      <c r="AM97" s="388">
        <f t="shared" si="314"/>
        <v>12000</v>
      </c>
      <c r="AN97" s="388">
        <f t="shared" si="324"/>
        <v>12000</v>
      </c>
      <c r="AO97" s="389">
        <f t="shared" si="217"/>
        <v>1000</v>
      </c>
      <c r="AP97" s="498" t="s">
        <v>672</v>
      </c>
      <c r="AQ97" s="159">
        <v>0.5</v>
      </c>
      <c r="AR97" s="160" t="s">
        <v>392</v>
      </c>
      <c r="AS97" s="119" t="s">
        <v>210</v>
      </c>
      <c r="AT97" s="111">
        <v>3379521.1219363259</v>
      </c>
      <c r="AU97" s="111">
        <v>7327548.5634185346</v>
      </c>
      <c r="AV97" s="111">
        <v>5599955.3026327584</v>
      </c>
      <c r="AW97" s="111">
        <v>6039590.4343528077</v>
      </c>
      <c r="AX97" s="113">
        <v>3463592.7112599993</v>
      </c>
      <c r="AY97" s="113">
        <v>7899234.3228099998</v>
      </c>
      <c r="AZ97" s="113">
        <v>6302483.1859700009</v>
      </c>
      <c r="BA97" s="113"/>
      <c r="BB97" s="113"/>
      <c r="BC97" s="113"/>
      <c r="BD97" s="113"/>
      <c r="BE97" s="113"/>
      <c r="BF97" s="114">
        <f t="shared" si="152"/>
        <v>3463592.7112599993</v>
      </c>
      <c r="BG97" s="114">
        <f t="shared" si="153"/>
        <v>7899234.3228099998</v>
      </c>
      <c r="BH97" s="114">
        <f t="shared" si="154"/>
        <v>6302483.1859700009</v>
      </c>
      <c r="BI97" s="114">
        <f t="shared" si="155"/>
        <v>0</v>
      </c>
      <c r="BJ97" s="114">
        <f t="shared" si="325"/>
        <v>17665310.220040001</v>
      </c>
      <c r="BK97" s="115">
        <f t="shared" si="315"/>
        <v>22346615.422340427</v>
      </c>
      <c r="BL97" s="115">
        <f t="shared" si="156"/>
        <v>22346615.422340427</v>
      </c>
      <c r="BM97" s="116">
        <f t="shared" si="157"/>
        <v>0.79049999999999998</v>
      </c>
      <c r="BN97" s="126">
        <f t="shared" ref="BN97:BN103" ca="1" si="333">IF(OR(AP97="MBO",AP97="10% Realized Price"),BM97,SUMPRODUCT(Lower_Payout*(Curve=AR97)*(Lower_Attain&lt;=BM97)*(Upper_Attain&gt;BM97))+(BM97-SUMPRODUCT(Lower_Attain*(Curve=AR97)*(Lower_Attain&lt;=BM97)*(Upper_Attain&gt;BM97)))*SUMPRODUCT(Slope*(Curve=AR97)*(Lower_Attain&lt;=BM97)*(Upper_Attain&gt;BM97)))</f>
        <v>0</v>
      </c>
      <c r="BO97" s="117">
        <f t="shared" ref="BO97:BO103" ca="1" si="334">IFERROR(AM97*AQ97*BN97,0)</f>
        <v>0</v>
      </c>
      <c r="BP97" s="118" t="str">
        <f t="shared" si="326"/>
        <v>Uncapped</v>
      </c>
      <c r="BQ97" s="115">
        <f t="shared" ref="BQ97:BQ104" ca="1" si="335">IF(BP97="Uncapped",BO97,IFERROR(AM97*AQ97*BP97,0))</f>
        <v>0</v>
      </c>
      <c r="BR97" s="113" t="s">
        <v>692</v>
      </c>
      <c r="BS97" s="161">
        <v>0.3</v>
      </c>
      <c r="BT97" s="113" t="s">
        <v>211</v>
      </c>
      <c r="BU97" s="160" t="s">
        <v>210</v>
      </c>
      <c r="BV97" s="113">
        <v>7503606.8202462839</v>
      </c>
      <c r="BW97" s="113">
        <v>8053589.731983399</v>
      </c>
      <c r="BX97" s="113">
        <v>8496001.8380627688</v>
      </c>
      <c r="BY97" s="113">
        <v>8697930.0394548904</v>
      </c>
      <c r="BZ97" s="113">
        <v>7755486.3438000018</v>
      </c>
      <c r="CA97" s="113">
        <v>6815255.5627299994</v>
      </c>
      <c r="CB97" s="113">
        <v>8017330.7311999984</v>
      </c>
      <c r="CC97" s="113"/>
      <c r="CD97" s="113"/>
      <c r="CE97" s="113"/>
      <c r="CF97" s="113"/>
      <c r="CG97" s="113"/>
      <c r="CH97" s="114">
        <f t="shared" si="158"/>
        <v>7755486.3438000018</v>
      </c>
      <c r="CI97" s="114">
        <f t="shared" si="159"/>
        <v>6815255.5627299994</v>
      </c>
      <c r="CJ97" s="120">
        <f t="shared" si="160"/>
        <v>8017330.7311999984</v>
      </c>
      <c r="CK97" s="114">
        <f t="shared" si="161"/>
        <v>0</v>
      </c>
      <c r="CL97" s="114">
        <f t="shared" si="327"/>
        <v>22588072.637729999</v>
      </c>
      <c r="CM97" s="114">
        <f t="shared" si="316"/>
        <v>32751128.429747343</v>
      </c>
      <c r="CN97" s="114">
        <f t="shared" si="162"/>
        <v>32751128.429747343</v>
      </c>
      <c r="CO97" s="116">
        <f t="shared" si="163"/>
        <v>0.68969999999999998</v>
      </c>
      <c r="CP97" s="126">
        <f t="shared" ca="1" si="164"/>
        <v>0</v>
      </c>
      <c r="CQ97" s="115">
        <f t="shared" ref="CQ97:CQ125" ca="1" si="336">AM97*BS97*CP97</f>
        <v>0</v>
      </c>
      <c r="CR97" s="118" t="str">
        <f t="shared" si="328"/>
        <v>Uncapped</v>
      </c>
      <c r="CS97" s="115">
        <f t="shared" ref="CS97:CS125" ca="1" si="337">IF(CR97="Uncapped",CQ97,IFERROR(AM97*BS97*CR97,0))</f>
        <v>0</v>
      </c>
      <c r="CT97" s="113" t="s">
        <v>696</v>
      </c>
      <c r="CU97" s="119">
        <v>0.2</v>
      </c>
      <c r="CV97" s="113" t="s">
        <v>217</v>
      </c>
      <c r="CW97" s="113" t="s">
        <v>210</v>
      </c>
      <c r="CX97" s="113">
        <v>61881722.047854595</v>
      </c>
      <c r="CY97" s="113">
        <v>72180793.063260496</v>
      </c>
      <c r="CZ97" s="113">
        <v>69179032.514420599</v>
      </c>
      <c r="DA97" s="113">
        <v>76323964.015026003</v>
      </c>
      <c r="DB97" s="113">
        <v>63657388.730680585</v>
      </c>
      <c r="DC97" s="113">
        <v>65995192.891159974</v>
      </c>
      <c r="DD97" s="113">
        <v>66410604.684560001</v>
      </c>
      <c r="DE97" s="113"/>
      <c r="DF97" s="113"/>
      <c r="DG97" s="113"/>
      <c r="DH97" s="113"/>
      <c r="DI97" s="113"/>
      <c r="DJ97" s="114">
        <f t="shared" si="165"/>
        <v>63657388.730680585</v>
      </c>
      <c r="DK97" s="114">
        <f t="shared" si="166"/>
        <v>65995192.891159974</v>
      </c>
      <c r="DL97" s="114">
        <f t="shared" si="167"/>
        <v>66410604.684560001</v>
      </c>
      <c r="DM97" s="114">
        <f t="shared" si="168"/>
        <v>0</v>
      </c>
      <c r="DN97" s="114">
        <f t="shared" si="329"/>
        <v>196063186.30640057</v>
      </c>
      <c r="DO97" s="114">
        <f t="shared" si="317"/>
        <v>279565511.6405617</v>
      </c>
      <c r="DP97" s="114">
        <f t="shared" si="169"/>
        <v>279565511.6405617</v>
      </c>
      <c r="DQ97" s="116">
        <f t="shared" si="170"/>
        <v>0.70130000000000003</v>
      </c>
      <c r="DR97" s="126">
        <f t="shared" ref="DR97:DR125" ca="1" si="338">IF(OR(CT97="MBO",CT97="10% Realized Price"),DQ97,SUMPRODUCT(Lower_Payout*(Curve=CV97)*(Lower_Attain&lt;=DQ97)*(Upper_Attain&gt;DQ97))+(DQ97-SUMPRODUCT(Lower_Attain*(Curve=CV97)*(Lower_Attain&lt;=DQ97)*(Upper_Attain&gt;DQ97)))*SUMPRODUCT(Slope*(Curve=CV97)*(Lower_Attain&lt;=DQ97)*(Upper_Attain&gt;DQ97)))</f>
        <v>0</v>
      </c>
      <c r="DS97" s="115">
        <f t="shared" ref="DS97:DS125" ca="1" si="339">AM97*CU97*DR97</f>
        <v>0</v>
      </c>
      <c r="DT97" s="118" t="str">
        <f t="shared" si="330"/>
        <v>Uncapped</v>
      </c>
      <c r="DU97" s="115">
        <f t="shared" ref="DU97:DU125" ca="1" si="340">IF(DT97="Uncapped",DS97,IFERROR(AM97*CU97*DT97,0))</f>
        <v>0</v>
      </c>
      <c r="DV97" s="113"/>
      <c r="DW97" s="119">
        <v>0</v>
      </c>
      <c r="DX97" s="113"/>
      <c r="DY97" s="113"/>
      <c r="DZ97" s="113">
        <v>0</v>
      </c>
      <c r="EA97" s="113">
        <v>0</v>
      </c>
      <c r="EB97" s="113">
        <v>0</v>
      </c>
      <c r="EC97" s="113">
        <v>0</v>
      </c>
      <c r="ED97" s="113">
        <v>0</v>
      </c>
      <c r="EE97" s="113">
        <v>0</v>
      </c>
      <c r="EF97" s="113"/>
      <c r="EG97" s="113"/>
      <c r="EH97" s="113"/>
      <c r="EI97" s="113"/>
      <c r="EJ97" s="113"/>
      <c r="EK97" s="113"/>
      <c r="EL97" s="114">
        <f t="shared" si="171"/>
        <v>0</v>
      </c>
      <c r="EM97" s="114">
        <f t="shared" si="172"/>
        <v>0</v>
      </c>
      <c r="EN97" s="114">
        <f t="shared" si="173"/>
        <v>0</v>
      </c>
      <c r="EO97" s="114">
        <f t="shared" si="174"/>
        <v>0</v>
      </c>
      <c r="EP97" s="114">
        <f t="shared" si="331"/>
        <v>0</v>
      </c>
      <c r="EQ97" s="114">
        <f t="shared" si="318"/>
        <v>0</v>
      </c>
      <c r="ER97" s="114">
        <f t="shared" si="175"/>
        <v>0</v>
      </c>
      <c r="ES97" s="116">
        <f t="shared" si="176"/>
        <v>0</v>
      </c>
      <c r="ET97" s="126">
        <f t="shared" ca="1" si="177"/>
        <v>0</v>
      </c>
      <c r="EU97" s="115">
        <f t="shared" ref="EU97:EU125" ca="1" si="341">AM97*DW97*ET97</f>
        <v>0</v>
      </c>
      <c r="EV97" s="118" t="str">
        <f t="shared" si="332"/>
        <v>Uncapped</v>
      </c>
      <c r="EW97" s="115">
        <f t="shared" ref="EW97:EW125" ca="1" si="342">IF(EV97="Uncapped",EU97,IFERROR(AM97*DW97*EV97,0))</f>
        <v>0</v>
      </c>
      <c r="EX97" s="112">
        <f t="shared" ref="EX97:EX125" ca="1" si="343">MIN(BO97,BQ97)+MIN(CQ97,CS97)+MIN(DS97,DU97)+MIN(EU97,EW97)</f>
        <v>0</v>
      </c>
      <c r="EY97" s="114">
        <f t="shared" ca="1" si="178"/>
        <v>0</v>
      </c>
      <c r="EZ97" s="115">
        <v>0</v>
      </c>
      <c r="FA97" s="115"/>
      <c r="FB97" s="115"/>
      <c r="FC97" s="115">
        <v>0</v>
      </c>
      <c r="FD97" s="115">
        <f t="shared" si="319"/>
        <v>0</v>
      </c>
      <c r="FE97" s="114">
        <f t="shared" si="312"/>
        <v>0</v>
      </c>
      <c r="FF97" s="115">
        <v>0</v>
      </c>
      <c r="FG97" s="115">
        <v>0</v>
      </c>
      <c r="FH97" s="115">
        <v>0</v>
      </c>
      <c r="FI97" s="115">
        <v>0</v>
      </c>
      <c r="FJ97" s="115">
        <f t="shared" si="320"/>
        <v>0</v>
      </c>
      <c r="FK97" s="114">
        <f t="shared" si="313"/>
        <v>0</v>
      </c>
      <c r="FL97" s="113"/>
      <c r="FM97" s="111"/>
      <c r="FN97" s="111"/>
      <c r="FO97" s="111"/>
      <c r="FP97" s="115">
        <f t="shared" si="216"/>
        <v>0</v>
      </c>
      <c r="FQ97" s="115"/>
      <c r="FR97" s="115"/>
      <c r="FS97" s="115"/>
      <c r="FT97" s="114">
        <f t="shared" si="209"/>
        <v>0</v>
      </c>
      <c r="FU97" s="366">
        <f t="shared" ca="1" si="210"/>
        <v>0</v>
      </c>
      <c r="FV97" s="121">
        <f t="shared" ca="1" si="211"/>
        <v>0</v>
      </c>
      <c r="FW97" s="114">
        <f t="shared" si="218"/>
        <v>0</v>
      </c>
      <c r="FX97" s="114">
        <f t="shared" si="218"/>
        <v>0</v>
      </c>
      <c r="FY97" s="114">
        <f t="shared" si="218"/>
        <v>0</v>
      </c>
      <c r="FZ97" s="114">
        <f t="shared" si="218"/>
        <v>0</v>
      </c>
      <c r="GA97" s="114">
        <f t="shared" si="221"/>
        <v>0</v>
      </c>
      <c r="GB97" s="114">
        <f t="shared" si="219"/>
        <v>0</v>
      </c>
      <c r="GC97" s="114">
        <f t="shared" si="219"/>
        <v>0</v>
      </c>
      <c r="GD97" s="114">
        <f t="shared" si="219"/>
        <v>0</v>
      </c>
      <c r="GE97" s="114">
        <f t="shared" si="219"/>
        <v>0</v>
      </c>
      <c r="GF97" s="114">
        <f t="shared" si="220"/>
        <v>0</v>
      </c>
      <c r="GG97" s="114">
        <f t="shared" si="220"/>
        <v>0</v>
      </c>
      <c r="GH97" s="114">
        <f t="shared" si="220"/>
        <v>0</v>
      </c>
      <c r="GI97" s="114">
        <f t="shared" si="220"/>
        <v>0</v>
      </c>
      <c r="GJ97" s="115">
        <f t="shared" si="321"/>
        <v>0</v>
      </c>
      <c r="GK97" s="114">
        <f t="shared" si="222"/>
        <v>0</v>
      </c>
      <c r="GL97" s="114">
        <f t="shared" ref="GL97:GL125" si="344">IF(U97="Y",V97*AO97,0)</f>
        <v>0</v>
      </c>
      <c r="GM97" s="114">
        <f t="shared" ref="GM97:GM125" si="345">IF(U97="Y",W97*AO97,0)</f>
        <v>0</v>
      </c>
      <c r="GN97" s="114">
        <f t="shared" ref="GN97:GN125" si="346">IF(U97="Y",X97*AO97,0)</f>
        <v>0</v>
      </c>
      <c r="GO97" s="114">
        <f t="shared" ref="GO97:GO125" si="347">IF(U97="Y",Y97*AO97,0)</f>
        <v>0</v>
      </c>
      <c r="GP97" s="114">
        <f t="shared" si="322"/>
        <v>0</v>
      </c>
      <c r="GQ97" s="114">
        <f t="shared" si="223"/>
        <v>0</v>
      </c>
      <c r="GR97" s="193"/>
      <c r="GS97" s="122">
        <f t="shared" ref="GS97:GS125" si="348">IFERROR(BJ97+CL97+DN97+EP97,0)</f>
        <v>236316569.16417056</v>
      </c>
      <c r="GT97" s="122">
        <f t="shared" ref="GT97:GT125" si="349">IFERROR(BK97+CM97+DO97+EQ97,0)</f>
        <v>334663255.49264944</v>
      </c>
      <c r="GU97" s="123">
        <f t="shared" si="224"/>
        <v>0.70613240409764988</v>
      </c>
      <c r="GV97" s="124">
        <f t="shared" ref="GV97:GV125" ca="1" si="350">BO97+CQ97+DS97+EU97</f>
        <v>0</v>
      </c>
      <c r="GW97" s="124">
        <v>0</v>
      </c>
      <c r="GX97" s="32">
        <f t="shared" ref="GX97:GX125" ca="1" si="351">IFERROR(GV97/AM97,0)</f>
        <v>0</v>
      </c>
      <c r="GY97" s="100"/>
    </row>
    <row r="98" spans="1:207" s="125" customFormat="1" ht="15" hidden="1" customHeight="1">
      <c r="A98" s="102"/>
      <c r="B98" s="103"/>
      <c r="C98" s="103"/>
      <c r="D98" s="104"/>
      <c r="E98" s="104" t="s">
        <v>449</v>
      </c>
      <c r="F98" s="104" t="s">
        <v>449</v>
      </c>
      <c r="G98" s="104" t="s">
        <v>226</v>
      </c>
      <c r="H98" s="105" t="s">
        <v>456</v>
      </c>
      <c r="I98" s="106" t="s">
        <v>457</v>
      </c>
      <c r="J98" s="104" t="s">
        <v>212</v>
      </c>
      <c r="K98" s="104" t="s">
        <v>218</v>
      </c>
      <c r="L98" s="104" t="s">
        <v>223</v>
      </c>
      <c r="M98" s="104" t="s">
        <v>223</v>
      </c>
      <c r="N98" s="107"/>
      <c r="O98" s="108">
        <v>41430</v>
      </c>
      <c r="P98" s="108">
        <v>41640</v>
      </c>
      <c r="Q98" s="322">
        <f t="shared" si="323"/>
        <v>0</v>
      </c>
      <c r="R98" s="109">
        <f>IF((P98-VLOOKUP(Q98,month!$A$1:$C$13,3,0))&lt;0,Q98,Q98+1)</f>
        <v>0</v>
      </c>
      <c r="S98" s="108"/>
      <c r="T98" s="110" t="str">
        <f t="shared" si="215"/>
        <v/>
      </c>
      <c r="U98" s="107"/>
      <c r="V98" s="107"/>
      <c r="W98" s="107"/>
      <c r="X98" s="107"/>
      <c r="Y98" s="386"/>
      <c r="Z98" s="386" t="s">
        <v>545</v>
      </c>
      <c r="AA98" s="387">
        <v>1000</v>
      </c>
      <c r="AB98" s="387">
        <v>1000</v>
      </c>
      <c r="AC98" s="387">
        <v>1000</v>
      </c>
      <c r="AD98" s="387">
        <v>1000</v>
      </c>
      <c r="AE98" s="387">
        <v>1000</v>
      </c>
      <c r="AF98" s="387">
        <v>1000</v>
      </c>
      <c r="AG98" s="387">
        <v>1000</v>
      </c>
      <c r="AH98" s="387">
        <v>1000</v>
      </c>
      <c r="AI98" s="387">
        <v>1000</v>
      </c>
      <c r="AJ98" s="387">
        <v>1000</v>
      </c>
      <c r="AK98" s="387">
        <v>1000</v>
      </c>
      <c r="AL98" s="387">
        <v>1000</v>
      </c>
      <c r="AM98" s="388">
        <f t="shared" si="314"/>
        <v>12000</v>
      </c>
      <c r="AN98" s="388">
        <f t="shared" si="324"/>
        <v>12000</v>
      </c>
      <c r="AO98" s="389">
        <f t="shared" si="217"/>
        <v>1000</v>
      </c>
      <c r="AP98" s="498" t="s">
        <v>672</v>
      </c>
      <c r="AQ98" s="159">
        <v>0.5</v>
      </c>
      <c r="AR98" s="160" t="s">
        <v>392</v>
      </c>
      <c r="AS98" s="119" t="s">
        <v>210</v>
      </c>
      <c r="AT98" s="111">
        <v>3379521.1219363259</v>
      </c>
      <c r="AU98" s="111">
        <v>7327548.5634185346</v>
      </c>
      <c r="AV98" s="111">
        <v>5599955.3026327584</v>
      </c>
      <c r="AW98" s="111">
        <v>6039590.4343528077</v>
      </c>
      <c r="AX98" s="113">
        <v>3463592.7112599993</v>
      </c>
      <c r="AY98" s="113">
        <v>7899234.3228099998</v>
      </c>
      <c r="AZ98" s="113">
        <v>6302483.1859700009</v>
      </c>
      <c r="BA98" s="113"/>
      <c r="BB98" s="113"/>
      <c r="BC98" s="113"/>
      <c r="BD98" s="113"/>
      <c r="BE98" s="113"/>
      <c r="BF98" s="114">
        <f t="shared" si="152"/>
        <v>3463592.7112599993</v>
      </c>
      <c r="BG98" s="114">
        <f t="shared" si="153"/>
        <v>7899234.3228099998</v>
      </c>
      <c r="BH98" s="114">
        <f t="shared" si="154"/>
        <v>6302483.1859700009</v>
      </c>
      <c r="BI98" s="114">
        <f t="shared" si="155"/>
        <v>0</v>
      </c>
      <c r="BJ98" s="114">
        <f t="shared" si="325"/>
        <v>17665310.220040001</v>
      </c>
      <c r="BK98" s="115">
        <f t="shared" si="315"/>
        <v>22346615.422340427</v>
      </c>
      <c r="BL98" s="115">
        <f t="shared" si="156"/>
        <v>22346615.422340427</v>
      </c>
      <c r="BM98" s="116">
        <f t="shared" si="157"/>
        <v>0.79049999999999998</v>
      </c>
      <c r="BN98" s="126">
        <f t="shared" ca="1" si="333"/>
        <v>0</v>
      </c>
      <c r="BO98" s="117">
        <f t="shared" ca="1" si="334"/>
        <v>0</v>
      </c>
      <c r="BP98" s="118" t="str">
        <f t="shared" si="326"/>
        <v>Uncapped</v>
      </c>
      <c r="BQ98" s="115">
        <f t="shared" ca="1" si="335"/>
        <v>0</v>
      </c>
      <c r="BR98" s="113" t="s">
        <v>692</v>
      </c>
      <c r="BS98" s="161">
        <v>0.3</v>
      </c>
      <c r="BT98" s="113" t="s">
        <v>211</v>
      </c>
      <c r="BU98" s="160" t="s">
        <v>210</v>
      </c>
      <c r="BV98" s="113">
        <v>7503606.8202462839</v>
      </c>
      <c r="BW98" s="113">
        <v>8053589.731983399</v>
      </c>
      <c r="BX98" s="113">
        <v>8496001.8380627688</v>
      </c>
      <c r="BY98" s="113">
        <v>8697930.0394548904</v>
      </c>
      <c r="BZ98" s="113">
        <v>7755486.3438000018</v>
      </c>
      <c r="CA98" s="113">
        <v>6815255.5627299994</v>
      </c>
      <c r="CB98" s="113">
        <v>8017330.7311999984</v>
      </c>
      <c r="CC98" s="113"/>
      <c r="CD98" s="113"/>
      <c r="CE98" s="113"/>
      <c r="CF98" s="113"/>
      <c r="CG98" s="113"/>
      <c r="CH98" s="114">
        <f t="shared" si="158"/>
        <v>7755486.3438000018</v>
      </c>
      <c r="CI98" s="114">
        <f t="shared" si="159"/>
        <v>6815255.5627299994</v>
      </c>
      <c r="CJ98" s="120">
        <f t="shared" si="160"/>
        <v>8017330.7311999984</v>
      </c>
      <c r="CK98" s="114">
        <f t="shared" si="161"/>
        <v>0</v>
      </c>
      <c r="CL98" s="114">
        <f t="shared" si="327"/>
        <v>22588072.637729999</v>
      </c>
      <c r="CM98" s="114">
        <f t="shared" si="316"/>
        <v>32751128.429747343</v>
      </c>
      <c r="CN98" s="114">
        <f t="shared" si="162"/>
        <v>32751128.429747343</v>
      </c>
      <c r="CO98" s="116">
        <f t="shared" si="163"/>
        <v>0.68969999999999998</v>
      </c>
      <c r="CP98" s="126">
        <f t="shared" ca="1" si="164"/>
        <v>0</v>
      </c>
      <c r="CQ98" s="115">
        <f t="shared" ca="1" si="336"/>
        <v>0</v>
      </c>
      <c r="CR98" s="118" t="str">
        <f t="shared" si="328"/>
        <v>Uncapped</v>
      </c>
      <c r="CS98" s="115">
        <f t="shared" ca="1" si="337"/>
        <v>0</v>
      </c>
      <c r="CT98" s="113" t="s">
        <v>696</v>
      </c>
      <c r="CU98" s="119">
        <v>0.2</v>
      </c>
      <c r="CV98" s="113" t="s">
        <v>217</v>
      </c>
      <c r="CW98" s="113" t="s">
        <v>210</v>
      </c>
      <c r="CX98" s="113">
        <v>61881722.047854595</v>
      </c>
      <c r="CY98" s="113">
        <v>72180793.063260496</v>
      </c>
      <c r="CZ98" s="113">
        <v>69179032.514420599</v>
      </c>
      <c r="DA98" s="113">
        <v>76323964.015026003</v>
      </c>
      <c r="DB98" s="113">
        <v>63657388.730680585</v>
      </c>
      <c r="DC98" s="113">
        <v>65995192.891159974</v>
      </c>
      <c r="DD98" s="113">
        <v>66410604.684560001</v>
      </c>
      <c r="DE98" s="113"/>
      <c r="DF98" s="113"/>
      <c r="DG98" s="113"/>
      <c r="DH98" s="113"/>
      <c r="DI98" s="113"/>
      <c r="DJ98" s="114">
        <f t="shared" si="165"/>
        <v>63657388.730680585</v>
      </c>
      <c r="DK98" s="114">
        <f t="shared" si="166"/>
        <v>65995192.891159974</v>
      </c>
      <c r="DL98" s="114">
        <f t="shared" si="167"/>
        <v>66410604.684560001</v>
      </c>
      <c r="DM98" s="114">
        <f t="shared" si="168"/>
        <v>0</v>
      </c>
      <c r="DN98" s="114">
        <f t="shared" si="329"/>
        <v>196063186.30640057</v>
      </c>
      <c r="DO98" s="114">
        <f t="shared" si="317"/>
        <v>279565511.6405617</v>
      </c>
      <c r="DP98" s="114">
        <f t="shared" si="169"/>
        <v>279565511.6405617</v>
      </c>
      <c r="DQ98" s="116">
        <f t="shared" si="170"/>
        <v>0.70130000000000003</v>
      </c>
      <c r="DR98" s="126">
        <f t="shared" ca="1" si="338"/>
        <v>0</v>
      </c>
      <c r="DS98" s="115">
        <f t="shared" ca="1" si="339"/>
        <v>0</v>
      </c>
      <c r="DT98" s="118" t="str">
        <f t="shared" si="330"/>
        <v>Uncapped</v>
      </c>
      <c r="DU98" s="115">
        <f t="shared" ca="1" si="340"/>
        <v>0</v>
      </c>
      <c r="DV98" s="113"/>
      <c r="DW98" s="119">
        <v>0</v>
      </c>
      <c r="DX98" s="113"/>
      <c r="DY98" s="113"/>
      <c r="DZ98" s="113">
        <v>0</v>
      </c>
      <c r="EA98" s="113">
        <v>0</v>
      </c>
      <c r="EB98" s="113">
        <v>0</v>
      </c>
      <c r="EC98" s="113">
        <v>0</v>
      </c>
      <c r="ED98" s="113">
        <v>0</v>
      </c>
      <c r="EE98" s="113">
        <v>0</v>
      </c>
      <c r="EF98" s="113"/>
      <c r="EG98" s="113"/>
      <c r="EH98" s="113"/>
      <c r="EI98" s="113"/>
      <c r="EJ98" s="113"/>
      <c r="EK98" s="113"/>
      <c r="EL98" s="114">
        <f t="shared" si="171"/>
        <v>0</v>
      </c>
      <c r="EM98" s="114">
        <f t="shared" si="172"/>
        <v>0</v>
      </c>
      <c r="EN98" s="114">
        <f t="shared" si="173"/>
        <v>0</v>
      </c>
      <c r="EO98" s="114">
        <f t="shared" si="174"/>
        <v>0</v>
      </c>
      <c r="EP98" s="114">
        <f t="shared" si="331"/>
        <v>0</v>
      </c>
      <c r="EQ98" s="114">
        <f t="shared" si="318"/>
        <v>0</v>
      </c>
      <c r="ER98" s="114">
        <f t="shared" si="175"/>
        <v>0</v>
      </c>
      <c r="ES98" s="116">
        <f t="shared" si="176"/>
        <v>0</v>
      </c>
      <c r="ET98" s="126">
        <f t="shared" ca="1" si="177"/>
        <v>0</v>
      </c>
      <c r="EU98" s="115">
        <f t="shared" ca="1" si="341"/>
        <v>0</v>
      </c>
      <c r="EV98" s="118" t="str">
        <f t="shared" si="332"/>
        <v>Uncapped</v>
      </c>
      <c r="EW98" s="115">
        <f t="shared" ca="1" si="342"/>
        <v>0</v>
      </c>
      <c r="EX98" s="112">
        <f t="shared" ca="1" si="343"/>
        <v>0</v>
      </c>
      <c r="EY98" s="114">
        <f t="shared" ca="1" si="178"/>
        <v>0</v>
      </c>
      <c r="EZ98" s="115">
        <v>0</v>
      </c>
      <c r="FA98" s="115"/>
      <c r="FB98" s="115"/>
      <c r="FC98" s="115">
        <v>0</v>
      </c>
      <c r="FD98" s="115">
        <f t="shared" si="319"/>
        <v>0</v>
      </c>
      <c r="FE98" s="114">
        <f t="shared" si="312"/>
        <v>0</v>
      </c>
      <c r="FF98" s="115">
        <v>0</v>
      </c>
      <c r="FG98" s="115">
        <v>0</v>
      </c>
      <c r="FH98" s="115">
        <v>0</v>
      </c>
      <c r="FI98" s="115">
        <v>0</v>
      </c>
      <c r="FJ98" s="115">
        <f t="shared" si="320"/>
        <v>0</v>
      </c>
      <c r="FK98" s="114">
        <f t="shared" si="313"/>
        <v>0</v>
      </c>
      <c r="FL98" s="113"/>
      <c r="FM98" s="111"/>
      <c r="FN98" s="111"/>
      <c r="FO98" s="111"/>
      <c r="FP98" s="115">
        <f t="shared" si="216"/>
        <v>0</v>
      </c>
      <c r="FQ98" s="115"/>
      <c r="FR98" s="115"/>
      <c r="FS98" s="115"/>
      <c r="FT98" s="114">
        <f t="shared" si="209"/>
        <v>0</v>
      </c>
      <c r="FU98" s="366">
        <f t="shared" ca="1" si="210"/>
        <v>0</v>
      </c>
      <c r="FV98" s="121">
        <f t="shared" ca="1" si="211"/>
        <v>0</v>
      </c>
      <c r="FW98" s="114">
        <f t="shared" si="218"/>
        <v>0</v>
      </c>
      <c r="FX98" s="114">
        <f t="shared" si="218"/>
        <v>0</v>
      </c>
      <c r="FY98" s="114">
        <f t="shared" si="218"/>
        <v>0</v>
      </c>
      <c r="FZ98" s="114">
        <f t="shared" si="218"/>
        <v>0</v>
      </c>
      <c r="GA98" s="114">
        <f t="shared" si="221"/>
        <v>0</v>
      </c>
      <c r="GB98" s="114">
        <f t="shared" si="219"/>
        <v>0</v>
      </c>
      <c r="GC98" s="114">
        <f t="shared" si="219"/>
        <v>0</v>
      </c>
      <c r="GD98" s="114">
        <f t="shared" si="219"/>
        <v>0</v>
      </c>
      <c r="GE98" s="114">
        <f t="shared" si="219"/>
        <v>0</v>
      </c>
      <c r="GF98" s="114">
        <f t="shared" si="220"/>
        <v>0</v>
      </c>
      <c r="GG98" s="114">
        <f t="shared" si="220"/>
        <v>0</v>
      </c>
      <c r="GH98" s="114">
        <f t="shared" si="220"/>
        <v>0</v>
      </c>
      <c r="GI98" s="114">
        <f t="shared" si="220"/>
        <v>0</v>
      </c>
      <c r="GJ98" s="115">
        <f t="shared" si="321"/>
        <v>0</v>
      </c>
      <c r="GK98" s="114">
        <f t="shared" si="222"/>
        <v>0</v>
      </c>
      <c r="GL98" s="114">
        <f t="shared" si="344"/>
        <v>0</v>
      </c>
      <c r="GM98" s="114">
        <f t="shared" si="345"/>
        <v>0</v>
      </c>
      <c r="GN98" s="114">
        <f t="shared" si="346"/>
        <v>0</v>
      </c>
      <c r="GO98" s="114">
        <f t="shared" si="347"/>
        <v>0</v>
      </c>
      <c r="GP98" s="114">
        <f t="shared" si="322"/>
        <v>0</v>
      </c>
      <c r="GQ98" s="114">
        <f t="shared" si="223"/>
        <v>0</v>
      </c>
      <c r="GR98" s="193"/>
      <c r="GS98" s="122">
        <f t="shared" si="348"/>
        <v>236316569.16417056</v>
      </c>
      <c r="GT98" s="122">
        <f t="shared" si="349"/>
        <v>334663255.49264944</v>
      </c>
      <c r="GU98" s="123">
        <f t="shared" si="224"/>
        <v>0.70613240409764988</v>
      </c>
      <c r="GV98" s="124">
        <f t="shared" ca="1" si="350"/>
        <v>0</v>
      </c>
      <c r="GW98" s="124">
        <v>0</v>
      </c>
      <c r="GX98" s="32">
        <f t="shared" ca="1" si="351"/>
        <v>0</v>
      </c>
      <c r="GY98" s="100"/>
    </row>
    <row r="99" spans="1:207" s="125" customFormat="1" ht="15" hidden="1" customHeight="1">
      <c r="A99" s="102"/>
      <c r="B99" s="103"/>
      <c r="C99" s="103"/>
      <c r="D99" s="104"/>
      <c r="E99" s="104" t="s">
        <v>449</v>
      </c>
      <c r="F99" s="104" t="s">
        <v>449</v>
      </c>
      <c r="G99" s="104" t="s">
        <v>226</v>
      </c>
      <c r="H99" s="105" t="s">
        <v>458</v>
      </c>
      <c r="I99" s="106" t="s">
        <v>459</v>
      </c>
      <c r="J99" s="104" t="s">
        <v>212</v>
      </c>
      <c r="K99" s="104" t="s">
        <v>218</v>
      </c>
      <c r="L99" s="104" t="s">
        <v>223</v>
      </c>
      <c r="M99" s="104" t="s">
        <v>223</v>
      </c>
      <c r="N99" s="107"/>
      <c r="O99" s="108">
        <v>42821</v>
      </c>
      <c r="P99" s="108">
        <v>42821</v>
      </c>
      <c r="Q99" s="322">
        <f t="shared" si="323"/>
        <v>0</v>
      </c>
      <c r="R99" s="109">
        <f>IF((P99-VLOOKUP(Q99,month!$A$1:$C$13,3,0))&lt;0,Q99,Q99+1)</f>
        <v>0</v>
      </c>
      <c r="S99" s="108"/>
      <c r="T99" s="127" t="str">
        <f t="shared" si="215"/>
        <v/>
      </c>
      <c r="U99" s="107"/>
      <c r="V99" s="107"/>
      <c r="W99" s="107"/>
      <c r="X99" s="107"/>
      <c r="Y99" s="386"/>
      <c r="Z99" s="386" t="s">
        <v>545</v>
      </c>
      <c r="AA99" s="387">
        <v>1000</v>
      </c>
      <c r="AB99" s="387">
        <v>1000</v>
      </c>
      <c r="AC99" s="387">
        <v>1000</v>
      </c>
      <c r="AD99" s="387">
        <v>1000</v>
      </c>
      <c r="AE99" s="387">
        <v>1000</v>
      </c>
      <c r="AF99" s="387">
        <v>1000</v>
      </c>
      <c r="AG99" s="387">
        <v>1000</v>
      </c>
      <c r="AH99" s="387">
        <v>1000</v>
      </c>
      <c r="AI99" s="387">
        <v>1000</v>
      </c>
      <c r="AJ99" s="387">
        <v>1000</v>
      </c>
      <c r="AK99" s="387">
        <v>1000</v>
      </c>
      <c r="AL99" s="387">
        <v>1000</v>
      </c>
      <c r="AM99" s="388">
        <f t="shared" si="314"/>
        <v>12000</v>
      </c>
      <c r="AN99" s="388">
        <f t="shared" si="324"/>
        <v>12000</v>
      </c>
      <c r="AO99" s="389">
        <f t="shared" si="217"/>
        <v>1000</v>
      </c>
      <c r="AP99" s="498" t="s">
        <v>672</v>
      </c>
      <c r="AQ99" s="159">
        <v>0.5</v>
      </c>
      <c r="AR99" s="160" t="s">
        <v>392</v>
      </c>
      <c r="AS99" s="119" t="s">
        <v>210</v>
      </c>
      <c r="AT99" s="111">
        <v>3379521.1219363259</v>
      </c>
      <c r="AU99" s="111">
        <v>7327548.5634185346</v>
      </c>
      <c r="AV99" s="111">
        <v>5599955.3026327584</v>
      </c>
      <c r="AW99" s="111">
        <v>6039590.4343528077</v>
      </c>
      <c r="AX99" s="113">
        <v>3463592.7112599993</v>
      </c>
      <c r="AY99" s="113">
        <v>7899234.3228099998</v>
      </c>
      <c r="AZ99" s="113">
        <v>6302483.1859700009</v>
      </c>
      <c r="BA99" s="113"/>
      <c r="BB99" s="113"/>
      <c r="BC99" s="113"/>
      <c r="BD99" s="113"/>
      <c r="BE99" s="113"/>
      <c r="BF99" s="114">
        <f t="shared" si="152"/>
        <v>3463592.7112599993</v>
      </c>
      <c r="BG99" s="114">
        <f t="shared" si="153"/>
        <v>7899234.3228099998</v>
      </c>
      <c r="BH99" s="114">
        <f t="shared" si="154"/>
        <v>6302483.1859700009</v>
      </c>
      <c r="BI99" s="114">
        <f t="shared" si="155"/>
        <v>0</v>
      </c>
      <c r="BJ99" s="114">
        <f t="shared" si="325"/>
        <v>17665310.220040001</v>
      </c>
      <c r="BK99" s="115">
        <f t="shared" si="315"/>
        <v>22346615.422340427</v>
      </c>
      <c r="BL99" s="115">
        <f t="shared" si="156"/>
        <v>22346615.422340427</v>
      </c>
      <c r="BM99" s="116">
        <f t="shared" si="157"/>
        <v>0.79049999999999998</v>
      </c>
      <c r="BN99" s="126">
        <f t="shared" ca="1" si="333"/>
        <v>0</v>
      </c>
      <c r="BO99" s="117">
        <f t="shared" ca="1" si="334"/>
        <v>0</v>
      </c>
      <c r="BP99" s="118" t="str">
        <f t="shared" si="326"/>
        <v>Uncapped</v>
      </c>
      <c r="BQ99" s="115">
        <f t="shared" ca="1" si="335"/>
        <v>0</v>
      </c>
      <c r="BR99" s="113" t="s">
        <v>692</v>
      </c>
      <c r="BS99" s="161">
        <v>0.3</v>
      </c>
      <c r="BT99" s="113" t="s">
        <v>211</v>
      </c>
      <c r="BU99" s="160" t="s">
        <v>210</v>
      </c>
      <c r="BV99" s="113">
        <v>7503606.8202462839</v>
      </c>
      <c r="BW99" s="113">
        <v>8053589.731983399</v>
      </c>
      <c r="BX99" s="113">
        <v>8496001.8380627688</v>
      </c>
      <c r="BY99" s="113">
        <v>8697930.0394548904</v>
      </c>
      <c r="BZ99" s="113">
        <v>7755486.3438000018</v>
      </c>
      <c r="CA99" s="113">
        <v>6815255.5627299994</v>
      </c>
      <c r="CB99" s="113">
        <v>8017330.7311999984</v>
      </c>
      <c r="CC99" s="113"/>
      <c r="CD99" s="113"/>
      <c r="CE99" s="113"/>
      <c r="CF99" s="113"/>
      <c r="CG99" s="113"/>
      <c r="CH99" s="114">
        <f t="shared" si="158"/>
        <v>7755486.3438000018</v>
      </c>
      <c r="CI99" s="114">
        <f t="shared" si="159"/>
        <v>6815255.5627299994</v>
      </c>
      <c r="CJ99" s="120">
        <f t="shared" si="160"/>
        <v>8017330.7311999984</v>
      </c>
      <c r="CK99" s="114">
        <f t="shared" si="161"/>
        <v>0</v>
      </c>
      <c r="CL99" s="114">
        <f t="shared" si="327"/>
        <v>22588072.637729999</v>
      </c>
      <c r="CM99" s="114">
        <f t="shared" si="316"/>
        <v>32751128.429747343</v>
      </c>
      <c r="CN99" s="114">
        <f t="shared" si="162"/>
        <v>32751128.429747343</v>
      </c>
      <c r="CO99" s="116">
        <f t="shared" si="163"/>
        <v>0.68969999999999998</v>
      </c>
      <c r="CP99" s="126">
        <f t="shared" ca="1" si="164"/>
        <v>0</v>
      </c>
      <c r="CQ99" s="115">
        <f t="shared" ca="1" si="336"/>
        <v>0</v>
      </c>
      <c r="CR99" s="118" t="str">
        <f t="shared" si="328"/>
        <v>Uncapped</v>
      </c>
      <c r="CS99" s="115">
        <f t="shared" ca="1" si="337"/>
        <v>0</v>
      </c>
      <c r="CT99" s="113" t="s">
        <v>696</v>
      </c>
      <c r="CU99" s="119">
        <v>0.2</v>
      </c>
      <c r="CV99" s="113" t="s">
        <v>217</v>
      </c>
      <c r="CW99" s="113" t="s">
        <v>210</v>
      </c>
      <c r="CX99" s="113">
        <v>61881722.047854595</v>
      </c>
      <c r="CY99" s="113">
        <v>72180793.063260496</v>
      </c>
      <c r="CZ99" s="113">
        <v>69179032.514420599</v>
      </c>
      <c r="DA99" s="113">
        <v>76323964.015026003</v>
      </c>
      <c r="DB99" s="113">
        <v>63657388.730680585</v>
      </c>
      <c r="DC99" s="113">
        <v>65995192.891159974</v>
      </c>
      <c r="DD99" s="113">
        <v>66410604.684560001</v>
      </c>
      <c r="DE99" s="113"/>
      <c r="DF99" s="113"/>
      <c r="DG99" s="113"/>
      <c r="DH99" s="113"/>
      <c r="DI99" s="113"/>
      <c r="DJ99" s="114">
        <f t="shared" si="165"/>
        <v>63657388.730680585</v>
      </c>
      <c r="DK99" s="114">
        <f t="shared" si="166"/>
        <v>65995192.891159974</v>
      </c>
      <c r="DL99" s="114">
        <f t="shared" si="167"/>
        <v>66410604.684560001</v>
      </c>
      <c r="DM99" s="114">
        <f t="shared" si="168"/>
        <v>0</v>
      </c>
      <c r="DN99" s="114">
        <f t="shared" si="329"/>
        <v>196063186.30640057</v>
      </c>
      <c r="DO99" s="114">
        <f t="shared" si="317"/>
        <v>279565511.6405617</v>
      </c>
      <c r="DP99" s="114">
        <f t="shared" si="169"/>
        <v>279565511.6405617</v>
      </c>
      <c r="DQ99" s="116">
        <f t="shared" si="170"/>
        <v>0.70130000000000003</v>
      </c>
      <c r="DR99" s="126">
        <f t="shared" ca="1" si="338"/>
        <v>0</v>
      </c>
      <c r="DS99" s="115">
        <f t="shared" ca="1" si="339"/>
        <v>0</v>
      </c>
      <c r="DT99" s="118" t="str">
        <f t="shared" si="330"/>
        <v>Uncapped</v>
      </c>
      <c r="DU99" s="115">
        <f t="shared" ca="1" si="340"/>
        <v>0</v>
      </c>
      <c r="DV99" s="113"/>
      <c r="DW99" s="119">
        <v>0</v>
      </c>
      <c r="DX99" s="113"/>
      <c r="DY99" s="113"/>
      <c r="DZ99" s="113">
        <v>0</v>
      </c>
      <c r="EA99" s="113">
        <v>0</v>
      </c>
      <c r="EB99" s="113">
        <v>0</v>
      </c>
      <c r="EC99" s="113">
        <v>0</v>
      </c>
      <c r="ED99" s="113">
        <v>0</v>
      </c>
      <c r="EE99" s="113">
        <v>0</v>
      </c>
      <c r="EF99" s="113"/>
      <c r="EG99" s="113"/>
      <c r="EH99" s="113"/>
      <c r="EI99" s="113"/>
      <c r="EJ99" s="113"/>
      <c r="EK99" s="113"/>
      <c r="EL99" s="114">
        <f t="shared" si="171"/>
        <v>0</v>
      </c>
      <c r="EM99" s="114">
        <f t="shared" si="172"/>
        <v>0</v>
      </c>
      <c r="EN99" s="114">
        <f t="shared" si="173"/>
        <v>0</v>
      </c>
      <c r="EO99" s="114">
        <f t="shared" si="174"/>
        <v>0</v>
      </c>
      <c r="EP99" s="114">
        <f t="shared" si="331"/>
        <v>0</v>
      </c>
      <c r="EQ99" s="114">
        <f t="shared" si="318"/>
        <v>0</v>
      </c>
      <c r="ER99" s="114">
        <f t="shared" si="175"/>
        <v>0</v>
      </c>
      <c r="ES99" s="116">
        <f t="shared" si="176"/>
        <v>0</v>
      </c>
      <c r="ET99" s="126">
        <f t="shared" ca="1" si="177"/>
        <v>0</v>
      </c>
      <c r="EU99" s="115">
        <f t="shared" ca="1" si="341"/>
        <v>0</v>
      </c>
      <c r="EV99" s="118" t="str">
        <f t="shared" si="332"/>
        <v>Uncapped</v>
      </c>
      <c r="EW99" s="115">
        <f t="shared" ca="1" si="342"/>
        <v>0</v>
      </c>
      <c r="EX99" s="112">
        <f t="shared" ca="1" si="343"/>
        <v>0</v>
      </c>
      <c r="EY99" s="114">
        <f t="shared" ca="1" si="178"/>
        <v>0</v>
      </c>
      <c r="EZ99" s="115">
        <v>0</v>
      </c>
      <c r="FA99" s="115"/>
      <c r="FB99" s="115"/>
      <c r="FC99" s="115">
        <v>0</v>
      </c>
      <c r="FD99" s="115">
        <f t="shared" si="319"/>
        <v>0</v>
      </c>
      <c r="FE99" s="114">
        <f t="shared" si="312"/>
        <v>0</v>
      </c>
      <c r="FF99" s="115">
        <v>0</v>
      </c>
      <c r="FG99" s="115">
        <v>0</v>
      </c>
      <c r="FH99" s="115">
        <v>0</v>
      </c>
      <c r="FI99" s="115">
        <v>0</v>
      </c>
      <c r="FJ99" s="115">
        <f t="shared" si="320"/>
        <v>0</v>
      </c>
      <c r="FK99" s="114">
        <f t="shared" si="313"/>
        <v>0</v>
      </c>
      <c r="FL99" s="113"/>
      <c r="FM99" s="111"/>
      <c r="FN99" s="111"/>
      <c r="FO99" s="111"/>
      <c r="FP99" s="115">
        <f t="shared" si="216"/>
        <v>0</v>
      </c>
      <c r="FQ99" s="115"/>
      <c r="FR99" s="115"/>
      <c r="FS99" s="115"/>
      <c r="FT99" s="114">
        <f t="shared" si="209"/>
        <v>0</v>
      </c>
      <c r="FU99" s="366">
        <f t="shared" ca="1" si="210"/>
        <v>0</v>
      </c>
      <c r="FV99" s="121">
        <f t="shared" ca="1" si="211"/>
        <v>0</v>
      </c>
      <c r="FW99" s="114">
        <f t="shared" si="218"/>
        <v>0</v>
      </c>
      <c r="FX99" s="114">
        <f t="shared" si="218"/>
        <v>0</v>
      </c>
      <c r="FY99" s="114">
        <f t="shared" si="218"/>
        <v>0</v>
      </c>
      <c r="FZ99" s="114">
        <f t="shared" si="218"/>
        <v>0</v>
      </c>
      <c r="GA99" s="114">
        <f t="shared" si="221"/>
        <v>0</v>
      </c>
      <c r="GB99" s="114">
        <f t="shared" si="219"/>
        <v>0</v>
      </c>
      <c r="GC99" s="114">
        <f t="shared" si="219"/>
        <v>0</v>
      </c>
      <c r="GD99" s="114">
        <f t="shared" si="219"/>
        <v>0</v>
      </c>
      <c r="GE99" s="114">
        <f t="shared" si="219"/>
        <v>0</v>
      </c>
      <c r="GF99" s="114">
        <f t="shared" si="220"/>
        <v>0</v>
      </c>
      <c r="GG99" s="114">
        <f t="shared" si="220"/>
        <v>0</v>
      </c>
      <c r="GH99" s="114">
        <f t="shared" si="220"/>
        <v>0</v>
      </c>
      <c r="GI99" s="114">
        <f t="shared" si="220"/>
        <v>0</v>
      </c>
      <c r="GJ99" s="115">
        <f t="shared" si="321"/>
        <v>0</v>
      </c>
      <c r="GK99" s="114">
        <f t="shared" si="222"/>
        <v>0</v>
      </c>
      <c r="GL99" s="114">
        <f t="shared" si="344"/>
        <v>0</v>
      </c>
      <c r="GM99" s="114">
        <f t="shared" si="345"/>
        <v>0</v>
      </c>
      <c r="GN99" s="114">
        <f t="shared" si="346"/>
        <v>0</v>
      </c>
      <c r="GO99" s="114">
        <f t="shared" si="347"/>
        <v>0</v>
      </c>
      <c r="GP99" s="114">
        <f t="shared" si="322"/>
        <v>0</v>
      </c>
      <c r="GQ99" s="114">
        <f t="shared" si="223"/>
        <v>0</v>
      </c>
      <c r="GR99" s="193"/>
      <c r="GS99" s="122">
        <f t="shared" si="348"/>
        <v>236316569.16417056</v>
      </c>
      <c r="GT99" s="122">
        <f t="shared" si="349"/>
        <v>334663255.49264944</v>
      </c>
      <c r="GU99" s="123">
        <f t="shared" si="224"/>
        <v>0.70613240409764988</v>
      </c>
      <c r="GV99" s="124">
        <f t="shared" ca="1" si="350"/>
        <v>0</v>
      </c>
      <c r="GW99" s="124">
        <v>0</v>
      </c>
      <c r="GX99" s="32">
        <f t="shared" ca="1" si="351"/>
        <v>0</v>
      </c>
      <c r="GY99" s="100"/>
    </row>
    <row r="100" spans="1:207" s="125" customFormat="1" ht="15" hidden="1" customHeight="1">
      <c r="A100" s="102"/>
      <c r="B100" s="103"/>
      <c r="C100" s="103" t="s">
        <v>74</v>
      </c>
      <c r="D100" s="104"/>
      <c r="E100" s="104"/>
      <c r="F100" s="170" t="s">
        <v>449</v>
      </c>
      <c r="G100" s="104" t="s">
        <v>226</v>
      </c>
      <c r="H100" s="105" t="s">
        <v>460</v>
      </c>
      <c r="I100" s="106" t="s">
        <v>645</v>
      </c>
      <c r="J100" s="104" t="s">
        <v>212</v>
      </c>
      <c r="K100" s="104" t="s">
        <v>218</v>
      </c>
      <c r="L100" s="104" t="s">
        <v>223</v>
      </c>
      <c r="M100" s="104" t="s">
        <v>223</v>
      </c>
      <c r="N100" s="107"/>
      <c r="O100" s="549">
        <v>43525</v>
      </c>
      <c r="P100" s="359">
        <v>43525</v>
      </c>
      <c r="Q100" s="322">
        <f t="shared" si="323"/>
        <v>3</v>
      </c>
      <c r="R100" s="109">
        <f>IF((P100-VLOOKUP(Q100,month!$A$1:$C$13,3,0))&lt;0,Q100,Q100+1)</f>
        <v>3</v>
      </c>
      <c r="S100" s="108"/>
      <c r="T100" s="127" t="str">
        <f t="shared" si="215"/>
        <v/>
      </c>
      <c r="U100" s="320" t="s">
        <v>214</v>
      </c>
      <c r="V100" s="320">
        <v>1</v>
      </c>
      <c r="W100" s="320">
        <v>2</v>
      </c>
      <c r="X100" s="107"/>
      <c r="Y100" s="386"/>
      <c r="Z100" s="386" t="s">
        <v>545</v>
      </c>
      <c r="AA100" s="387">
        <v>1000</v>
      </c>
      <c r="AB100" s="387">
        <v>1000</v>
      </c>
      <c r="AC100" s="387">
        <v>1000</v>
      </c>
      <c r="AD100" s="387">
        <v>1000</v>
      </c>
      <c r="AE100" s="387">
        <v>1000</v>
      </c>
      <c r="AF100" s="387">
        <v>1000</v>
      </c>
      <c r="AG100" s="387">
        <v>1000</v>
      </c>
      <c r="AH100" s="387">
        <v>1000</v>
      </c>
      <c r="AI100" s="387">
        <v>1000</v>
      </c>
      <c r="AJ100" s="387">
        <v>1000</v>
      </c>
      <c r="AK100" s="387">
        <v>1000</v>
      </c>
      <c r="AL100" s="387">
        <v>1000</v>
      </c>
      <c r="AM100" s="388">
        <f t="shared" si="314"/>
        <v>12000</v>
      </c>
      <c r="AN100" s="388">
        <f t="shared" si="324"/>
        <v>12000</v>
      </c>
      <c r="AO100" s="389">
        <f>AC100</f>
        <v>1000</v>
      </c>
      <c r="AP100" s="498" t="s">
        <v>672</v>
      </c>
      <c r="AQ100" s="159">
        <v>0.5</v>
      </c>
      <c r="AR100" s="160" t="s">
        <v>392</v>
      </c>
      <c r="AS100" s="119" t="s">
        <v>210</v>
      </c>
      <c r="AT100" s="111">
        <v>1689760.5609681651</v>
      </c>
      <c r="AU100" s="111">
        <v>7327548.5634185346</v>
      </c>
      <c r="AV100" s="111">
        <v>5599955.3026327584</v>
      </c>
      <c r="AW100" s="111">
        <v>6039590.4343528077</v>
      </c>
      <c r="AX100" s="113">
        <v>1967591.9781200001</v>
      </c>
      <c r="AY100" s="113">
        <v>7899234.3228099998</v>
      </c>
      <c r="AZ100" s="113">
        <v>6302483.1859700009</v>
      </c>
      <c r="BA100" s="113">
        <f>AW100</f>
        <v>6039590.4343528077</v>
      </c>
      <c r="BB100" s="113"/>
      <c r="BC100" s="113"/>
      <c r="BD100" s="113"/>
      <c r="BE100" s="113"/>
      <c r="BF100" s="114">
        <f t="shared" si="152"/>
        <v>1967591.9781200001</v>
      </c>
      <c r="BG100" s="114">
        <f t="shared" si="153"/>
        <v>7899234.3228099998</v>
      </c>
      <c r="BH100" s="114">
        <f t="shared" si="154"/>
        <v>6302483.1859700009</v>
      </c>
      <c r="BI100" s="114">
        <f t="shared" si="155"/>
        <v>6039590.4343528077</v>
      </c>
      <c r="BJ100" s="114">
        <f t="shared" si="325"/>
        <v>22208899.921252809</v>
      </c>
      <c r="BK100" s="115">
        <f t="shared" si="315"/>
        <v>20656854.861372266</v>
      </c>
      <c r="BL100" s="115">
        <f t="shared" si="156"/>
        <v>20656854.861372266</v>
      </c>
      <c r="BM100" s="116">
        <f t="shared" si="157"/>
        <v>1.0750999999999999</v>
      </c>
      <c r="BN100" s="126">
        <f t="shared" ca="1" si="333"/>
        <v>0</v>
      </c>
      <c r="BO100" s="117">
        <f t="shared" ca="1" si="334"/>
        <v>0</v>
      </c>
      <c r="BP100" s="118" t="str">
        <f t="shared" si="326"/>
        <v>Uncapped</v>
      </c>
      <c r="BQ100" s="115">
        <f t="shared" ca="1" si="335"/>
        <v>0</v>
      </c>
      <c r="BR100" s="113" t="s">
        <v>692</v>
      </c>
      <c r="BS100" s="161">
        <v>0.3</v>
      </c>
      <c r="BT100" s="113" t="s">
        <v>211</v>
      </c>
      <c r="BU100" s="160" t="s">
        <v>210</v>
      </c>
      <c r="BV100" s="113">
        <v>3751803.4101231401</v>
      </c>
      <c r="BW100" s="113">
        <v>8053589.731983399</v>
      </c>
      <c r="BX100" s="113">
        <v>8496001.8380627688</v>
      </c>
      <c r="BY100" s="113">
        <v>8697930.0394548904</v>
      </c>
      <c r="BZ100" s="113">
        <v>4726932.0570099996</v>
      </c>
      <c r="CA100" s="113">
        <v>6815255.5627299994</v>
      </c>
      <c r="CB100" s="113">
        <v>8017330.7311999984</v>
      </c>
      <c r="CC100" s="113">
        <f t="shared" ref="CC100:CC165" si="352">BY100</f>
        <v>8697930.0394548904</v>
      </c>
      <c r="CD100" s="113"/>
      <c r="CE100" s="113"/>
      <c r="CF100" s="113"/>
      <c r="CG100" s="113"/>
      <c r="CH100" s="114">
        <f t="shared" si="158"/>
        <v>4726932.0570099996</v>
      </c>
      <c r="CI100" s="114">
        <f t="shared" si="159"/>
        <v>6815255.5627299994</v>
      </c>
      <c r="CJ100" s="120">
        <f t="shared" si="160"/>
        <v>8017330.7311999984</v>
      </c>
      <c r="CK100" s="114">
        <f t="shared" si="161"/>
        <v>8697930.0394548904</v>
      </c>
      <c r="CL100" s="114">
        <f t="shared" si="327"/>
        <v>28257448.390394889</v>
      </c>
      <c r="CM100" s="114">
        <f t="shared" si="316"/>
        <v>28999325.019624196</v>
      </c>
      <c r="CN100" s="114">
        <f t="shared" si="162"/>
        <v>28999325.019624196</v>
      </c>
      <c r="CO100" s="116">
        <f t="shared" si="163"/>
        <v>0.97440000000000004</v>
      </c>
      <c r="CP100" s="126">
        <f t="shared" ca="1" si="164"/>
        <v>0</v>
      </c>
      <c r="CQ100" s="115">
        <f t="shared" ca="1" si="336"/>
        <v>0</v>
      </c>
      <c r="CR100" s="118">
        <v>1</v>
      </c>
      <c r="CS100" s="115">
        <f t="shared" si="337"/>
        <v>3600</v>
      </c>
      <c r="CT100" s="113" t="s">
        <v>696</v>
      </c>
      <c r="CU100" s="119">
        <v>0.2</v>
      </c>
      <c r="CV100" s="113" t="s">
        <v>217</v>
      </c>
      <c r="CW100" s="113" t="s">
        <v>210</v>
      </c>
      <c r="CX100" s="113">
        <v>30940861.023927301</v>
      </c>
      <c r="CY100" s="113">
        <v>72180793.063260496</v>
      </c>
      <c r="CZ100" s="113">
        <v>69179032.514420599</v>
      </c>
      <c r="DA100" s="113">
        <v>76323964.015026003</v>
      </c>
      <c r="DB100" s="113">
        <v>33496468.269340005</v>
      </c>
      <c r="DC100" s="113">
        <v>65995192.891159974</v>
      </c>
      <c r="DD100" s="113">
        <v>66410604.684560001</v>
      </c>
      <c r="DE100" s="113">
        <f>DA100</f>
        <v>76323964.015026003</v>
      </c>
      <c r="DF100" s="113"/>
      <c r="DG100" s="113"/>
      <c r="DH100" s="113"/>
      <c r="DI100" s="113"/>
      <c r="DJ100" s="114">
        <f t="shared" si="165"/>
        <v>33496468.269340005</v>
      </c>
      <c r="DK100" s="114">
        <f t="shared" si="166"/>
        <v>65995192.891159974</v>
      </c>
      <c r="DL100" s="114">
        <f t="shared" si="167"/>
        <v>66410604.684560001</v>
      </c>
      <c r="DM100" s="114">
        <f t="shared" si="168"/>
        <v>76323964.015026003</v>
      </c>
      <c r="DN100" s="114">
        <f t="shared" si="329"/>
        <v>242226229.86008599</v>
      </c>
      <c r="DO100" s="114">
        <f t="shared" si="317"/>
        <v>248624650.6166344</v>
      </c>
      <c r="DP100" s="114">
        <f t="shared" si="169"/>
        <v>248624650.6166344</v>
      </c>
      <c r="DQ100" s="116">
        <f t="shared" si="170"/>
        <v>0.97430000000000005</v>
      </c>
      <c r="DR100" s="126">
        <f t="shared" ca="1" si="338"/>
        <v>0</v>
      </c>
      <c r="DS100" s="115">
        <f t="shared" ca="1" si="339"/>
        <v>0</v>
      </c>
      <c r="DT100" s="118">
        <v>1</v>
      </c>
      <c r="DU100" s="115">
        <f t="shared" si="340"/>
        <v>2400</v>
      </c>
      <c r="DV100" s="113"/>
      <c r="DW100" s="119">
        <v>0</v>
      </c>
      <c r="DX100" s="113"/>
      <c r="DY100" s="113"/>
      <c r="DZ100" s="113">
        <v>0</v>
      </c>
      <c r="EA100" s="113">
        <v>0</v>
      </c>
      <c r="EB100" s="113">
        <v>0</v>
      </c>
      <c r="EC100" s="113">
        <v>0</v>
      </c>
      <c r="ED100" s="113">
        <v>0</v>
      </c>
      <c r="EE100" s="113">
        <v>0</v>
      </c>
      <c r="EF100" s="113"/>
      <c r="EG100" s="113"/>
      <c r="EH100" s="113"/>
      <c r="EI100" s="113"/>
      <c r="EJ100" s="113"/>
      <c r="EK100" s="113"/>
      <c r="EL100" s="114">
        <f t="shared" si="171"/>
        <v>0</v>
      </c>
      <c r="EM100" s="114">
        <f t="shared" si="172"/>
        <v>0</v>
      </c>
      <c r="EN100" s="114">
        <f t="shared" si="173"/>
        <v>0</v>
      </c>
      <c r="EO100" s="114">
        <f t="shared" si="174"/>
        <v>0</v>
      </c>
      <c r="EP100" s="114">
        <f t="shared" si="331"/>
        <v>0</v>
      </c>
      <c r="EQ100" s="114">
        <f t="shared" si="318"/>
        <v>0</v>
      </c>
      <c r="ER100" s="114">
        <f t="shared" si="175"/>
        <v>0</v>
      </c>
      <c r="ES100" s="116">
        <f t="shared" si="176"/>
        <v>0</v>
      </c>
      <c r="ET100" s="126">
        <f t="shared" ca="1" si="177"/>
        <v>0</v>
      </c>
      <c r="EU100" s="115">
        <f t="shared" ca="1" si="341"/>
        <v>0</v>
      </c>
      <c r="EV100" s="118" t="str">
        <f t="shared" si="332"/>
        <v>Uncapped</v>
      </c>
      <c r="EW100" s="115">
        <f t="shared" ca="1" si="342"/>
        <v>0</v>
      </c>
      <c r="EX100" s="112">
        <f t="shared" ca="1" si="343"/>
        <v>0</v>
      </c>
      <c r="EY100" s="114">
        <f t="shared" ca="1" si="178"/>
        <v>3000</v>
      </c>
      <c r="EZ100" s="115">
        <v>0</v>
      </c>
      <c r="FA100" s="115"/>
      <c r="FB100" s="115"/>
      <c r="FC100" s="115">
        <v>0</v>
      </c>
      <c r="FD100" s="115">
        <f t="shared" si="319"/>
        <v>0</v>
      </c>
      <c r="FE100" s="114">
        <f t="shared" si="312"/>
        <v>0</v>
      </c>
      <c r="FF100" s="115">
        <v>0</v>
      </c>
      <c r="FG100" s="115">
        <v>0</v>
      </c>
      <c r="FH100" s="115">
        <v>0</v>
      </c>
      <c r="FI100" s="115">
        <v>0</v>
      </c>
      <c r="FJ100" s="115">
        <f t="shared" si="320"/>
        <v>0</v>
      </c>
      <c r="FK100" s="114">
        <f t="shared" si="313"/>
        <v>0</v>
      </c>
      <c r="FL100" s="113"/>
      <c r="FM100" s="111"/>
      <c r="FN100" s="111"/>
      <c r="FO100" s="111"/>
      <c r="FP100" s="115">
        <f t="shared" si="216"/>
        <v>0</v>
      </c>
      <c r="FQ100" s="115"/>
      <c r="FR100" s="115"/>
      <c r="FS100" s="115"/>
      <c r="FT100" s="114">
        <f t="shared" si="209"/>
        <v>0</v>
      </c>
      <c r="FU100" s="366">
        <f t="shared" ca="1" si="210"/>
        <v>3000</v>
      </c>
      <c r="FV100" s="121">
        <f t="shared" ca="1" si="211"/>
        <v>3000</v>
      </c>
      <c r="FW100" s="114">
        <f t="shared" si="218"/>
        <v>0</v>
      </c>
      <c r="FX100" s="114">
        <f t="shared" si="218"/>
        <v>0</v>
      </c>
      <c r="FY100" s="114">
        <f t="shared" si="218"/>
        <v>0</v>
      </c>
      <c r="FZ100" s="114">
        <f t="shared" si="218"/>
        <v>0</v>
      </c>
      <c r="GA100" s="114">
        <f t="shared" si="221"/>
        <v>0</v>
      </c>
      <c r="GB100" s="114">
        <f t="shared" si="219"/>
        <v>0</v>
      </c>
      <c r="GC100" s="114">
        <f t="shared" si="219"/>
        <v>0</v>
      </c>
      <c r="GD100" s="114">
        <f t="shared" si="219"/>
        <v>0</v>
      </c>
      <c r="GE100" s="114">
        <f t="shared" si="219"/>
        <v>0</v>
      </c>
      <c r="GF100" s="114">
        <f t="shared" si="220"/>
        <v>0</v>
      </c>
      <c r="GG100" s="114">
        <f t="shared" si="220"/>
        <v>0</v>
      </c>
      <c r="GH100" s="114">
        <f t="shared" si="220"/>
        <v>0</v>
      </c>
      <c r="GI100" s="114">
        <f t="shared" si="220"/>
        <v>0</v>
      </c>
      <c r="GJ100" s="115">
        <f t="shared" si="321"/>
        <v>0</v>
      </c>
      <c r="GK100" s="114">
        <f t="shared" si="222"/>
        <v>0</v>
      </c>
      <c r="GL100" s="114">
        <f t="shared" si="344"/>
        <v>1000</v>
      </c>
      <c r="GM100" s="114">
        <f t="shared" si="345"/>
        <v>2000</v>
      </c>
      <c r="GN100" s="114">
        <f t="shared" si="346"/>
        <v>0</v>
      </c>
      <c r="GO100" s="114">
        <f t="shared" si="347"/>
        <v>0</v>
      </c>
      <c r="GP100" s="114">
        <f t="shared" si="322"/>
        <v>3000</v>
      </c>
      <c r="GQ100" s="114">
        <f t="shared" si="223"/>
        <v>3000</v>
      </c>
      <c r="GR100" s="193"/>
      <c r="GS100" s="122">
        <f t="shared" si="348"/>
        <v>292692578.17173368</v>
      </c>
      <c r="GT100" s="122">
        <f t="shared" si="349"/>
        <v>298280830.49763083</v>
      </c>
      <c r="GU100" s="123">
        <f t="shared" si="224"/>
        <v>0.9812651308614968</v>
      </c>
      <c r="GV100" s="124">
        <f t="shared" ca="1" si="350"/>
        <v>0</v>
      </c>
      <c r="GW100" s="124">
        <v>0</v>
      </c>
      <c r="GX100" s="32">
        <f t="shared" ca="1" si="351"/>
        <v>0</v>
      </c>
      <c r="GY100" s="100"/>
    </row>
    <row r="101" spans="1:207" s="125" customFormat="1" ht="15" hidden="1" customHeight="1">
      <c r="A101" s="102"/>
      <c r="B101" s="103"/>
      <c r="C101" s="103"/>
      <c r="D101" s="104"/>
      <c r="E101" s="104" t="s">
        <v>461</v>
      </c>
      <c r="F101" s="104" t="s">
        <v>462</v>
      </c>
      <c r="G101" s="104" t="s">
        <v>226</v>
      </c>
      <c r="H101" s="105" t="s">
        <v>463</v>
      </c>
      <c r="I101" s="106" t="s">
        <v>464</v>
      </c>
      <c r="J101" s="104" t="s">
        <v>212</v>
      </c>
      <c r="K101" s="104" t="s">
        <v>218</v>
      </c>
      <c r="L101" s="104" t="s">
        <v>465</v>
      </c>
      <c r="M101" s="104" t="s">
        <v>465</v>
      </c>
      <c r="N101" s="107"/>
      <c r="O101" s="108">
        <v>40917</v>
      </c>
      <c r="P101" s="108">
        <v>43252</v>
      </c>
      <c r="Q101" s="322">
        <f t="shared" si="323"/>
        <v>0</v>
      </c>
      <c r="R101" s="109">
        <f>IF((P101-VLOOKUP(Q101,month!$A$1:$C$13,3,0))&lt;0,Q101,Q101+1)</f>
        <v>0</v>
      </c>
      <c r="S101" s="108"/>
      <c r="T101" s="127" t="str">
        <f t="shared" si="215"/>
        <v/>
      </c>
      <c r="U101" s="107"/>
      <c r="V101" s="107"/>
      <c r="W101" s="107"/>
      <c r="X101" s="107"/>
      <c r="Y101" s="386"/>
      <c r="Z101" s="386" t="s">
        <v>545</v>
      </c>
      <c r="AA101" s="387">
        <v>1000</v>
      </c>
      <c r="AB101" s="387">
        <v>1000</v>
      </c>
      <c r="AC101" s="387">
        <v>1000</v>
      </c>
      <c r="AD101" s="387">
        <v>1000</v>
      </c>
      <c r="AE101" s="387">
        <v>1000</v>
      </c>
      <c r="AF101" s="387">
        <v>1000</v>
      </c>
      <c r="AG101" s="387">
        <v>1000</v>
      </c>
      <c r="AH101" s="387">
        <v>1000</v>
      </c>
      <c r="AI101" s="387">
        <v>1000</v>
      </c>
      <c r="AJ101" s="387">
        <v>1000</v>
      </c>
      <c r="AK101" s="387">
        <v>1000</v>
      </c>
      <c r="AL101" s="387">
        <v>1000</v>
      </c>
      <c r="AM101" s="388">
        <f t="shared" si="314"/>
        <v>12000</v>
      </c>
      <c r="AN101" s="388">
        <f t="shared" si="324"/>
        <v>12000</v>
      </c>
      <c r="AO101" s="389">
        <f t="shared" ref="AO101:AO108" si="353">AI101</f>
        <v>1000</v>
      </c>
      <c r="AP101" s="498" t="s">
        <v>672</v>
      </c>
      <c r="AQ101" s="159">
        <v>0.4</v>
      </c>
      <c r="AR101" s="160" t="s">
        <v>211</v>
      </c>
      <c r="AS101" s="119" t="s">
        <v>210</v>
      </c>
      <c r="AT101" s="111">
        <v>3379521.1219363259</v>
      </c>
      <c r="AU101" s="111">
        <v>7327548.5634185346</v>
      </c>
      <c r="AV101" s="111">
        <v>5599955.3026327584</v>
      </c>
      <c r="AW101" s="111">
        <v>6039590.4343528077</v>
      </c>
      <c r="AX101" s="113">
        <v>3463592.7112599993</v>
      </c>
      <c r="AY101" s="113">
        <v>7899234.3228099998</v>
      </c>
      <c r="AZ101" s="113">
        <v>6302483.1859700009</v>
      </c>
      <c r="BA101" s="113"/>
      <c r="BB101" s="113"/>
      <c r="BC101" s="113"/>
      <c r="BD101" s="113"/>
      <c r="BE101" s="113"/>
      <c r="BF101" s="114">
        <f t="shared" si="152"/>
        <v>3463592.7112599993</v>
      </c>
      <c r="BG101" s="114">
        <f t="shared" si="153"/>
        <v>7899234.3228099998</v>
      </c>
      <c r="BH101" s="114">
        <f t="shared" si="154"/>
        <v>6302483.1859700009</v>
      </c>
      <c r="BI101" s="114">
        <f t="shared" si="155"/>
        <v>0</v>
      </c>
      <c r="BJ101" s="114">
        <f t="shared" si="325"/>
        <v>17665310.220040001</v>
      </c>
      <c r="BK101" s="115">
        <f t="shared" si="315"/>
        <v>22346615.422340427</v>
      </c>
      <c r="BL101" s="115">
        <f t="shared" si="156"/>
        <v>22346615.422340427</v>
      </c>
      <c r="BM101" s="116">
        <f t="shared" si="157"/>
        <v>0.79049999999999998</v>
      </c>
      <c r="BN101" s="126">
        <f t="shared" ca="1" si="333"/>
        <v>0</v>
      </c>
      <c r="BO101" s="117">
        <f t="shared" ca="1" si="334"/>
        <v>0</v>
      </c>
      <c r="BP101" s="118" t="str">
        <f t="shared" si="326"/>
        <v>Uncapped</v>
      </c>
      <c r="BQ101" s="115">
        <f t="shared" ca="1" si="335"/>
        <v>0</v>
      </c>
      <c r="BR101" s="113" t="s">
        <v>692</v>
      </c>
      <c r="BS101" s="161">
        <v>0.4</v>
      </c>
      <c r="BT101" s="113" t="s">
        <v>211</v>
      </c>
      <c r="BU101" s="160" t="s">
        <v>210</v>
      </c>
      <c r="BV101" s="113">
        <v>7503606.8202462839</v>
      </c>
      <c r="BW101" s="113">
        <v>8053589.731983399</v>
      </c>
      <c r="BX101" s="113">
        <v>8496001.8380627688</v>
      </c>
      <c r="BY101" s="113">
        <v>8697930.0394548904</v>
      </c>
      <c r="BZ101" s="113">
        <v>7755486.3438000018</v>
      </c>
      <c r="CA101" s="113">
        <v>6815255.5627299994</v>
      </c>
      <c r="CB101" s="113">
        <v>8017330.7311999984</v>
      </c>
      <c r="CC101" s="113">
        <f t="shared" si="352"/>
        <v>8697930.0394548904</v>
      </c>
      <c r="CD101" s="113"/>
      <c r="CE101" s="113"/>
      <c r="CF101" s="113"/>
      <c r="CG101" s="113"/>
      <c r="CH101" s="114">
        <f t="shared" si="158"/>
        <v>7755486.3438000018</v>
      </c>
      <c r="CI101" s="114">
        <f t="shared" si="159"/>
        <v>6815255.5627299994</v>
      </c>
      <c r="CJ101" s="120">
        <f t="shared" si="160"/>
        <v>8017330.7311999984</v>
      </c>
      <c r="CK101" s="114">
        <f t="shared" si="161"/>
        <v>8697930.0394548904</v>
      </c>
      <c r="CL101" s="114">
        <f t="shared" si="327"/>
        <v>31286002.677184887</v>
      </c>
      <c r="CM101" s="114">
        <f t="shared" si="316"/>
        <v>32751128.429747343</v>
      </c>
      <c r="CN101" s="114">
        <f t="shared" si="162"/>
        <v>32751128.429747343</v>
      </c>
      <c r="CO101" s="116">
        <f t="shared" si="163"/>
        <v>0.95530000000000004</v>
      </c>
      <c r="CP101" s="126">
        <f t="shared" ca="1" si="164"/>
        <v>0</v>
      </c>
      <c r="CQ101" s="115">
        <f t="shared" ca="1" si="336"/>
        <v>0</v>
      </c>
      <c r="CR101" s="118" t="str">
        <f t="shared" si="328"/>
        <v>Uncapped</v>
      </c>
      <c r="CS101" s="115">
        <f t="shared" ca="1" si="337"/>
        <v>0</v>
      </c>
      <c r="CT101" s="113" t="s">
        <v>696</v>
      </c>
      <c r="CU101" s="119">
        <v>0.2</v>
      </c>
      <c r="CV101" s="113" t="s">
        <v>217</v>
      </c>
      <c r="CW101" s="113" t="s">
        <v>210</v>
      </c>
      <c r="CX101" s="113">
        <v>61881722.047854595</v>
      </c>
      <c r="CY101" s="113">
        <v>72180793.063260496</v>
      </c>
      <c r="CZ101" s="113">
        <v>69179032.514420599</v>
      </c>
      <c r="DA101" s="113">
        <v>76323964.015026003</v>
      </c>
      <c r="DB101" s="113">
        <v>63657388.730680585</v>
      </c>
      <c r="DC101" s="113">
        <v>65995192.891159974</v>
      </c>
      <c r="DD101" s="113">
        <v>66410604.684560001</v>
      </c>
      <c r="DE101" s="113"/>
      <c r="DF101" s="113"/>
      <c r="DG101" s="113"/>
      <c r="DH101" s="113"/>
      <c r="DI101" s="113"/>
      <c r="DJ101" s="114">
        <f t="shared" si="165"/>
        <v>63657388.730680585</v>
      </c>
      <c r="DK101" s="114">
        <f t="shared" si="166"/>
        <v>65995192.891159974</v>
      </c>
      <c r="DL101" s="114">
        <f t="shared" si="167"/>
        <v>66410604.684560001</v>
      </c>
      <c r="DM101" s="114">
        <f t="shared" si="168"/>
        <v>0</v>
      </c>
      <c r="DN101" s="114">
        <f t="shared" si="329"/>
        <v>196063186.30640057</v>
      </c>
      <c r="DO101" s="114">
        <f t="shared" si="317"/>
        <v>279565511.6405617</v>
      </c>
      <c r="DP101" s="114">
        <f t="shared" si="169"/>
        <v>279565511.6405617</v>
      </c>
      <c r="DQ101" s="116">
        <f t="shared" si="170"/>
        <v>0.70130000000000003</v>
      </c>
      <c r="DR101" s="126">
        <f t="shared" ca="1" si="338"/>
        <v>0</v>
      </c>
      <c r="DS101" s="115">
        <f t="shared" ca="1" si="339"/>
        <v>0</v>
      </c>
      <c r="DT101" s="118" t="str">
        <f t="shared" si="330"/>
        <v>Uncapped</v>
      </c>
      <c r="DU101" s="115">
        <f t="shared" ca="1" si="340"/>
        <v>0</v>
      </c>
      <c r="DV101" s="113"/>
      <c r="DW101" s="119">
        <v>0</v>
      </c>
      <c r="DX101" s="113"/>
      <c r="DY101" s="113"/>
      <c r="DZ101" s="113">
        <v>0</v>
      </c>
      <c r="EA101" s="113">
        <v>0</v>
      </c>
      <c r="EB101" s="113">
        <v>0</v>
      </c>
      <c r="EC101" s="113">
        <v>0</v>
      </c>
      <c r="ED101" s="113">
        <v>0</v>
      </c>
      <c r="EE101" s="113">
        <v>0</v>
      </c>
      <c r="EF101" s="113"/>
      <c r="EG101" s="113"/>
      <c r="EH101" s="113"/>
      <c r="EI101" s="113"/>
      <c r="EJ101" s="113"/>
      <c r="EK101" s="113"/>
      <c r="EL101" s="114">
        <f t="shared" si="171"/>
        <v>0</v>
      </c>
      <c r="EM101" s="114">
        <f t="shared" si="172"/>
        <v>0</v>
      </c>
      <c r="EN101" s="114">
        <f t="shared" si="173"/>
        <v>0</v>
      </c>
      <c r="EO101" s="114">
        <f t="shared" si="174"/>
        <v>0</v>
      </c>
      <c r="EP101" s="114">
        <f t="shared" si="331"/>
        <v>0</v>
      </c>
      <c r="EQ101" s="114">
        <f t="shared" si="318"/>
        <v>0</v>
      </c>
      <c r="ER101" s="114">
        <f t="shared" si="175"/>
        <v>0</v>
      </c>
      <c r="ES101" s="116">
        <f t="shared" si="176"/>
        <v>0</v>
      </c>
      <c r="ET101" s="126">
        <f t="shared" ca="1" si="177"/>
        <v>0</v>
      </c>
      <c r="EU101" s="115">
        <f t="shared" ca="1" si="341"/>
        <v>0</v>
      </c>
      <c r="EV101" s="118" t="str">
        <f t="shared" si="332"/>
        <v>Uncapped</v>
      </c>
      <c r="EW101" s="115">
        <f t="shared" ca="1" si="342"/>
        <v>0</v>
      </c>
      <c r="EX101" s="112">
        <f t="shared" ca="1" si="343"/>
        <v>0</v>
      </c>
      <c r="EY101" s="114">
        <f t="shared" ca="1" si="178"/>
        <v>0</v>
      </c>
      <c r="EZ101" s="115">
        <v>0</v>
      </c>
      <c r="FA101" s="115"/>
      <c r="FB101" s="115"/>
      <c r="FC101" s="115">
        <v>0</v>
      </c>
      <c r="FD101" s="115">
        <f t="shared" si="319"/>
        <v>0</v>
      </c>
      <c r="FE101" s="114">
        <f t="shared" si="312"/>
        <v>0</v>
      </c>
      <c r="FF101" s="115">
        <v>0</v>
      </c>
      <c r="FG101" s="115">
        <v>0</v>
      </c>
      <c r="FH101" s="115">
        <v>0</v>
      </c>
      <c r="FI101" s="115">
        <v>0</v>
      </c>
      <c r="FJ101" s="115">
        <f t="shared" si="320"/>
        <v>0</v>
      </c>
      <c r="FK101" s="114">
        <f t="shared" si="313"/>
        <v>0</v>
      </c>
      <c r="FL101" s="113"/>
      <c r="FM101" s="111"/>
      <c r="FN101" s="111"/>
      <c r="FO101" s="111"/>
      <c r="FP101" s="115">
        <f t="shared" si="216"/>
        <v>0</v>
      </c>
      <c r="FQ101" s="115"/>
      <c r="FR101" s="115"/>
      <c r="FS101" s="115"/>
      <c r="FT101" s="114">
        <f t="shared" si="209"/>
        <v>0</v>
      </c>
      <c r="FU101" s="366">
        <f t="shared" ca="1" si="210"/>
        <v>0</v>
      </c>
      <c r="FV101" s="121">
        <f t="shared" ca="1" si="211"/>
        <v>0</v>
      </c>
      <c r="FW101" s="114">
        <f t="shared" si="218"/>
        <v>0</v>
      </c>
      <c r="FX101" s="114">
        <f t="shared" si="218"/>
        <v>0</v>
      </c>
      <c r="FY101" s="114">
        <f t="shared" si="218"/>
        <v>0</v>
      </c>
      <c r="FZ101" s="114">
        <f t="shared" si="218"/>
        <v>0</v>
      </c>
      <c r="GA101" s="114">
        <f>SUM(FW101:FZ101)</f>
        <v>0</v>
      </c>
      <c r="GB101" s="114">
        <f t="shared" si="219"/>
        <v>0</v>
      </c>
      <c r="GC101" s="114">
        <f t="shared" si="219"/>
        <v>0</v>
      </c>
      <c r="GD101" s="114">
        <f t="shared" si="219"/>
        <v>0</v>
      </c>
      <c r="GE101" s="114">
        <f t="shared" si="219"/>
        <v>0</v>
      </c>
      <c r="GF101" s="114">
        <f t="shared" si="220"/>
        <v>0</v>
      </c>
      <c r="GG101" s="114">
        <f t="shared" si="220"/>
        <v>0</v>
      </c>
      <c r="GH101" s="114">
        <f t="shared" si="220"/>
        <v>0</v>
      </c>
      <c r="GI101" s="114">
        <f t="shared" si="220"/>
        <v>0</v>
      </c>
      <c r="GJ101" s="115">
        <f t="shared" si="321"/>
        <v>0</v>
      </c>
      <c r="GK101" s="114">
        <f>SUM(GF101:GI101)</f>
        <v>0</v>
      </c>
      <c r="GL101" s="114">
        <f t="shared" si="344"/>
        <v>0</v>
      </c>
      <c r="GM101" s="114">
        <f t="shared" si="345"/>
        <v>0</v>
      </c>
      <c r="GN101" s="114">
        <f t="shared" si="346"/>
        <v>0</v>
      </c>
      <c r="GO101" s="114">
        <f t="shared" si="347"/>
        <v>0</v>
      </c>
      <c r="GP101" s="114">
        <f t="shared" si="322"/>
        <v>0</v>
      </c>
      <c r="GQ101" s="114">
        <f>SUM(GL101:GO101)</f>
        <v>0</v>
      </c>
      <c r="GR101" s="193"/>
      <c r="GS101" s="122">
        <f t="shared" si="348"/>
        <v>245014499.20362544</v>
      </c>
      <c r="GT101" s="122">
        <f t="shared" si="349"/>
        <v>334663255.49264944</v>
      </c>
      <c r="GU101" s="123">
        <f>IFERROR(GS101/GT101,"")</f>
        <v>0.73212249980340893</v>
      </c>
      <c r="GV101" s="124">
        <f t="shared" ca="1" si="350"/>
        <v>0</v>
      </c>
      <c r="GW101" s="124">
        <v>0</v>
      </c>
      <c r="GX101" s="32">
        <f t="shared" ca="1" si="351"/>
        <v>0</v>
      </c>
      <c r="GY101" s="100"/>
    </row>
    <row r="102" spans="1:207" s="125" customFormat="1" ht="15" hidden="1" customHeight="1">
      <c r="A102" s="102"/>
      <c r="B102" s="103"/>
      <c r="C102" s="103"/>
      <c r="D102" s="104"/>
      <c r="E102" s="104" t="s">
        <v>461</v>
      </c>
      <c r="F102" s="104" t="s">
        <v>462</v>
      </c>
      <c r="G102" s="104" t="s">
        <v>226</v>
      </c>
      <c r="H102" s="154" t="s">
        <v>466</v>
      </c>
      <c r="I102" s="106" t="s">
        <v>467</v>
      </c>
      <c r="J102" s="104" t="s">
        <v>212</v>
      </c>
      <c r="K102" s="104" t="s">
        <v>218</v>
      </c>
      <c r="L102" s="104" t="s">
        <v>465</v>
      </c>
      <c r="M102" s="104" t="s">
        <v>465</v>
      </c>
      <c r="N102" s="107"/>
      <c r="O102" s="108">
        <v>41430</v>
      </c>
      <c r="P102" s="108">
        <v>43252</v>
      </c>
      <c r="Q102" s="322">
        <f t="shared" si="323"/>
        <v>0</v>
      </c>
      <c r="R102" s="109">
        <f>IF((P102-VLOOKUP(Q102,month!$A$1:$C$13,3,0))&lt;0,Q102,Q102+1)</f>
        <v>0</v>
      </c>
      <c r="S102" s="108"/>
      <c r="T102" s="127" t="str">
        <f t="shared" si="215"/>
        <v/>
      </c>
      <c r="U102" s="107"/>
      <c r="V102" s="107"/>
      <c r="W102" s="107"/>
      <c r="X102" s="107"/>
      <c r="Y102" s="386"/>
      <c r="Z102" s="386" t="s">
        <v>545</v>
      </c>
      <c r="AA102" s="387">
        <v>1000</v>
      </c>
      <c r="AB102" s="387">
        <v>1000</v>
      </c>
      <c r="AC102" s="387">
        <v>1000</v>
      </c>
      <c r="AD102" s="387">
        <v>1000</v>
      </c>
      <c r="AE102" s="387">
        <v>1000</v>
      </c>
      <c r="AF102" s="387">
        <v>1000</v>
      </c>
      <c r="AG102" s="387">
        <v>1000</v>
      </c>
      <c r="AH102" s="387">
        <v>1000</v>
      </c>
      <c r="AI102" s="387">
        <v>1000</v>
      </c>
      <c r="AJ102" s="387">
        <v>1000</v>
      </c>
      <c r="AK102" s="387">
        <v>1000</v>
      </c>
      <c r="AL102" s="387">
        <v>1000</v>
      </c>
      <c r="AM102" s="388">
        <f t="shared" si="314"/>
        <v>12000</v>
      </c>
      <c r="AN102" s="388">
        <f t="shared" si="324"/>
        <v>12000</v>
      </c>
      <c r="AO102" s="389">
        <f t="shared" si="353"/>
        <v>1000</v>
      </c>
      <c r="AP102" s="498" t="s">
        <v>672</v>
      </c>
      <c r="AQ102" s="159">
        <v>0.4</v>
      </c>
      <c r="AR102" s="160" t="s">
        <v>211</v>
      </c>
      <c r="AS102" s="119" t="s">
        <v>210</v>
      </c>
      <c r="AT102" s="111">
        <v>3379521.1219363259</v>
      </c>
      <c r="AU102" s="111">
        <v>7327548.5634185346</v>
      </c>
      <c r="AV102" s="111">
        <v>5599955.3026327584</v>
      </c>
      <c r="AW102" s="111">
        <v>6039590.4343528077</v>
      </c>
      <c r="AX102" s="113">
        <v>3463592.7112599993</v>
      </c>
      <c r="AY102" s="113">
        <v>7899234.3228099998</v>
      </c>
      <c r="AZ102" s="113">
        <v>6302483.1859700009</v>
      </c>
      <c r="BA102" s="113"/>
      <c r="BB102" s="113"/>
      <c r="BC102" s="113"/>
      <c r="BD102" s="113"/>
      <c r="BE102" s="113"/>
      <c r="BF102" s="114">
        <f t="shared" si="152"/>
        <v>3463592.7112599993</v>
      </c>
      <c r="BG102" s="114">
        <f t="shared" si="153"/>
        <v>7899234.3228099998</v>
      </c>
      <c r="BH102" s="114">
        <f t="shared" si="154"/>
        <v>6302483.1859700009</v>
      </c>
      <c r="BI102" s="114">
        <f t="shared" si="155"/>
        <v>0</v>
      </c>
      <c r="BJ102" s="114">
        <f t="shared" si="325"/>
        <v>17665310.220040001</v>
      </c>
      <c r="BK102" s="115">
        <f t="shared" si="315"/>
        <v>22346615.422340427</v>
      </c>
      <c r="BL102" s="115">
        <f t="shared" si="156"/>
        <v>22346615.422340427</v>
      </c>
      <c r="BM102" s="116">
        <f t="shared" si="157"/>
        <v>0.79049999999999998</v>
      </c>
      <c r="BN102" s="126">
        <f t="shared" ca="1" si="333"/>
        <v>0</v>
      </c>
      <c r="BO102" s="117">
        <f t="shared" ca="1" si="334"/>
        <v>0</v>
      </c>
      <c r="BP102" s="118" t="str">
        <f t="shared" si="326"/>
        <v>Uncapped</v>
      </c>
      <c r="BQ102" s="115">
        <f t="shared" ca="1" si="335"/>
        <v>0</v>
      </c>
      <c r="BR102" s="113" t="s">
        <v>692</v>
      </c>
      <c r="BS102" s="161">
        <v>0.4</v>
      </c>
      <c r="BT102" s="113" t="s">
        <v>211</v>
      </c>
      <c r="BU102" s="160" t="s">
        <v>210</v>
      </c>
      <c r="BV102" s="113">
        <v>7503606.8202462839</v>
      </c>
      <c r="BW102" s="113">
        <v>8053589.731983399</v>
      </c>
      <c r="BX102" s="113">
        <v>8496001.8380627688</v>
      </c>
      <c r="BY102" s="113">
        <v>8697930.0394548904</v>
      </c>
      <c r="BZ102" s="113">
        <v>7755486.3438000018</v>
      </c>
      <c r="CA102" s="113">
        <v>6815255.5627299994</v>
      </c>
      <c r="CB102" s="113">
        <v>8017330.7311999984</v>
      </c>
      <c r="CC102" s="113">
        <f t="shared" si="352"/>
        <v>8697930.0394548904</v>
      </c>
      <c r="CD102" s="113"/>
      <c r="CE102" s="113"/>
      <c r="CF102" s="113"/>
      <c r="CG102" s="113"/>
      <c r="CH102" s="114">
        <f t="shared" si="158"/>
        <v>7755486.3438000018</v>
      </c>
      <c r="CI102" s="114">
        <f t="shared" si="159"/>
        <v>6815255.5627299994</v>
      </c>
      <c r="CJ102" s="120">
        <f t="shared" si="160"/>
        <v>8017330.7311999984</v>
      </c>
      <c r="CK102" s="114">
        <f t="shared" si="161"/>
        <v>8697930.0394548904</v>
      </c>
      <c r="CL102" s="114">
        <f t="shared" si="327"/>
        <v>31286002.677184887</v>
      </c>
      <c r="CM102" s="114">
        <f t="shared" si="316"/>
        <v>32751128.429747343</v>
      </c>
      <c r="CN102" s="114">
        <f t="shared" si="162"/>
        <v>32751128.429747343</v>
      </c>
      <c r="CO102" s="116">
        <f t="shared" si="163"/>
        <v>0.95530000000000004</v>
      </c>
      <c r="CP102" s="126">
        <f t="shared" ca="1" si="164"/>
        <v>0</v>
      </c>
      <c r="CQ102" s="115">
        <f t="shared" ca="1" si="336"/>
        <v>0</v>
      </c>
      <c r="CR102" s="118" t="str">
        <f t="shared" si="328"/>
        <v>Uncapped</v>
      </c>
      <c r="CS102" s="115">
        <f t="shared" ca="1" si="337"/>
        <v>0</v>
      </c>
      <c r="CT102" s="113" t="s">
        <v>696</v>
      </c>
      <c r="CU102" s="119">
        <v>0.2</v>
      </c>
      <c r="CV102" s="113" t="s">
        <v>217</v>
      </c>
      <c r="CW102" s="113" t="s">
        <v>210</v>
      </c>
      <c r="CX102" s="113">
        <v>61881722.047854595</v>
      </c>
      <c r="CY102" s="113">
        <v>72180793.063260496</v>
      </c>
      <c r="CZ102" s="113">
        <v>69179032.514420599</v>
      </c>
      <c r="DA102" s="113">
        <v>76323964.015026003</v>
      </c>
      <c r="DB102" s="113">
        <v>63657388.730680585</v>
      </c>
      <c r="DC102" s="113">
        <v>65995192.891159974</v>
      </c>
      <c r="DD102" s="113">
        <v>66410604.684560001</v>
      </c>
      <c r="DE102" s="113"/>
      <c r="DF102" s="113"/>
      <c r="DG102" s="113"/>
      <c r="DH102" s="113"/>
      <c r="DI102" s="113"/>
      <c r="DJ102" s="114">
        <f t="shared" si="165"/>
        <v>63657388.730680585</v>
      </c>
      <c r="DK102" s="114">
        <f t="shared" si="166"/>
        <v>65995192.891159974</v>
      </c>
      <c r="DL102" s="114">
        <f t="shared" si="167"/>
        <v>66410604.684560001</v>
      </c>
      <c r="DM102" s="114">
        <f t="shared" si="168"/>
        <v>0</v>
      </c>
      <c r="DN102" s="114">
        <f t="shared" si="329"/>
        <v>196063186.30640057</v>
      </c>
      <c r="DO102" s="114">
        <f t="shared" si="317"/>
        <v>279565511.6405617</v>
      </c>
      <c r="DP102" s="114">
        <f t="shared" si="169"/>
        <v>279565511.6405617</v>
      </c>
      <c r="DQ102" s="116">
        <f t="shared" si="170"/>
        <v>0.70130000000000003</v>
      </c>
      <c r="DR102" s="126">
        <f t="shared" ca="1" si="338"/>
        <v>0</v>
      </c>
      <c r="DS102" s="115">
        <f t="shared" ca="1" si="339"/>
        <v>0</v>
      </c>
      <c r="DT102" s="118" t="str">
        <f t="shared" si="330"/>
        <v>Uncapped</v>
      </c>
      <c r="DU102" s="115">
        <f t="shared" ca="1" si="340"/>
        <v>0</v>
      </c>
      <c r="DV102" s="113"/>
      <c r="DW102" s="119">
        <v>0</v>
      </c>
      <c r="DX102" s="113"/>
      <c r="DY102" s="113"/>
      <c r="DZ102" s="113">
        <v>0</v>
      </c>
      <c r="EA102" s="113">
        <v>0</v>
      </c>
      <c r="EB102" s="113">
        <v>0</v>
      </c>
      <c r="EC102" s="113">
        <v>0</v>
      </c>
      <c r="ED102" s="113">
        <v>0</v>
      </c>
      <c r="EE102" s="113">
        <v>0</v>
      </c>
      <c r="EF102" s="113"/>
      <c r="EG102" s="113"/>
      <c r="EH102" s="113"/>
      <c r="EI102" s="113"/>
      <c r="EJ102" s="113"/>
      <c r="EK102" s="113"/>
      <c r="EL102" s="114">
        <f t="shared" si="171"/>
        <v>0</v>
      </c>
      <c r="EM102" s="114">
        <f t="shared" si="172"/>
        <v>0</v>
      </c>
      <c r="EN102" s="114">
        <f t="shared" si="173"/>
        <v>0</v>
      </c>
      <c r="EO102" s="114">
        <f t="shared" si="174"/>
        <v>0</v>
      </c>
      <c r="EP102" s="114">
        <f t="shared" si="331"/>
        <v>0</v>
      </c>
      <c r="EQ102" s="114">
        <f t="shared" si="318"/>
        <v>0</v>
      </c>
      <c r="ER102" s="114">
        <f t="shared" si="175"/>
        <v>0</v>
      </c>
      <c r="ES102" s="116">
        <f t="shared" si="176"/>
        <v>0</v>
      </c>
      <c r="ET102" s="126">
        <f t="shared" ca="1" si="177"/>
        <v>0</v>
      </c>
      <c r="EU102" s="115">
        <f t="shared" ca="1" si="341"/>
        <v>0</v>
      </c>
      <c r="EV102" s="118" t="str">
        <f t="shared" si="332"/>
        <v>Uncapped</v>
      </c>
      <c r="EW102" s="115">
        <f t="shared" ca="1" si="342"/>
        <v>0</v>
      </c>
      <c r="EX102" s="112">
        <f t="shared" ca="1" si="343"/>
        <v>0</v>
      </c>
      <c r="EY102" s="114">
        <f t="shared" ca="1" si="178"/>
        <v>0</v>
      </c>
      <c r="EZ102" s="115">
        <v>0</v>
      </c>
      <c r="FA102" s="115"/>
      <c r="FB102" s="115"/>
      <c r="FC102" s="115">
        <v>0</v>
      </c>
      <c r="FD102" s="115">
        <f t="shared" si="319"/>
        <v>0</v>
      </c>
      <c r="FE102" s="114">
        <f t="shared" si="312"/>
        <v>0</v>
      </c>
      <c r="FF102" s="115">
        <v>0</v>
      </c>
      <c r="FG102" s="115">
        <v>0</v>
      </c>
      <c r="FH102" s="115">
        <v>0</v>
      </c>
      <c r="FI102" s="115">
        <v>0</v>
      </c>
      <c r="FJ102" s="115">
        <f t="shared" si="320"/>
        <v>0</v>
      </c>
      <c r="FK102" s="114">
        <f t="shared" si="313"/>
        <v>0</v>
      </c>
      <c r="FL102" s="113"/>
      <c r="FM102" s="111"/>
      <c r="FN102" s="111"/>
      <c r="FO102" s="111"/>
      <c r="FP102" s="115">
        <f t="shared" si="216"/>
        <v>0</v>
      </c>
      <c r="FQ102" s="115"/>
      <c r="FR102" s="115"/>
      <c r="FS102" s="115"/>
      <c r="FT102" s="114">
        <f t="shared" si="209"/>
        <v>0</v>
      </c>
      <c r="FU102" s="366">
        <f t="shared" ca="1" si="210"/>
        <v>0</v>
      </c>
      <c r="FV102" s="121">
        <f t="shared" ca="1" si="211"/>
        <v>0</v>
      </c>
      <c r="FW102" s="114">
        <f t="shared" si="218"/>
        <v>0</v>
      </c>
      <c r="FX102" s="114">
        <f t="shared" si="218"/>
        <v>0</v>
      </c>
      <c r="FY102" s="114">
        <f t="shared" si="218"/>
        <v>0</v>
      </c>
      <c r="FZ102" s="114">
        <f t="shared" si="218"/>
        <v>0</v>
      </c>
      <c r="GA102" s="114">
        <f>SUM(FW102:FZ102)</f>
        <v>0</v>
      </c>
      <c r="GB102" s="114">
        <f t="shared" si="219"/>
        <v>0</v>
      </c>
      <c r="GC102" s="114">
        <f t="shared" si="219"/>
        <v>0</v>
      </c>
      <c r="GD102" s="114">
        <f t="shared" si="219"/>
        <v>0</v>
      </c>
      <c r="GE102" s="114">
        <f t="shared" si="219"/>
        <v>0</v>
      </c>
      <c r="GF102" s="114">
        <f t="shared" si="220"/>
        <v>0</v>
      </c>
      <c r="GG102" s="114">
        <f t="shared" si="220"/>
        <v>0</v>
      </c>
      <c r="GH102" s="114">
        <f t="shared" si="220"/>
        <v>0</v>
      </c>
      <c r="GI102" s="114">
        <f t="shared" si="220"/>
        <v>0</v>
      </c>
      <c r="GJ102" s="115">
        <f t="shared" si="321"/>
        <v>0</v>
      </c>
      <c r="GK102" s="114">
        <f>SUM(GF102:GI102)</f>
        <v>0</v>
      </c>
      <c r="GL102" s="114">
        <f t="shared" si="344"/>
        <v>0</v>
      </c>
      <c r="GM102" s="114">
        <f t="shared" si="345"/>
        <v>0</v>
      </c>
      <c r="GN102" s="114">
        <f t="shared" si="346"/>
        <v>0</v>
      </c>
      <c r="GO102" s="114">
        <f t="shared" si="347"/>
        <v>0</v>
      </c>
      <c r="GP102" s="114">
        <f t="shared" si="322"/>
        <v>0</v>
      </c>
      <c r="GQ102" s="114">
        <f>SUM(GL102:GO102)</f>
        <v>0</v>
      </c>
      <c r="GR102" s="216"/>
      <c r="GS102" s="122">
        <f t="shared" si="348"/>
        <v>245014499.20362544</v>
      </c>
      <c r="GT102" s="122">
        <f t="shared" si="349"/>
        <v>334663255.49264944</v>
      </c>
      <c r="GU102" s="123">
        <f>IFERROR(GS102/GT102,"")</f>
        <v>0.73212249980340893</v>
      </c>
      <c r="GV102" s="124">
        <f t="shared" ca="1" si="350"/>
        <v>0</v>
      </c>
      <c r="GW102" s="124">
        <v>0</v>
      </c>
      <c r="GX102" s="32">
        <f t="shared" ca="1" si="351"/>
        <v>0</v>
      </c>
      <c r="GY102" s="100"/>
    </row>
    <row r="103" spans="1:207" s="152" customFormat="1" ht="15" hidden="1" customHeight="1">
      <c r="A103" s="129"/>
      <c r="B103" s="130"/>
      <c r="C103" s="130"/>
      <c r="D103" s="131"/>
      <c r="E103" s="131"/>
      <c r="F103" s="131" t="s">
        <v>617</v>
      </c>
      <c r="G103" s="131" t="s">
        <v>226</v>
      </c>
      <c r="H103" s="172" t="s">
        <v>619</v>
      </c>
      <c r="I103" s="133" t="s">
        <v>620</v>
      </c>
      <c r="J103" s="131" t="s">
        <v>471</v>
      </c>
      <c r="K103" s="131" t="s">
        <v>618</v>
      </c>
      <c r="L103" s="131" t="s">
        <v>471</v>
      </c>
      <c r="M103" s="131" t="s">
        <v>472</v>
      </c>
      <c r="N103" s="134"/>
      <c r="O103" s="551">
        <v>41376</v>
      </c>
      <c r="P103" s="155">
        <v>39600</v>
      </c>
      <c r="Q103" s="321">
        <f t="shared" si="323"/>
        <v>0</v>
      </c>
      <c r="R103" s="109">
        <f>IF((P103-VLOOKUP(Q103,month!$A$1:$C$13,3,0))&lt;0,Q103,Q103+1)</f>
        <v>0</v>
      </c>
      <c r="S103" s="108"/>
      <c r="T103" s="135" t="str">
        <f t="shared" si="215"/>
        <v/>
      </c>
      <c r="U103" s="134"/>
      <c r="V103" s="134"/>
      <c r="W103" s="134"/>
      <c r="X103" s="134"/>
      <c r="Y103" s="383"/>
      <c r="Z103" s="383" t="s">
        <v>545</v>
      </c>
      <c r="AA103" s="371">
        <v>1000</v>
      </c>
      <c r="AB103" s="371">
        <v>1000</v>
      </c>
      <c r="AC103" s="371">
        <v>1000</v>
      </c>
      <c r="AD103" s="371">
        <v>1000</v>
      </c>
      <c r="AE103" s="371">
        <v>1000</v>
      </c>
      <c r="AF103" s="371">
        <v>1000</v>
      </c>
      <c r="AG103" s="371">
        <v>1000</v>
      </c>
      <c r="AH103" s="371">
        <v>1000</v>
      </c>
      <c r="AI103" s="371">
        <v>1000</v>
      </c>
      <c r="AJ103" s="371">
        <v>1000</v>
      </c>
      <c r="AK103" s="371">
        <v>1000</v>
      </c>
      <c r="AL103" s="371">
        <v>1000</v>
      </c>
      <c r="AM103" s="384">
        <f t="shared" si="314"/>
        <v>12000</v>
      </c>
      <c r="AN103" s="384">
        <f t="shared" si="324"/>
        <v>12000</v>
      </c>
      <c r="AO103" s="385">
        <f t="shared" si="353"/>
        <v>1000</v>
      </c>
      <c r="AP103" s="497" t="s">
        <v>688</v>
      </c>
      <c r="AQ103" s="158">
        <v>0.5</v>
      </c>
      <c r="AR103" s="138" t="s">
        <v>211</v>
      </c>
      <c r="AS103" s="146" t="s">
        <v>210</v>
      </c>
      <c r="AT103" s="136">
        <v>19653413.080999997</v>
      </c>
      <c r="AU103" s="136">
        <v>22848780.235100001</v>
      </c>
      <c r="AV103" s="136"/>
      <c r="AW103" s="136"/>
      <c r="AX103" s="138">
        <v>19427532.107000571</v>
      </c>
      <c r="AY103" s="138">
        <v>22270538.357580002</v>
      </c>
      <c r="AZ103" s="138"/>
      <c r="BA103" s="138"/>
      <c r="BB103" s="138"/>
      <c r="BC103" s="138"/>
      <c r="BD103" s="138"/>
      <c r="BE103" s="138"/>
      <c r="BF103" s="139">
        <f t="shared" si="152"/>
        <v>19427532.107000571</v>
      </c>
      <c r="BG103" s="139">
        <f t="shared" si="153"/>
        <v>22270538.357580002</v>
      </c>
      <c r="BH103" s="139">
        <f t="shared" si="154"/>
        <v>0</v>
      </c>
      <c r="BI103" s="139">
        <f t="shared" si="155"/>
        <v>0</v>
      </c>
      <c r="BJ103" s="139">
        <f t="shared" si="325"/>
        <v>41698070.464580573</v>
      </c>
      <c r="BK103" s="140">
        <f t="shared" si="315"/>
        <v>42502193.316100001</v>
      </c>
      <c r="BL103" s="140">
        <f t="shared" si="156"/>
        <v>42502193.316100001</v>
      </c>
      <c r="BM103" s="141">
        <f t="shared" si="157"/>
        <v>0.98109999999999997</v>
      </c>
      <c r="BN103" s="142">
        <f t="shared" ca="1" si="333"/>
        <v>0</v>
      </c>
      <c r="BO103" s="143">
        <f t="shared" ca="1" si="334"/>
        <v>0</v>
      </c>
      <c r="BP103" s="144" t="str">
        <f t="shared" si="326"/>
        <v>Uncapped</v>
      </c>
      <c r="BQ103" s="140">
        <f t="shared" ca="1" si="335"/>
        <v>0</v>
      </c>
      <c r="BR103" s="138" t="s">
        <v>747</v>
      </c>
      <c r="BS103" s="146">
        <v>0.3</v>
      </c>
      <c r="BT103" s="138" t="s">
        <v>211</v>
      </c>
      <c r="BU103" s="138" t="s">
        <v>210</v>
      </c>
      <c r="BV103" s="138">
        <v>13631298.3753272</v>
      </c>
      <c r="BW103" s="138">
        <v>15463517.626933601</v>
      </c>
      <c r="BX103" s="138">
        <v>0</v>
      </c>
      <c r="BY103" s="138">
        <v>0</v>
      </c>
      <c r="BZ103" s="138">
        <v>13485327.436090879</v>
      </c>
      <c r="CA103" s="138">
        <v>13198690.521689992</v>
      </c>
      <c r="CB103" s="138">
        <v>0</v>
      </c>
      <c r="CC103" s="138">
        <f t="shared" si="352"/>
        <v>0</v>
      </c>
      <c r="CD103" s="138"/>
      <c r="CE103" s="138"/>
      <c r="CF103" s="138"/>
      <c r="CG103" s="138"/>
      <c r="CH103" s="139">
        <f t="shared" si="158"/>
        <v>13485327.436090879</v>
      </c>
      <c r="CI103" s="139">
        <f t="shared" si="159"/>
        <v>13198690.521689992</v>
      </c>
      <c r="CJ103" s="145">
        <f t="shared" si="160"/>
        <v>0</v>
      </c>
      <c r="CK103" s="139">
        <f t="shared" si="161"/>
        <v>0</v>
      </c>
      <c r="CL103" s="139">
        <f t="shared" si="327"/>
        <v>26684017.957780872</v>
      </c>
      <c r="CM103" s="139">
        <f t="shared" si="316"/>
        <v>29094816.0022608</v>
      </c>
      <c r="CN103" s="139">
        <f t="shared" si="162"/>
        <v>29094816.0022608</v>
      </c>
      <c r="CO103" s="141">
        <f t="shared" si="163"/>
        <v>0.91710000000000003</v>
      </c>
      <c r="CP103" s="142">
        <f t="shared" ca="1" si="164"/>
        <v>0</v>
      </c>
      <c r="CQ103" s="140">
        <f t="shared" ca="1" si="336"/>
        <v>0</v>
      </c>
      <c r="CR103" s="144" t="str">
        <f t="shared" si="328"/>
        <v>Uncapped</v>
      </c>
      <c r="CS103" s="140">
        <f t="shared" ca="1" si="337"/>
        <v>0</v>
      </c>
      <c r="CT103" s="138" t="s">
        <v>696</v>
      </c>
      <c r="CU103" s="146">
        <v>0.2</v>
      </c>
      <c r="CV103" s="138" t="s">
        <v>217</v>
      </c>
      <c r="CW103" s="138" t="s">
        <v>704</v>
      </c>
      <c r="CX103" s="138">
        <v>61881722.047854595</v>
      </c>
      <c r="CY103" s="138">
        <v>72180793.063260496</v>
      </c>
      <c r="CZ103" s="138"/>
      <c r="DA103" s="138"/>
      <c r="DB103" s="138">
        <v>63657388.730680585</v>
      </c>
      <c r="DC103" s="138">
        <v>65995192.891159989</v>
      </c>
      <c r="DD103" s="138"/>
      <c r="DE103" s="138"/>
      <c r="DF103" s="138"/>
      <c r="DG103" s="138"/>
      <c r="DH103" s="138"/>
      <c r="DI103" s="138"/>
      <c r="DJ103" s="139">
        <f t="shared" si="165"/>
        <v>63657388.730680585</v>
      </c>
      <c r="DK103" s="139">
        <f t="shared" si="166"/>
        <v>65995192.891159989</v>
      </c>
      <c r="DL103" s="139">
        <f t="shared" si="167"/>
        <v>0</v>
      </c>
      <c r="DM103" s="139">
        <f t="shared" si="168"/>
        <v>0</v>
      </c>
      <c r="DN103" s="139">
        <f t="shared" si="329"/>
        <v>129652581.62184057</v>
      </c>
      <c r="DO103" s="139">
        <f t="shared" si="317"/>
        <v>134062515.1111151</v>
      </c>
      <c r="DP103" s="139">
        <f t="shared" si="169"/>
        <v>134062515.1111151</v>
      </c>
      <c r="DQ103" s="141">
        <f t="shared" si="170"/>
        <v>0.96709999999999996</v>
      </c>
      <c r="DR103" s="142">
        <f t="shared" ca="1" si="338"/>
        <v>0</v>
      </c>
      <c r="DS103" s="140">
        <f t="shared" ca="1" si="339"/>
        <v>0</v>
      </c>
      <c r="DT103" s="144" t="str">
        <f t="shared" si="330"/>
        <v>Uncapped</v>
      </c>
      <c r="DU103" s="140">
        <f t="shared" ca="1" si="340"/>
        <v>0</v>
      </c>
      <c r="DV103" s="138"/>
      <c r="DW103" s="146">
        <v>0</v>
      </c>
      <c r="DX103" s="138"/>
      <c r="DY103" s="138"/>
      <c r="DZ103" s="138">
        <v>0</v>
      </c>
      <c r="EA103" s="138">
        <v>0</v>
      </c>
      <c r="EB103" s="138">
        <v>0</v>
      </c>
      <c r="EC103" s="138">
        <v>0</v>
      </c>
      <c r="ED103" s="138">
        <v>0</v>
      </c>
      <c r="EE103" s="138">
        <v>0</v>
      </c>
      <c r="EF103" s="138"/>
      <c r="EG103" s="138"/>
      <c r="EH103" s="138"/>
      <c r="EI103" s="138"/>
      <c r="EJ103" s="138"/>
      <c r="EK103" s="138"/>
      <c r="EL103" s="139">
        <f t="shared" si="171"/>
        <v>0</v>
      </c>
      <c r="EM103" s="139">
        <f t="shared" si="172"/>
        <v>0</v>
      </c>
      <c r="EN103" s="139">
        <f t="shared" si="173"/>
        <v>0</v>
      </c>
      <c r="EO103" s="139">
        <f t="shared" si="174"/>
        <v>0</v>
      </c>
      <c r="EP103" s="139">
        <f t="shared" si="331"/>
        <v>0</v>
      </c>
      <c r="EQ103" s="139">
        <f t="shared" si="318"/>
        <v>0</v>
      </c>
      <c r="ER103" s="139">
        <f t="shared" si="175"/>
        <v>0</v>
      </c>
      <c r="ES103" s="141">
        <f t="shared" si="176"/>
        <v>0</v>
      </c>
      <c r="ET103" s="142">
        <f t="shared" ca="1" si="177"/>
        <v>0</v>
      </c>
      <c r="EU103" s="140">
        <f t="shared" ca="1" si="341"/>
        <v>0</v>
      </c>
      <c r="EV103" s="144" t="str">
        <f t="shared" si="332"/>
        <v>Uncapped</v>
      </c>
      <c r="EW103" s="140">
        <f t="shared" ca="1" si="342"/>
        <v>0</v>
      </c>
      <c r="EX103" s="137">
        <f t="shared" ca="1" si="343"/>
        <v>0</v>
      </c>
      <c r="EY103" s="139">
        <f t="shared" ca="1" si="178"/>
        <v>0</v>
      </c>
      <c r="EZ103" s="140">
        <v>0</v>
      </c>
      <c r="FA103" s="140"/>
      <c r="FB103" s="140"/>
      <c r="FC103" s="140">
        <v>0</v>
      </c>
      <c r="FD103" s="140">
        <f t="shared" si="319"/>
        <v>0</v>
      </c>
      <c r="FE103" s="139">
        <f t="shared" si="312"/>
        <v>0</v>
      </c>
      <c r="FF103" s="140">
        <v>0</v>
      </c>
      <c r="FG103" s="140">
        <v>0</v>
      </c>
      <c r="FH103" s="140">
        <v>0</v>
      </c>
      <c r="FI103" s="140">
        <v>0</v>
      </c>
      <c r="FJ103" s="140">
        <f t="shared" si="320"/>
        <v>0</v>
      </c>
      <c r="FK103" s="139">
        <f t="shared" si="313"/>
        <v>0</v>
      </c>
      <c r="FL103" s="138"/>
      <c r="FM103" s="136"/>
      <c r="FN103" s="136"/>
      <c r="FO103" s="136"/>
      <c r="FP103" s="140">
        <f t="shared" si="216"/>
        <v>0</v>
      </c>
      <c r="FQ103" s="488"/>
      <c r="FR103" s="140"/>
      <c r="FS103" s="140"/>
      <c r="FT103" s="139">
        <f t="shared" si="209"/>
        <v>0</v>
      </c>
      <c r="FU103" s="365">
        <f t="shared" ca="1" si="210"/>
        <v>0</v>
      </c>
      <c r="FV103" s="147">
        <f t="shared" ca="1" si="211"/>
        <v>0</v>
      </c>
      <c r="FW103" s="139">
        <f t="shared" si="218"/>
        <v>0</v>
      </c>
      <c r="FX103" s="139">
        <f t="shared" si="218"/>
        <v>0</v>
      </c>
      <c r="FY103" s="139">
        <f t="shared" si="218"/>
        <v>0</v>
      </c>
      <c r="FZ103" s="139">
        <f t="shared" si="218"/>
        <v>0</v>
      </c>
      <c r="GA103" s="139">
        <f t="shared" ref="GA103:GA112" si="354">SUM(FW103:FZ103)</f>
        <v>0</v>
      </c>
      <c r="GB103" s="139">
        <f t="shared" si="219"/>
        <v>0</v>
      </c>
      <c r="GC103" s="139">
        <f t="shared" si="219"/>
        <v>0</v>
      </c>
      <c r="GD103" s="139">
        <f t="shared" si="219"/>
        <v>0</v>
      </c>
      <c r="GE103" s="139">
        <f t="shared" si="219"/>
        <v>0</v>
      </c>
      <c r="GF103" s="139">
        <f t="shared" si="220"/>
        <v>0</v>
      </c>
      <c r="GG103" s="139">
        <f t="shared" si="220"/>
        <v>0</v>
      </c>
      <c r="GH103" s="139">
        <f t="shared" si="220"/>
        <v>0</v>
      </c>
      <c r="GI103" s="139">
        <f t="shared" si="220"/>
        <v>0</v>
      </c>
      <c r="GJ103" s="140">
        <f t="shared" si="321"/>
        <v>0</v>
      </c>
      <c r="GK103" s="139">
        <f t="shared" ref="GK103:GK112" si="355">SUM(GF103:GI103)</f>
        <v>0</v>
      </c>
      <c r="GL103" s="139">
        <f t="shared" si="344"/>
        <v>0</v>
      </c>
      <c r="GM103" s="139">
        <f t="shared" si="345"/>
        <v>0</v>
      </c>
      <c r="GN103" s="139">
        <f t="shared" si="346"/>
        <v>0</v>
      </c>
      <c r="GO103" s="139">
        <f t="shared" si="347"/>
        <v>0</v>
      </c>
      <c r="GP103" s="139">
        <f t="shared" si="322"/>
        <v>0</v>
      </c>
      <c r="GQ103" s="139">
        <f t="shared" ref="GQ103:GQ112" si="356">SUM(GL103:GO103)</f>
        <v>0</v>
      </c>
      <c r="GR103" s="409"/>
      <c r="GS103" s="148">
        <f t="shared" si="348"/>
        <v>198034670.04420203</v>
      </c>
      <c r="GT103" s="148">
        <f t="shared" si="349"/>
        <v>205659524.4294759</v>
      </c>
      <c r="GU103" s="149">
        <f t="shared" ref="GU103:GU112" si="357">IFERROR(GS103/GT103,"")</f>
        <v>0.96292486620093998</v>
      </c>
      <c r="GV103" s="150">
        <f t="shared" ca="1" si="350"/>
        <v>0</v>
      </c>
      <c r="GW103" s="150">
        <v>0</v>
      </c>
      <c r="GX103" s="151">
        <f t="shared" ca="1" si="351"/>
        <v>0</v>
      </c>
      <c r="GY103" s="100"/>
    </row>
    <row r="104" spans="1:207" s="125" customFormat="1" ht="15" hidden="1" customHeight="1">
      <c r="A104" s="102"/>
      <c r="B104" s="103"/>
      <c r="C104" s="103"/>
      <c r="D104" s="104"/>
      <c r="E104" s="104"/>
      <c r="F104" s="104" t="s">
        <v>468</v>
      </c>
      <c r="G104" s="104" t="s">
        <v>226</v>
      </c>
      <c r="H104" s="154" t="s">
        <v>469</v>
      </c>
      <c r="I104" s="106" t="s">
        <v>470</v>
      </c>
      <c r="J104" s="104" t="s">
        <v>471</v>
      </c>
      <c r="K104" s="104" t="s">
        <v>208</v>
      </c>
      <c r="L104" s="104" t="s">
        <v>471</v>
      </c>
      <c r="M104" s="104" t="s">
        <v>472</v>
      </c>
      <c r="N104" s="107"/>
      <c r="O104" s="108">
        <v>43255</v>
      </c>
      <c r="P104" s="108">
        <v>43313</v>
      </c>
      <c r="Q104" s="322">
        <f t="shared" si="323"/>
        <v>0</v>
      </c>
      <c r="R104" s="109">
        <f>IF((P104-VLOOKUP(Q104,month!$A$1:$C$13,3,0))&lt;0,Q104,Q104+1)</f>
        <v>0</v>
      </c>
      <c r="S104" s="108"/>
      <c r="T104" s="127" t="str">
        <f t="shared" si="215"/>
        <v/>
      </c>
      <c r="U104" s="107"/>
      <c r="V104" s="107"/>
      <c r="W104" s="107"/>
      <c r="X104" s="107"/>
      <c r="Y104" s="386"/>
      <c r="Z104" s="386" t="s">
        <v>545</v>
      </c>
      <c r="AA104" s="387">
        <v>1000</v>
      </c>
      <c r="AB104" s="387">
        <v>1000</v>
      </c>
      <c r="AC104" s="387">
        <v>1000</v>
      </c>
      <c r="AD104" s="387">
        <v>1000</v>
      </c>
      <c r="AE104" s="387">
        <v>1000</v>
      </c>
      <c r="AF104" s="387">
        <v>1000</v>
      </c>
      <c r="AG104" s="387">
        <v>1000</v>
      </c>
      <c r="AH104" s="387">
        <v>1000</v>
      </c>
      <c r="AI104" s="387">
        <v>1000</v>
      </c>
      <c r="AJ104" s="387">
        <v>1000</v>
      </c>
      <c r="AK104" s="387">
        <v>1000</v>
      </c>
      <c r="AL104" s="387">
        <v>1000</v>
      </c>
      <c r="AM104" s="388">
        <f t="shared" si="314"/>
        <v>12000</v>
      </c>
      <c r="AN104" s="388">
        <f t="shared" si="324"/>
        <v>12000</v>
      </c>
      <c r="AO104" s="389">
        <f t="shared" si="353"/>
        <v>1000</v>
      </c>
      <c r="AP104" s="498" t="s">
        <v>688</v>
      </c>
      <c r="AQ104" s="159">
        <v>0.8</v>
      </c>
      <c r="AR104" s="160" t="s">
        <v>211</v>
      </c>
      <c r="AS104" s="119" t="s">
        <v>210</v>
      </c>
      <c r="AT104" s="111">
        <v>19653413.080999997</v>
      </c>
      <c r="AU104" s="111">
        <v>22848780.235100001</v>
      </c>
      <c r="AV104" s="111">
        <v>22618799.574099999</v>
      </c>
      <c r="AW104" s="111">
        <v>27098464.121500004</v>
      </c>
      <c r="AX104" s="113">
        <v>19427532.107000571</v>
      </c>
      <c r="AY104" s="113">
        <v>22270538.357580002</v>
      </c>
      <c r="AZ104" s="113">
        <v>22879083.486580007</v>
      </c>
      <c r="BA104" s="113"/>
      <c r="BB104" s="113"/>
      <c r="BC104" s="113"/>
      <c r="BD104" s="113"/>
      <c r="BE104" s="113"/>
      <c r="BF104" s="139">
        <f>AX104+BB104</f>
        <v>19427532.107000571</v>
      </c>
      <c r="BG104" s="139">
        <f>AY104+BC104</f>
        <v>22270538.357580002</v>
      </c>
      <c r="BH104" s="139">
        <f>AZ104+BD104</f>
        <v>22879083.486580007</v>
      </c>
      <c r="BI104" s="139">
        <f>BA104+BE104</f>
        <v>0</v>
      </c>
      <c r="BJ104" s="139">
        <f t="shared" si="325"/>
        <v>64577153.95116058</v>
      </c>
      <c r="BK104" s="140">
        <f>IF($H$2=1,AT104,IF($H$2=2,SUM(AT104:AU104),IF($H$2=3,SUM(AT104:AV104),SUM(AT104:AW104))))</f>
        <v>92219457.011700004</v>
      </c>
      <c r="BL104" s="140">
        <f>SUM(AT104:AW104)</f>
        <v>92219457.011700004</v>
      </c>
      <c r="BM104" s="141">
        <f>IFERROR(ROUND(BJ104/BK104,4),0)</f>
        <v>0.70030000000000003</v>
      </c>
      <c r="BN104" s="142">
        <f ca="1">IF(OR(AP104="MBO",AP104="10% Realized Price"),BM104,SUMPRODUCT(Lower_Payout*(Curve=AR104)*(Lower_Attain&lt;=BM104)*(Upper_Attain&gt;BM104))+(BM104-SUMPRODUCT(Lower_Attain*(Curve=AR104)*(Lower_Attain&lt;=BM104)*(Upper_Attain&gt;BM104)))*SUMPRODUCT(Slope*(Curve=AR104)*(Lower_Attain&lt;=BM104)*(Upper_Attain&gt;BM104)))</f>
        <v>0</v>
      </c>
      <c r="BO104" s="143">
        <f ca="1">IFERROR(AM104*AQ104*BN104,0)</f>
        <v>0</v>
      </c>
      <c r="BP104" s="118">
        <v>0.75</v>
      </c>
      <c r="BQ104" s="140">
        <f t="shared" si="335"/>
        <v>7200</v>
      </c>
      <c r="BR104" s="113" t="s">
        <v>696</v>
      </c>
      <c r="BS104" s="161">
        <v>0.2</v>
      </c>
      <c r="BT104" s="113" t="s">
        <v>217</v>
      </c>
      <c r="BU104" s="160" t="s">
        <v>210</v>
      </c>
      <c r="BV104" s="113">
        <v>61881722.047854595</v>
      </c>
      <c r="BW104" s="113">
        <v>72180793.063260496</v>
      </c>
      <c r="BX104" s="113">
        <v>69179032.514420599</v>
      </c>
      <c r="BY104" s="113">
        <v>76323964.015026003</v>
      </c>
      <c r="BZ104" s="113">
        <v>63657388.730680585</v>
      </c>
      <c r="CA104" s="113">
        <v>65995192.891159989</v>
      </c>
      <c r="CB104" s="113">
        <v>66410604.684560001</v>
      </c>
      <c r="CC104" s="113">
        <f t="shared" si="352"/>
        <v>76323964.015026003</v>
      </c>
      <c r="CD104" s="113"/>
      <c r="CE104" s="113"/>
      <c r="CF104" s="113"/>
      <c r="CG104" s="113"/>
      <c r="CH104" s="114">
        <f t="shared" si="158"/>
        <v>63657388.730680585</v>
      </c>
      <c r="CI104" s="114">
        <f t="shared" si="159"/>
        <v>65995192.891159989</v>
      </c>
      <c r="CJ104" s="120">
        <f t="shared" si="160"/>
        <v>66410604.684560001</v>
      </c>
      <c r="CK104" s="114">
        <f t="shared" si="161"/>
        <v>76323964.015026003</v>
      </c>
      <c r="CL104" s="114">
        <f t="shared" si="327"/>
        <v>272387150.32142657</v>
      </c>
      <c r="CM104" s="114">
        <f t="shared" si="316"/>
        <v>279565511.6405617</v>
      </c>
      <c r="CN104" s="114">
        <f t="shared" si="162"/>
        <v>279565511.6405617</v>
      </c>
      <c r="CO104" s="116">
        <f t="shared" si="163"/>
        <v>0.97430000000000005</v>
      </c>
      <c r="CP104" s="126">
        <f t="shared" ca="1" si="164"/>
        <v>0</v>
      </c>
      <c r="CQ104" s="115">
        <f t="shared" ca="1" si="336"/>
        <v>0</v>
      </c>
      <c r="CR104" s="118" t="str">
        <f t="shared" si="328"/>
        <v>Uncapped</v>
      </c>
      <c r="CS104" s="115">
        <f t="shared" ca="1" si="337"/>
        <v>0</v>
      </c>
      <c r="CT104" s="113"/>
      <c r="CU104" s="119">
        <v>0</v>
      </c>
      <c r="CV104" s="113"/>
      <c r="CW104" s="113"/>
      <c r="CX104" s="113">
        <v>0</v>
      </c>
      <c r="CY104" s="113">
        <v>0</v>
      </c>
      <c r="CZ104" s="113">
        <v>0</v>
      </c>
      <c r="DA104" s="113">
        <v>0</v>
      </c>
      <c r="DB104" s="113">
        <v>0</v>
      </c>
      <c r="DC104" s="113">
        <v>0</v>
      </c>
      <c r="DD104" s="113">
        <v>0</v>
      </c>
      <c r="DE104" s="113"/>
      <c r="DF104" s="113"/>
      <c r="DG104" s="113"/>
      <c r="DH104" s="113"/>
      <c r="DI104" s="113"/>
      <c r="DJ104" s="114">
        <f t="shared" si="165"/>
        <v>0</v>
      </c>
      <c r="DK104" s="114">
        <f t="shared" si="166"/>
        <v>0</v>
      </c>
      <c r="DL104" s="114">
        <f t="shared" si="167"/>
        <v>0</v>
      </c>
      <c r="DM104" s="114">
        <f t="shared" si="168"/>
        <v>0</v>
      </c>
      <c r="DN104" s="114">
        <f t="shared" si="329"/>
        <v>0</v>
      </c>
      <c r="DO104" s="114">
        <f t="shared" si="317"/>
        <v>0</v>
      </c>
      <c r="DP104" s="114">
        <f t="shared" si="169"/>
        <v>0</v>
      </c>
      <c r="DQ104" s="116">
        <f t="shared" si="170"/>
        <v>0</v>
      </c>
      <c r="DR104" s="126">
        <f t="shared" ca="1" si="338"/>
        <v>0</v>
      </c>
      <c r="DS104" s="115">
        <f t="shared" ca="1" si="339"/>
        <v>0</v>
      </c>
      <c r="DT104" s="118" t="str">
        <f t="shared" si="330"/>
        <v>Uncapped</v>
      </c>
      <c r="DU104" s="115">
        <f t="shared" ca="1" si="340"/>
        <v>0</v>
      </c>
      <c r="DV104" s="113"/>
      <c r="DW104" s="119">
        <v>0</v>
      </c>
      <c r="DX104" s="113"/>
      <c r="DY104" s="113"/>
      <c r="DZ104" s="113">
        <v>0</v>
      </c>
      <c r="EA104" s="113">
        <v>0</v>
      </c>
      <c r="EB104" s="113">
        <v>0</v>
      </c>
      <c r="EC104" s="113">
        <v>0</v>
      </c>
      <c r="ED104" s="113">
        <v>0</v>
      </c>
      <c r="EE104" s="113">
        <v>0</v>
      </c>
      <c r="EF104" s="113"/>
      <c r="EG104" s="113"/>
      <c r="EH104" s="113"/>
      <c r="EI104" s="113"/>
      <c r="EJ104" s="113"/>
      <c r="EK104" s="113"/>
      <c r="EL104" s="114">
        <f t="shared" si="171"/>
        <v>0</v>
      </c>
      <c r="EM104" s="114">
        <f t="shared" si="172"/>
        <v>0</v>
      </c>
      <c r="EN104" s="114">
        <f t="shared" si="173"/>
        <v>0</v>
      </c>
      <c r="EO104" s="114">
        <f t="shared" si="174"/>
        <v>0</v>
      </c>
      <c r="EP104" s="114">
        <f t="shared" si="331"/>
        <v>0</v>
      </c>
      <c r="EQ104" s="114">
        <f t="shared" si="318"/>
        <v>0</v>
      </c>
      <c r="ER104" s="114">
        <f t="shared" si="175"/>
        <v>0</v>
      </c>
      <c r="ES104" s="116">
        <f t="shared" si="176"/>
        <v>0</v>
      </c>
      <c r="ET104" s="126">
        <f t="shared" ca="1" si="177"/>
        <v>0</v>
      </c>
      <c r="EU104" s="115">
        <f t="shared" ca="1" si="341"/>
        <v>0</v>
      </c>
      <c r="EV104" s="118" t="str">
        <f t="shared" si="332"/>
        <v>Uncapped</v>
      </c>
      <c r="EW104" s="115">
        <f t="shared" ca="1" si="342"/>
        <v>0</v>
      </c>
      <c r="EX104" s="112">
        <f t="shared" ca="1" si="343"/>
        <v>0</v>
      </c>
      <c r="EY104" s="114">
        <f t="shared" ca="1" si="178"/>
        <v>0</v>
      </c>
      <c r="EZ104" s="115">
        <v>0</v>
      </c>
      <c r="FA104" s="115"/>
      <c r="FB104" s="115"/>
      <c r="FC104" s="115">
        <v>0</v>
      </c>
      <c r="FD104" s="115">
        <f t="shared" si="319"/>
        <v>0</v>
      </c>
      <c r="FE104" s="114">
        <f t="shared" si="312"/>
        <v>0</v>
      </c>
      <c r="FF104" s="115">
        <v>0</v>
      </c>
      <c r="FG104" s="115">
        <v>0</v>
      </c>
      <c r="FH104" s="115">
        <v>0</v>
      </c>
      <c r="FI104" s="115">
        <v>0</v>
      </c>
      <c r="FJ104" s="115">
        <f t="shared" si="320"/>
        <v>0</v>
      </c>
      <c r="FK104" s="114">
        <f t="shared" si="313"/>
        <v>0</v>
      </c>
      <c r="FL104" s="113"/>
      <c r="FM104" s="111"/>
      <c r="FN104" s="111"/>
      <c r="FO104" s="111"/>
      <c r="FP104" s="115">
        <f t="shared" si="216"/>
        <v>0</v>
      </c>
      <c r="FQ104" s="115"/>
      <c r="FR104" s="115"/>
      <c r="FS104" s="115"/>
      <c r="FT104" s="114">
        <f t="shared" si="209"/>
        <v>0</v>
      </c>
      <c r="FU104" s="366">
        <f t="shared" ca="1" si="210"/>
        <v>0</v>
      </c>
      <c r="FV104" s="121">
        <f t="shared" ca="1" si="211"/>
        <v>0</v>
      </c>
      <c r="FW104" s="114">
        <f t="shared" si="218"/>
        <v>0</v>
      </c>
      <c r="FX104" s="114">
        <f t="shared" si="218"/>
        <v>0</v>
      </c>
      <c r="FY104" s="114">
        <f t="shared" si="218"/>
        <v>0</v>
      </c>
      <c r="FZ104" s="114">
        <f t="shared" si="218"/>
        <v>0</v>
      </c>
      <c r="GA104" s="114">
        <f t="shared" si="354"/>
        <v>0</v>
      </c>
      <c r="GB104" s="114">
        <f t="shared" si="219"/>
        <v>0</v>
      </c>
      <c r="GC104" s="114">
        <f t="shared" si="219"/>
        <v>0</v>
      </c>
      <c r="GD104" s="114">
        <f t="shared" si="219"/>
        <v>0</v>
      </c>
      <c r="GE104" s="114">
        <f t="shared" si="219"/>
        <v>0</v>
      </c>
      <c r="GF104" s="114">
        <f t="shared" si="220"/>
        <v>0</v>
      </c>
      <c r="GG104" s="114">
        <f t="shared" si="220"/>
        <v>0</v>
      </c>
      <c r="GH104" s="114">
        <f t="shared" si="220"/>
        <v>0</v>
      </c>
      <c r="GI104" s="114">
        <f t="shared" si="220"/>
        <v>0</v>
      </c>
      <c r="GJ104" s="115">
        <f t="shared" si="321"/>
        <v>0</v>
      </c>
      <c r="GK104" s="114">
        <f t="shared" si="355"/>
        <v>0</v>
      </c>
      <c r="GL104" s="114">
        <f t="shared" si="344"/>
        <v>0</v>
      </c>
      <c r="GM104" s="114">
        <f t="shared" si="345"/>
        <v>0</v>
      </c>
      <c r="GN104" s="114">
        <f t="shared" si="346"/>
        <v>0</v>
      </c>
      <c r="GO104" s="114">
        <f t="shared" si="347"/>
        <v>0</v>
      </c>
      <c r="GP104" s="114">
        <f t="shared" si="322"/>
        <v>0</v>
      </c>
      <c r="GQ104" s="114">
        <f t="shared" si="356"/>
        <v>0</v>
      </c>
      <c r="GR104" s="216"/>
      <c r="GS104" s="122">
        <f t="shared" si="348"/>
        <v>336964304.27258718</v>
      </c>
      <c r="GT104" s="122">
        <f t="shared" si="349"/>
        <v>371784968.65226173</v>
      </c>
      <c r="GU104" s="123">
        <f t="shared" si="357"/>
        <v>0.9063419252642162</v>
      </c>
      <c r="GV104" s="124">
        <f t="shared" ca="1" si="350"/>
        <v>0</v>
      </c>
      <c r="GW104" s="124">
        <v>0</v>
      </c>
      <c r="GX104" s="32">
        <f t="shared" ca="1" si="351"/>
        <v>0</v>
      </c>
      <c r="GY104" s="100"/>
    </row>
    <row r="105" spans="1:207" s="125" customFormat="1" ht="15" hidden="1" customHeight="1">
      <c r="A105" s="102"/>
      <c r="B105" s="103"/>
      <c r="C105" s="103"/>
      <c r="D105" s="104"/>
      <c r="E105" s="104"/>
      <c r="F105" s="104" t="s">
        <v>473</v>
      </c>
      <c r="G105" s="104" t="s">
        <v>226</v>
      </c>
      <c r="H105" s="154" t="s">
        <v>474</v>
      </c>
      <c r="I105" s="106" t="s">
        <v>475</v>
      </c>
      <c r="J105" s="104" t="s">
        <v>471</v>
      </c>
      <c r="K105" s="104" t="s">
        <v>208</v>
      </c>
      <c r="L105" s="104" t="s">
        <v>471</v>
      </c>
      <c r="M105" s="104" t="s">
        <v>472</v>
      </c>
      <c r="N105" s="107"/>
      <c r="O105" s="108">
        <v>41376</v>
      </c>
      <c r="P105" s="108">
        <v>42979</v>
      </c>
      <c r="Q105" s="322">
        <f t="shared" si="323"/>
        <v>0</v>
      </c>
      <c r="R105" s="109">
        <f>IF((P105-VLOOKUP(Q105,month!$A$1:$C$13,3,0))&lt;0,Q105,Q105+1)</f>
        <v>0</v>
      </c>
      <c r="S105" s="108"/>
      <c r="T105" s="127" t="str">
        <f t="shared" si="215"/>
        <v/>
      </c>
      <c r="U105" s="107"/>
      <c r="V105" s="107"/>
      <c r="W105" s="107"/>
      <c r="X105" s="107"/>
      <c r="Y105" s="386"/>
      <c r="Z105" s="386" t="s">
        <v>545</v>
      </c>
      <c r="AA105" s="387">
        <v>1000</v>
      </c>
      <c r="AB105" s="387">
        <v>1000</v>
      </c>
      <c r="AC105" s="387">
        <v>1000</v>
      </c>
      <c r="AD105" s="387">
        <v>1000</v>
      </c>
      <c r="AE105" s="387">
        <v>1000</v>
      </c>
      <c r="AF105" s="387">
        <v>1000</v>
      </c>
      <c r="AG105" s="387">
        <v>1000</v>
      </c>
      <c r="AH105" s="387">
        <v>1000</v>
      </c>
      <c r="AI105" s="387">
        <v>1000</v>
      </c>
      <c r="AJ105" s="387">
        <v>1000</v>
      </c>
      <c r="AK105" s="387">
        <v>1000</v>
      </c>
      <c r="AL105" s="387">
        <v>1000</v>
      </c>
      <c r="AM105" s="388">
        <f t="shared" si="314"/>
        <v>12000</v>
      </c>
      <c r="AN105" s="388">
        <f t="shared" si="324"/>
        <v>12000</v>
      </c>
      <c r="AO105" s="389">
        <f t="shared" si="353"/>
        <v>1000</v>
      </c>
      <c r="AP105" s="498" t="s">
        <v>680</v>
      </c>
      <c r="AQ105" s="159">
        <v>0.6</v>
      </c>
      <c r="AR105" s="160" t="s">
        <v>211</v>
      </c>
      <c r="AS105" s="119" t="s">
        <v>210</v>
      </c>
      <c r="AT105" s="111">
        <v>2047786.8211907696</v>
      </c>
      <c r="AU105" s="111">
        <v>2376743.5325880973</v>
      </c>
      <c r="AV105" s="111">
        <v>2852172.2391057168</v>
      </c>
      <c r="AW105" s="111">
        <v>3413126.7666677767</v>
      </c>
      <c r="AX105" s="113">
        <v>1993460.35</v>
      </c>
      <c r="AY105" s="113">
        <v>2409498.1449000011</v>
      </c>
      <c r="AZ105" s="113">
        <v>2510174.9574000025</v>
      </c>
      <c r="BA105" s="113"/>
      <c r="BB105" s="113"/>
      <c r="BC105" s="113"/>
      <c r="BD105" s="113"/>
      <c r="BE105" s="113"/>
      <c r="BF105" s="114">
        <f t="shared" si="152"/>
        <v>1993460.35</v>
      </c>
      <c r="BG105" s="114">
        <f t="shared" si="153"/>
        <v>2409498.1449000011</v>
      </c>
      <c r="BH105" s="114">
        <f t="shared" si="154"/>
        <v>2510174.9574000025</v>
      </c>
      <c r="BI105" s="114">
        <f t="shared" si="155"/>
        <v>0</v>
      </c>
      <c r="BJ105" s="114">
        <f t="shared" si="325"/>
        <v>6913133.4523000037</v>
      </c>
      <c r="BK105" s="115">
        <f t="shared" ref="BK105:BK134" si="358">IF($H$2=1,AT105,IF($H$2=2,SUM(AT105:AU105),IF($H$2=3,SUM(AT105:AV105),SUM(AT105:AW105))))</f>
        <v>10689829.359552361</v>
      </c>
      <c r="BL105" s="115">
        <f t="shared" si="156"/>
        <v>10689829.359552361</v>
      </c>
      <c r="BM105" s="116">
        <f t="shared" si="157"/>
        <v>0.64670000000000005</v>
      </c>
      <c r="BN105" s="126">
        <f t="shared" ref="BN105:BN134" ca="1" si="359">IF(OR(AP105="MBO",AP105="10% Realized Price"),BM105,SUMPRODUCT(Lower_Payout*(Curve=AR105)*(Lower_Attain&lt;=BM105)*(Upper_Attain&gt;BM105))+(BM105-SUMPRODUCT(Lower_Attain*(Curve=AR105)*(Lower_Attain&lt;=BM105)*(Upper_Attain&gt;BM105)))*SUMPRODUCT(Slope*(Curve=AR105)*(Lower_Attain&lt;=BM105)*(Upper_Attain&gt;BM105)))</f>
        <v>0</v>
      </c>
      <c r="BO105" s="117">
        <f t="shared" ref="BO105:BO134" ca="1" si="360">IFERROR(AM105*AQ105*BN105,0)</f>
        <v>0</v>
      </c>
      <c r="BP105" s="118" t="str">
        <f t="shared" ref="BP105:BP134" si="361">IF($T105="Y","100%",IF($H$2=4,"Uncapped",IF(N105="Y","100%",IF($G105="AA","50%",IF($G105="SA","90%",IF($G105="APJ Regional-AA","50%",IF($G105="APJ Regional-SA","90%",75%)))))))</f>
        <v>Uncapped</v>
      </c>
      <c r="BQ105" s="115">
        <f t="shared" ref="BQ105:BQ134" ca="1" si="362">IF(BP105="Uncapped",BO105,IFERROR(AM105*AQ105*BP105,0))</f>
        <v>0</v>
      </c>
      <c r="BR105" s="113" t="s">
        <v>688</v>
      </c>
      <c r="BS105" s="161">
        <v>0.2</v>
      </c>
      <c r="BT105" s="113" t="s">
        <v>211</v>
      </c>
      <c r="BU105" s="160" t="s">
        <v>210</v>
      </c>
      <c r="BV105" s="113">
        <v>19653413.080999997</v>
      </c>
      <c r="BW105" s="113">
        <v>22848780.235100001</v>
      </c>
      <c r="BX105" s="113">
        <v>22618799.574099999</v>
      </c>
      <c r="BY105" s="113">
        <v>27098464.121500004</v>
      </c>
      <c r="BZ105" s="113">
        <v>19427532.107000571</v>
      </c>
      <c r="CA105" s="113">
        <v>22270538.357580002</v>
      </c>
      <c r="CB105" s="113">
        <v>22879083.486580007</v>
      </c>
      <c r="CC105" s="113">
        <f t="shared" si="352"/>
        <v>27098464.121500004</v>
      </c>
      <c r="CD105" s="113"/>
      <c r="CE105" s="113"/>
      <c r="CF105" s="113"/>
      <c r="CG105" s="113"/>
      <c r="CH105" s="114">
        <f t="shared" si="158"/>
        <v>19427532.107000571</v>
      </c>
      <c r="CI105" s="114">
        <f t="shared" si="159"/>
        <v>22270538.357580002</v>
      </c>
      <c r="CJ105" s="120">
        <f t="shared" si="160"/>
        <v>22879083.486580007</v>
      </c>
      <c r="CK105" s="114">
        <f t="shared" si="161"/>
        <v>27098464.121500004</v>
      </c>
      <c r="CL105" s="114">
        <f t="shared" si="327"/>
        <v>91675618.07266058</v>
      </c>
      <c r="CM105" s="114">
        <f t="shared" si="316"/>
        <v>92219457.011700004</v>
      </c>
      <c r="CN105" s="114">
        <f t="shared" si="162"/>
        <v>92219457.011700004</v>
      </c>
      <c r="CO105" s="116">
        <f t="shared" si="163"/>
        <v>0.99409999999999998</v>
      </c>
      <c r="CP105" s="126">
        <f t="shared" ca="1" si="164"/>
        <v>0</v>
      </c>
      <c r="CQ105" s="115">
        <f t="shared" ca="1" si="336"/>
        <v>0</v>
      </c>
      <c r="CR105" s="118" t="str">
        <f t="shared" si="328"/>
        <v>Uncapped</v>
      </c>
      <c r="CS105" s="115">
        <f t="shared" ca="1" si="337"/>
        <v>0</v>
      </c>
      <c r="CT105" s="113" t="s">
        <v>696</v>
      </c>
      <c r="CU105" s="119">
        <v>0.2</v>
      </c>
      <c r="CV105" s="113" t="s">
        <v>217</v>
      </c>
      <c r="CW105" s="113" t="s">
        <v>210</v>
      </c>
      <c r="CX105" s="113">
        <v>61881722.047854595</v>
      </c>
      <c r="CY105" s="113">
        <v>72180793.063260496</v>
      </c>
      <c r="CZ105" s="113">
        <v>69179032.514420599</v>
      </c>
      <c r="DA105" s="113">
        <v>76323964.015026003</v>
      </c>
      <c r="DB105" s="113">
        <v>63657388.730680585</v>
      </c>
      <c r="DC105" s="113">
        <v>65995192.891159989</v>
      </c>
      <c r="DD105" s="113">
        <v>66410604.684560001</v>
      </c>
      <c r="DE105" s="113"/>
      <c r="DF105" s="113"/>
      <c r="DG105" s="113"/>
      <c r="DH105" s="113"/>
      <c r="DI105" s="113"/>
      <c r="DJ105" s="114">
        <f t="shared" si="165"/>
        <v>63657388.730680585</v>
      </c>
      <c r="DK105" s="114">
        <f t="shared" si="166"/>
        <v>65995192.891159989</v>
      </c>
      <c r="DL105" s="114">
        <f t="shared" si="167"/>
        <v>66410604.684560001</v>
      </c>
      <c r="DM105" s="114">
        <f t="shared" si="168"/>
        <v>0</v>
      </c>
      <c r="DN105" s="114">
        <f t="shared" si="329"/>
        <v>196063186.30640057</v>
      </c>
      <c r="DO105" s="114">
        <f t="shared" si="317"/>
        <v>279565511.6405617</v>
      </c>
      <c r="DP105" s="114">
        <f t="shared" si="169"/>
        <v>279565511.6405617</v>
      </c>
      <c r="DQ105" s="116">
        <f t="shared" si="170"/>
        <v>0.70130000000000003</v>
      </c>
      <c r="DR105" s="126">
        <f t="shared" ca="1" si="338"/>
        <v>0</v>
      </c>
      <c r="DS105" s="115">
        <f t="shared" ca="1" si="339"/>
        <v>0</v>
      </c>
      <c r="DT105" s="118" t="str">
        <f t="shared" si="330"/>
        <v>Uncapped</v>
      </c>
      <c r="DU105" s="115">
        <f t="shared" ca="1" si="340"/>
        <v>0</v>
      </c>
      <c r="DV105" s="113"/>
      <c r="DW105" s="119">
        <v>0</v>
      </c>
      <c r="DX105" s="113"/>
      <c r="DY105" s="113"/>
      <c r="DZ105" s="113">
        <v>0</v>
      </c>
      <c r="EA105" s="113">
        <v>0</v>
      </c>
      <c r="EB105" s="113">
        <v>0</v>
      </c>
      <c r="EC105" s="113">
        <v>0</v>
      </c>
      <c r="ED105" s="113">
        <v>0</v>
      </c>
      <c r="EE105" s="113">
        <v>0</v>
      </c>
      <c r="EF105" s="113"/>
      <c r="EG105" s="113"/>
      <c r="EH105" s="113"/>
      <c r="EI105" s="113"/>
      <c r="EJ105" s="113"/>
      <c r="EK105" s="113"/>
      <c r="EL105" s="114">
        <f t="shared" si="171"/>
        <v>0</v>
      </c>
      <c r="EM105" s="114">
        <f t="shared" si="172"/>
        <v>0</v>
      </c>
      <c r="EN105" s="114">
        <f t="shared" si="173"/>
        <v>0</v>
      </c>
      <c r="EO105" s="114">
        <f t="shared" si="174"/>
        <v>0</v>
      </c>
      <c r="EP105" s="114">
        <f t="shared" si="331"/>
        <v>0</v>
      </c>
      <c r="EQ105" s="114">
        <f t="shared" si="318"/>
        <v>0</v>
      </c>
      <c r="ER105" s="114">
        <f t="shared" si="175"/>
        <v>0</v>
      </c>
      <c r="ES105" s="116">
        <f t="shared" si="176"/>
        <v>0</v>
      </c>
      <c r="ET105" s="126">
        <f t="shared" ca="1" si="177"/>
        <v>0</v>
      </c>
      <c r="EU105" s="115">
        <f t="shared" ca="1" si="341"/>
        <v>0</v>
      </c>
      <c r="EV105" s="118" t="str">
        <f t="shared" si="332"/>
        <v>Uncapped</v>
      </c>
      <c r="EW105" s="115">
        <f t="shared" ca="1" si="342"/>
        <v>0</v>
      </c>
      <c r="EX105" s="112">
        <f t="shared" ca="1" si="343"/>
        <v>0</v>
      </c>
      <c r="EY105" s="114">
        <f t="shared" ca="1" si="178"/>
        <v>0</v>
      </c>
      <c r="EZ105" s="115">
        <v>0</v>
      </c>
      <c r="FA105" s="115"/>
      <c r="FB105" s="115"/>
      <c r="FC105" s="115">
        <v>0</v>
      </c>
      <c r="FD105" s="115">
        <f t="shared" si="319"/>
        <v>0</v>
      </c>
      <c r="FE105" s="114">
        <f t="shared" si="312"/>
        <v>0</v>
      </c>
      <c r="FF105" s="115">
        <v>0</v>
      </c>
      <c r="FG105" s="115">
        <v>0</v>
      </c>
      <c r="FH105" s="115">
        <v>0</v>
      </c>
      <c r="FI105" s="115">
        <v>0</v>
      </c>
      <c r="FJ105" s="115">
        <f t="shared" si="320"/>
        <v>0</v>
      </c>
      <c r="FK105" s="114">
        <f t="shared" si="313"/>
        <v>0</v>
      </c>
      <c r="FL105" s="113"/>
      <c r="FM105" s="111"/>
      <c r="FN105" s="111"/>
      <c r="FO105" s="111"/>
      <c r="FP105" s="115">
        <f t="shared" si="216"/>
        <v>0</v>
      </c>
      <c r="FQ105" s="115"/>
      <c r="FR105" s="115"/>
      <c r="FS105" s="115"/>
      <c r="FT105" s="114">
        <f t="shared" si="209"/>
        <v>0</v>
      </c>
      <c r="FU105" s="366">
        <f t="shared" ca="1" si="210"/>
        <v>0</v>
      </c>
      <c r="FV105" s="121">
        <f t="shared" ca="1" si="211"/>
        <v>0</v>
      </c>
      <c r="FW105" s="114">
        <f t="shared" si="218"/>
        <v>0</v>
      </c>
      <c r="FX105" s="114">
        <f t="shared" si="218"/>
        <v>0</v>
      </c>
      <c r="FY105" s="114">
        <f t="shared" si="218"/>
        <v>0</v>
      </c>
      <c r="FZ105" s="114">
        <f t="shared" si="218"/>
        <v>0</v>
      </c>
      <c r="GA105" s="114">
        <f t="shared" si="354"/>
        <v>0</v>
      </c>
      <c r="GB105" s="114">
        <f t="shared" si="219"/>
        <v>0</v>
      </c>
      <c r="GC105" s="114">
        <f t="shared" si="219"/>
        <v>0</v>
      </c>
      <c r="GD105" s="114">
        <f t="shared" si="219"/>
        <v>0</v>
      </c>
      <c r="GE105" s="114">
        <f t="shared" si="219"/>
        <v>0</v>
      </c>
      <c r="GF105" s="114">
        <f t="shared" si="220"/>
        <v>0</v>
      </c>
      <c r="GG105" s="114">
        <f t="shared" si="220"/>
        <v>0</v>
      </c>
      <c r="GH105" s="114">
        <f t="shared" si="220"/>
        <v>0</v>
      </c>
      <c r="GI105" s="114">
        <f t="shared" si="220"/>
        <v>0</v>
      </c>
      <c r="GJ105" s="115">
        <f t="shared" si="321"/>
        <v>0</v>
      </c>
      <c r="GK105" s="114">
        <f t="shared" si="355"/>
        <v>0</v>
      </c>
      <c r="GL105" s="114">
        <f t="shared" si="344"/>
        <v>0</v>
      </c>
      <c r="GM105" s="114">
        <f t="shared" si="345"/>
        <v>0</v>
      </c>
      <c r="GN105" s="114">
        <f t="shared" si="346"/>
        <v>0</v>
      </c>
      <c r="GO105" s="114">
        <f t="shared" si="347"/>
        <v>0</v>
      </c>
      <c r="GP105" s="114">
        <f t="shared" si="322"/>
        <v>0</v>
      </c>
      <c r="GQ105" s="114">
        <f t="shared" si="356"/>
        <v>0</v>
      </c>
      <c r="GR105" s="216"/>
      <c r="GS105" s="122">
        <f t="shared" si="348"/>
        <v>294651937.83136117</v>
      </c>
      <c r="GT105" s="122">
        <f t="shared" si="349"/>
        <v>382474798.01181406</v>
      </c>
      <c r="GU105" s="123">
        <f t="shared" si="357"/>
        <v>0.77038262223556975</v>
      </c>
      <c r="GV105" s="124">
        <f t="shared" ca="1" si="350"/>
        <v>0</v>
      </c>
      <c r="GW105" s="124">
        <v>0</v>
      </c>
      <c r="GX105" s="32">
        <f t="shared" ca="1" si="351"/>
        <v>0</v>
      </c>
      <c r="GY105" s="100"/>
    </row>
    <row r="106" spans="1:207" s="125" customFormat="1" ht="15" hidden="1" customHeight="1">
      <c r="A106" s="102"/>
      <c r="B106" s="103"/>
      <c r="C106" s="103"/>
      <c r="D106" s="104"/>
      <c r="E106" s="104"/>
      <c r="F106" s="104" t="s">
        <v>473</v>
      </c>
      <c r="G106" s="104" t="s">
        <v>226</v>
      </c>
      <c r="H106" s="154" t="s">
        <v>476</v>
      </c>
      <c r="I106" s="106" t="s">
        <v>477</v>
      </c>
      <c r="J106" s="104" t="s">
        <v>471</v>
      </c>
      <c r="K106" s="104" t="s">
        <v>208</v>
      </c>
      <c r="L106" s="104" t="s">
        <v>471</v>
      </c>
      <c r="M106" s="104" t="s">
        <v>472</v>
      </c>
      <c r="N106" s="107"/>
      <c r="O106" s="108">
        <v>42730</v>
      </c>
      <c r="P106" s="108">
        <v>42730</v>
      </c>
      <c r="Q106" s="322">
        <f t="shared" si="323"/>
        <v>0</v>
      </c>
      <c r="R106" s="109">
        <f>IF((P106-VLOOKUP(Q106,month!$A$1:$C$13,3,0))&lt;0,Q106,Q106+1)</f>
        <v>0</v>
      </c>
      <c r="S106" s="108"/>
      <c r="T106" s="127" t="str">
        <f t="shared" si="215"/>
        <v/>
      </c>
      <c r="U106" s="107"/>
      <c r="V106" s="107"/>
      <c r="W106" s="107"/>
      <c r="X106" s="107"/>
      <c r="Y106" s="386"/>
      <c r="Z106" s="386" t="s">
        <v>545</v>
      </c>
      <c r="AA106" s="387">
        <v>1000</v>
      </c>
      <c r="AB106" s="387">
        <v>1000</v>
      </c>
      <c r="AC106" s="387">
        <v>1000</v>
      </c>
      <c r="AD106" s="387">
        <v>1000</v>
      </c>
      <c r="AE106" s="387">
        <v>1000</v>
      </c>
      <c r="AF106" s="387">
        <v>1000</v>
      </c>
      <c r="AG106" s="387">
        <v>1000</v>
      </c>
      <c r="AH106" s="387">
        <v>1000</v>
      </c>
      <c r="AI106" s="387">
        <v>1000</v>
      </c>
      <c r="AJ106" s="387">
        <v>1000</v>
      </c>
      <c r="AK106" s="387">
        <v>1000</v>
      </c>
      <c r="AL106" s="387">
        <v>1000</v>
      </c>
      <c r="AM106" s="388">
        <f t="shared" si="314"/>
        <v>12000</v>
      </c>
      <c r="AN106" s="388">
        <f t="shared" si="324"/>
        <v>12000</v>
      </c>
      <c r="AO106" s="389">
        <f t="shared" si="353"/>
        <v>1000</v>
      </c>
      <c r="AP106" s="498" t="s">
        <v>680</v>
      </c>
      <c r="AQ106" s="159">
        <v>0.6</v>
      </c>
      <c r="AR106" s="160" t="s">
        <v>211</v>
      </c>
      <c r="AS106" s="119" t="s">
        <v>210</v>
      </c>
      <c r="AT106" s="111">
        <v>1563244.5121300949</v>
      </c>
      <c r="AU106" s="111">
        <v>1757795.2590942476</v>
      </c>
      <c r="AV106" s="111">
        <v>1743153.9664260403</v>
      </c>
      <c r="AW106" s="111">
        <v>2179606.5179943647</v>
      </c>
      <c r="AX106" s="113">
        <v>1374410.2129342754</v>
      </c>
      <c r="AY106" s="113">
        <v>1647376.8032239999</v>
      </c>
      <c r="AZ106" s="113">
        <v>1954662.830295078</v>
      </c>
      <c r="BA106" s="113"/>
      <c r="BB106" s="113"/>
      <c r="BC106" s="113"/>
      <c r="BD106" s="113"/>
      <c r="BE106" s="113"/>
      <c r="BF106" s="114">
        <f t="shared" si="152"/>
        <v>1374410.2129342754</v>
      </c>
      <c r="BG106" s="114">
        <f t="shared" si="153"/>
        <v>1647376.8032239999</v>
      </c>
      <c r="BH106" s="114">
        <f t="shared" si="154"/>
        <v>1954662.830295078</v>
      </c>
      <c r="BI106" s="114">
        <f t="shared" si="155"/>
        <v>0</v>
      </c>
      <c r="BJ106" s="114">
        <f t="shared" si="325"/>
        <v>4976449.8464533538</v>
      </c>
      <c r="BK106" s="115">
        <f t="shared" si="358"/>
        <v>7243800.2556447471</v>
      </c>
      <c r="BL106" s="115">
        <f t="shared" si="156"/>
        <v>7243800.2556447471</v>
      </c>
      <c r="BM106" s="116">
        <f t="shared" si="157"/>
        <v>0.68700000000000006</v>
      </c>
      <c r="BN106" s="126">
        <f t="shared" ca="1" si="359"/>
        <v>0</v>
      </c>
      <c r="BO106" s="117">
        <f t="shared" ca="1" si="360"/>
        <v>0</v>
      </c>
      <c r="BP106" s="118" t="str">
        <f t="shared" si="361"/>
        <v>Uncapped</v>
      </c>
      <c r="BQ106" s="115">
        <f t="shared" ca="1" si="362"/>
        <v>0</v>
      </c>
      <c r="BR106" s="113" t="s">
        <v>688</v>
      </c>
      <c r="BS106" s="161">
        <v>0.2</v>
      </c>
      <c r="BT106" s="113" t="s">
        <v>211</v>
      </c>
      <c r="BU106" s="160" t="s">
        <v>210</v>
      </c>
      <c r="BV106" s="113">
        <v>19653413.080999997</v>
      </c>
      <c r="BW106" s="113">
        <v>22848780.235100001</v>
      </c>
      <c r="BX106" s="113">
        <v>22618799.574099999</v>
      </c>
      <c r="BY106" s="113">
        <v>27098464.121500004</v>
      </c>
      <c r="BZ106" s="113">
        <v>19427532.107000571</v>
      </c>
      <c r="CA106" s="113">
        <v>22270538.357580002</v>
      </c>
      <c r="CB106" s="113">
        <v>22879083.486580007</v>
      </c>
      <c r="CC106" s="113">
        <f t="shared" si="352"/>
        <v>27098464.121500004</v>
      </c>
      <c r="CD106" s="113"/>
      <c r="CE106" s="113"/>
      <c r="CF106" s="113"/>
      <c r="CG106" s="113"/>
      <c r="CH106" s="114">
        <f t="shared" si="158"/>
        <v>19427532.107000571</v>
      </c>
      <c r="CI106" s="114">
        <f t="shared" si="159"/>
        <v>22270538.357580002</v>
      </c>
      <c r="CJ106" s="120">
        <f t="shared" si="160"/>
        <v>22879083.486580007</v>
      </c>
      <c r="CK106" s="114">
        <f t="shared" si="161"/>
        <v>27098464.121500004</v>
      </c>
      <c r="CL106" s="114">
        <f t="shared" si="327"/>
        <v>91675618.07266058</v>
      </c>
      <c r="CM106" s="114">
        <f t="shared" si="316"/>
        <v>92219457.011700004</v>
      </c>
      <c r="CN106" s="114">
        <f t="shared" si="162"/>
        <v>92219457.011700004</v>
      </c>
      <c r="CO106" s="116">
        <f t="shared" si="163"/>
        <v>0.99409999999999998</v>
      </c>
      <c r="CP106" s="126">
        <f t="shared" ca="1" si="164"/>
        <v>0</v>
      </c>
      <c r="CQ106" s="115">
        <f t="shared" ca="1" si="336"/>
        <v>0</v>
      </c>
      <c r="CR106" s="118" t="str">
        <f t="shared" si="328"/>
        <v>Uncapped</v>
      </c>
      <c r="CS106" s="115">
        <f t="shared" ca="1" si="337"/>
        <v>0</v>
      </c>
      <c r="CT106" s="113" t="s">
        <v>696</v>
      </c>
      <c r="CU106" s="119">
        <v>0.2</v>
      </c>
      <c r="CV106" s="113" t="s">
        <v>217</v>
      </c>
      <c r="CW106" s="113" t="s">
        <v>210</v>
      </c>
      <c r="CX106" s="113">
        <v>61881722.047854595</v>
      </c>
      <c r="CY106" s="113">
        <v>72180793.063260496</v>
      </c>
      <c r="CZ106" s="113">
        <v>69179032.514420599</v>
      </c>
      <c r="DA106" s="113">
        <v>76323964.015026003</v>
      </c>
      <c r="DB106" s="113">
        <v>63657388.730680585</v>
      </c>
      <c r="DC106" s="113">
        <v>65995192.891159989</v>
      </c>
      <c r="DD106" s="113">
        <v>66410604.684560001</v>
      </c>
      <c r="DE106" s="113"/>
      <c r="DF106" s="113"/>
      <c r="DG106" s="113"/>
      <c r="DH106" s="113"/>
      <c r="DI106" s="113"/>
      <c r="DJ106" s="114">
        <f t="shared" si="165"/>
        <v>63657388.730680585</v>
      </c>
      <c r="DK106" s="114">
        <f t="shared" si="166"/>
        <v>65995192.891159989</v>
      </c>
      <c r="DL106" s="114">
        <f t="shared" si="167"/>
        <v>66410604.684560001</v>
      </c>
      <c r="DM106" s="114">
        <f t="shared" si="168"/>
        <v>0</v>
      </c>
      <c r="DN106" s="114">
        <f t="shared" si="329"/>
        <v>196063186.30640057</v>
      </c>
      <c r="DO106" s="114">
        <f t="shared" si="317"/>
        <v>279565511.6405617</v>
      </c>
      <c r="DP106" s="114">
        <f t="shared" si="169"/>
        <v>279565511.6405617</v>
      </c>
      <c r="DQ106" s="116">
        <f t="shared" si="170"/>
        <v>0.70130000000000003</v>
      </c>
      <c r="DR106" s="126">
        <f t="shared" ca="1" si="338"/>
        <v>0</v>
      </c>
      <c r="DS106" s="115">
        <f t="shared" ca="1" si="339"/>
        <v>0</v>
      </c>
      <c r="DT106" s="118" t="str">
        <f t="shared" si="330"/>
        <v>Uncapped</v>
      </c>
      <c r="DU106" s="115">
        <f t="shared" ca="1" si="340"/>
        <v>0</v>
      </c>
      <c r="DV106" s="113"/>
      <c r="DW106" s="119">
        <v>0</v>
      </c>
      <c r="DX106" s="113"/>
      <c r="DY106" s="113"/>
      <c r="DZ106" s="113">
        <v>0</v>
      </c>
      <c r="EA106" s="113">
        <v>0</v>
      </c>
      <c r="EB106" s="113">
        <v>0</v>
      </c>
      <c r="EC106" s="113">
        <v>0</v>
      </c>
      <c r="ED106" s="113">
        <v>0</v>
      </c>
      <c r="EE106" s="113">
        <v>0</v>
      </c>
      <c r="EF106" s="113"/>
      <c r="EG106" s="113"/>
      <c r="EH106" s="113"/>
      <c r="EI106" s="113"/>
      <c r="EJ106" s="113"/>
      <c r="EK106" s="113"/>
      <c r="EL106" s="114">
        <f t="shared" si="171"/>
        <v>0</v>
      </c>
      <c r="EM106" s="114">
        <f t="shared" si="172"/>
        <v>0</v>
      </c>
      <c r="EN106" s="114">
        <f t="shared" si="173"/>
        <v>0</v>
      </c>
      <c r="EO106" s="114">
        <f t="shared" si="174"/>
        <v>0</v>
      </c>
      <c r="EP106" s="114">
        <f t="shared" si="331"/>
        <v>0</v>
      </c>
      <c r="EQ106" s="114">
        <f t="shared" si="318"/>
        <v>0</v>
      </c>
      <c r="ER106" s="114">
        <f t="shared" si="175"/>
        <v>0</v>
      </c>
      <c r="ES106" s="116">
        <f t="shared" si="176"/>
        <v>0</v>
      </c>
      <c r="ET106" s="126">
        <f t="shared" ca="1" si="177"/>
        <v>0</v>
      </c>
      <c r="EU106" s="115">
        <f t="shared" ca="1" si="341"/>
        <v>0</v>
      </c>
      <c r="EV106" s="118" t="str">
        <f t="shared" si="332"/>
        <v>Uncapped</v>
      </c>
      <c r="EW106" s="115">
        <f t="shared" ca="1" si="342"/>
        <v>0</v>
      </c>
      <c r="EX106" s="112">
        <f t="shared" ca="1" si="343"/>
        <v>0</v>
      </c>
      <c r="EY106" s="114">
        <f t="shared" ca="1" si="178"/>
        <v>0</v>
      </c>
      <c r="EZ106" s="115">
        <v>0</v>
      </c>
      <c r="FA106" s="115"/>
      <c r="FB106" s="115"/>
      <c r="FC106" s="115">
        <v>0</v>
      </c>
      <c r="FD106" s="115">
        <f t="shared" si="319"/>
        <v>0</v>
      </c>
      <c r="FE106" s="114">
        <f t="shared" si="312"/>
        <v>0</v>
      </c>
      <c r="FF106" s="115">
        <v>0</v>
      </c>
      <c r="FG106" s="115">
        <v>0</v>
      </c>
      <c r="FH106" s="115">
        <v>0</v>
      </c>
      <c r="FI106" s="115">
        <v>0</v>
      </c>
      <c r="FJ106" s="115">
        <f t="shared" si="320"/>
        <v>0</v>
      </c>
      <c r="FK106" s="114">
        <f t="shared" si="313"/>
        <v>0</v>
      </c>
      <c r="FL106" s="113"/>
      <c r="FM106" s="111"/>
      <c r="FN106" s="111"/>
      <c r="FO106" s="111"/>
      <c r="FP106" s="115">
        <f t="shared" si="216"/>
        <v>0</v>
      </c>
      <c r="FQ106" s="115"/>
      <c r="FR106" s="115"/>
      <c r="FS106" s="115"/>
      <c r="FT106" s="114">
        <f t="shared" si="209"/>
        <v>0</v>
      </c>
      <c r="FU106" s="366">
        <f t="shared" ca="1" si="210"/>
        <v>0</v>
      </c>
      <c r="FV106" s="121">
        <f t="shared" ca="1" si="211"/>
        <v>0</v>
      </c>
      <c r="FW106" s="114">
        <f t="shared" si="218"/>
        <v>0</v>
      </c>
      <c r="FX106" s="114">
        <f t="shared" si="218"/>
        <v>0</v>
      </c>
      <c r="FY106" s="114">
        <f t="shared" si="218"/>
        <v>0</v>
      </c>
      <c r="FZ106" s="114">
        <f t="shared" si="218"/>
        <v>0</v>
      </c>
      <c r="GA106" s="114">
        <f t="shared" si="354"/>
        <v>0</v>
      </c>
      <c r="GB106" s="114">
        <f t="shared" si="219"/>
        <v>0</v>
      </c>
      <c r="GC106" s="114">
        <f t="shared" si="219"/>
        <v>0</v>
      </c>
      <c r="GD106" s="114">
        <f t="shared" si="219"/>
        <v>0</v>
      </c>
      <c r="GE106" s="114">
        <f t="shared" si="219"/>
        <v>0</v>
      </c>
      <c r="GF106" s="114">
        <f t="shared" si="220"/>
        <v>0</v>
      </c>
      <c r="GG106" s="114">
        <f t="shared" si="220"/>
        <v>0</v>
      </c>
      <c r="GH106" s="114">
        <f t="shared" si="220"/>
        <v>0</v>
      </c>
      <c r="GI106" s="114">
        <f t="shared" si="220"/>
        <v>0</v>
      </c>
      <c r="GJ106" s="115">
        <f t="shared" si="321"/>
        <v>0</v>
      </c>
      <c r="GK106" s="114">
        <f t="shared" si="355"/>
        <v>0</v>
      </c>
      <c r="GL106" s="114">
        <f t="shared" si="344"/>
        <v>0</v>
      </c>
      <c r="GM106" s="114">
        <f t="shared" si="345"/>
        <v>0</v>
      </c>
      <c r="GN106" s="114">
        <f t="shared" si="346"/>
        <v>0</v>
      </c>
      <c r="GO106" s="114">
        <f t="shared" si="347"/>
        <v>0</v>
      </c>
      <c r="GP106" s="114">
        <f t="shared" si="322"/>
        <v>0</v>
      </c>
      <c r="GQ106" s="114">
        <f t="shared" si="356"/>
        <v>0</v>
      </c>
      <c r="GR106" s="216"/>
      <c r="GS106" s="122">
        <f t="shared" si="348"/>
        <v>292715254.22551453</v>
      </c>
      <c r="GT106" s="122">
        <f t="shared" si="349"/>
        <v>379028768.90790647</v>
      </c>
      <c r="GU106" s="123">
        <f t="shared" si="357"/>
        <v>0.77227714157137306</v>
      </c>
      <c r="GV106" s="124">
        <f t="shared" ca="1" si="350"/>
        <v>0</v>
      </c>
      <c r="GW106" s="124">
        <v>0</v>
      </c>
      <c r="GX106" s="32">
        <f t="shared" ca="1" si="351"/>
        <v>0</v>
      </c>
      <c r="GY106" s="100"/>
    </row>
    <row r="107" spans="1:207" s="125" customFormat="1" ht="15" hidden="1" customHeight="1">
      <c r="A107" s="102"/>
      <c r="B107" s="103"/>
      <c r="C107" s="103"/>
      <c r="D107" s="104"/>
      <c r="E107" s="104"/>
      <c r="F107" s="104" t="s">
        <v>473</v>
      </c>
      <c r="G107" s="104" t="s">
        <v>226</v>
      </c>
      <c r="H107" s="154" t="s">
        <v>478</v>
      </c>
      <c r="I107" s="106" t="s">
        <v>479</v>
      </c>
      <c r="J107" s="104" t="s">
        <v>471</v>
      </c>
      <c r="K107" s="104" t="s">
        <v>208</v>
      </c>
      <c r="L107" s="104" t="s">
        <v>471</v>
      </c>
      <c r="M107" s="104" t="s">
        <v>472</v>
      </c>
      <c r="N107" s="107"/>
      <c r="O107" s="108">
        <v>42954</v>
      </c>
      <c r="P107" s="108">
        <v>43313</v>
      </c>
      <c r="Q107" s="322">
        <f t="shared" si="323"/>
        <v>0</v>
      </c>
      <c r="R107" s="109">
        <f>IF((P107-VLOOKUP(Q107,month!$A$1:$C$13,3,0))&lt;0,Q107,Q107+1)</f>
        <v>0</v>
      </c>
      <c r="S107" s="108"/>
      <c r="T107" s="127" t="str">
        <f t="shared" si="215"/>
        <v/>
      </c>
      <c r="U107" s="107"/>
      <c r="V107" s="107"/>
      <c r="W107" s="107"/>
      <c r="X107" s="107"/>
      <c r="Y107" s="386"/>
      <c r="Z107" s="386" t="s">
        <v>545</v>
      </c>
      <c r="AA107" s="387">
        <v>1000</v>
      </c>
      <c r="AB107" s="387">
        <v>1000</v>
      </c>
      <c r="AC107" s="387">
        <v>1000</v>
      </c>
      <c r="AD107" s="387">
        <v>1000</v>
      </c>
      <c r="AE107" s="387">
        <v>1000</v>
      </c>
      <c r="AF107" s="387">
        <v>1000</v>
      </c>
      <c r="AG107" s="387">
        <v>1000</v>
      </c>
      <c r="AH107" s="387">
        <v>1000</v>
      </c>
      <c r="AI107" s="387">
        <v>1000</v>
      </c>
      <c r="AJ107" s="387">
        <v>1000</v>
      </c>
      <c r="AK107" s="387">
        <v>1000</v>
      </c>
      <c r="AL107" s="387">
        <v>1000</v>
      </c>
      <c r="AM107" s="388">
        <f t="shared" si="314"/>
        <v>12000</v>
      </c>
      <c r="AN107" s="388">
        <f t="shared" si="324"/>
        <v>12000</v>
      </c>
      <c r="AO107" s="389">
        <f t="shared" si="353"/>
        <v>1000</v>
      </c>
      <c r="AP107" s="498" t="s">
        <v>680</v>
      </c>
      <c r="AQ107" s="159">
        <v>0.6</v>
      </c>
      <c r="AR107" s="160" t="s">
        <v>211</v>
      </c>
      <c r="AS107" s="119" t="s">
        <v>210</v>
      </c>
      <c r="AT107" s="111">
        <v>4133700.6165920887</v>
      </c>
      <c r="AU107" s="111">
        <v>4929875.5321350498</v>
      </c>
      <c r="AV107" s="111">
        <v>4871778.1374610988</v>
      </c>
      <c r="AW107" s="111">
        <v>5848995.4736821419</v>
      </c>
      <c r="AX107" s="113">
        <v>4219181.96</v>
      </c>
      <c r="AY107" s="113">
        <v>4541761.5374999698</v>
      </c>
      <c r="AZ107" s="113">
        <v>4643093.8821030408</v>
      </c>
      <c r="BA107" s="113"/>
      <c r="BB107" s="113"/>
      <c r="BC107" s="113"/>
      <c r="BD107" s="113"/>
      <c r="BE107" s="113"/>
      <c r="BF107" s="114">
        <f t="shared" si="152"/>
        <v>4219181.96</v>
      </c>
      <c r="BG107" s="114">
        <f t="shared" si="153"/>
        <v>4541761.5374999698</v>
      </c>
      <c r="BH107" s="114">
        <f t="shared" si="154"/>
        <v>4643093.8821030408</v>
      </c>
      <c r="BI107" s="114">
        <f t="shared" si="155"/>
        <v>0</v>
      </c>
      <c r="BJ107" s="114">
        <f t="shared" si="325"/>
        <v>13404037.37960301</v>
      </c>
      <c r="BK107" s="115">
        <f t="shared" si="358"/>
        <v>19784349.75987038</v>
      </c>
      <c r="BL107" s="115">
        <f t="shared" si="156"/>
        <v>19784349.75987038</v>
      </c>
      <c r="BM107" s="116">
        <f t="shared" si="157"/>
        <v>0.67749999999999999</v>
      </c>
      <c r="BN107" s="126">
        <f t="shared" ca="1" si="359"/>
        <v>0</v>
      </c>
      <c r="BO107" s="117">
        <f t="shared" ca="1" si="360"/>
        <v>0</v>
      </c>
      <c r="BP107" s="118" t="str">
        <f t="shared" si="361"/>
        <v>Uncapped</v>
      </c>
      <c r="BQ107" s="115">
        <f t="shared" ca="1" si="362"/>
        <v>0</v>
      </c>
      <c r="BR107" s="113" t="s">
        <v>688</v>
      </c>
      <c r="BS107" s="161">
        <v>0.2</v>
      </c>
      <c r="BT107" s="113" t="s">
        <v>211</v>
      </c>
      <c r="BU107" s="160" t="s">
        <v>210</v>
      </c>
      <c r="BV107" s="113">
        <v>19653413.080999997</v>
      </c>
      <c r="BW107" s="113">
        <v>22848780.235100001</v>
      </c>
      <c r="BX107" s="113">
        <v>22618799.574099999</v>
      </c>
      <c r="BY107" s="113">
        <v>27098464.121500004</v>
      </c>
      <c r="BZ107" s="113">
        <v>19427532.107000571</v>
      </c>
      <c r="CA107" s="113">
        <v>22270538.357580002</v>
      </c>
      <c r="CB107" s="113">
        <v>22879083.486580007</v>
      </c>
      <c r="CC107" s="113">
        <f t="shared" si="352"/>
        <v>27098464.121500004</v>
      </c>
      <c r="CD107" s="113"/>
      <c r="CE107" s="113"/>
      <c r="CF107" s="113"/>
      <c r="CG107" s="113"/>
      <c r="CH107" s="114">
        <f t="shared" si="158"/>
        <v>19427532.107000571</v>
      </c>
      <c r="CI107" s="114">
        <f t="shared" si="159"/>
        <v>22270538.357580002</v>
      </c>
      <c r="CJ107" s="120">
        <f t="shared" si="160"/>
        <v>22879083.486580007</v>
      </c>
      <c r="CK107" s="114">
        <f t="shared" si="161"/>
        <v>27098464.121500004</v>
      </c>
      <c r="CL107" s="114">
        <f t="shared" si="327"/>
        <v>91675618.07266058</v>
      </c>
      <c r="CM107" s="114">
        <f t="shared" si="316"/>
        <v>92219457.011700004</v>
      </c>
      <c r="CN107" s="114">
        <f t="shared" si="162"/>
        <v>92219457.011700004</v>
      </c>
      <c r="CO107" s="116">
        <f t="shared" si="163"/>
        <v>0.99409999999999998</v>
      </c>
      <c r="CP107" s="126">
        <f t="shared" ca="1" si="164"/>
        <v>0</v>
      </c>
      <c r="CQ107" s="115">
        <f t="shared" ca="1" si="336"/>
        <v>0</v>
      </c>
      <c r="CR107" s="118" t="str">
        <f t="shared" si="328"/>
        <v>Uncapped</v>
      </c>
      <c r="CS107" s="115">
        <f t="shared" ca="1" si="337"/>
        <v>0</v>
      </c>
      <c r="CT107" s="113" t="s">
        <v>696</v>
      </c>
      <c r="CU107" s="119">
        <v>0.2</v>
      </c>
      <c r="CV107" s="113" t="s">
        <v>217</v>
      </c>
      <c r="CW107" s="113" t="s">
        <v>210</v>
      </c>
      <c r="CX107" s="113">
        <v>61881722.047854595</v>
      </c>
      <c r="CY107" s="113">
        <v>72180793.063260496</v>
      </c>
      <c r="CZ107" s="113">
        <v>69179032.514420599</v>
      </c>
      <c r="DA107" s="113">
        <v>76323964.015026003</v>
      </c>
      <c r="DB107" s="113">
        <v>63657388.730680585</v>
      </c>
      <c r="DC107" s="113">
        <v>65995192.891159989</v>
      </c>
      <c r="DD107" s="113">
        <v>66410604.684560001</v>
      </c>
      <c r="DE107" s="113"/>
      <c r="DF107" s="113"/>
      <c r="DG107" s="113"/>
      <c r="DH107" s="113"/>
      <c r="DI107" s="113"/>
      <c r="DJ107" s="114">
        <f t="shared" si="165"/>
        <v>63657388.730680585</v>
      </c>
      <c r="DK107" s="114">
        <f t="shared" si="166"/>
        <v>65995192.891159989</v>
      </c>
      <c r="DL107" s="114">
        <f t="shared" si="167"/>
        <v>66410604.684560001</v>
      </c>
      <c r="DM107" s="114">
        <f t="shared" si="168"/>
        <v>0</v>
      </c>
      <c r="DN107" s="114">
        <f t="shared" si="329"/>
        <v>196063186.30640057</v>
      </c>
      <c r="DO107" s="114">
        <f t="shared" si="317"/>
        <v>279565511.6405617</v>
      </c>
      <c r="DP107" s="114">
        <f t="shared" si="169"/>
        <v>279565511.6405617</v>
      </c>
      <c r="DQ107" s="116">
        <f t="shared" si="170"/>
        <v>0.70130000000000003</v>
      </c>
      <c r="DR107" s="126">
        <f t="shared" ca="1" si="338"/>
        <v>0</v>
      </c>
      <c r="DS107" s="115">
        <f t="shared" ca="1" si="339"/>
        <v>0</v>
      </c>
      <c r="DT107" s="118" t="str">
        <f t="shared" si="330"/>
        <v>Uncapped</v>
      </c>
      <c r="DU107" s="115">
        <f t="shared" ca="1" si="340"/>
        <v>0</v>
      </c>
      <c r="DV107" s="113"/>
      <c r="DW107" s="119">
        <v>0</v>
      </c>
      <c r="DX107" s="113"/>
      <c r="DY107" s="113"/>
      <c r="DZ107" s="113">
        <v>0</v>
      </c>
      <c r="EA107" s="113">
        <v>0</v>
      </c>
      <c r="EB107" s="113">
        <v>0</v>
      </c>
      <c r="EC107" s="113">
        <v>0</v>
      </c>
      <c r="ED107" s="113">
        <v>0</v>
      </c>
      <c r="EE107" s="113">
        <v>0</v>
      </c>
      <c r="EF107" s="113"/>
      <c r="EG107" s="113"/>
      <c r="EH107" s="113"/>
      <c r="EI107" s="113"/>
      <c r="EJ107" s="113"/>
      <c r="EK107" s="113"/>
      <c r="EL107" s="114">
        <f t="shared" si="171"/>
        <v>0</v>
      </c>
      <c r="EM107" s="114">
        <f t="shared" si="172"/>
        <v>0</v>
      </c>
      <c r="EN107" s="114">
        <f t="shared" si="173"/>
        <v>0</v>
      </c>
      <c r="EO107" s="114">
        <f t="shared" si="174"/>
        <v>0</v>
      </c>
      <c r="EP107" s="114">
        <f t="shared" si="331"/>
        <v>0</v>
      </c>
      <c r="EQ107" s="114">
        <f t="shared" si="318"/>
        <v>0</v>
      </c>
      <c r="ER107" s="114">
        <f t="shared" si="175"/>
        <v>0</v>
      </c>
      <c r="ES107" s="116">
        <f t="shared" si="176"/>
        <v>0</v>
      </c>
      <c r="ET107" s="126">
        <f t="shared" ca="1" si="177"/>
        <v>0</v>
      </c>
      <c r="EU107" s="115">
        <f t="shared" ca="1" si="341"/>
        <v>0</v>
      </c>
      <c r="EV107" s="118" t="str">
        <f t="shared" si="332"/>
        <v>Uncapped</v>
      </c>
      <c r="EW107" s="115">
        <f t="shared" ca="1" si="342"/>
        <v>0</v>
      </c>
      <c r="EX107" s="112">
        <f t="shared" ca="1" si="343"/>
        <v>0</v>
      </c>
      <c r="EY107" s="114">
        <f t="shared" ca="1" si="178"/>
        <v>0</v>
      </c>
      <c r="EZ107" s="115">
        <v>0</v>
      </c>
      <c r="FA107" s="115"/>
      <c r="FB107" s="115"/>
      <c r="FC107" s="115">
        <v>0</v>
      </c>
      <c r="FD107" s="115">
        <f t="shared" si="319"/>
        <v>0</v>
      </c>
      <c r="FE107" s="114">
        <f t="shared" si="312"/>
        <v>0</v>
      </c>
      <c r="FF107" s="115">
        <v>0</v>
      </c>
      <c r="FG107" s="115">
        <v>0</v>
      </c>
      <c r="FH107" s="115">
        <v>0</v>
      </c>
      <c r="FI107" s="115">
        <v>0</v>
      </c>
      <c r="FJ107" s="115">
        <f t="shared" si="320"/>
        <v>0</v>
      </c>
      <c r="FK107" s="114">
        <f t="shared" si="313"/>
        <v>0</v>
      </c>
      <c r="FL107" s="113"/>
      <c r="FM107" s="111"/>
      <c r="FN107" s="111"/>
      <c r="FO107" s="111"/>
      <c r="FP107" s="115">
        <f t="shared" si="216"/>
        <v>0</v>
      </c>
      <c r="FQ107" s="115"/>
      <c r="FR107" s="115"/>
      <c r="FS107" s="115"/>
      <c r="FT107" s="114">
        <f t="shared" si="209"/>
        <v>0</v>
      </c>
      <c r="FU107" s="366">
        <f t="shared" ca="1" si="210"/>
        <v>0</v>
      </c>
      <c r="FV107" s="121">
        <f t="shared" ca="1" si="211"/>
        <v>0</v>
      </c>
      <c r="FW107" s="114">
        <f t="shared" si="218"/>
        <v>0</v>
      </c>
      <c r="FX107" s="114">
        <f t="shared" si="218"/>
        <v>0</v>
      </c>
      <c r="FY107" s="114">
        <f t="shared" si="218"/>
        <v>0</v>
      </c>
      <c r="FZ107" s="114">
        <f t="shared" si="218"/>
        <v>0</v>
      </c>
      <c r="GA107" s="114">
        <f t="shared" si="354"/>
        <v>0</v>
      </c>
      <c r="GB107" s="114">
        <f t="shared" si="219"/>
        <v>0</v>
      </c>
      <c r="GC107" s="114">
        <f t="shared" si="219"/>
        <v>0</v>
      </c>
      <c r="GD107" s="114">
        <f t="shared" si="219"/>
        <v>0</v>
      </c>
      <c r="GE107" s="114">
        <f t="shared" si="219"/>
        <v>0</v>
      </c>
      <c r="GF107" s="114">
        <f t="shared" si="220"/>
        <v>0</v>
      </c>
      <c r="GG107" s="114">
        <f t="shared" si="220"/>
        <v>0</v>
      </c>
      <c r="GH107" s="114">
        <f t="shared" si="220"/>
        <v>0</v>
      </c>
      <c r="GI107" s="114">
        <f t="shared" si="220"/>
        <v>0</v>
      </c>
      <c r="GJ107" s="115">
        <f t="shared" si="321"/>
        <v>0</v>
      </c>
      <c r="GK107" s="114">
        <f t="shared" si="355"/>
        <v>0</v>
      </c>
      <c r="GL107" s="114">
        <f t="shared" si="344"/>
        <v>0</v>
      </c>
      <c r="GM107" s="114">
        <f t="shared" si="345"/>
        <v>0</v>
      </c>
      <c r="GN107" s="114">
        <f t="shared" si="346"/>
        <v>0</v>
      </c>
      <c r="GO107" s="114">
        <f t="shared" si="347"/>
        <v>0</v>
      </c>
      <c r="GP107" s="114">
        <f t="shared" si="322"/>
        <v>0</v>
      </c>
      <c r="GQ107" s="114">
        <f t="shared" si="356"/>
        <v>0</v>
      </c>
      <c r="GR107" s="216"/>
      <c r="GS107" s="122">
        <f t="shared" si="348"/>
        <v>301142841.75866413</v>
      </c>
      <c r="GT107" s="122">
        <f t="shared" si="349"/>
        <v>391569318.41213208</v>
      </c>
      <c r="GU107" s="123">
        <f t="shared" si="357"/>
        <v>0.76906649116391479</v>
      </c>
      <c r="GV107" s="124">
        <f t="shared" ca="1" si="350"/>
        <v>0</v>
      </c>
      <c r="GW107" s="124">
        <v>0</v>
      </c>
      <c r="GX107" s="32">
        <f t="shared" ca="1" si="351"/>
        <v>0</v>
      </c>
      <c r="GY107" s="100"/>
    </row>
    <row r="108" spans="1:207" s="125" customFormat="1" ht="15" hidden="1" customHeight="1">
      <c r="A108" s="102"/>
      <c r="B108" s="103"/>
      <c r="C108" s="103"/>
      <c r="D108" s="104"/>
      <c r="E108" s="104"/>
      <c r="F108" s="104" t="s">
        <v>473</v>
      </c>
      <c r="G108" s="104" t="s">
        <v>226</v>
      </c>
      <c r="H108" s="154" t="s">
        <v>480</v>
      </c>
      <c r="I108" s="106" t="s">
        <v>481</v>
      </c>
      <c r="J108" s="104" t="s">
        <v>471</v>
      </c>
      <c r="K108" s="104" t="s">
        <v>208</v>
      </c>
      <c r="L108" s="104" t="s">
        <v>471</v>
      </c>
      <c r="M108" s="104" t="s">
        <v>472</v>
      </c>
      <c r="N108" s="107"/>
      <c r="O108" s="108">
        <v>43374</v>
      </c>
      <c r="P108" s="108">
        <v>43374</v>
      </c>
      <c r="Q108" s="322">
        <f t="shared" si="323"/>
        <v>0</v>
      </c>
      <c r="R108" s="109">
        <f>IF((P108-VLOOKUP(Q108,month!$A$1:$C$13,3,0))&lt;0,Q108,Q108+1)</f>
        <v>0</v>
      </c>
      <c r="S108" s="108"/>
      <c r="T108" s="127" t="str">
        <f t="shared" si="215"/>
        <v/>
      </c>
      <c r="U108" s="107"/>
      <c r="V108" s="107"/>
      <c r="W108" s="107"/>
      <c r="X108" s="107"/>
      <c r="Y108" s="386"/>
      <c r="Z108" s="386" t="s">
        <v>545</v>
      </c>
      <c r="AA108" s="387">
        <v>1000</v>
      </c>
      <c r="AB108" s="387">
        <v>1000</v>
      </c>
      <c r="AC108" s="387">
        <v>1000</v>
      </c>
      <c r="AD108" s="387">
        <v>1000</v>
      </c>
      <c r="AE108" s="387">
        <v>1000</v>
      </c>
      <c r="AF108" s="387">
        <v>1000</v>
      </c>
      <c r="AG108" s="387">
        <v>1000</v>
      </c>
      <c r="AH108" s="387">
        <v>1000</v>
      </c>
      <c r="AI108" s="387">
        <v>1000</v>
      </c>
      <c r="AJ108" s="387">
        <v>1000</v>
      </c>
      <c r="AK108" s="387">
        <v>1000</v>
      </c>
      <c r="AL108" s="387">
        <v>1000</v>
      </c>
      <c r="AM108" s="388">
        <f t="shared" si="314"/>
        <v>12000</v>
      </c>
      <c r="AN108" s="388">
        <f t="shared" si="324"/>
        <v>12000</v>
      </c>
      <c r="AO108" s="389">
        <f t="shared" si="353"/>
        <v>1000</v>
      </c>
      <c r="AP108" s="498" t="s">
        <v>680</v>
      </c>
      <c r="AQ108" s="159">
        <v>0.6</v>
      </c>
      <c r="AR108" s="160" t="s">
        <v>211</v>
      </c>
      <c r="AS108" s="119" t="s">
        <v>210</v>
      </c>
      <c r="AT108" s="111">
        <v>1994755.2887983986</v>
      </c>
      <c r="AU108" s="111">
        <v>2563059.656397935</v>
      </c>
      <c r="AV108" s="111">
        <v>2609082.0839978927</v>
      </c>
      <c r="AW108" s="111">
        <v>3242503.7071358101</v>
      </c>
      <c r="AX108" s="113">
        <v>2046043.5048</v>
      </c>
      <c r="AY108" s="113">
        <v>2402753.4727757704</v>
      </c>
      <c r="AZ108" s="113">
        <v>2365723.2495999997</v>
      </c>
      <c r="BA108" s="113"/>
      <c r="BB108" s="113"/>
      <c r="BC108" s="113"/>
      <c r="BD108" s="113"/>
      <c r="BE108" s="113"/>
      <c r="BF108" s="114">
        <f t="shared" si="152"/>
        <v>2046043.5048</v>
      </c>
      <c r="BG108" s="114">
        <f t="shared" si="153"/>
        <v>2402753.4727757704</v>
      </c>
      <c r="BH108" s="114">
        <f t="shared" si="154"/>
        <v>2365723.2495999997</v>
      </c>
      <c r="BI108" s="114">
        <f t="shared" si="155"/>
        <v>0</v>
      </c>
      <c r="BJ108" s="114">
        <f t="shared" si="325"/>
        <v>6814520.2271757703</v>
      </c>
      <c r="BK108" s="115">
        <f t="shared" si="358"/>
        <v>10409400.736330036</v>
      </c>
      <c r="BL108" s="115">
        <f t="shared" si="156"/>
        <v>10409400.736330036</v>
      </c>
      <c r="BM108" s="116">
        <f t="shared" si="157"/>
        <v>0.65469999999999995</v>
      </c>
      <c r="BN108" s="126">
        <f t="shared" ca="1" si="359"/>
        <v>0</v>
      </c>
      <c r="BO108" s="117">
        <f t="shared" ca="1" si="360"/>
        <v>0</v>
      </c>
      <c r="BP108" s="118" t="str">
        <f t="shared" si="361"/>
        <v>Uncapped</v>
      </c>
      <c r="BQ108" s="115">
        <f t="shared" ca="1" si="362"/>
        <v>0</v>
      </c>
      <c r="BR108" s="113" t="s">
        <v>688</v>
      </c>
      <c r="BS108" s="161">
        <v>0.2</v>
      </c>
      <c r="BT108" s="113" t="s">
        <v>211</v>
      </c>
      <c r="BU108" s="160" t="s">
        <v>210</v>
      </c>
      <c r="BV108" s="113">
        <v>19653413.080999997</v>
      </c>
      <c r="BW108" s="113">
        <v>22848780.235100001</v>
      </c>
      <c r="BX108" s="113">
        <v>22618799.574099999</v>
      </c>
      <c r="BY108" s="113">
        <v>27098464.121500004</v>
      </c>
      <c r="BZ108" s="113">
        <v>19427532.107000571</v>
      </c>
      <c r="CA108" s="113">
        <v>22270538.357580002</v>
      </c>
      <c r="CB108" s="113">
        <v>22879083.486580007</v>
      </c>
      <c r="CC108" s="113">
        <f t="shared" si="352"/>
        <v>27098464.121500004</v>
      </c>
      <c r="CD108" s="113"/>
      <c r="CE108" s="113"/>
      <c r="CF108" s="113"/>
      <c r="CG108" s="113"/>
      <c r="CH108" s="114">
        <f t="shared" si="158"/>
        <v>19427532.107000571</v>
      </c>
      <c r="CI108" s="114">
        <f t="shared" si="159"/>
        <v>22270538.357580002</v>
      </c>
      <c r="CJ108" s="120">
        <f t="shared" si="160"/>
        <v>22879083.486580007</v>
      </c>
      <c r="CK108" s="114">
        <f t="shared" si="161"/>
        <v>27098464.121500004</v>
      </c>
      <c r="CL108" s="114">
        <f t="shared" si="327"/>
        <v>91675618.07266058</v>
      </c>
      <c r="CM108" s="114">
        <f t="shared" si="316"/>
        <v>92219457.011700004</v>
      </c>
      <c r="CN108" s="114">
        <f t="shared" si="162"/>
        <v>92219457.011700004</v>
      </c>
      <c r="CO108" s="116">
        <f t="shared" si="163"/>
        <v>0.99409999999999998</v>
      </c>
      <c r="CP108" s="126">
        <f t="shared" ca="1" si="164"/>
        <v>0</v>
      </c>
      <c r="CQ108" s="115">
        <f t="shared" ca="1" si="336"/>
        <v>0</v>
      </c>
      <c r="CR108" s="118" t="str">
        <f t="shared" si="328"/>
        <v>Uncapped</v>
      </c>
      <c r="CS108" s="115">
        <f t="shared" ca="1" si="337"/>
        <v>0</v>
      </c>
      <c r="CT108" s="113" t="s">
        <v>696</v>
      </c>
      <c r="CU108" s="119">
        <v>0.2</v>
      </c>
      <c r="CV108" s="113" t="s">
        <v>217</v>
      </c>
      <c r="CW108" s="113" t="s">
        <v>210</v>
      </c>
      <c r="CX108" s="113">
        <v>61881722.047854595</v>
      </c>
      <c r="CY108" s="113">
        <v>72180793.063260496</v>
      </c>
      <c r="CZ108" s="113">
        <v>69179032.514420599</v>
      </c>
      <c r="DA108" s="113">
        <v>76323964.015026003</v>
      </c>
      <c r="DB108" s="113">
        <v>63657388.730680585</v>
      </c>
      <c r="DC108" s="113">
        <v>65995192.891159989</v>
      </c>
      <c r="DD108" s="113">
        <v>66410604.684560001</v>
      </c>
      <c r="DE108" s="113"/>
      <c r="DF108" s="113"/>
      <c r="DG108" s="113"/>
      <c r="DH108" s="113"/>
      <c r="DI108" s="113"/>
      <c r="DJ108" s="114">
        <f t="shared" si="165"/>
        <v>63657388.730680585</v>
      </c>
      <c r="DK108" s="114">
        <f t="shared" si="166"/>
        <v>65995192.891159989</v>
      </c>
      <c r="DL108" s="114">
        <f t="shared" si="167"/>
        <v>66410604.684560001</v>
      </c>
      <c r="DM108" s="114">
        <f t="shared" si="168"/>
        <v>0</v>
      </c>
      <c r="DN108" s="114">
        <f t="shared" si="329"/>
        <v>196063186.30640057</v>
      </c>
      <c r="DO108" s="114">
        <f t="shared" si="317"/>
        <v>279565511.6405617</v>
      </c>
      <c r="DP108" s="114">
        <f t="shared" si="169"/>
        <v>279565511.6405617</v>
      </c>
      <c r="DQ108" s="116">
        <f t="shared" si="170"/>
        <v>0.70130000000000003</v>
      </c>
      <c r="DR108" s="126">
        <f t="shared" ca="1" si="338"/>
        <v>0</v>
      </c>
      <c r="DS108" s="115">
        <f t="shared" ca="1" si="339"/>
        <v>0</v>
      </c>
      <c r="DT108" s="118" t="str">
        <f t="shared" si="330"/>
        <v>Uncapped</v>
      </c>
      <c r="DU108" s="115">
        <f t="shared" ca="1" si="340"/>
        <v>0</v>
      </c>
      <c r="DV108" s="113"/>
      <c r="DW108" s="119">
        <v>0</v>
      </c>
      <c r="DX108" s="113"/>
      <c r="DY108" s="113"/>
      <c r="DZ108" s="113">
        <v>0</v>
      </c>
      <c r="EA108" s="113">
        <v>0</v>
      </c>
      <c r="EB108" s="113">
        <v>0</v>
      </c>
      <c r="EC108" s="113">
        <v>0</v>
      </c>
      <c r="ED108" s="113">
        <v>0</v>
      </c>
      <c r="EE108" s="113">
        <v>0</v>
      </c>
      <c r="EF108" s="113"/>
      <c r="EG108" s="113"/>
      <c r="EH108" s="113"/>
      <c r="EI108" s="113"/>
      <c r="EJ108" s="113"/>
      <c r="EK108" s="113"/>
      <c r="EL108" s="114">
        <f t="shared" si="171"/>
        <v>0</v>
      </c>
      <c r="EM108" s="114">
        <f t="shared" si="172"/>
        <v>0</v>
      </c>
      <c r="EN108" s="114">
        <f t="shared" si="173"/>
        <v>0</v>
      </c>
      <c r="EO108" s="114">
        <f t="shared" si="174"/>
        <v>0</v>
      </c>
      <c r="EP108" s="114">
        <f t="shared" si="331"/>
        <v>0</v>
      </c>
      <c r="EQ108" s="114">
        <f t="shared" si="318"/>
        <v>0</v>
      </c>
      <c r="ER108" s="114">
        <f t="shared" si="175"/>
        <v>0</v>
      </c>
      <c r="ES108" s="116">
        <f t="shared" si="176"/>
        <v>0</v>
      </c>
      <c r="ET108" s="126">
        <f t="shared" ca="1" si="177"/>
        <v>0</v>
      </c>
      <c r="EU108" s="115">
        <f t="shared" ca="1" si="341"/>
        <v>0</v>
      </c>
      <c r="EV108" s="118" t="str">
        <f t="shared" si="332"/>
        <v>Uncapped</v>
      </c>
      <c r="EW108" s="115">
        <f t="shared" ca="1" si="342"/>
        <v>0</v>
      </c>
      <c r="EX108" s="112">
        <f t="shared" ca="1" si="343"/>
        <v>0</v>
      </c>
      <c r="EY108" s="114">
        <f t="shared" ca="1" si="178"/>
        <v>0</v>
      </c>
      <c r="EZ108" s="115">
        <v>0</v>
      </c>
      <c r="FA108" s="115"/>
      <c r="FB108" s="115"/>
      <c r="FC108" s="115">
        <v>0</v>
      </c>
      <c r="FD108" s="115">
        <f t="shared" si="319"/>
        <v>0</v>
      </c>
      <c r="FE108" s="114">
        <f t="shared" si="312"/>
        <v>0</v>
      </c>
      <c r="FF108" s="115">
        <v>0</v>
      </c>
      <c r="FG108" s="115">
        <v>0</v>
      </c>
      <c r="FH108" s="115">
        <v>0</v>
      </c>
      <c r="FI108" s="115">
        <v>0</v>
      </c>
      <c r="FJ108" s="115">
        <f t="shared" si="320"/>
        <v>0</v>
      </c>
      <c r="FK108" s="114">
        <f t="shared" si="313"/>
        <v>0</v>
      </c>
      <c r="FL108" s="113"/>
      <c r="FM108" s="111"/>
      <c r="FN108" s="111"/>
      <c r="FO108" s="111"/>
      <c r="FP108" s="115">
        <f t="shared" si="216"/>
        <v>0</v>
      </c>
      <c r="FQ108" s="115"/>
      <c r="FR108" s="115"/>
      <c r="FS108" s="115"/>
      <c r="FT108" s="114">
        <f t="shared" si="209"/>
        <v>0</v>
      </c>
      <c r="FU108" s="366">
        <f t="shared" ca="1" si="210"/>
        <v>0</v>
      </c>
      <c r="FV108" s="121">
        <f t="shared" ca="1" si="211"/>
        <v>0</v>
      </c>
      <c r="FW108" s="114">
        <f t="shared" si="218"/>
        <v>0</v>
      </c>
      <c r="FX108" s="114">
        <f t="shared" si="218"/>
        <v>0</v>
      </c>
      <c r="FY108" s="114">
        <f t="shared" si="218"/>
        <v>0</v>
      </c>
      <c r="FZ108" s="114">
        <f t="shared" si="218"/>
        <v>0</v>
      </c>
      <c r="GA108" s="114">
        <f t="shared" si="354"/>
        <v>0</v>
      </c>
      <c r="GB108" s="114">
        <f t="shared" si="219"/>
        <v>0</v>
      </c>
      <c r="GC108" s="114">
        <f t="shared" si="219"/>
        <v>0</v>
      </c>
      <c r="GD108" s="114">
        <f t="shared" si="219"/>
        <v>0</v>
      </c>
      <c r="GE108" s="114">
        <f t="shared" si="219"/>
        <v>0</v>
      </c>
      <c r="GF108" s="114">
        <f t="shared" si="220"/>
        <v>0</v>
      </c>
      <c r="GG108" s="114">
        <f t="shared" si="220"/>
        <v>0</v>
      </c>
      <c r="GH108" s="114">
        <f t="shared" si="220"/>
        <v>0</v>
      </c>
      <c r="GI108" s="114">
        <f t="shared" si="220"/>
        <v>0</v>
      </c>
      <c r="GJ108" s="115">
        <f t="shared" si="321"/>
        <v>0</v>
      </c>
      <c r="GK108" s="114">
        <f t="shared" si="355"/>
        <v>0</v>
      </c>
      <c r="GL108" s="114">
        <f t="shared" si="344"/>
        <v>0</v>
      </c>
      <c r="GM108" s="114">
        <f t="shared" si="345"/>
        <v>0</v>
      </c>
      <c r="GN108" s="114">
        <f t="shared" si="346"/>
        <v>0</v>
      </c>
      <c r="GO108" s="114">
        <f t="shared" si="347"/>
        <v>0</v>
      </c>
      <c r="GP108" s="114">
        <f t="shared" si="322"/>
        <v>0</v>
      </c>
      <c r="GQ108" s="114">
        <f t="shared" si="356"/>
        <v>0</v>
      </c>
      <c r="GR108" s="216"/>
      <c r="GS108" s="122">
        <f t="shared" si="348"/>
        <v>294553324.60623693</v>
      </c>
      <c r="GT108" s="122">
        <f t="shared" si="349"/>
        <v>382194369.38859177</v>
      </c>
      <c r="GU108" s="123">
        <f t="shared" si="357"/>
        <v>0.77068985887323005</v>
      </c>
      <c r="GV108" s="124">
        <f t="shared" ca="1" si="350"/>
        <v>0</v>
      </c>
      <c r="GW108" s="124">
        <v>0</v>
      </c>
      <c r="GX108" s="32">
        <f t="shared" ca="1" si="351"/>
        <v>0</v>
      </c>
      <c r="GY108" s="100"/>
    </row>
    <row r="109" spans="1:207" s="125" customFormat="1" ht="15" hidden="1" customHeight="1">
      <c r="A109" s="102"/>
      <c r="B109" s="103"/>
      <c r="C109" s="103"/>
      <c r="D109" s="104"/>
      <c r="E109" s="104"/>
      <c r="F109" s="104" t="s">
        <v>473</v>
      </c>
      <c r="G109" s="104" t="s">
        <v>226</v>
      </c>
      <c r="H109" s="154" t="s">
        <v>482</v>
      </c>
      <c r="I109" s="106" t="s">
        <v>483</v>
      </c>
      <c r="J109" s="104" t="s">
        <v>471</v>
      </c>
      <c r="K109" s="104" t="s">
        <v>208</v>
      </c>
      <c r="L109" s="104" t="s">
        <v>471</v>
      </c>
      <c r="M109" s="104" t="s">
        <v>472</v>
      </c>
      <c r="N109" s="107"/>
      <c r="O109" s="108">
        <v>43430</v>
      </c>
      <c r="P109" s="108">
        <v>43430</v>
      </c>
      <c r="Q109" s="322">
        <f t="shared" si="323"/>
        <v>0</v>
      </c>
      <c r="R109" s="109">
        <f>IF((P109-VLOOKUP(Q109,month!$A$1:$C$13,3,0))&lt;0,Q109,Q109+1)</f>
        <v>0</v>
      </c>
      <c r="S109" s="108"/>
      <c r="T109" s="127" t="str">
        <f t="shared" si="215"/>
        <v/>
      </c>
      <c r="U109" s="320" t="s">
        <v>653</v>
      </c>
      <c r="V109" s="320">
        <v>2</v>
      </c>
      <c r="W109" s="107"/>
      <c r="X109" s="107"/>
      <c r="Y109" s="386"/>
      <c r="Z109" s="386" t="s">
        <v>545</v>
      </c>
      <c r="AA109" s="387">
        <v>1000</v>
      </c>
      <c r="AB109" s="387">
        <v>1000</v>
      </c>
      <c r="AC109" s="387">
        <v>1000</v>
      </c>
      <c r="AD109" s="387">
        <v>1000</v>
      </c>
      <c r="AE109" s="387">
        <v>1000</v>
      </c>
      <c r="AF109" s="387">
        <v>1000</v>
      </c>
      <c r="AG109" s="387">
        <v>1000</v>
      </c>
      <c r="AH109" s="387">
        <v>1000</v>
      </c>
      <c r="AI109" s="387">
        <v>1000</v>
      </c>
      <c r="AJ109" s="387">
        <v>1000</v>
      </c>
      <c r="AK109" s="387">
        <v>1000</v>
      </c>
      <c r="AL109" s="387">
        <v>1000</v>
      </c>
      <c r="AM109" s="388">
        <f t="shared" si="314"/>
        <v>12000</v>
      </c>
      <c r="AN109" s="388">
        <f t="shared" si="324"/>
        <v>12000</v>
      </c>
      <c r="AO109" s="389">
        <f>AA109</f>
        <v>1000</v>
      </c>
      <c r="AP109" s="498" t="s">
        <v>748</v>
      </c>
      <c r="AQ109" s="159">
        <v>0.6</v>
      </c>
      <c r="AR109" s="160" t="s">
        <v>211</v>
      </c>
      <c r="AS109" s="119" t="s">
        <v>210</v>
      </c>
      <c r="AT109" s="111">
        <v>9801477.2720816769</v>
      </c>
      <c r="AU109" s="111">
        <v>11014485.153327817</v>
      </c>
      <c r="AV109" s="111">
        <v>10373523.907550756</v>
      </c>
      <c r="AW109" s="111">
        <v>12420501.906991746</v>
      </c>
      <c r="AX109" s="113">
        <v>9512651.4881999772</v>
      </c>
      <c r="AY109" s="113">
        <v>11012743.072410025</v>
      </c>
      <c r="AZ109" s="113">
        <v>11092650.930600051</v>
      </c>
      <c r="BA109" s="113"/>
      <c r="BB109" s="113"/>
      <c r="BC109" s="113"/>
      <c r="BD109" s="113"/>
      <c r="BE109" s="113"/>
      <c r="BF109" s="114">
        <f t="shared" si="152"/>
        <v>9512651.4881999772</v>
      </c>
      <c r="BG109" s="114">
        <f t="shared" si="153"/>
        <v>11012743.072410025</v>
      </c>
      <c r="BH109" s="114">
        <f t="shared" si="154"/>
        <v>11092650.930600051</v>
      </c>
      <c r="BI109" s="114">
        <f t="shared" si="155"/>
        <v>0</v>
      </c>
      <c r="BJ109" s="114">
        <f t="shared" si="325"/>
        <v>31618045.491210055</v>
      </c>
      <c r="BK109" s="115">
        <f t="shared" si="358"/>
        <v>43609988.239951998</v>
      </c>
      <c r="BL109" s="115">
        <f t="shared" si="156"/>
        <v>43609988.239951998</v>
      </c>
      <c r="BM109" s="116">
        <f t="shared" si="157"/>
        <v>0.72499999999999998</v>
      </c>
      <c r="BN109" s="126">
        <f t="shared" ca="1" si="359"/>
        <v>0</v>
      </c>
      <c r="BO109" s="117">
        <f t="shared" ca="1" si="360"/>
        <v>0</v>
      </c>
      <c r="BP109" s="118" t="str">
        <f t="shared" si="361"/>
        <v>Uncapped</v>
      </c>
      <c r="BQ109" s="115">
        <f t="shared" ca="1" si="362"/>
        <v>0</v>
      </c>
      <c r="BR109" s="113" t="s">
        <v>688</v>
      </c>
      <c r="BS109" s="161">
        <v>0.2</v>
      </c>
      <c r="BT109" s="113" t="s">
        <v>211</v>
      </c>
      <c r="BU109" s="160" t="s">
        <v>210</v>
      </c>
      <c r="BV109" s="113">
        <v>19653413.080999997</v>
      </c>
      <c r="BW109" s="113">
        <v>22848780.235100001</v>
      </c>
      <c r="BX109" s="113">
        <v>22618799.574099999</v>
      </c>
      <c r="BY109" s="113">
        <v>27098464.121500004</v>
      </c>
      <c r="BZ109" s="113">
        <v>19427532.107000571</v>
      </c>
      <c r="CA109" s="113">
        <v>22270538.357580002</v>
      </c>
      <c r="CB109" s="113">
        <v>22879083.486580007</v>
      </c>
      <c r="CC109" s="113">
        <f t="shared" si="352"/>
        <v>27098464.121500004</v>
      </c>
      <c r="CD109" s="113"/>
      <c r="CE109" s="113"/>
      <c r="CF109" s="113"/>
      <c r="CG109" s="113"/>
      <c r="CH109" s="114">
        <f t="shared" si="158"/>
        <v>19427532.107000571</v>
      </c>
      <c r="CI109" s="114">
        <f t="shared" si="159"/>
        <v>22270538.357580002</v>
      </c>
      <c r="CJ109" s="120">
        <f t="shared" si="160"/>
        <v>22879083.486580007</v>
      </c>
      <c r="CK109" s="114">
        <f t="shared" si="161"/>
        <v>27098464.121500004</v>
      </c>
      <c r="CL109" s="114">
        <f t="shared" si="327"/>
        <v>91675618.07266058</v>
      </c>
      <c r="CM109" s="114">
        <f t="shared" si="316"/>
        <v>92219457.011700004</v>
      </c>
      <c r="CN109" s="114">
        <f t="shared" si="162"/>
        <v>92219457.011700004</v>
      </c>
      <c r="CO109" s="116">
        <f t="shared" si="163"/>
        <v>0.99409999999999998</v>
      </c>
      <c r="CP109" s="126">
        <f t="shared" ca="1" si="164"/>
        <v>0</v>
      </c>
      <c r="CQ109" s="115">
        <f t="shared" ca="1" si="336"/>
        <v>0</v>
      </c>
      <c r="CR109" s="118" t="str">
        <f t="shared" si="328"/>
        <v>Uncapped</v>
      </c>
      <c r="CS109" s="115">
        <f t="shared" ca="1" si="337"/>
        <v>0</v>
      </c>
      <c r="CT109" s="113" t="s">
        <v>696</v>
      </c>
      <c r="CU109" s="119">
        <v>0.2</v>
      </c>
      <c r="CV109" s="113" t="s">
        <v>217</v>
      </c>
      <c r="CW109" s="113" t="s">
        <v>726</v>
      </c>
      <c r="CX109" s="113">
        <v>61881722.047854595</v>
      </c>
      <c r="CY109" s="113">
        <v>72180793.063260496</v>
      </c>
      <c r="CZ109" s="113">
        <v>69179032.514420599</v>
      </c>
      <c r="DA109" s="113">
        <v>76323964.015026003</v>
      </c>
      <c r="DB109" s="113">
        <v>63657388.730680585</v>
      </c>
      <c r="DC109" s="113">
        <v>65995192.891159989</v>
      </c>
      <c r="DD109" s="113">
        <v>66410604.684560001</v>
      </c>
      <c r="DE109" s="113"/>
      <c r="DF109" s="113"/>
      <c r="DG109" s="113"/>
      <c r="DH109" s="113"/>
      <c r="DI109" s="113"/>
      <c r="DJ109" s="114">
        <f t="shared" si="165"/>
        <v>63657388.730680585</v>
      </c>
      <c r="DK109" s="114">
        <f t="shared" si="166"/>
        <v>65995192.891159989</v>
      </c>
      <c r="DL109" s="114">
        <f t="shared" si="167"/>
        <v>66410604.684560001</v>
      </c>
      <c r="DM109" s="114">
        <f t="shared" si="168"/>
        <v>0</v>
      </c>
      <c r="DN109" s="114">
        <f t="shared" si="329"/>
        <v>196063186.30640057</v>
      </c>
      <c r="DO109" s="114">
        <f t="shared" si="317"/>
        <v>279565511.6405617</v>
      </c>
      <c r="DP109" s="114">
        <f t="shared" si="169"/>
        <v>279565511.6405617</v>
      </c>
      <c r="DQ109" s="116">
        <f t="shared" si="170"/>
        <v>0.70130000000000003</v>
      </c>
      <c r="DR109" s="126">
        <f t="shared" ca="1" si="338"/>
        <v>0</v>
      </c>
      <c r="DS109" s="115">
        <f t="shared" ca="1" si="339"/>
        <v>0</v>
      </c>
      <c r="DT109" s="118" t="str">
        <f t="shared" si="330"/>
        <v>Uncapped</v>
      </c>
      <c r="DU109" s="115">
        <f t="shared" ca="1" si="340"/>
        <v>0</v>
      </c>
      <c r="DV109" s="113"/>
      <c r="DW109" s="119">
        <v>0</v>
      </c>
      <c r="DX109" s="113"/>
      <c r="DY109" s="113"/>
      <c r="DZ109" s="113">
        <v>0</v>
      </c>
      <c r="EA109" s="113">
        <v>0</v>
      </c>
      <c r="EB109" s="113">
        <v>0</v>
      </c>
      <c r="EC109" s="113">
        <v>0</v>
      </c>
      <c r="ED109" s="113">
        <v>0</v>
      </c>
      <c r="EE109" s="113">
        <v>0</v>
      </c>
      <c r="EF109" s="113"/>
      <c r="EG109" s="113"/>
      <c r="EH109" s="113"/>
      <c r="EI109" s="113"/>
      <c r="EJ109" s="113"/>
      <c r="EK109" s="113"/>
      <c r="EL109" s="114">
        <f t="shared" si="171"/>
        <v>0</v>
      </c>
      <c r="EM109" s="114">
        <f t="shared" si="172"/>
        <v>0</v>
      </c>
      <c r="EN109" s="114">
        <f t="shared" si="173"/>
        <v>0</v>
      </c>
      <c r="EO109" s="114">
        <f t="shared" si="174"/>
        <v>0</v>
      </c>
      <c r="EP109" s="114">
        <f t="shared" si="331"/>
        <v>0</v>
      </c>
      <c r="EQ109" s="114">
        <f t="shared" si="318"/>
        <v>0</v>
      </c>
      <c r="ER109" s="114">
        <f t="shared" si="175"/>
        <v>0</v>
      </c>
      <c r="ES109" s="116">
        <f t="shared" si="176"/>
        <v>0</v>
      </c>
      <c r="ET109" s="126">
        <f t="shared" ca="1" si="177"/>
        <v>0</v>
      </c>
      <c r="EU109" s="115">
        <f t="shared" ca="1" si="341"/>
        <v>0</v>
      </c>
      <c r="EV109" s="118" t="str">
        <f t="shared" si="332"/>
        <v>Uncapped</v>
      </c>
      <c r="EW109" s="115">
        <f t="shared" ca="1" si="342"/>
        <v>0</v>
      </c>
      <c r="EX109" s="112">
        <f t="shared" ca="1" si="343"/>
        <v>0</v>
      </c>
      <c r="EY109" s="114">
        <f t="shared" ca="1" si="178"/>
        <v>2000</v>
      </c>
      <c r="EZ109" s="115">
        <v>0</v>
      </c>
      <c r="FA109" s="115"/>
      <c r="FB109" s="115"/>
      <c r="FC109" s="115">
        <v>0</v>
      </c>
      <c r="FD109" s="115">
        <f t="shared" si="319"/>
        <v>0</v>
      </c>
      <c r="FE109" s="114">
        <f t="shared" si="312"/>
        <v>0</v>
      </c>
      <c r="FF109" s="115">
        <v>0</v>
      </c>
      <c r="FG109" s="115">
        <v>0</v>
      </c>
      <c r="FH109" s="115">
        <v>0</v>
      </c>
      <c r="FI109" s="115">
        <v>0</v>
      </c>
      <c r="FJ109" s="115">
        <f t="shared" si="320"/>
        <v>0</v>
      </c>
      <c r="FK109" s="114">
        <f t="shared" si="313"/>
        <v>0</v>
      </c>
      <c r="FL109" s="113"/>
      <c r="FM109" s="111"/>
      <c r="FN109" s="111"/>
      <c r="FO109" s="111"/>
      <c r="FP109" s="115">
        <f t="shared" si="216"/>
        <v>0</v>
      </c>
      <c r="FQ109" s="115"/>
      <c r="FR109" s="115"/>
      <c r="FS109" s="115"/>
      <c r="FT109" s="114">
        <f t="shared" si="209"/>
        <v>0</v>
      </c>
      <c r="FU109" s="366">
        <f t="shared" ca="1" si="210"/>
        <v>2000</v>
      </c>
      <c r="FV109" s="121">
        <f t="shared" ca="1" si="211"/>
        <v>2000</v>
      </c>
      <c r="FW109" s="114">
        <f t="shared" si="218"/>
        <v>0</v>
      </c>
      <c r="FX109" s="114">
        <f t="shared" si="218"/>
        <v>0</v>
      </c>
      <c r="FY109" s="114">
        <f t="shared" si="218"/>
        <v>0</v>
      </c>
      <c r="FZ109" s="114">
        <f t="shared" si="218"/>
        <v>0</v>
      </c>
      <c r="GA109" s="114">
        <f t="shared" si="354"/>
        <v>0</v>
      </c>
      <c r="GB109" s="114">
        <f t="shared" si="219"/>
        <v>0</v>
      </c>
      <c r="GC109" s="114">
        <f t="shared" si="219"/>
        <v>0</v>
      </c>
      <c r="GD109" s="114">
        <f t="shared" si="219"/>
        <v>0</v>
      </c>
      <c r="GE109" s="114">
        <f t="shared" si="219"/>
        <v>0</v>
      </c>
      <c r="GF109" s="114">
        <f t="shared" si="220"/>
        <v>0</v>
      </c>
      <c r="GG109" s="114">
        <f t="shared" si="220"/>
        <v>0</v>
      </c>
      <c r="GH109" s="114">
        <f t="shared" si="220"/>
        <v>0</v>
      </c>
      <c r="GI109" s="114">
        <f t="shared" si="220"/>
        <v>0</v>
      </c>
      <c r="GJ109" s="115">
        <f t="shared" si="321"/>
        <v>0</v>
      </c>
      <c r="GK109" s="114">
        <f t="shared" si="355"/>
        <v>0</v>
      </c>
      <c r="GL109" s="114">
        <f t="shared" si="344"/>
        <v>2000</v>
      </c>
      <c r="GM109" s="114">
        <f t="shared" si="345"/>
        <v>0</v>
      </c>
      <c r="GN109" s="114">
        <f t="shared" si="346"/>
        <v>0</v>
      </c>
      <c r="GO109" s="114">
        <f t="shared" si="347"/>
        <v>0</v>
      </c>
      <c r="GP109" s="114">
        <f t="shared" si="322"/>
        <v>2000</v>
      </c>
      <c r="GQ109" s="114">
        <f t="shared" si="356"/>
        <v>2000</v>
      </c>
      <c r="GR109" s="216"/>
      <c r="GS109" s="122">
        <f t="shared" si="348"/>
        <v>319356849.87027121</v>
      </c>
      <c r="GT109" s="122">
        <f t="shared" si="349"/>
        <v>415394956.8922137</v>
      </c>
      <c r="GU109" s="123">
        <f t="shared" si="357"/>
        <v>0.76880290569617493</v>
      </c>
      <c r="GV109" s="124">
        <f t="shared" ca="1" si="350"/>
        <v>0</v>
      </c>
      <c r="GW109" s="124">
        <v>0</v>
      </c>
      <c r="GX109" s="32">
        <f t="shared" ca="1" si="351"/>
        <v>0</v>
      </c>
      <c r="GY109" s="100"/>
    </row>
    <row r="110" spans="1:207" s="125" customFormat="1" ht="15" hidden="1" customHeight="1">
      <c r="A110" s="102"/>
      <c r="B110" s="103"/>
      <c r="C110" s="103"/>
      <c r="D110" s="104"/>
      <c r="E110" s="104"/>
      <c r="F110" s="104" t="s">
        <v>484</v>
      </c>
      <c r="G110" s="104" t="s">
        <v>226</v>
      </c>
      <c r="H110" s="154" t="s">
        <v>485</v>
      </c>
      <c r="I110" s="106" t="s">
        <v>486</v>
      </c>
      <c r="J110" s="104" t="s">
        <v>471</v>
      </c>
      <c r="K110" s="104" t="s">
        <v>215</v>
      </c>
      <c r="L110" s="104" t="s">
        <v>471</v>
      </c>
      <c r="M110" s="104" t="s">
        <v>472</v>
      </c>
      <c r="N110" s="107"/>
      <c r="O110" s="108">
        <v>43087</v>
      </c>
      <c r="P110" s="108">
        <v>43344</v>
      </c>
      <c r="Q110" s="322">
        <f t="shared" si="323"/>
        <v>0</v>
      </c>
      <c r="R110" s="109">
        <f>IF((P110-VLOOKUP(Q110,month!$A$1:$C$13,3,0))&lt;0,Q110,Q110+1)</f>
        <v>0</v>
      </c>
      <c r="S110" s="108"/>
      <c r="T110" s="127" t="str">
        <f t="shared" si="215"/>
        <v/>
      </c>
      <c r="U110" s="107"/>
      <c r="V110" s="107"/>
      <c r="W110" s="107"/>
      <c r="X110" s="107"/>
      <c r="Y110" s="386"/>
      <c r="Z110" s="386" t="s">
        <v>545</v>
      </c>
      <c r="AA110" s="387">
        <v>1000</v>
      </c>
      <c r="AB110" s="387">
        <v>1000</v>
      </c>
      <c r="AC110" s="387">
        <v>1000</v>
      </c>
      <c r="AD110" s="387">
        <v>1000</v>
      </c>
      <c r="AE110" s="387">
        <v>1000</v>
      </c>
      <c r="AF110" s="387">
        <v>1000</v>
      </c>
      <c r="AG110" s="387">
        <v>1000</v>
      </c>
      <c r="AH110" s="387">
        <v>1000</v>
      </c>
      <c r="AI110" s="387">
        <v>1000</v>
      </c>
      <c r="AJ110" s="387">
        <v>1000</v>
      </c>
      <c r="AK110" s="387">
        <v>1000</v>
      </c>
      <c r="AL110" s="387">
        <v>1000</v>
      </c>
      <c r="AM110" s="388">
        <f t="shared" si="314"/>
        <v>12000</v>
      </c>
      <c r="AN110" s="388">
        <f t="shared" si="324"/>
        <v>12000</v>
      </c>
      <c r="AO110" s="389">
        <f t="shared" ref="AO110:AO112" si="363">AI110</f>
        <v>1000</v>
      </c>
      <c r="AP110" s="498" t="s">
        <v>767</v>
      </c>
      <c r="AQ110" s="159">
        <v>0.6</v>
      </c>
      <c r="AR110" s="160" t="s">
        <v>358</v>
      </c>
      <c r="AS110" s="119" t="s">
        <v>210</v>
      </c>
      <c r="AT110" s="111">
        <v>12667084.918482166</v>
      </c>
      <c r="AU110" s="111">
        <v>13178645.488737401</v>
      </c>
      <c r="AV110" s="111">
        <v>12190341.596061932</v>
      </c>
      <c r="AW110" s="111">
        <v>12342000.7336083</v>
      </c>
      <c r="AX110" s="113">
        <v>14536882.36749677</v>
      </c>
      <c r="AY110" s="113">
        <v>10749156.798470002</v>
      </c>
      <c r="AZ110" s="113">
        <v>10536844.709400002</v>
      </c>
      <c r="BA110" s="113"/>
      <c r="BB110" s="113"/>
      <c r="BC110" s="113"/>
      <c r="BD110" s="113"/>
      <c r="BE110" s="113"/>
      <c r="BF110" s="114">
        <f t="shared" si="152"/>
        <v>14536882.36749677</v>
      </c>
      <c r="BG110" s="114">
        <f t="shared" si="153"/>
        <v>10749156.798470002</v>
      </c>
      <c r="BH110" s="114">
        <f t="shared" si="154"/>
        <v>10536844.709400002</v>
      </c>
      <c r="BI110" s="114">
        <f t="shared" si="155"/>
        <v>0</v>
      </c>
      <c r="BJ110" s="114">
        <f t="shared" si="325"/>
        <v>35822883.875366777</v>
      </c>
      <c r="BK110" s="115">
        <f t="shared" si="358"/>
        <v>50378072.736889794</v>
      </c>
      <c r="BL110" s="115">
        <f t="shared" si="156"/>
        <v>50378072.736889794</v>
      </c>
      <c r="BM110" s="116">
        <f t="shared" si="157"/>
        <v>0.71109999999999995</v>
      </c>
      <c r="BN110" s="126">
        <f t="shared" ca="1" si="359"/>
        <v>0</v>
      </c>
      <c r="BO110" s="117">
        <f t="shared" ca="1" si="360"/>
        <v>0</v>
      </c>
      <c r="BP110" s="118" t="str">
        <f t="shared" si="361"/>
        <v>Uncapped</v>
      </c>
      <c r="BQ110" s="115">
        <f t="shared" ca="1" si="362"/>
        <v>0</v>
      </c>
      <c r="BR110" s="113" t="s">
        <v>696</v>
      </c>
      <c r="BS110" s="161">
        <v>0.2</v>
      </c>
      <c r="BT110" s="113" t="s">
        <v>217</v>
      </c>
      <c r="BU110" s="160" t="s">
        <v>210</v>
      </c>
      <c r="BV110" s="113">
        <v>61881722.047854595</v>
      </c>
      <c r="BW110" s="113">
        <v>72180793.063260496</v>
      </c>
      <c r="BX110" s="113">
        <v>70210929.79442063</v>
      </c>
      <c r="BY110" s="113">
        <v>77582831.825025976</v>
      </c>
      <c r="BZ110" s="113">
        <v>63657388.730680585</v>
      </c>
      <c r="CA110" s="113">
        <v>65995192.891159974</v>
      </c>
      <c r="CB110" s="113">
        <v>66410604.684560001</v>
      </c>
      <c r="CC110" s="113">
        <f t="shared" si="352"/>
        <v>77582831.825025976</v>
      </c>
      <c r="CD110" s="113"/>
      <c r="CE110" s="113"/>
      <c r="CF110" s="113"/>
      <c r="CG110" s="113"/>
      <c r="CH110" s="114">
        <f t="shared" si="158"/>
        <v>63657388.730680585</v>
      </c>
      <c r="CI110" s="114">
        <f t="shared" si="159"/>
        <v>65995192.891159974</v>
      </c>
      <c r="CJ110" s="120">
        <f t="shared" si="160"/>
        <v>66410604.684560001</v>
      </c>
      <c r="CK110" s="114">
        <f t="shared" si="161"/>
        <v>77582831.825025976</v>
      </c>
      <c r="CL110" s="114">
        <f t="shared" si="327"/>
        <v>273646018.13142657</v>
      </c>
      <c r="CM110" s="114">
        <f t="shared" si="316"/>
        <v>281856276.73056173</v>
      </c>
      <c r="CN110" s="114">
        <f t="shared" si="162"/>
        <v>281856276.73056173</v>
      </c>
      <c r="CO110" s="116">
        <f t="shared" si="163"/>
        <v>0.97089999999999999</v>
      </c>
      <c r="CP110" s="126">
        <f t="shared" ca="1" si="164"/>
        <v>0</v>
      </c>
      <c r="CQ110" s="115">
        <f t="shared" ca="1" si="336"/>
        <v>0</v>
      </c>
      <c r="CR110" s="118" t="str">
        <f t="shared" si="328"/>
        <v>Uncapped</v>
      </c>
      <c r="CS110" s="115">
        <f t="shared" ca="1" si="337"/>
        <v>0</v>
      </c>
      <c r="CT110" s="113" t="s">
        <v>724</v>
      </c>
      <c r="CU110" s="119">
        <v>0.2</v>
      </c>
      <c r="CV110" s="113"/>
      <c r="CW110" s="113" t="s">
        <v>725</v>
      </c>
      <c r="CX110" s="113">
        <v>0</v>
      </c>
      <c r="CY110" s="113">
        <v>0</v>
      </c>
      <c r="CZ110" s="113">
        <v>0</v>
      </c>
      <c r="DA110" s="113">
        <v>0</v>
      </c>
      <c r="DB110" s="113">
        <v>0</v>
      </c>
      <c r="DC110" s="113">
        <v>0</v>
      </c>
      <c r="DD110" s="113">
        <v>0</v>
      </c>
      <c r="DE110" s="113"/>
      <c r="DF110" s="113"/>
      <c r="DG110" s="113"/>
      <c r="DH110" s="113"/>
      <c r="DI110" s="113"/>
      <c r="DJ110" s="114">
        <f t="shared" si="165"/>
        <v>0</v>
      </c>
      <c r="DK110" s="114">
        <f t="shared" si="166"/>
        <v>0</v>
      </c>
      <c r="DL110" s="114">
        <f t="shared" si="167"/>
        <v>0</v>
      </c>
      <c r="DM110" s="114">
        <f t="shared" si="168"/>
        <v>0</v>
      </c>
      <c r="DN110" s="114">
        <f t="shared" si="329"/>
        <v>0</v>
      </c>
      <c r="DO110" s="114">
        <f t="shared" si="317"/>
        <v>0</v>
      </c>
      <c r="DP110" s="114">
        <f t="shared" si="169"/>
        <v>0</v>
      </c>
      <c r="DQ110" s="116">
        <f t="shared" si="170"/>
        <v>0</v>
      </c>
      <c r="DR110" s="126">
        <f t="shared" si="338"/>
        <v>0</v>
      </c>
      <c r="DS110" s="115">
        <f t="shared" si="339"/>
        <v>0</v>
      </c>
      <c r="DT110" s="118" t="str">
        <f t="shared" si="330"/>
        <v>Uncapped</v>
      </c>
      <c r="DU110" s="115">
        <f t="shared" si="340"/>
        <v>0</v>
      </c>
      <c r="DV110" s="113"/>
      <c r="DW110" s="119">
        <v>0</v>
      </c>
      <c r="DX110" s="113"/>
      <c r="DY110" s="113"/>
      <c r="DZ110" s="113">
        <v>0</v>
      </c>
      <c r="EA110" s="113">
        <v>0</v>
      </c>
      <c r="EB110" s="113">
        <v>0</v>
      </c>
      <c r="EC110" s="113">
        <v>0</v>
      </c>
      <c r="ED110" s="113">
        <v>0</v>
      </c>
      <c r="EE110" s="113">
        <v>0</v>
      </c>
      <c r="EF110" s="113"/>
      <c r="EG110" s="113"/>
      <c r="EH110" s="113"/>
      <c r="EI110" s="113"/>
      <c r="EJ110" s="113"/>
      <c r="EK110" s="113"/>
      <c r="EL110" s="114">
        <f t="shared" si="171"/>
        <v>0</v>
      </c>
      <c r="EM110" s="114">
        <f t="shared" si="172"/>
        <v>0</v>
      </c>
      <c r="EN110" s="114">
        <f t="shared" si="173"/>
        <v>0</v>
      </c>
      <c r="EO110" s="114">
        <f t="shared" si="174"/>
        <v>0</v>
      </c>
      <c r="EP110" s="114">
        <f t="shared" si="331"/>
        <v>0</v>
      </c>
      <c r="EQ110" s="114">
        <f t="shared" si="318"/>
        <v>0</v>
      </c>
      <c r="ER110" s="114">
        <f t="shared" si="175"/>
        <v>0</v>
      </c>
      <c r="ES110" s="116">
        <f t="shared" si="176"/>
        <v>0</v>
      </c>
      <c r="ET110" s="126">
        <f t="shared" ca="1" si="177"/>
        <v>0</v>
      </c>
      <c r="EU110" s="115">
        <f t="shared" ca="1" si="341"/>
        <v>0</v>
      </c>
      <c r="EV110" s="118" t="str">
        <f t="shared" si="332"/>
        <v>Uncapped</v>
      </c>
      <c r="EW110" s="115">
        <f t="shared" ca="1" si="342"/>
        <v>0</v>
      </c>
      <c r="EX110" s="112">
        <f t="shared" ca="1" si="343"/>
        <v>0</v>
      </c>
      <c r="EY110" s="114">
        <f t="shared" ca="1" si="178"/>
        <v>0</v>
      </c>
      <c r="EZ110" s="115">
        <v>0</v>
      </c>
      <c r="FA110" s="115"/>
      <c r="FB110" s="115"/>
      <c r="FC110" s="115">
        <v>0</v>
      </c>
      <c r="FD110" s="115">
        <f t="shared" si="319"/>
        <v>0</v>
      </c>
      <c r="FE110" s="114">
        <f t="shared" si="312"/>
        <v>0</v>
      </c>
      <c r="FF110" s="115">
        <v>0</v>
      </c>
      <c r="FG110" s="115">
        <v>0</v>
      </c>
      <c r="FH110" s="115">
        <v>0</v>
      </c>
      <c r="FI110" s="115">
        <v>0</v>
      </c>
      <c r="FJ110" s="115">
        <f t="shared" si="320"/>
        <v>0</v>
      </c>
      <c r="FK110" s="114">
        <f t="shared" si="313"/>
        <v>0</v>
      </c>
      <c r="FL110" s="113"/>
      <c r="FM110" s="111"/>
      <c r="FN110" s="111"/>
      <c r="FO110" s="111"/>
      <c r="FP110" s="115">
        <f t="shared" si="216"/>
        <v>0</v>
      </c>
      <c r="FQ110" s="115"/>
      <c r="FR110" s="115"/>
      <c r="FS110" s="115"/>
      <c r="FT110" s="114">
        <f t="shared" si="209"/>
        <v>0</v>
      </c>
      <c r="FU110" s="366">
        <f t="shared" ca="1" si="210"/>
        <v>0</v>
      </c>
      <c r="FV110" s="121">
        <f t="shared" ca="1" si="211"/>
        <v>0</v>
      </c>
      <c r="FW110" s="114">
        <f t="shared" si="218"/>
        <v>0</v>
      </c>
      <c r="FX110" s="114">
        <f t="shared" si="218"/>
        <v>0</v>
      </c>
      <c r="FY110" s="114">
        <f t="shared" si="218"/>
        <v>0</v>
      </c>
      <c r="FZ110" s="114">
        <f t="shared" si="218"/>
        <v>0</v>
      </c>
      <c r="GA110" s="114">
        <f t="shared" si="354"/>
        <v>0</v>
      </c>
      <c r="GB110" s="114">
        <f t="shared" si="219"/>
        <v>0</v>
      </c>
      <c r="GC110" s="114">
        <f t="shared" si="219"/>
        <v>0</v>
      </c>
      <c r="GD110" s="114">
        <f t="shared" si="219"/>
        <v>0</v>
      </c>
      <c r="GE110" s="114">
        <f t="shared" si="219"/>
        <v>0</v>
      </c>
      <c r="GF110" s="114">
        <f t="shared" si="220"/>
        <v>0</v>
      </c>
      <c r="GG110" s="114">
        <f t="shared" si="220"/>
        <v>0</v>
      </c>
      <c r="GH110" s="114">
        <f t="shared" si="220"/>
        <v>0</v>
      </c>
      <c r="GI110" s="114">
        <f t="shared" si="220"/>
        <v>0</v>
      </c>
      <c r="GJ110" s="115">
        <f t="shared" si="321"/>
        <v>0</v>
      </c>
      <c r="GK110" s="114">
        <f t="shared" si="355"/>
        <v>0</v>
      </c>
      <c r="GL110" s="114">
        <f t="shared" si="344"/>
        <v>0</v>
      </c>
      <c r="GM110" s="114">
        <f t="shared" si="345"/>
        <v>0</v>
      </c>
      <c r="GN110" s="114">
        <f t="shared" si="346"/>
        <v>0</v>
      </c>
      <c r="GO110" s="114">
        <f t="shared" si="347"/>
        <v>0</v>
      </c>
      <c r="GP110" s="114">
        <f t="shared" si="322"/>
        <v>0</v>
      </c>
      <c r="GQ110" s="114">
        <f t="shared" si="356"/>
        <v>0</v>
      </c>
      <c r="GR110" s="216"/>
      <c r="GS110" s="122">
        <f t="shared" si="348"/>
        <v>309468902.00679338</v>
      </c>
      <c r="GT110" s="122">
        <f t="shared" si="349"/>
        <v>332234349.46745151</v>
      </c>
      <c r="GU110" s="123">
        <f t="shared" si="357"/>
        <v>0.93147774305351161</v>
      </c>
      <c r="GV110" s="124">
        <f t="shared" ca="1" si="350"/>
        <v>0</v>
      </c>
      <c r="GW110" s="124">
        <v>0</v>
      </c>
      <c r="GX110" s="32">
        <f t="shared" ca="1" si="351"/>
        <v>0</v>
      </c>
      <c r="GY110" s="100"/>
    </row>
    <row r="111" spans="1:207" s="125" customFormat="1" ht="15" hidden="1" customHeight="1">
      <c r="A111" s="102"/>
      <c r="B111" s="103"/>
      <c r="C111" s="103"/>
      <c r="D111" s="104"/>
      <c r="E111" s="104"/>
      <c r="F111" s="104" t="s">
        <v>487</v>
      </c>
      <c r="G111" s="104" t="s">
        <v>226</v>
      </c>
      <c r="H111" s="154" t="s">
        <v>488</v>
      </c>
      <c r="I111" s="106" t="s">
        <v>489</v>
      </c>
      <c r="J111" s="104" t="s">
        <v>471</v>
      </c>
      <c r="K111" s="104" t="s">
        <v>218</v>
      </c>
      <c r="L111" s="104" t="s">
        <v>471</v>
      </c>
      <c r="M111" s="104" t="s">
        <v>472</v>
      </c>
      <c r="N111" s="107"/>
      <c r="O111" s="108">
        <v>41246</v>
      </c>
      <c r="P111" s="108">
        <v>43344</v>
      </c>
      <c r="Q111" s="322">
        <f t="shared" si="323"/>
        <v>0</v>
      </c>
      <c r="R111" s="109">
        <f>IF((P111-VLOOKUP(Q111,month!$A$1:$C$13,3,0))&lt;0,Q111,Q111+1)</f>
        <v>0</v>
      </c>
      <c r="S111" s="108"/>
      <c r="T111" s="127" t="str">
        <f t="shared" si="215"/>
        <v/>
      </c>
      <c r="U111" s="107"/>
      <c r="V111" s="107"/>
      <c r="W111" s="107"/>
      <c r="X111" s="107"/>
      <c r="Y111" s="386"/>
      <c r="Z111" s="386" t="s">
        <v>545</v>
      </c>
      <c r="AA111" s="387">
        <v>1000</v>
      </c>
      <c r="AB111" s="387">
        <v>1000</v>
      </c>
      <c r="AC111" s="387">
        <v>1000</v>
      </c>
      <c r="AD111" s="387">
        <v>1000</v>
      </c>
      <c r="AE111" s="387">
        <v>1000</v>
      </c>
      <c r="AF111" s="387">
        <v>1000</v>
      </c>
      <c r="AG111" s="387">
        <v>1000</v>
      </c>
      <c r="AH111" s="387">
        <v>1000</v>
      </c>
      <c r="AI111" s="387">
        <v>1000</v>
      </c>
      <c r="AJ111" s="387">
        <v>1000</v>
      </c>
      <c r="AK111" s="387">
        <v>1000</v>
      </c>
      <c r="AL111" s="387">
        <v>1000</v>
      </c>
      <c r="AM111" s="388">
        <f t="shared" si="314"/>
        <v>12000</v>
      </c>
      <c r="AN111" s="388">
        <f t="shared" si="324"/>
        <v>12000</v>
      </c>
      <c r="AO111" s="389">
        <f t="shared" si="363"/>
        <v>1000</v>
      </c>
      <c r="AP111" s="498" t="s">
        <v>672</v>
      </c>
      <c r="AQ111" s="159">
        <v>0.4</v>
      </c>
      <c r="AR111" s="160" t="s">
        <v>211</v>
      </c>
      <c r="AS111" s="119" t="s">
        <v>210</v>
      </c>
      <c r="AT111" s="111">
        <v>3379521.1219363259</v>
      </c>
      <c r="AU111" s="111">
        <v>7327548.5634185346</v>
      </c>
      <c r="AV111" s="111">
        <v>5599955.3026327584</v>
      </c>
      <c r="AW111" s="111">
        <v>6039590.4343528077</v>
      </c>
      <c r="AX111" s="113">
        <v>3463592.7112599993</v>
      </c>
      <c r="AY111" s="113">
        <v>7899234.3228099998</v>
      </c>
      <c r="AZ111" s="113">
        <v>6302483.1859700009</v>
      </c>
      <c r="BA111" s="113"/>
      <c r="BB111" s="113"/>
      <c r="BC111" s="113"/>
      <c r="BD111" s="113"/>
      <c r="BE111" s="113"/>
      <c r="BF111" s="114">
        <f t="shared" si="152"/>
        <v>3463592.7112599993</v>
      </c>
      <c r="BG111" s="114">
        <f t="shared" si="153"/>
        <v>7899234.3228099998</v>
      </c>
      <c r="BH111" s="114">
        <f t="shared" si="154"/>
        <v>6302483.1859700009</v>
      </c>
      <c r="BI111" s="114">
        <f t="shared" si="155"/>
        <v>0</v>
      </c>
      <c r="BJ111" s="114">
        <f t="shared" si="325"/>
        <v>17665310.220040001</v>
      </c>
      <c r="BK111" s="115">
        <f t="shared" si="358"/>
        <v>22346615.422340427</v>
      </c>
      <c r="BL111" s="115">
        <f t="shared" si="156"/>
        <v>22346615.422340427</v>
      </c>
      <c r="BM111" s="116">
        <f t="shared" si="157"/>
        <v>0.79049999999999998</v>
      </c>
      <c r="BN111" s="126">
        <f t="shared" ca="1" si="359"/>
        <v>0</v>
      </c>
      <c r="BO111" s="117">
        <f t="shared" ca="1" si="360"/>
        <v>0</v>
      </c>
      <c r="BP111" s="118" t="str">
        <f t="shared" si="361"/>
        <v>Uncapped</v>
      </c>
      <c r="BQ111" s="115">
        <f t="shared" ca="1" si="362"/>
        <v>0</v>
      </c>
      <c r="BR111" s="113" t="s">
        <v>692</v>
      </c>
      <c r="BS111" s="161">
        <v>0.4</v>
      </c>
      <c r="BT111" s="113" t="s">
        <v>211</v>
      </c>
      <c r="BU111" s="160" t="s">
        <v>210</v>
      </c>
      <c r="BV111" s="113">
        <v>7503606.8202462839</v>
      </c>
      <c r="BW111" s="113">
        <v>8053589.731983399</v>
      </c>
      <c r="BX111" s="113">
        <v>8496001.8380627688</v>
      </c>
      <c r="BY111" s="113">
        <v>8697930.0394548904</v>
      </c>
      <c r="BZ111" s="113">
        <v>7755486.3438000018</v>
      </c>
      <c r="CA111" s="113">
        <v>6815255.5627299994</v>
      </c>
      <c r="CB111" s="113">
        <v>8017330.7311999984</v>
      </c>
      <c r="CC111" s="113">
        <f t="shared" si="352"/>
        <v>8697930.0394548904</v>
      </c>
      <c r="CD111" s="113"/>
      <c r="CE111" s="113"/>
      <c r="CF111" s="113"/>
      <c r="CG111" s="113"/>
      <c r="CH111" s="114">
        <f t="shared" si="158"/>
        <v>7755486.3438000018</v>
      </c>
      <c r="CI111" s="114">
        <f t="shared" si="159"/>
        <v>6815255.5627299994</v>
      </c>
      <c r="CJ111" s="120">
        <f t="shared" si="160"/>
        <v>8017330.7311999984</v>
      </c>
      <c r="CK111" s="114">
        <f t="shared" si="161"/>
        <v>8697930.0394548904</v>
      </c>
      <c r="CL111" s="114">
        <f t="shared" si="327"/>
        <v>31286002.677184887</v>
      </c>
      <c r="CM111" s="114">
        <f t="shared" si="316"/>
        <v>32751128.429747343</v>
      </c>
      <c r="CN111" s="114">
        <f t="shared" si="162"/>
        <v>32751128.429747343</v>
      </c>
      <c r="CO111" s="116">
        <f t="shared" si="163"/>
        <v>0.95530000000000004</v>
      </c>
      <c r="CP111" s="126">
        <f t="shared" ca="1" si="164"/>
        <v>0</v>
      </c>
      <c r="CQ111" s="115">
        <f t="shared" ca="1" si="336"/>
        <v>0</v>
      </c>
      <c r="CR111" s="118" t="str">
        <f t="shared" si="328"/>
        <v>Uncapped</v>
      </c>
      <c r="CS111" s="115">
        <f t="shared" ca="1" si="337"/>
        <v>0</v>
      </c>
      <c r="CT111" s="113" t="s">
        <v>696</v>
      </c>
      <c r="CU111" s="119">
        <v>0.2</v>
      </c>
      <c r="CV111" s="113" t="s">
        <v>217</v>
      </c>
      <c r="CW111" s="113" t="s">
        <v>210</v>
      </c>
      <c r="CX111" s="113">
        <v>61881722.047854595</v>
      </c>
      <c r="CY111" s="113">
        <v>72180793.063260496</v>
      </c>
      <c r="CZ111" s="113">
        <v>69179032.514420599</v>
      </c>
      <c r="DA111" s="113">
        <v>76323964.015026003</v>
      </c>
      <c r="DB111" s="113">
        <v>63657388.730680585</v>
      </c>
      <c r="DC111" s="113">
        <v>65995192.891159974</v>
      </c>
      <c r="DD111" s="113">
        <v>66410604.684560001</v>
      </c>
      <c r="DE111" s="113"/>
      <c r="DF111" s="113"/>
      <c r="DG111" s="113"/>
      <c r="DH111" s="113"/>
      <c r="DI111" s="113"/>
      <c r="DJ111" s="114">
        <f t="shared" si="165"/>
        <v>63657388.730680585</v>
      </c>
      <c r="DK111" s="114">
        <f t="shared" si="166"/>
        <v>65995192.891159974</v>
      </c>
      <c r="DL111" s="114">
        <f t="shared" si="167"/>
        <v>66410604.684560001</v>
      </c>
      <c r="DM111" s="114">
        <f t="shared" si="168"/>
        <v>0</v>
      </c>
      <c r="DN111" s="114">
        <f t="shared" si="329"/>
        <v>196063186.30640057</v>
      </c>
      <c r="DO111" s="114">
        <f t="shared" si="317"/>
        <v>279565511.6405617</v>
      </c>
      <c r="DP111" s="114">
        <f t="shared" si="169"/>
        <v>279565511.6405617</v>
      </c>
      <c r="DQ111" s="116">
        <f t="shared" si="170"/>
        <v>0.70130000000000003</v>
      </c>
      <c r="DR111" s="126">
        <f t="shared" ca="1" si="338"/>
        <v>0</v>
      </c>
      <c r="DS111" s="115">
        <f t="shared" ca="1" si="339"/>
        <v>0</v>
      </c>
      <c r="DT111" s="118" t="str">
        <f t="shared" si="330"/>
        <v>Uncapped</v>
      </c>
      <c r="DU111" s="115">
        <f t="shared" ca="1" si="340"/>
        <v>0</v>
      </c>
      <c r="DV111" s="113"/>
      <c r="DW111" s="119">
        <v>0</v>
      </c>
      <c r="DX111" s="113"/>
      <c r="DY111" s="113"/>
      <c r="DZ111" s="113">
        <v>0</v>
      </c>
      <c r="EA111" s="113">
        <v>0</v>
      </c>
      <c r="EB111" s="113">
        <v>0</v>
      </c>
      <c r="EC111" s="113">
        <v>0</v>
      </c>
      <c r="ED111" s="113">
        <v>0</v>
      </c>
      <c r="EE111" s="113">
        <v>0</v>
      </c>
      <c r="EF111" s="113"/>
      <c r="EG111" s="113"/>
      <c r="EH111" s="113"/>
      <c r="EI111" s="113"/>
      <c r="EJ111" s="113"/>
      <c r="EK111" s="113"/>
      <c r="EL111" s="114">
        <f t="shared" si="171"/>
        <v>0</v>
      </c>
      <c r="EM111" s="114">
        <f t="shared" si="172"/>
        <v>0</v>
      </c>
      <c r="EN111" s="114">
        <f t="shared" si="173"/>
        <v>0</v>
      </c>
      <c r="EO111" s="114">
        <f t="shared" si="174"/>
        <v>0</v>
      </c>
      <c r="EP111" s="114">
        <f t="shared" si="331"/>
        <v>0</v>
      </c>
      <c r="EQ111" s="114">
        <f t="shared" si="318"/>
        <v>0</v>
      </c>
      <c r="ER111" s="114">
        <f t="shared" si="175"/>
        <v>0</v>
      </c>
      <c r="ES111" s="116">
        <f t="shared" si="176"/>
        <v>0</v>
      </c>
      <c r="ET111" s="126">
        <f t="shared" ca="1" si="177"/>
        <v>0</v>
      </c>
      <c r="EU111" s="115">
        <f t="shared" ca="1" si="341"/>
        <v>0</v>
      </c>
      <c r="EV111" s="118" t="str">
        <f t="shared" si="332"/>
        <v>Uncapped</v>
      </c>
      <c r="EW111" s="115">
        <f t="shared" ca="1" si="342"/>
        <v>0</v>
      </c>
      <c r="EX111" s="112">
        <f t="shared" ca="1" si="343"/>
        <v>0</v>
      </c>
      <c r="EY111" s="114">
        <f t="shared" ca="1" si="178"/>
        <v>0</v>
      </c>
      <c r="EZ111" s="115">
        <v>0</v>
      </c>
      <c r="FA111" s="115"/>
      <c r="FB111" s="115"/>
      <c r="FC111" s="115">
        <v>0</v>
      </c>
      <c r="FD111" s="115">
        <f t="shared" si="319"/>
        <v>0</v>
      </c>
      <c r="FE111" s="114">
        <f t="shared" si="312"/>
        <v>0</v>
      </c>
      <c r="FF111" s="115">
        <v>0</v>
      </c>
      <c r="FG111" s="115">
        <v>0</v>
      </c>
      <c r="FH111" s="115">
        <v>0</v>
      </c>
      <c r="FI111" s="115">
        <v>0</v>
      </c>
      <c r="FJ111" s="115">
        <f t="shared" si="320"/>
        <v>0</v>
      </c>
      <c r="FK111" s="114">
        <f t="shared" si="313"/>
        <v>0</v>
      </c>
      <c r="FL111" s="113"/>
      <c r="FM111" s="111"/>
      <c r="FN111" s="111"/>
      <c r="FO111" s="111"/>
      <c r="FP111" s="115">
        <f t="shared" si="216"/>
        <v>0</v>
      </c>
      <c r="FQ111" s="115"/>
      <c r="FR111" s="115"/>
      <c r="FS111" s="115"/>
      <c r="FT111" s="114">
        <f t="shared" si="209"/>
        <v>0</v>
      </c>
      <c r="FU111" s="366">
        <f t="shared" ca="1" si="210"/>
        <v>0</v>
      </c>
      <c r="FV111" s="121">
        <f t="shared" ca="1" si="211"/>
        <v>0</v>
      </c>
      <c r="FW111" s="114">
        <f t="shared" si="218"/>
        <v>0</v>
      </c>
      <c r="FX111" s="114">
        <f t="shared" si="218"/>
        <v>0</v>
      </c>
      <c r="FY111" s="114">
        <f t="shared" si="218"/>
        <v>0</v>
      </c>
      <c r="FZ111" s="114">
        <f t="shared" si="218"/>
        <v>0</v>
      </c>
      <c r="GA111" s="114">
        <f t="shared" si="354"/>
        <v>0</v>
      </c>
      <c r="GB111" s="114">
        <f t="shared" si="219"/>
        <v>0</v>
      </c>
      <c r="GC111" s="114">
        <f t="shared" si="219"/>
        <v>0</v>
      </c>
      <c r="GD111" s="114">
        <f t="shared" si="219"/>
        <v>0</v>
      </c>
      <c r="GE111" s="114">
        <f t="shared" si="219"/>
        <v>0</v>
      </c>
      <c r="GF111" s="114">
        <f t="shared" si="220"/>
        <v>0</v>
      </c>
      <c r="GG111" s="114">
        <f t="shared" si="220"/>
        <v>0</v>
      </c>
      <c r="GH111" s="114">
        <f t="shared" si="220"/>
        <v>0</v>
      </c>
      <c r="GI111" s="114">
        <f t="shared" si="220"/>
        <v>0</v>
      </c>
      <c r="GJ111" s="115">
        <f t="shared" si="321"/>
        <v>0</v>
      </c>
      <c r="GK111" s="114">
        <f t="shared" si="355"/>
        <v>0</v>
      </c>
      <c r="GL111" s="114">
        <f t="shared" si="344"/>
        <v>0</v>
      </c>
      <c r="GM111" s="114">
        <f t="shared" si="345"/>
        <v>0</v>
      </c>
      <c r="GN111" s="114">
        <f t="shared" si="346"/>
        <v>0</v>
      </c>
      <c r="GO111" s="114">
        <f t="shared" si="347"/>
        <v>0</v>
      </c>
      <c r="GP111" s="114">
        <f t="shared" si="322"/>
        <v>0</v>
      </c>
      <c r="GQ111" s="114">
        <f t="shared" si="356"/>
        <v>0</v>
      </c>
      <c r="GR111" s="216"/>
      <c r="GS111" s="122">
        <f t="shared" si="348"/>
        <v>245014499.20362544</v>
      </c>
      <c r="GT111" s="122">
        <f t="shared" si="349"/>
        <v>334663255.49264944</v>
      </c>
      <c r="GU111" s="123">
        <f t="shared" si="357"/>
        <v>0.73212249980340893</v>
      </c>
      <c r="GV111" s="124">
        <f t="shared" ca="1" si="350"/>
        <v>0</v>
      </c>
      <c r="GW111" s="124">
        <v>0</v>
      </c>
      <c r="GX111" s="32">
        <f t="shared" ca="1" si="351"/>
        <v>0</v>
      </c>
      <c r="GY111" s="100"/>
    </row>
    <row r="112" spans="1:207" s="125" customFormat="1" ht="15" hidden="1" customHeight="1">
      <c r="A112" s="102"/>
      <c r="B112" s="103"/>
      <c r="C112" s="103" t="s">
        <v>74</v>
      </c>
      <c r="D112" s="104"/>
      <c r="E112" s="104"/>
      <c r="F112" s="104" t="s">
        <v>487</v>
      </c>
      <c r="G112" s="104" t="s">
        <v>226</v>
      </c>
      <c r="H112" s="154" t="s">
        <v>490</v>
      </c>
      <c r="I112" s="106" t="s">
        <v>491</v>
      </c>
      <c r="J112" s="104" t="s">
        <v>471</v>
      </c>
      <c r="K112" s="104" t="s">
        <v>218</v>
      </c>
      <c r="L112" s="104" t="s">
        <v>471</v>
      </c>
      <c r="M112" s="104" t="s">
        <v>472</v>
      </c>
      <c r="N112" s="107"/>
      <c r="O112" s="108">
        <v>43283</v>
      </c>
      <c r="P112" s="108">
        <v>43283</v>
      </c>
      <c r="Q112" s="322">
        <f t="shared" si="323"/>
        <v>0</v>
      </c>
      <c r="R112" s="109">
        <f>IF((P112-VLOOKUP(Q112,month!$A$1:$C$13,3,0))&lt;0,Q112,Q112+1)</f>
        <v>0</v>
      </c>
      <c r="S112" s="108"/>
      <c r="T112" s="127" t="str">
        <f t="shared" si="215"/>
        <v/>
      </c>
      <c r="U112" s="107"/>
      <c r="V112" s="107"/>
      <c r="W112" s="107"/>
      <c r="X112" s="107"/>
      <c r="Y112" s="386"/>
      <c r="Z112" s="386" t="s">
        <v>545</v>
      </c>
      <c r="AA112" s="387">
        <v>1000</v>
      </c>
      <c r="AB112" s="387">
        <v>1000</v>
      </c>
      <c r="AC112" s="387">
        <v>1000</v>
      </c>
      <c r="AD112" s="387">
        <v>1000</v>
      </c>
      <c r="AE112" s="387">
        <v>1000</v>
      </c>
      <c r="AF112" s="387">
        <v>1000</v>
      </c>
      <c r="AG112" s="387">
        <v>1000</v>
      </c>
      <c r="AH112" s="387">
        <v>1000</v>
      </c>
      <c r="AI112" s="387">
        <v>1000</v>
      </c>
      <c r="AJ112" s="387">
        <v>1000</v>
      </c>
      <c r="AK112" s="387">
        <v>1000</v>
      </c>
      <c r="AL112" s="387">
        <v>1000</v>
      </c>
      <c r="AM112" s="388">
        <f t="shared" si="314"/>
        <v>12000</v>
      </c>
      <c r="AN112" s="388">
        <f t="shared" si="324"/>
        <v>12000</v>
      </c>
      <c r="AO112" s="389">
        <f t="shared" si="363"/>
        <v>1000</v>
      </c>
      <c r="AP112" s="498" t="s">
        <v>672</v>
      </c>
      <c r="AQ112" s="159">
        <v>0.4</v>
      </c>
      <c r="AR112" s="160" t="s">
        <v>211</v>
      </c>
      <c r="AS112" s="119" t="s">
        <v>210</v>
      </c>
      <c r="AT112" s="111">
        <v>3379521.1219363259</v>
      </c>
      <c r="AU112" s="111">
        <v>7327548.5634185346</v>
      </c>
      <c r="AV112" s="111">
        <v>5599955.3026327584</v>
      </c>
      <c r="AW112" s="111">
        <v>6039590.4343528077</v>
      </c>
      <c r="AX112" s="113">
        <v>3463592.7112599993</v>
      </c>
      <c r="AY112" s="113">
        <v>7899234.3228099998</v>
      </c>
      <c r="AZ112" s="113">
        <v>6302483.1859700009</v>
      </c>
      <c r="BA112" s="113"/>
      <c r="BB112" s="113"/>
      <c r="BC112" s="113"/>
      <c r="BD112" s="113"/>
      <c r="BE112" s="113"/>
      <c r="BF112" s="114">
        <f t="shared" si="152"/>
        <v>3463592.7112599993</v>
      </c>
      <c r="BG112" s="114">
        <f t="shared" si="153"/>
        <v>7899234.3228099998</v>
      </c>
      <c r="BH112" s="114">
        <f t="shared" si="154"/>
        <v>6302483.1859700009</v>
      </c>
      <c r="BI112" s="114">
        <f t="shared" si="155"/>
        <v>0</v>
      </c>
      <c r="BJ112" s="114">
        <f t="shared" si="325"/>
        <v>17665310.220040001</v>
      </c>
      <c r="BK112" s="115">
        <f t="shared" si="358"/>
        <v>22346615.422340427</v>
      </c>
      <c r="BL112" s="115">
        <f t="shared" si="156"/>
        <v>22346615.422340427</v>
      </c>
      <c r="BM112" s="116">
        <f t="shared" si="157"/>
        <v>0.79049999999999998</v>
      </c>
      <c r="BN112" s="126">
        <f t="shared" ca="1" si="359"/>
        <v>0</v>
      </c>
      <c r="BO112" s="117">
        <f t="shared" ca="1" si="360"/>
        <v>0</v>
      </c>
      <c r="BP112" s="118" t="str">
        <f t="shared" si="361"/>
        <v>Uncapped</v>
      </c>
      <c r="BQ112" s="115">
        <f t="shared" ca="1" si="362"/>
        <v>0</v>
      </c>
      <c r="BR112" s="113" t="s">
        <v>692</v>
      </c>
      <c r="BS112" s="161">
        <v>0.4</v>
      </c>
      <c r="BT112" s="113" t="s">
        <v>211</v>
      </c>
      <c r="BU112" s="160" t="s">
        <v>210</v>
      </c>
      <c r="BV112" s="113">
        <v>7503606.8202462839</v>
      </c>
      <c r="BW112" s="113">
        <v>8053589.731983399</v>
      </c>
      <c r="BX112" s="113">
        <v>8496001.8380627688</v>
      </c>
      <c r="BY112" s="113">
        <v>8697930.0394548904</v>
      </c>
      <c r="BZ112" s="113">
        <v>7755486.3438000018</v>
      </c>
      <c r="CA112" s="113">
        <v>6815255.5627299994</v>
      </c>
      <c r="CB112" s="113">
        <v>8017330.7311999984</v>
      </c>
      <c r="CC112" s="113">
        <f t="shared" si="352"/>
        <v>8697930.0394548904</v>
      </c>
      <c r="CD112" s="113"/>
      <c r="CE112" s="113"/>
      <c r="CF112" s="113"/>
      <c r="CG112" s="113"/>
      <c r="CH112" s="114">
        <f t="shared" si="158"/>
        <v>7755486.3438000018</v>
      </c>
      <c r="CI112" s="114">
        <f t="shared" si="159"/>
        <v>6815255.5627299994</v>
      </c>
      <c r="CJ112" s="120">
        <f t="shared" si="160"/>
        <v>8017330.7311999984</v>
      </c>
      <c r="CK112" s="114">
        <f t="shared" si="161"/>
        <v>8697930.0394548904</v>
      </c>
      <c r="CL112" s="114">
        <f t="shared" si="327"/>
        <v>31286002.677184887</v>
      </c>
      <c r="CM112" s="114">
        <f t="shared" si="316"/>
        <v>32751128.429747343</v>
      </c>
      <c r="CN112" s="114">
        <f t="shared" si="162"/>
        <v>32751128.429747343</v>
      </c>
      <c r="CO112" s="116">
        <f t="shared" si="163"/>
        <v>0.95530000000000004</v>
      </c>
      <c r="CP112" s="126">
        <f t="shared" ca="1" si="164"/>
        <v>0</v>
      </c>
      <c r="CQ112" s="115">
        <f t="shared" ca="1" si="336"/>
        <v>0</v>
      </c>
      <c r="CR112" s="118" t="str">
        <f t="shared" si="328"/>
        <v>Uncapped</v>
      </c>
      <c r="CS112" s="115">
        <f t="shared" ca="1" si="337"/>
        <v>0</v>
      </c>
      <c r="CT112" s="113" t="s">
        <v>696</v>
      </c>
      <c r="CU112" s="119">
        <v>0.2</v>
      </c>
      <c r="CV112" s="113" t="s">
        <v>217</v>
      </c>
      <c r="CW112" s="113" t="s">
        <v>210</v>
      </c>
      <c r="CX112" s="113">
        <v>61881722.047854595</v>
      </c>
      <c r="CY112" s="113">
        <v>72180793.063260496</v>
      </c>
      <c r="CZ112" s="113">
        <v>69179032.514420599</v>
      </c>
      <c r="DA112" s="113">
        <v>76323964.015026003</v>
      </c>
      <c r="DB112" s="113">
        <v>63657388.730680585</v>
      </c>
      <c r="DC112" s="113">
        <v>65995192.891159974</v>
      </c>
      <c r="DD112" s="113">
        <v>66410604.684560001</v>
      </c>
      <c r="DE112" s="113"/>
      <c r="DF112" s="113"/>
      <c r="DG112" s="113"/>
      <c r="DH112" s="113"/>
      <c r="DI112" s="113"/>
      <c r="DJ112" s="114">
        <f t="shared" si="165"/>
        <v>63657388.730680585</v>
      </c>
      <c r="DK112" s="114">
        <f t="shared" si="166"/>
        <v>65995192.891159974</v>
      </c>
      <c r="DL112" s="114">
        <f t="shared" si="167"/>
        <v>66410604.684560001</v>
      </c>
      <c r="DM112" s="114">
        <f t="shared" si="168"/>
        <v>0</v>
      </c>
      <c r="DN112" s="114">
        <f t="shared" si="329"/>
        <v>196063186.30640057</v>
      </c>
      <c r="DO112" s="114">
        <f t="shared" si="317"/>
        <v>279565511.6405617</v>
      </c>
      <c r="DP112" s="114">
        <f t="shared" si="169"/>
        <v>279565511.6405617</v>
      </c>
      <c r="DQ112" s="116">
        <f t="shared" si="170"/>
        <v>0.70130000000000003</v>
      </c>
      <c r="DR112" s="126">
        <f t="shared" ca="1" si="338"/>
        <v>0</v>
      </c>
      <c r="DS112" s="115">
        <f t="shared" ca="1" si="339"/>
        <v>0</v>
      </c>
      <c r="DT112" s="118" t="str">
        <f t="shared" si="330"/>
        <v>Uncapped</v>
      </c>
      <c r="DU112" s="115">
        <f t="shared" ca="1" si="340"/>
        <v>0</v>
      </c>
      <c r="DV112" s="113"/>
      <c r="DW112" s="119">
        <v>0</v>
      </c>
      <c r="DX112" s="113"/>
      <c r="DY112" s="113"/>
      <c r="DZ112" s="113">
        <v>0</v>
      </c>
      <c r="EA112" s="113">
        <v>0</v>
      </c>
      <c r="EB112" s="113">
        <v>0</v>
      </c>
      <c r="EC112" s="113">
        <v>0</v>
      </c>
      <c r="ED112" s="113">
        <v>0</v>
      </c>
      <c r="EE112" s="113">
        <v>0</v>
      </c>
      <c r="EF112" s="113"/>
      <c r="EG112" s="113"/>
      <c r="EH112" s="113"/>
      <c r="EI112" s="113"/>
      <c r="EJ112" s="113"/>
      <c r="EK112" s="113"/>
      <c r="EL112" s="114">
        <f t="shared" si="171"/>
        <v>0</v>
      </c>
      <c r="EM112" s="114">
        <f t="shared" si="172"/>
        <v>0</v>
      </c>
      <c r="EN112" s="114">
        <f t="shared" si="173"/>
        <v>0</v>
      </c>
      <c r="EO112" s="114">
        <f t="shared" si="174"/>
        <v>0</v>
      </c>
      <c r="EP112" s="114">
        <f t="shared" si="331"/>
        <v>0</v>
      </c>
      <c r="EQ112" s="114">
        <f t="shared" si="318"/>
        <v>0</v>
      </c>
      <c r="ER112" s="114">
        <f t="shared" si="175"/>
        <v>0</v>
      </c>
      <c r="ES112" s="116">
        <f t="shared" si="176"/>
        <v>0</v>
      </c>
      <c r="ET112" s="126">
        <f t="shared" ca="1" si="177"/>
        <v>0</v>
      </c>
      <c r="EU112" s="115">
        <f t="shared" ca="1" si="341"/>
        <v>0</v>
      </c>
      <c r="EV112" s="118" t="str">
        <f t="shared" si="332"/>
        <v>Uncapped</v>
      </c>
      <c r="EW112" s="115">
        <f t="shared" ca="1" si="342"/>
        <v>0</v>
      </c>
      <c r="EX112" s="112">
        <f t="shared" ca="1" si="343"/>
        <v>0</v>
      </c>
      <c r="EY112" s="114">
        <f t="shared" ca="1" si="178"/>
        <v>0</v>
      </c>
      <c r="EZ112" s="115">
        <v>0</v>
      </c>
      <c r="FA112" s="115"/>
      <c r="FB112" s="115"/>
      <c r="FC112" s="115">
        <v>0</v>
      </c>
      <c r="FD112" s="115">
        <f t="shared" si="319"/>
        <v>0</v>
      </c>
      <c r="FE112" s="114">
        <f t="shared" si="312"/>
        <v>0</v>
      </c>
      <c r="FF112" s="115">
        <v>0</v>
      </c>
      <c r="FG112" s="115">
        <v>0</v>
      </c>
      <c r="FH112" s="115">
        <v>0</v>
      </c>
      <c r="FI112" s="115">
        <v>0</v>
      </c>
      <c r="FJ112" s="115">
        <f t="shared" si="320"/>
        <v>0</v>
      </c>
      <c r="FK112" s="114">
        <f t="shared" si="313"/>
        <v>0</v>
      </c>
      <c r="FL112" s="113"/>
      <c r="FM112" s="111"/>
      <c r="FN112" s="111"/>
      <c r="FO112" s="111"/>
      <c r="FP112" s="115">
        <f t="shared" si="216"/>
        <v>0</v>
      </c>
      <c r="FQ112" s="115"/>
      <c r="FR112" s="115"/>
      <c r="FS112" s="115"/>
      <c r="FT112" s="114">
        <f t="shared" si="209"/>
        <v>0</v>
      </c>
      <c r="FU112" s="366">
        <f t="shared" ca="1" si="210"/>
        <v>0</v>
      </c>
      <c r="FV112" s="121">
        <f t="shared" ca="1" si="211"/>
        <v>0</v>
      </c>
      <c r="FW112" s="114">
        <f t="shared" si="218"/>
        <v>0</v>
      </c>
      <c r="FX112" s="114">
        <f t="shared" si="218"/>
        <v>0</v>
      </c>
      <c r="FY112" s="114">
        <f t="shared" si="218"/>
        <v>0</v>
      </c>
      <c r="FZ112" s="114">
        <f t="shared" si="218"/>
        <v>0</v>
      </c>
      <c r="GA112" s="114">
        <f t="shared" si="354"/>
        <v>0</v>
      </c>
      <c r="GB112" s="114">
        <f t="shared" si="219"/>
        <v>0</v>
      </c>
      <c r="GC112" s="114">
        <f t="shared" si="219"/>
        <v>0</v>
      </c>
      <c r="GD112" s="114">
        <f t="shared" si="219"/>
        <v>0</v>
      </c>
      <c r="GE112" s="114">
        <f t="shared" si="219"/>
        <v>0</v>
      </c>
      <c r="GF112" s="114">
        <f t="shared" si="220"/>
        <v>0</v>
      </c>
      <c r="GG112" s="114">
        <f t="shared" si="220"/>
        <v>0</v>
      </c>
      <c r="GH112" s="114">
        <f t="shared" si="220"/>
        <v>0</v>
      </c>
      <c r="GI112" s="114">
        <f t="shared" si="220"/>
        <v>0</v>
      </c>
      <c r="GJ112" s="115">
        <f t="shared" si="321"/>
        <v>0</v>
      </c>
      <c r="GK112" s="114">
        <f t="shared" si="355"/>
        <v>0</v>
      </c>
      <c r="GL112" s="114">
        <f t="shared" si="344"/>
        <v>0</v>
      </c>
      <c r="GM112" s="114">
        <f t="shared" si="345"/>
        <v>0</v>
      </c>
      <c r="GN112" s="114">
        <f t="shared" si="346"/>
        <v>0</v>
      </c>
      <c r="GO112" s="114">
        <f t="shared" si="347"/>
        <v>0</v>
      </c>
      <c r="GP112" s="114">
        <f t="shared" si="322"/>
        <v>0</v>
      </c>
      <c r="GQ112" s="114">
        <f t="shared" si="356"/>
        <v>0</v>
      </c>
      <c r="GR112" s="216"/>
      <c r="GS112" s="122">
        <f t="shared" si="348"/>
        <v>245014499.20362544</v>
      </c>
      <c r="GT112" s="122">
        <f t="shared" si="349"/>
        <v>334663255.49264944</v>
      </c>
      <c r="GU112" s="123">
        <f t="shared" si="357"/>
        <v>0.73212249980340893</v>
      </c>
      <c r="GV112" s="124">
        <f t="shared" ca="1" si="350"/>
        <v>0</v>
      </c>
      <c r="GW112" s="124">
        <v>0</v>
      </c>
      <c r="GX112" s="32">
        <f t="shared" ca="1" si="351"/>
        <v>0</v>
      </c>
      <c r="GY112" s="100"/>
    </row>
    <row r="113" spans="1:207" s="125" customFormat="1" ht="15" hidden="1" customHeight="1">
      <c r="A113" s="102"/>
      <c r="B113" s="103"/>
      <c r="C113" s="103"/>
      <c r="D113" s="104"/>
      <c r="E113" s="104" t="s">
        <v>493</v>
      </c>
      <c r="F113" s="104" t="s">
        <v>487</v>
      </c>
      <c r="G113" s="104" t="s">
        <v>226</v>
      </c>
      <c r="H113" s="105" t="s">
        <v>492</v>
      </c>
      <c r="I113" s="106" t="s">
        <v>646</v>
      </c>
      <c r="J113" s="104" t="s">
        <v>471</v>
      </c>
      <c r="K113" s="104" t="s">
        <v>218</v>
      </c>
      <c r="L113" s="104" t="s">
        <v>471</v>
      </c>
      <c r="M113" s="104" t="s">
        <v>472</v>
      </c>
      <c r="N113" s="107"/>
      <c r="O113" s="549">
        <v>43497</v>
      </c>
      <c r="P113" s="359">
        <v>43497</v>
      </c>
      <c r="Q113" s="322">
        <f t="shared" si="323"/>
        <v>2</v>
      </c>
      <c r="R113" s="109">
        <f>IF((P113-VLOOKUP(Q113,month!$A$1:$C$13,3,0))&lt;0,Q113,Q113+1)</f>
        <v>2</v>
      </c>
      <c r="S113" s="108"/>
      <c r="T113" s="110" t="str">
        <f t="shared" si="215"/>
        <v/>
      </c>
      <c r="U113" s="320" t="s">
        <v>214</v>
      </c>
      <c r="V113" s="320">
        <v>2</v>
      </c>
      <c r="W113" s="320">
        <v>1</v>
      </c>
      <c r="X113" s="107"/>
      <c r="Y113" s="386"/>
      <c r="Z113" s="386" t="s">
        <v>545</v>
      </c>
      <c r="AA113" s="387">
        <v>1000</v>
      </c>
      <c r="AB113" s="387">
        <v>1000</v>
      </c>
      <c r="AC113" s="387">
        <v>1000</v>
      </c>
      <c r="AD113" s="387">
        <v>1000</v>
      </c>
      <c r="AE113" s="387">
        <v>1000</v>
      </c>
      <c r="AF113" s="387">
        <v>1000</v>
      </c>
      <c r="AG113" s="387">
        <v>1000</v>
      </c>
      <c r="AH113" s="387">
        <v>1000</v>
      </c>
      <c r="AI113" s="387">
        <v>1000</v>
      </c>
      <c r="AJ113" s="387">
        <v>1000</v>
      </c>
      <c r="AK113" s="387">
        <v>1000</v>
      </c>
      <c r="AL113" s="387">
        <v>1000</v>
      </c>
      <c r="AM113" s="388">
        <f t="shared" si="314"/>
        <v>12000</v>
      </c>
      <c r="AN113" s="388">
        <f t="shared" si="324"/>
        <v>12000</v>
      </c>
      <c r="AO113" s="389">
        <f>AB113</f>
        <v>1000</v>
      </c>
      <c r="AP113" s="498" t="s">
        <v>672</v>
      </c>
      <c r="AQ113" s="159">
        <v>0.4</v>
      </c>
      <c r="AR113" s="160" t="s">
        <v>211</v>
      </c>
      <c r="AS113" s="119" t="s">
        <v>210</v>
      </c>
      <c r="AT113" s="111">
        <v>2703616.8975490644</v>
      </c>
      <c r="AU113" s="111">
        <v>7327548.5634185346</v>
      </c>
      <c r="AV113" s="111">
        <v>5599955.3026327584</v>
      </c>
      <c r="AW113" s="111">
        <v>6039590.4343528077</v>
      </c>
      <c r="AX113" s="113">
        <v>2768685.2717800001</v>
      </c>
      <c r="AY113" s="113">
        <v>7899234.3228099998</v>
      </c>
      <c r="AZ113" s="113">
        <v>6302483.1859700009</v>
      </c>
      <c r="BA113" s="113">
        <f>AW113</f>
        <v>6039590.4343528077</v>
      </c>
      <c r="BB113" s="113"/>
      <c r="BC113" s="113"/>
      <c r="BD113" s="113"/>
      <c r="BE113" s="113"/>
      <c r="BF113" s="114">
        <f t="shared" si="152"/>
        <v>2768685.2717800001</v>
      </c>
      <c r="BG113" s="114">
        <f t="shared" si="153"/>
        <v>7899234.3228099998</v>
      </c>
      <c r="BH113" s="114">
        <f t="shared" si="154"/>
        <v>6302483.1859700009</v>
      </c>
      <c r="BI113" s="114">
        <f t="shared" si="155"/>
        <v>6039590.4343528077</v>
      </c>
      <c r="BJ113" s="114">
        <f t="shared" si="325"/>
        <v>23009993.214912809</v>
      </c>
      <c r="BK113" s="115">
        <f t="shared" si="358"/>
        <v>21670711.197953165</v>
      </c>
      <c r="BL113" s="115">
        <f t="shared" si="156"/>
        <v>21670711.197953165</v>
      </c>
      <c r="BM113" s="116">
        <f t="shared" si="157"/>
        <v>1.0618000000000001</v>
      </c>
      <c r="BN113" s="126">
        <f t="shared" ca="1" si="359"/>
        <v>0</v>
      </c>
      <c r="BO113" s="117">
        <f t="shared" ca="1" si="360"/>
        <v>0</v>
      </c>
      <c r="BP113" s="118" t="str">
        <f t="shared" si="361"/>
        <v>Uncapped</v>
      </c>
      <c r="BQ113" s="115">
        <f t="shared" ca="1" si="362"/>
        <v>0</v>
      </c>
      <c r="BR113" s="113" t="s">
        <v>692</v>
      </c>
      <c r="BS113" s="161">
        <v>0.4</v>
      </c>
      <c r="BT113" s="113" t="s">
        <v>211</v>
      </c>
      <c r="BU113" s="160" t="s">
        <v>210</v>
      </c>
      <c r="BV113" s="113">
        <v>6002885.4561970243</v>
      </c>
      <c r="BW113" s="113">
        <v>8053589.731983399</v>
      </c>
      <c r="BX113" s="113">
        <v>8496001.8380627688</v>
      </c>
      <c r="BY113" s="113">
        <v>8697930.0394548904</v>
      </c>
      <c r="BZ113" s="113">
        <v>6726497.4717699895</v>
      </c>
      <c r="CA113" s="113">
        <v>6815255.5627299994</v>
      </c>
      <c r="CB113" s="113">
        <v>8017330.7311999984</v>
      </c>
      <c r="CC113" s="113">
        <f t="shared" si="352"/>
        <v>8697930.0394548904</v>
      </c>
      <c r="CD113" s="113"/>
      <c r="CE113" s="113"/>
      <c r="CF113" s="113"/>
      <c r="CG113" s="113"/>
      <c r="CH113" s="114">
        <f t="shared" si="158"/>
        <v>6726497.4717699895</v>
      </c>
      <c r="CI113" s="114">
        <f t="shared" si="159"/>
        <v>6815255.5627299994</v>
      </c>
      <c r="CJ113" s="120">
        <f t="shared" si="160"/>
        <v>8017330.7311999984</v>
      </c>
      <c r="CK113" s="114">
        <f t="shared" si="161"/>
        <v>8697930.0394548904</v>
      </c>
      <c r="CL113" s="114">
        <f t="shared" si="327"/>
        <v>30257013.805154875</v>
      </c>
      <c r="CM113" s="114">
        <f t="shared" si="316"/>
        <v>31250407.065698087</v>
      </c>
      <c r="CN113" s="114">
        <f t="shared" si="162"/>
        <v>31250407.065698087</v>
      </c>
      <c r="CO113" s="116">
        <f t="shared" si="163"/>
        <v>0.96819999999999995</v>
      </c>
      <c r="CP113" s="126">
        <f t="shared" ca="1" si="164"/>
        <v>0</v>
      </c>
      <c r="CQ113" s="115">
        <f t="shared" ca="1" si="336"/>
        <v>0</v>
      </c>
      <c r="CR113" s="118">
        <v>1</v>
      </c>
      <c r="CS113" s="115">
        <f t="shared" si="337"/>
        <v>4800</v>
      </c>
      <c r="CT113" s="113" t="s">
        <v>696</v>
      </c>
      <c r="CU113" s="119">
        <v>0.2</v>
      </c>
      <c r="CV113" s="113" t="s">
        <v>217</v>
      </c>
      <c r="CW113" s="113" t="s">
        <v>210</v>
      </c>
      <c r="CX113" s="113">
        <v>49505377.638283685</v>
      </c>
      <c r="CY113" s="113">
        <v>72180793.063260496</v>
      </c>
      <c r="CZ113" s="113">
        <v>69179032.514420599</v>
      </c>
      <c r="DA113" s="113">
        <v>76323964.015026003</v>
      </c>
      <c r="DB113" s="113">
        <v>53904104.125969976</v>
      </c>
      <c r="DC113" s="113">
        <v>65995192.891159974</v>
      </c>
      <c r="DD113" s="113">
        <v>66410604.684560001</v>
      </c>
      <c r="DE113" s="113">
        <f>DA113</f>
        <v>76323964.015026003</v>
      </c>
      <c r="DF113" s="113"/>
      <c r="DG113" s="113"/>
      <c r="DH113" s="113"/>
      <c r="DI113" s="113"/>
      <c r="DJ113" s="114">
        <f t="shared" si="165"/>
        <v>53904104.125969976</v>
      </c>
      <c r="DK113" s="114">
        <f t="shared" si="166"/>
        <v>65995192.891159974</v>
      </c>
      <c r="DL113" s="114">
        <f t="shared" si="167"/>
        <v>66410604.684560001</v>
      </c>
      <c r="DM113" s="114">
        <f t="shared" si="168"/>
        <v>76323964.015026003</v>
      </c>
      <c r="DN113" s="114">
        <f t="shared" si="329"/>
        <v>262633865.71671596</v>
      </c>
      <c r="DO113" s="114">
        <f t="shared" si="317"/>
        <v>267189167.2309908</v>
      </c>
      <c r="DP113" s="114">
        <f t="shared" si="169"/>
        <v>267189167.2309908</v>
      </c>
      <c r="DQ113" s="116">
        <f t="shared" si="170"/>
        <v>0.98299999999999998</v>
      </c>
      <c r="DR113" s="126">
        <f t="shared" ca="1" si="338"/>
        <v>0</v>
      </c>
      <c r="DS113" s="115">
        <f t="shared" ca="1" si="339"/>
        <v>0</v>
      </c>
      <c r="DT113" s="118">
        <v>1</v>
      </c>
      <c r="DU113" s="115">
        <f t="shared" si="340"/>
        <v>2400</v>
      </c>
      <c r="DV113" s="113"/>
      <c r="DW113" s="119">
        <v>0</v>
      </c>
      <c r="DX113" s="113"/>
      <c r="DY113" s="113"/>
      <c r="DZ113" s="113">
        <v>0</v>
      </c>
      <c r="EA113" s="113">
        <v>0</v>
      </c>
      <c r="EB113" s="113">
        <v>0</v>
      </c>
      <c r="EC113" s="113">
        <v>0</v>
      </c>
      <c r="ED113" s="113">
        <v>0</v>
      </c>
      <c r="EE113" s="113">
        <v>0</v>
      </c>
      <c r="EF113" s="113"/>
      <c r="EG113" s="113"/>
      <c r="EH113" s="113"/>
      <c r="EI113" s="113"/>
      <c r="EJ113" s="113"/>
      <c r="EK113" s="113"/>
      <c r="EL113" s="114">
        <f t="shared" si="171"/>
        <v>0</v>
      </c>
      <c r="EM113" s="114">
        <f t="shared" si="172"/>
        <v>0</v>
      </c>
      <c r="EN113" s="114">
        <f t="shared" si="173"/>
        <v>0</v>
      </c>
      <c r="EO113" s="114">
        <f t="shared" si="174"/>
        <v>0</v>
      </c>
      <c r="EP113" s="114">
        <f t="shared" si="331"/>
        <v>0</v>
      </c>
      <c r="EQ113" s="114">
        <f t="shared" si="318"/>
        <v>0</v>
      </c>
      <c r="ER113" s="114">
        <f t="shared" si="175"/>
        <v>0</v>
      </c>
      <c r="ES113" s="116">
        <f t="shared" si="176"/>
        <v>0</v>
      </c>
      <c r="ET113" s="126">
        <f t="shared" ca="1" si="177"/>
        <v>0</v>
      </c>
      <c r="EU113" s="115">
        <f t="shared" ca="1" si="341"/>
        <v>0</v>
      </c>
      <c r="EV113" s="118" t="str">
        <f t="shared" si="332"/>
        <v>Uncapped</v>
      </c>
      <c r="EW113" s="115">
        <f t="shared" ca="1" si="342"/>
        <v>0</v>
      </c>
      <c r="EX113" s="112">
        <f t="shared" ca="1" si="343"/>
        <v>0</v>
      </c>
      <c r="EY113" s="114">
        <f t="shared" ca="1" si="178"/>
        <v>3000</v>
      </c>
      <c r="EZ113" s="115">
        <v>0</v>
      </c>
      <c r="FA113" s="115"/>
      <c r="FB113" s="115"/>
      <c r="FC113" s="115">
        <v>0</v>
      </c>
      <c r="FD113" s="115">
        <f t="shared" si="319"/>
        <v>0</v>
      </c>
      <c r="FE113" s="114">
        <f t="shared" si="312"/>
        <v>0</v>
      </c>
      <c r="FF113" s="115">
        <v>0</v>
      </c>
      <c r="FG113" s="115">
        <v>0</v>
      </c>
      <c r="FH113" s="115">
        <v>0</v>
      </c>
      <c r="FI113" s="115">
        <v>0</v>
      </c>
      <c r="FJ113" s="115">
        <f t="shared" si="320"/>
        <v>0</v>
      </c>
      <c r="FK113" s="114">
        <f t="shared" si="313"/>
        <v>0</v>
      </c>
      <c r="FL113" s="113"/>
      <c r="FM113" s="111"/>
      <c r="FN113" s="111"/>
      <c r="FO113" s="111"/>
      <c r="FP113" s="115">
        <f t="shared" si="216"/>
        <v>0</v>
      </c>
      <c r="FQ113" s="488"/>
      <c r="FR113" s="115"/>
      <c r="FS113" s="115"/>
      <c r="FT113" s="114">
        <f t="shared" si="209"/>
        <v>0</v>
      </c>
      <c r="FU113" s="366">
        <f t="shared" ca="1" si="210"/>
        <v>3000</v>
      </c>
      <c r="FV113" s="121">
        <f t="shared" ca="1" si="211"/>
        <v>3000</v>
      </c>
      <c r="FW113" s="114">
        <f t="shared" si="218"/>
        <v>0</v>
      </c>
      <c r="FX113" s="114">
        <f t="shared" si="218"/>
        <v>0</v>
      </c>
      <c r="FY113" s="114">
        <f t="shared" si="218"/>
        <v>0</v>
      </c>
      <c r="FZ113" s="114">
        <f t="shared" si="218"/>
        <v>0</v>
      </c>
      <c r="GA113" s="114">
        <f t="shared" si="221"/>
        <v>0</v>
      </c>
      <c r="GB113" s="114">
        <f t="shared" si="219"/>
        <v>0</v>
      </c>
      <c r="GC113" s="114">
        <f t="shared" si="219"/>
        <v>0</v>
      </c>
      <c r="GD113" s="114">
        <f t="shared" si="219"/>
        <v>0</v>
      </c>
      <c r="GE113" s="114">
        <f t="shared" si="219"/>
        <v>0</v>
      </c>
      <c r="GF113" s="114">
        <f t="shared" si="220"/>
        <v>0</v>
      </c>
      <c r="GG113" s="114">
        <f t="shared" si="220"/>
        <v>0</v>
      </c>
      <c r="GH113" s="114">
        <f t="shared" si="220"/>
        <v>0</v>
      </c>
      <c r="GI113" s="114">
        <f t="shared" si="220"/>
        <v>0</v>
      </c>
      <c r="GJ113" s="115">
        <f t="shared" si="321"/>
        <v>0</v>
      </c>
      <c r="GK113" s="114">
        <f t="shared" si="222"/>
        <v>0</v>
      </c>
      <c r="GL113" s="114">
        <f t="shared" si="344"/>
        <v>2000</v>
      </c>
      <c r="GM113" s="114">
        <f t="shared" si="345"/>
        <v>1000</v>
      </c>
      <c r="GN113" s="114">
        <f t="shared" si="346"/>
        <v>0</v>
      </c>
      <c r="GO113" s="114">
        <f t="shared" si="347"/>
        <v>0</v>
      </c>
      <c r="GP113" s="114">
        <f t="shared" si="322"/>
        <v>3000</v>
      </c>
      <c r="GQ113" s="114">
        <f t="shared" si="223"/>
        <v>3000</v>
      </c>
      <c r="GR113" s="193"/>
      <c r="GS113" s="122">
        <f t="shared" si="348"/>
        <v>315900872.73678362</v>
      </c>
      <c r="GT113" s="122">
        <f t="shared" si="349"/>
        <v>320110285.49464202</v>
      </c>
      <c r="GU113" s="123">
        <f t="shared" si="224"/>
        <v>0.98685011713586801</v>
      </c>
      <c r="GV113" s="124">
        <f t="shared" ca="1" si="350"/>
        <v>0</v>
      </c>
      <c r="GW113" s="124">
        <v>0</v>
      </c>
      <c r="GX113" s="32">
        <f t="shared" ca="1" si="351"/>
        <v>0</v>
      </c>
      <c r="GY113" s="100"/>
    </row>
    <row r="114" spans="1:207" s="408" customFormat="1" hidden="1">
      <c r="C114" s="402"/>
      <c r="D114" s="402"/>
      <c r="E114" s="403"/>
      <c r="F114" s="403" t="s">
        <v>493</v>
      </c>
      <c r="G114" s="403" t="s">
        <v>226</v>
      </c>
      <c r="H114" s="105" t="s">
        <v>494</v>
      </c>
      <c r="I114" s="403" t="s">
        <v>495</v>
      </c>
      <c r="J114" s="403" t="s">
        <v>212</v>
      </c>
      <c r="K114" s="403" t="s">
        <v>221</v>
      </c>
      <c r="L114" s="403" t="s">
        <v>496</v>
      </c>
      <c r="M114" s="403" t="s">
        <v>496</v>
      </c>
      <c r="N114" s="404"/>
      <c r="O114" s="108">
        <v>41785</v>
      </c>
      <c r="P114" s="108">
        <v>41785</v>
      </c>
      <c r="Q114" s="323">
        <f t="shared" si="323"/>
        <v>0</v>
      </c>
      <c r="R114" s="109">
        <f>IF((P114-VLOOKUP(Q114,month!$A$1:$C$13,3,0))&lt;0,Q114,Q114+1)</f>
        <v>0</v>
      </c>
      <c r="S114" s="108"/>
      <c r="T114" s="110" t="str">
        <f t="shared" si="215"/>
        <v/>
      </c>
      <c r="U114" s="404"/>
      <c r="V114" s="404"/>
      <c r="W114" s="405"/>
      <c r="X114" s="405"/>
      <c r="Y114" s="492"/>
      <c r="Z114" s="406" t="s">
        <v>545</v>
      </c>
      <c r="AA114" s="394">
        <v>1000</v>
      </c>
      <c r="AB114" s="394">
        <v>1000</v>
      </c>
      <c r="AC114" s="394">
        <v>1000</v>
      </c>
      <c r="AD114" s="394">
        <v>1000</v>
      </c>
      <c r="AE114" s="394">
        <v>1000</v>
      </c>
      <c r="AF114" s="394">
        <v>1000</v>
      </c>
      <c r="AG114" s="394">
        <v>1000</v>
      </c>
      <c r="AH114" s="394">
        <v>1000</v>
      </c>
      <c r="AI114" s="394">
        <v>1000</v>
      </c>
      <c r="AJ114" s="394">
        <v>1000</v>
      </c>
      <c r="AK114" s="394">
        <v>1000</v>
      </c>
      <c r="AL114" s="394">
        <v>1000</v>
      </c>
      <c r="AM114" s="388">
        <f t="shared" si="314"/>
        <v>12000</v>
      </c>
      <c r="AN114" s="388">
        <f t="shared" si="324"/>
        <v>12000</v>
      </c>
      <c r="AO114" s="389">
        <f t="shared" ref="AO114:AO130" si="364">AI114</f>
        <v>1000</v>
      </c>
      <c r="AP114" s="502" t="s">
        <v>673</v>
      </c>
      <c r="AQ114" s="159">
        <v>0.4</v>
      </c>
      <c r="AR114" s="103" t="s">
        <v>211</v>
      </c>
      <c r="AS114" s="119" t="s">
        <v>210</v>
      </c>
      <c r="AT114" s="111">
        <v>381881.55</v>
      </c>
      <c r="AU114" s="111">
        <v>489207.0968</v>
      </c>
      <c r="AV114" s="111">
        <v>440812.3971</v>
      </c>
      <c r="AW114" s="111">
        <v>435729.94400000002</v>
      </c>
      <c r="AX114" s="113">
        <v>373104.19280000002</v>
      </c>
      <c r="AY114" s="113">
        <v>191794.62700000001</v>
      </c>
      <c r="AZ114" s="113">
        <v>282107.86470000003</v>
      </c>
      <c r="BA114" s="113"/>
      <c r="BB114" s="113"/>
      <c r="BC114" s="113"/>
      <c r="BD114" s="113"/>
      <c r="BE114" s="113"/>
      <c r="BF114" s="114">
        <f t="shared" si="152"/>
        <v>373104.19280000002</v>
      </c>
      <c r="BG114" s="114">
        <f t="shared" si="153"/>
        <v>191794.62700000001</v>
      </c>
      <c r="BH114" s="114">
        <f t="shared" si="154"/>
        <v>282107.86470000003</v>
      </c>
      <c r="BI114" s="114">
        <f t="shared" si="155"/>
        <v>0</v>
      </c>
      <c r="BJ114" s="114">
        <f t="shared" si="325"/>
        <v>847006.68450000009</v>
      </c>
      <c r="BK114" s="115">
        <f t="shared" si="358"/>
        <v>1747630.9879000001</v>
      </c>
      <c r="BL114" s="115">
        <f t="shared" si="156"/>
        <v>1747630.9879000001</v>
      </c>
      <c r="BM114" s="116">
        <f t="shared" si="157"/>
        <v>0.48470000000000002</v>
      </c>
      <c r="BN114" s="126">
        <f t="shared" ca="1" si="359"/>
        <v>0</v>
      </c>
      <c r="BO114" s="117">
        <f t="shared" ca="1" si="360"/>
        <v>0</v>
      </c>
      <c r="BP114" s="118" t="str">
        <f t="shared" si="361"/>
        <v>Uncapped</v>
      </c>
      <c r="BQ114" s="115">
        <f t="shared" ca="1" si="362"/>
        <v>0</v>
      </c>
      <c r="BR114" s="174" t="s">
        <v>693</v>
      </c>
      <c r="BS114" s="175">
        <v>0.4</v>
      </c>
      <c r="BT114" s="174" t="s">
        <v>211</v>
      </c>
      <c r="BU114" s="174" t="s">
        <v>210</v>
      </c>
      <c r="BV114" s="113">
        <v>50243.854099999997</v>
      </c>
      <c r="BW114" s="113">
        <v>52428.369500000001</v>
      </c>
      <c r="BX114" s="113">
        <v>54612.884899999997</v>
      </c>
      <c r="BY114" s="113">
        <v>61166.431100000002</v>
      </c>
      <c r="BZ114" s="113">
        <v>79476.48000000001</v>
      </c>
      <c r="CA114" s="113">
        <v>114432.3</v>
      </c>
      <c r="CB114" s="113">
        <v>287206.74</v>
      </c>
      <c r="CC114" s="113">
        <f t="shared" si="352"/>
        <v>61166.431100000002</v>
      </c>
      <c r="CD114" s="113"/>
      <c r="CE114" s="113"/>
      <c r="CF114" s="113"/>
      <c r="CG114" s="113"/>
      <c r="CH114" s="114">
        <f t="shared" si="158"/>
        <v>79476.48000000001</v>
      </c>
      <c r="CI114" s="114">
        <f t="shared" si="159"/>
        <v>114432.3</v>
      </c>
      <c r="CJ114" s="120">
        <f t="shared" si="160"/>
        <v>287206.74</v>
      </c>
      <c r="CK114" s="114">
        <f t="shared" si="161"/>
        <v>61166.431100000002</v>
      </c>
      <c r="CL114" s="114">
        <f t="shared" si="327"/>
        <v>542281.95110000006</v>
      </c>
      <c r="CM114" s="114">
        <f t="shared" si="316"/>
        <v>218451.53960000002</v>
      </c>
      <c r="CN114" s="114">
        <f t="shared" si="162"/>
        <v>218451.53960000002</v>
      </c>
      <c r="CO114" s="116">
        <f t="shared" si="163"/>
        <v>2.4824000000000002</v>
      </c>
      <c r="CP114" s="126">
        <f t="shared" ca="1" si="164"/>
        <v>0</v>
      </c>
      <c r="CQ114" s="115">
        <f t="shared" ca="1" si="336"/>
        <v>0</v>
      </c>
      <c r="CR114" s="118" t="str">
        <f t="shared" si="328"/>
        <v>Uncapped</v>
      </c>
      <c r="CS114" s="115">
        <f t="shared" ca="1" si="337"/>
        <v>0</v>
      </c>
      <c r="CT114" s="113" t="s">
        <v>696</v>
      </c>
      <c r="CU114" s="119">
        <v>0.2</v>
      </c>
      <c r="CV114" s="113" t="s">
        <v>217</v>
      </c>
      <c r="CW114" s="113" t="s">
        <v>210</v>
      </c>
      <c r="CX114" s="113">
        <v>61881722.047854595</v>
      </c>
      <c r="CY114" s="113">
        <v>72180793.063260496</v>
      </c>
      <c r="CZ114" s="113">
        <v>69179032.514420599</v>
      </c>
      <c r="DA114" s="113">
        <v>76323964.015026003</v>
      </c>
      <c r="DB114" s="113">
        <v>63657388.730680585</v>
      </c>
      <c r="DC114" s="113">
        <v>65995192.891159989</v>
      </c>
      <c r="DD114" s="113">
        <v>66410604.684560001</v>
      </c>
      <c r="DE114" s="113"/>
      <c r="DF114" s="113"/>
      <c r="DG114" s="113"/>
      <c r="DH114" s="113"/>
      <c r="DI114" s="113"/>
      <c r="DJ114" s="114">
        <f t="shared" si="165"/>
        <v>63657388.730680585</v>
      </c>
      <c r="DK114" s="114">
        <f t="shared" si="166"/>
        <v>65995192.891159989</v>
      </c>
      <c r="DL114" s="114">
        <f t="shared" si="167"/>
        <v>66410604.684560001</v>
      </c>
      <c r="DM114" s="114">
        <f t="shared" si="168"/>
        <v>0</v>
      </c>
      <c r="DN114" s="114">
        <f t="shared" si="329"/>
        <v>196063186.30640057</v>
      </c>
      <c r="DO114" s="114">
        <f t="shared" si="317"/>
        <v>279565511.6405617</v>
      </c>
      <c r="DP114" s="114">
        <f t="shared" si="169"/>
        <v>279565511.6405617</v>
      </c>
      <c r="DQ114" s="116">
        <f t="shared" si="170"/>
        <v>0.70130000000000003</v>
      </c>
      <c r="DR114" s="126">
        <f t="shared" ca="1" si="338"/>
        <v>0</v>
      </c>
      <c r="DS114" s="115">
        <f t="shared" ca="1" si="339"/>
        <v>0</v>
      </c>
      <c r="DT114" s="118" t="str">
        <f t="shared" si="330"/>
        <v>Uncapped</v>
      </c>
      <c r="DU114" s="115">
        <f t="shared" ca="1" si="340"/>
        <v>0</v>
      </c>
      <c r="DV114" s="113"/>
      <c r="DW114" s="119">
        <v>0</v>
      </c>
      <c r="DX114" s="113"/>
      <c r="DY114" s="113"/>
      <c r="DZ114" s="113">
        <v>0</v>
      </c>
      <c r="EA114" s="113">
        <v>0</v>
      </c>
      <c r="EB114" s="113">
        <v>0</v>
      </c>
      <c r="EC114" s="113">
        <v>0</v>
      </c>
      <c r="ED114" s="113">
        <v>0</v>
      </c>
      <c r="EE114" s="113">
        <v>0</v>
      </c>
      <c r="EF114" s="113"/>
      <c r="EG114" s="113"/>
      <c r="EH114" s="113"/>
      <c r="EI114" s="113"/>
      <c r="EJ114" s="113"/>
      <c r="EK114" s="113"/>
      <c r="EL114" s="114">
        <f t="shared" si="171"/>
        <v>0</v>
      </c>
      <c r="EM114" s="114">
        <f t="shared" si="172"/>
        <v>0</v>
      </c>
      <c r="EN114" s="114">
        <f t="shared" si="173"/>
        <v>0</v>
      </c>
      <c r="EO114" s="114">
        <f t="shared" si="174"/>
        <v>0</v>
      </c>
      <c r="EP114" s="114">
        <f t="shared" si="331"/>
        <v>0</v>
      </c>
      <c r="EQ114" s="114">
        <f t="shared" si="318"/>
        <v>0</v>
      </c>
      <c r="ER114" s="114">
        <f t="shared" si="175"/>
        <v>0</v>
      </c>
      <c r="ES114" s="116">
        <f t="shared" si="176"/>
        <v>0</v>
      </c>
      <c r="ET114" s="126">
        <f t="shared" ca="1" si="177"/>
        <v>0</v>
      </c>
      <c r="EU114" s="115">
        <f t="shared" ca="1" si="341"/>
        <v>0</v>
      </c>
      <c r="EV114" s="118" t="str">
        <f t="shared" si="332"/>
        <v>Uncapped</v>
      </c>
      <c r="EW114" s="115">
        <f t="shared" ca="1" si="342"/>
        <v>0</v>
      </c>
      <c r="EX114" s="112">
        <f t="shared" ca="1" si="343"/>
        <v>0</v>
      </c>
      <c r="EY114" s="114">
        <f t="shared" ca="1" si="178"/>
        <v>0</v>
      </c>
      <c r="EZ114" s="115">
        <v>0</v>
      </c>
      <c r="FA114" s="115"/>
      <c r="FB114" s="115">
        <v>2354236</v>
      </c>
      <c r="FC114" s="115">
        <v>0</v>
      </c>
      <c r="FD114" s="115">
        <f t="shared" si="319"/>
        <v>2354236</v>
      </c>
      <c r="FE114" s="114">
        <f t="shared" si="312"/>
        <v>0</v>
      </c>
      <c r="FF114" s="115">
        <v>0</v>
      </c>
      <c r="FG114" s="115">
        <v>0</v>
      </c>
      <c r="FH114" s="115">
        <v>0</v>
      </c>
      <c r="FI114" s="115">
        <v>0</v>
      </c>
      <c r="FJ114" s="115">
        <f t="shared" si="320"/>
        <v>0</v>
      </c>
      <c r="FK114" s="114">
        <f t="shared" si="313"/>
        <v>0</v>
      </c>
      <c r="FL114" s="113"/>
      <c r="FM114" s="111"/>
      <c r="FN114" s="111"/>
      <c r="FO114" s="111"/>
      <c r="FP114" s="115">
        <f t="shared" ref="FP114:FP131" si="365">SUM(FL114:FO114)</f>
        <v>0</v>
      </c>
      <c r="FQ114" s="115"/>
      <c r="FR114" s="115"/>
      <c r="FS114" s="115"/>
      <c r="FT114" s="114">
        <f t="shared" si="209"/>
        <v>0</v>
      </c>
      <c r="FU114" s="366">
        <f t="shared" ca="1" si="210"/>
        <v>2354236</v>
      </c>
      <c r="FV114" s="121">
        <f t="shared" ca="1" si="211"/>
        <v>2354236</v>
      </c>
      <c r="FW114" s="114">
        <f t="shared" ref="FW114:FZ131" si="366">FF114</f>
        <v>0</v>
      </c>
      <c r="FX114" s="114">
        <f t="shared" si="366"/>
        <v>0</v>
      </c>
      <c r="FY114" s="114">
        <f t="shared" si="366"/>
        <v>0</v>
      </c>
      <c r="FZ114" s="114">
        <f t="shared" si="366"/>
        <v>0</v>
      </c>
      <c r="GA114" s="114">
        <f>SUM(FW114:FZ114)</f>
        <v>0</v>
      </c>
      <c r="GB114" s="114">
        <f t="shared" ref="GB114:GE131" si="367">EZ114</f>
        <v>0</v>
      </c>
      <c r="GC114" s="114">
        <f t="shared" si="367"/>
        <v>0</v>
      </c>
      <c r="GD114" s="114">
        <f t="shared" si="367"/>
        <v>2354236</v>
      </c>
      <c r="GE114" s="114">
        <f t="shared" si="367"/>
        <v>0</v>
      </c>
      <c r="GF114" s="114">
        <f t="shared" ref="GF114:GI129" si="368">GB114+FW114</f>
        <v>0</v>
      </c>
      <c r="GG114" s="114">
        <f t="shared" si="368"/>
        <v>0</v>
      </c>
      <c r="GH114" s="114">
        <f t="shared" si="368"/>
        <v>2354236</v>
      </c>
      <c r="GI114" s="114">
        <f t="shared" si="368"/>
        <v>0</v>
      </c>
      <c r="GJ114" s="115">
        <f t="shared" si="321"/>
        <v>2354236</v>
      </c>
      <c r="GK114" s="114">
        <f t="shared" ref="GK114:GK127" si="369">SUM(GF114:GI114)</f>
        <v>2354236</v>
      </c>
      <c r="GL114" s="114">
        <f t="shared" si="344"/>
        <v>0</v>
      </c>
      <c r="GM114" s="114">
        <f t="shared" si="345"/>
        <v>0</v>
      </c>
      <c r="GN114" s="114">
        <f t="shared" si="346"/>
        <v>0</v>
      </c>
      <c r="GO114" s="114">
        <f t="shared" si="347"/>
        <v>0</v>
      </c>
      <c r="GP114" s="114">
        <f t="shared" si="322"/>
        <v>0</v>
      </c>
      <c r="GQ114" s="114">
        <f t="shared" ref="GQ114:GQ127" si="370">SUM(GL114:GO114)</f>
        <v>0</v>
      </c>
      <c r="GR114" s="193"/>
      <c r="GS114" s="122">
        <f t="shared" si="348"/>
        <v>197452474.94200057</v>
      </c>
      <c r="GT114" s="122">
        <f t="shared" si="349"/>
        <v>281531594.16806167</v>
      </c>
      <c r="GU114" s="123">
        <f t="shared" ref="GU114:GU127" si="371">IFERROR(GS114/GT114,"")</f>
        <v>0.70135103495393247</v>
      </c>
      <c r="GV114" s="124">
        <f t="shared" ca="1" si="350"/>
        <v>0</v>
      </c>
      <c r="GW114" s="124">
        <v>0</v>
      </c>
      <c r="GX114" s="32">
        <f t="shared" ca="1" si="351"/>
        <v>0</v>
      </c>
      <c r="GY114" s="100"/>
    </row>
    <row r="115" spans="1:207" s="408" customFormat="1" hidden="1">
      <c r="C115" s="402"/>
      <c r="D115" s="402"/>
      <c r="E115" s="403"/>
      <c r="F115" s="403" t="s">
        <v>720</v>
      </c>
      <c r="G115" s="403" t="s">
        <v>226</v>
      </c>
      <c r="H115" s="105" t="s">
        <v>548</v>
      </c>
      <c r="I115" s="403" t="s">
        <v>582</v>
      </c>
      <c r="J115" s="403" t="s">
        <v>207</v>
      </c>
      <c r="K115" s="403" t="s">
        <v>544</v>
      </c>
      <c r="L115" s="403"/>
      <c r="M115" s="403"/>
      <c r="N115" s="404"/>
      <c r="O115" s="108">
        <v>41750</v>
      </c>
      <c r="P115" s="108">
        <v>41750</v>
      </c>
      <c r="Q115" s="323">
        <f t="shared" si="323"/>
        <v>0</v>
      </c>
      <c r="R115" s="109">
        <f>IF((P115-VLOOKUP(Q115,month!$A$1:$C$13,3,0))&lt;0,Q115,Q115+1)</f>
        <v>0</v>
      </c>
      <c r="S115" s="108"/>
      <c r="T115" s="110" t="str">
        <f t="shared" si="215"/>
        <v/>
      </c>
      <c r="U115" s="404"/>
      <c r="V115" s="404"/>
      <c r="W115" s="405"/>
      <c r="X115" s="405"/>
      <c r="Y115" s="492"/>
      <c r="Z115" s="406" t="s">
        <v>545</v>
      </c>
      <c r="AA115" s="394">
        <v>1000</v>
      </c>
      <c r="AB115" s="394">
        <v>1000</v>
      </c>
      <c r="AC115" s="394">
        <v>1000</v>
      </c>
      <c r="AD115" s="394">
        <v>1000</v>
      </c>
      <c r="AE115" s="394">
        <v>1000</v>
      </c>
      <c r="AF115" s="394">
        <v>1000</v>
      </c>
      <c r="AG115" s="394">
        <v>1000</v>
      </c>
      <c r="AH115" s="394">
        <v>1000</v>
      </c>
      <c r="AI115" s="394">
        <v>1000</v>
      </c>
      <c r="AJ115" s="394">
        <v>1000</v>
      </c>
      <c r="AK115" s="394">
        <v>1000</v>
      </c>
      <c r="AL115" s="394">
        <v>1000</v>
      </c>
      <c r="AM115" s="388">
        <f t="shared" si="314"/>
        <v>12000</v>
      </c>
      <c r="AN115" s="388">
        <f t="shared" si="324"/>
        <v>12000</v>
      </c>
      <c r="AO115" s="389">
        <f t="shared" si="364"/>
        <v>1000</v>
      </c>
      <c r="AP115" s="502" t="s">
        <v>757</v>
      </c>
      <c r="AQ115" s="159">
        <v>0.6</v>
      </c>
      <c r="AR115" s="103" t="s">
        <v>211</v>
      </c>
      <c r="AS115" s="119" t="s">
        <v>210</v>
      </c>
      <c r="AT115" s="111">
        <v>13631298.3753272</v>
      </c>
      <c r="AU115" s="111">
        <v>15463517.626933601</v>
      </c>
      <c r="AV115" s="111">
        <v>15159650.061351301</v>
      </c>
      <c r="AW115" s="111">
        <v>16523055.704212198</v>
      </c>
      <c r="AX115" s="113">
        <v>13485327.436090879</v>
      </c>
      <c r="AY115" s="113">
        <v>13198691</v>
      </c>
      <c r="AZ115" s="113">
        <v>13923765.347779993</v>
      </c>
      <c r="BA115" s="113"/>
      <c r="BB115" s="113"/>
      <c r="BC115" s="113"/>
      <c r="BD115" s="113"/>
      <c r="BE115" s="113"/>
      <c r="BF115" s="114">
        <f t="shared" si="152"/>
        <v>13485327.436090879</v>
      </c>
      <c r="BG115" s="114">
        <f t="shared" si="153"/>
        <v>13198691</v>
      </c>
      <c r="BH115" s="114">
        <f t="shared" si="154"/>
        <v>13923765.347779993</v>
      </c>
      <c r="BI115" s="114">
        <f t="shared" si="155"/>
        <v>0</v>
      </c>
      <c r="BJ115" s="114">
        <f t="shared" si="325"/>
        <v>40607783.783870876</v>
      </c>
      <c r="BK115" s="115">
        <f t="shared" si="358"/>
        <v>60777521.7678243</v>
      </c>
      <c r="BL115" s="115">
        <f t="shared" si="156"/>
        <v>60777521.7678243</v>
      </c>
      <c r="BM115" s="116">
        <f t="shared" si="157"/>
        <v>0.66810000000000003</v>
      </c>
      <c r="BN115" s="126">
        <f t="shared" ca="1" si="359"/>
        <v>0</v>
      </c>
      <c r="BO115" s="117">
        <f t="shared" ca="1" si="360"/>
        <v>0</v>
      </c>
      <c r="BP115" s="118" t="str">
        <f t="shared" si="361"/>
        <v>Uncapped</v>
      </c>
      <c r="BQ115" s="115">
        <f t="shared" ca="1" si="362"/>
        <v>0</v>
      </c>
      <c r="BR115" s="174" t="s">
        <v>760</v>
      </c>
      <c r="BS115" s="175">
        <v>0.2</v>
      </c>
      <c r="BT115" s="174" t="s">
        <v>211</v>
      </c>
      <c r="BU115" s="174" t="s">
        <v>210</v>
      </c>
      <c r="BV115" s="113">
        <v>2774355.2509401301</v>
      </c>
      <c r="BW115" s="113">
        <v>2611157.8832377698</v>
      </c>
      <c r="BX115" s="113">
        <v>2719956.1283726799</v>
      </c>
      <c r="BY115" s="113">
        <v>3161996.0656922301</v>
      </c>
      <c r="BZ115" s="113">
        <v>2474085.9915000061</v>
      </c>
      <c r="CA115" s="113">
        <v>2941333.0569000002</v>
      </c>
      <c r="CB115" s="113">
        <v>3128423</v>
      </c>
      <c r="CC115" s="113">
        <f t="shared" si="352"/>
        <v>3161996.0656922301</v>
      </c>
      <c r="CD115" s="113"/>
      <c r="CE115" s="113"/>
      <c r="CF115" s="113"/>
      <c r="CG115" s="113"/>
      <c r="CH115" s="114">
        <f t="shared" si="158"/>
        <v>2474085.9915000061</v>
      </c>
      <c r="CI115" s="114">
        <f t="shared" si="159"/>
        <v>2941333.0569000002</v>
      </c>
      <c r="CJ115" s="120">
        <f t="shared" si="160"/>
        <v>3128423</v>
      </c>
      <c r="CK115" s="114">
        <f t="shared" si="161"/>
        <v>3161996.0656922301</v>
      </c>
      <c r="CL115" s="114">
        <f t="shared" si="327"/>
        <v>11705838.114092238</v>
      </c>
      <c r="CM115" s="114">
        <f t="shared" si="316"/>
        <v>11267465.328242809</v>
      </c>
      <c r="CN115" s="114">
        <f t="shared" si="162"/>
        <v>11267465.328242809</v>
      </c>
      <c r="CO115" s="116">
        <f t="shared" si="163"/>
        <v>1.0388999999999999</v>
      </c>
      <c r="CP115" s="126">
        <f t="shared" ca="1" si="164"/>
        <v>0</v>
      </c>
      <c r="CQ115" s="115">
        <f t="shared" ca="1" si="336"/>
        <v>0</v>
      </c>
      <c r="CR115" s="118" t="str">
        <f t="shared" si="328"/>
        <v>Uncapped</v>
      </c>
      <c r="CS115" s="115">
        <f t="shared" ca="1" si="337"/>
        <v>0</v>
      </c>
      <c r="CT115" s="113" t="s">
        <v>696</v>
      </c>
      <c r="CU115" s="119">
        <v>0.2</v>
      </c>
      <c r="CV115" s="113" t="s">
        <v>217</v>
      </c>
      <c r="CW115" s="113" t="s">
        <v>210</v>
      </c>
      <c r="CX115" s="113">
        <v>61881722.047854595</v>
      </c>
      <c r="CY115" s="113">
        <v>72180793.063260496</v>
      </c>
      <c r="CZ115" s="113">
        <v>69179032.514420599</v>
      </c>
      <c r="DA115" s="113">
        <v>76323964.015026003</v>
      </c>
      <c r="DB115" s="113">
        <v>63657388.730680585</v>
      </c>
      <c r="DC115" s="113">
        <v>65995192.891159974</v>
      </c>
      <c r="DD115" s="113">
        <v>66410604.684560001</v>
      </c>
      <c r="DE115" s="113"/>
      <c r="DF115" s="113"/>
      <c r="DG115" s="113"/>
      <c r="DH115" s="113"/>
      <c r="DI115" s="113"/>
      <c r="DJ115" s="114">
        <f t="shared" si="165"/>
        <v>63657388.730680585</v>
      </c>
      <c r="DK115" s="114">
        <f t="shared" si="166"/>
        <v>65995192.891159974</v>
      </c>
      <c r="DL115" s="114">
        <f t="shared" si="167"/>
        <v>66410604.684560001</v>
      </c>
      <c r="DM115" s="114">
        <f t="shared" si="168"/>
        <v>0</v>
      </c>
      <c r="DN115" s="114">
        <f t="shared" si="329"/>
        <v>196063186.30640057</v>
      </c>
      <c r="DO115" s="114">
        <f t="shared" si="317"/>
        <v>279565511.6405617</v>
      </c>
      <c r="DP115" s="114">
        <f t="shared" si="169"/>
        <v>279565511.6405617</v>
      </c>
      <c r="DQ115" s="116">
        <f t="shared" si="170"/>
        <v>0.70130000000000003</v>
      </c>
      <c r="DR115" s="126">
        <f t="shared" ca="1" si="338"/>
        <v>0</v>
      </c>
      <c r="DS115" s="115">
        <f t="shared" ca="1" si="339"/>
        <v>0</v>
      </c>
      <c r="DT115" s="118" t="str">
        <f t="shared" si="330"/>
        <v>Uncapped</v>
      </c>
      <c r="DU115" s="115">
        <f t="shared" ca="1" si="340"/>
        <v>0</v>
      </c>
      <c r="DV115" s="113"/>
      <c r="DW115" s="119">
        <v>0</v>
      </c>
      <c r="DX115" s="113"/>
      <c r="DY115" s="113"/>
      <c r="DZ115" s="113">
        <v>0</v>
      </c>
      <c r="EA115" s="113">
        <v>0</v>
      </c>
      <c r="EB115" s="113">
        <v>0</v>
      </c>
      <c r="EC115" s="113">
        <v>0</v>
      </c>
      <c r="ED115" s="113">
        <v>0</v>
      </c>
      <c r="EE115" s="113">
        <v>0</v>
      </c>
      <c r="EF115" s="113"/>
      <c r="EG115" s="113"/>
      <c r="EH115" s="113"/>
      <c r="EI115" s="113"/>
      <c r="EJ115" s="113"/>
      <c r="EK115" s="113"/>
      <c r="EL115" s="114">
        <f t="shared" si="171"/>
        <v>0</v>
      </c>
      <c r="EM115" s="114">
        <f t="shared" si="172"/>
        <v>0</v>
      </c>
      <c r="EN115" s="114">
        <f t="shared" si="173"/>
        <v>0</v>
      </c>
      <c r="EO115" s="114">
        <f t="shared" si="174"/>
        <v>0</v>
      </c>
      <c r="EP115" s="114">
        <f t="shared" si="331"/>
        <v>0</v>
      </c>
      <c r="EQ115" s="114">
        <f t="shared" si="318"/>
        <v>0</v>
      </c>
      <c r="ER115" s="114">
        <f t="shared" si="175"/>
        <v>0</v>
      </c>
      <c r="ES115" s="116">
        <f t="shared" si="176"/>
        <v>0</v>
      </c>
      <c r="ET115" s="126">
        <f t="shared" ca="1" si="177"/>
        <v>0</v>
      </c>
      <c r="EU115" s="115">
        <f t="shared" ca="1" si="341"/>
        <v>0</v>
      </c>
      <c r="EV115" s="118" t="str">
        <f t="shared" si="332"/>
        <v>Uncapped</v>
      </c>
      <c r="EW115" s="115">
        <f t="shared" ca="1" si="342"/>
        <v>0</v>
      </c>
      <c r="EX115" s="112">
        <f t="shared" ca="1" si="343"/>
        <v>0</v>
      </c>
      <c r="EY115" s="114">
        <f t="shared" ca="1" si="178"/>
        <v>0</v>
      </c>
      <c r="EZ115" s="115">
        <v>0</v>
      </c>
      <c r="FA115" s="115"/>
      <c r="FB115" s="115"/>
      <c r="FC115" s="115">
        <v>0</v>
      </c>
      <c r="FD115" s="115">
        <f t="shared" si="319"/>
        <v>0</v>
      </c>
      <c r="FE115" s="114">
        <f t="shared" si="312"/>
        <v>0</v>
      </c>
      <c r="FF115" s="115">
        <v>0</v>
      </c>
      <c r="FG115" s="115">
        <v>0</v>
      </c>
      <c r="FH115" s="115">
        <v>0</v>
      </c>
      <c r="FI115" s="115">
        <v>0</v>
      </c>
      <c r="FJ115" s="115">
        <f t="shared" si="320"/>
        <v>0</v>
      </c>
      <c r="FK115" s="114">
        <f t="shared" si="313"/>
        <v>0</v>
      </c>
      <c r="FL115" s="113"/>
      <c r="FM115" s="111"/>
      <c r="FN115" s="111"/>
      <c r="FO115" s="111"/>
      <c r="FP115" s="115">
        <f t="shared" si="365"/>
        <v>0</v>
      </c>
      <c r="FQ115" s="115"/>
      <c r="FR115" s="115"/>
      <c r="FS115" s="115"/>
      <c r="FT115" s="114">
        <f t="shared" si="209"/>
        <v>0</v>
      </c>
      <c r="FU115" s="366">
        <f t="shared" ca="1" si="210"/>
        <v>0</v>
      </c>
      <c r="FV115" s="121">
        <f t="shared" ca="1" si="211"/>
        <v>0</v>
      </c>
      <c r="FW115" s="114">
        <f t="shared" si="366"/>
        <v>0</v>
      </c>
      <c r="FX115" s="114">
        <f t="shared" si="366"/>
        <v>0</v>
      </c>
      <c r="FY115" s="114">
        <f t="shared" si="366"/>
        <v>0</v>
      </c>
      <c r="FZ115" s="114">
        <f t="shared" si="366"/>
        <v>0</v>
      </c>
      <c r="GA115" s="114">
        <f>SUM(FW115:FZ115)</f>
        <v>0</v>
      </c>
      <c r="GB115" s="114">
        <f t="shared" si="367"/>
        <v>0</v>
      </c>
      <c r="GC115" s="114">
        <f t="shared" si="367"/>
        <v>0</v>
      </c>
      <c r="GD115" s="114">
        <f t="shared" si="367"/>
        <v>0</v>
      </c>
      <c r="GE115" s="114">
        <f t="shared" si="367"/>
        <v>0</v>
      </c>
      <c r="GF115" s="114">
        <f t="shared" si="368"/>
        <v>0</v>
      </c>
      <c r="GG115" s="114">
        <f t="shared" si="368"/>
        <v>0</v>
      </c>
      <c r="GH115" s="114">
        <f t="shared" si="368"/>
        <v>0</v>
      </c>
      <c r="GI115" s="114">
        <f t="shared" si="368"/>
        <v>0</v>
      </c>
      <c r="GJ115" s="115">
        <f t="shared" si="321"/>
        <v>0</v>
      </c>
      <c r="GK115" s="114">
        <f t="shared" si="369"/>
        <v>0</v>
      </c>
      <c r="GL115" s="114">
        <f t="shared" si="344"/>
        <v>0</v>
      </c>
      <c r="GM115" s="114">
        <f t="shared" si="345"/>
        <v>0</v>
      </c>
      <c r="GN115" s="114">
        <f t="shared" si="346"/>
        <v>0</v>
      </c>
      <c r="GO115" s="114">
        <f t="shared" si="347"/>
        <v>0</v>
      </c>
      <c r="GP115" s="114">
        <f t="shared" si="322"/>
        <v>0</v>
      </c>
      <c r="GQ115" s="114">
        <f t="shared" si="370"/>
        <v>0</v>
      </c>
      <c r="GR115" s="193"/>
      <c r="GS115" s="122">
        <f t="shared" si="348"/>
        <v>248376808.20436367</v>
      </c>
      <c r="GT115" s="122">
        <f t="shared" si="349"/>
        <v>351610498.73662877</v>
      </c>
      <c r="GU115" s="123">
        <f t="shared" si="371"/>
        <v>0.70639758794690732</v>
      </c>
      <c r="GV115" s="124">
        <f t="shared" ca="1" si="350"/>
        <v>0</v>
      </c>
      <c r="GW115" s="124">
        <v>0</v>
      </c>
      <c r="GX115" s="32">
        <f t="shared" ca="1" si="351"/>
        <v>0</v>
      </c>
      <c r="GY115" s="100"/>
    </row>
    <row r="116" spans="1:207" s="408" customFormat="1" hidden="1">
      <c r="C116" s="402"/>
      <c r="D116" s="402"/>
      <c r="E116" s="403"/>
      <c r="F116" s="403" t="s">
        <v>720</v>
      </c>
      <c r="G116" s="403" t="s">
        <v>226</v>
      </c>
      <c r="H116" s="105" t="s">
        <v>549</v>
      </c>
      <c r="I116" s="403" t="s">
        <v>583</v>
      </c>
      <c r="J116" s="403" t="s">
        <v>212</v>
      </c>
      <c r="K116" s="403" t="s">
        <v>544</v>
      </c>
      <c r="L116" s="403"/>
      <c r="M116" s="403"/>
      <c r="N116" s="404"/>
      <c r="O116" s="108">
        <v>42373</v>
      </c>
      <c r="P116" s="108">
        <v>42373</v>
      </c>
      <c r="Q116" s="323">
        <f t="shared" si="323"/>
        <v>0</v>
      </c>
      <c r="R116" s="109">
        <f>IF((P116-VLOOKUP(Q116,month!$A$1:$C$13,3,0))&lt;0,Q116,Q116+1)</f>
        <v>0</v>
      </c>
      <c r="S116" s="108"/>
      <c r="T116" s="110" t="str">
        <f t="shared" si="215"/>
        <v/>
      </c>
      <c r="U116" s="404"/>
      <c r="V116" s="404"/>
      <c r="W116" s="405"/>
      <c r="X116" s="405"/>
      <c r="Y116" s="492"/>
      <c r="Z116" s="406" t="s">
        <v>545</v>
      </c>
      <c r="AA116" s="394">
        <v>1000</v>
      </c>
      <c r="AB116" s="394">
        <v>1000</v>
      </c>
      <c r="AC116" s="394">
        <v>1000</v>
      </c>
      <c r="AD116" s="394">
        <v>1000</v>
      </c>
      <c r="AE116" s="394">
        <v>1000</v>
      </c>
      <c r="AF116" s="394">
        <v>1000</v>
      </c>
      <c r="AG116" s="394">
        <v>1000</v>
      </c>
      <c r="AH116" s="394">
        <v>1000</v>
      </c>
      <c r="AI116" s="394">
        <v>1000</v>
      </c>
      <c r="AJ116" s="394">
        <v>1000</v>
      </c>
      <c r="AK116" s="394">
        <v>1000</v>
      </c>
      <c r="AL116" s="394">
        <v>1000</v>
      </c>
      <c r="AM116" s="388">
        <f t="shared" si="314"/>
        <v>12000</v>
      </c>
      <c r="AN116" s="388">
        <f t="shared" si="324"/>
        <v>12000</v>
      </c>
      <c r="AO116" s="389">
        <f t="shared" si="364"/>
        <v>1000</v>
      </c>
      <c r="AP116" s="502" t="s">
        <v>739</v>
      </c>
      <c r="AQ116" s="159">
        <v>0.5</v>
      </c>
      <c r="AR116" s="103" t="s">
        <v>211</v>
      </c>
      <c r="AS116" s="119" t="s">
        <v>210</v>
      </c>
      <c r="AT116" s="111">
        <v>1817911.2699174744</v>
      </c>
      <c r="AU116" s="111">
        <v>1963207.6517371542</v>
      </c>
      <c r="AV116" s="111">
        <v>1938737.6633645268</v>
      </c>
      <c r="AW116" s="111">
        <v>2382885.3654021272</v>
      </c>
      <c r="AX116" s="113">
        <v>583092.06000000006</v>
      </c>
      <c r="AY116" s="113">
        <v>530043.22000000009</v>
      </c>
      <c r="AZ116" s="113">
        <v>1308417.72</v>
      </c>
      <c r="BA116" s="113"/>
      <c r="BB116" s="113"/>
      <c r="BC116" s="113"/>
      <c r="BD116" s="113"/>
      <c r="BE116" s="113"/>
      <c r="BF116" s="114">
        <f t="shared" si="152"/>
        <v>583092.06000000006</v>
      </c>
      <c r="BG116" s="114">
        <f t="shared" si="153"/>
        <v>530043.22000000009</v>
      </c>
      <c r="BH116" s="114">
        <f t="shared" si="154"/>
        <v>1308417.72</v>
      </c>
      <c r="BI116" s="114">
        <f t="shared" si="155"/>
        <v>0</v>
      </c>
      <c r="BJ116" s="114">
        <f t="shared" si="325"/>
        <v>2421553</v>
      </c>
      <c r="BK116" s="115">
        <f t="shared" si="358"/>
        <v>8102741.950421283</v>
      </c>
      <c r="BL116" s="115">
        <f t="shared" si="156"/>
        <v>8102741.950421283</v>
      </c>
      <c r="BM116" s="116">
        <f t="shared" si="157"/>
        <v>0.2989</v>
      </c>
      <c r="BN116" s="126">
        <f t="shared" ca="1" si="359"/>
        <v>0</v>
      </c>
      <c r="BO116" s="117">
        <f t="shared" ca="1" si="360"/>
        <v>0</v>
      </c>
      <c r="BP116" s="118" t="str">
        <f t="shared" si="361"/>
        <v>Uncapped</v>
      </c>
      <c r="BQ116" s="115">
        <f t="shared" ca="1" si="362"/>
        <v>0</v>
      </c>
      <c r="BR116" s="174" t="s">
        <v>761</v>
      </c>
      <c r="BS116" s="175">
        <v>0.3</v>
      </c>
      <c r="BT116" s="174" t="s">
        <v>211</v>
      </c>
      <c r="BU116" s="174" t="s">
        <v>210</v>
      </c>
      <c r="BV116" s="113">
        <v>23000</v>
      </c>
      <c r="BW116" s="113">
        <v>144250</v>
      </c>
      <c r="BX116" s="113">
        <v>201949.99999999997</v>
      </c>
      <c r="BY116" s="113">
        <v>230800</v>
      </c>
      <c r="BZ116" s="113">
        <v>22269.17</v>
      </c>
      <c r="CA116" s="113">
        <v>154523.45499999996</v>
      </c>
      <c r="CB116" s="113">
        <v>158652.35999999999</v>
      </c>
      <c r="CC116" s="113">
        <f t="shared" si="352"/>
        <v>230800</v>
      </c>
      <c r="CD116" s="113"/>
      <c r="CE116" s="113"/>
      <c r="CF116" s="113"/>
      <c r="CG116" s="113"/>
      <c r="CH116" s="114">
        <f t="shared" si="158"/>
        <v>22269.17</v>
      </c>
      <c r="CI116" s="114">
        <f t="shared" si="159"/>
        <v>154523.45499999996</v>
      </c>
      <c r="CJ116" s="120">
        <f t="shared" si="160"/>
        <v>158652.35999999999</v>
      </c>
      <c r="CK116" s="114">
        <f t="shared" si="161"/>
        <v>230800</v>
      </c>
      <c r="CL116" s="114">
        <f t="shared" si="327"/>
        <v>566244.98499999987</v>
      </c>
      <c r="CM116" s="114">
        <f t="shared" si="316"/>
        <v>600000</v>
      </c>
      <c r="CN116" s="114">
        <f t="shared" si="162"/>
        <v>600000</v>
      </c>
      <c r="CO116" s="116">
        <f t="shared" si="163"/>
        <v>0.94369999999999998</v>
      </c>
      <c r="CP116" s="126">
        <f t="shared" ca="1" si="164"/>
        <v>0</v>
      </c>
      <c r="CQ116" s="115">
        <f t="shared" ca="1" si="336"/>
        <v>0</v>
      </c>
      <c r="CR116" s="118" t="str">
        <f t="shared" si="328"/>
        <v>Uncapped</v>
      </c>
      <c r="CS116" s="115">
        <f t="shared" ca="1" si="337"/>
        <v>0</v>
      </c>
      <c r="CT116" s="113" t="s">
        <v>730</v>
      </c>
      <c r="CU116" s="119">
        <v>0.2</v>
      </c>
      <c r="CV116" s="113" t="s">
        <v>217</v>
      </c>
      <c r="CW116" s="113" t="s">
        <v>726</v>
      </c>
      <c r="CX116" s="113">
        <v>13631298.3753272</v>
      </c>
      <c r="CY116" s="113">
        <v>15463517.626933601</v>
      </c>
      <c r="CZ116" s="113">
        <v>15159650.061351301</v>
      </c>
      <c r="DA116" s="113">
        <v>16523055.704212198</v>
      </c>
      <c r="DB116" s="113">
        <v>13485327.436090879</v>
      </c>
      <c r="DC116" s="113">
        <v>13198691</v>
      </c>
      <c r="DD116" s="113">
        <v>13923765.347779993</v>
      </c>
      <c r="DE116" s="113"/>
      <c r="DF116" s="113"/>
      <c r="DG116" s="113"/>
      <c r="DH116" s="113"/>
      <c r="DI116" s="113"/>
      <c r="DJ116" s="114">
        <f t="shared" si="165"/>
        <v>13485327.436090879</v>
      </c>
      <c r="DK116" s="114">
        <f t="shared" si="166"/>
        <v>13198691</v>
      </c>
      <c r="DL116" s="114">
        <f t="shared" si="167"/>
        <v>13923765.347779993</v>
      </c>
      <c r="DM116" s="114">
        <f t="shared" si="168"/>
        <v>0</v>
      </c>
      <c r="DN116" s="114">
        <f t="shared" si="329"/>
        <v>40607783.783870876</v>
      </c>
      <c r="DO116" s="114">
        <f t="shared" si="317"/>
        <v>60777521.7678243</v>
      </c>
      <c r="DP116" s="114">
        <f t="shared" si="169"/>
        <v>60777521.7678243</v>
      </c>
      <c r="DQ116" s="116">
        <f t="shared" si="170"/>
        <v>0.66810000000000003</v>
      </c>
      <c r="DR116" s="126">
        <f t="shared" ca="1" si="338"/>
        <v>0</v>
      </c>
      <c r="DS116" s="115">
        <f t="shared" ca="1" si="339"/>
        <v>0</v>
      </c>
      <c r="DT116" s="118" t="str">
        <f t="shared" si="330"/>
        <v>Uncapped</v>
      </c>
      <c r="DU116" s="115">
        <f t="shared" ca="1" si="340"/>
        <v>0</v>
      </c>
      <c r="DV116" s="113"/>
      <c r="DW116" s="119">
        <v>0</v>
      </c>
      <c r="DX116" s="113"/>
      <c r="DY116" s="113"/>
      <c r="DZ116" s="113">
        <v>0</v>
      </c>
      <c r="EA116" s="113">
        <v>0</v>
      </c>
      <c r="EB116" s="113">
        <v>0</v>
      </c>
      <c r="EC116" s="113">
        <v>0</v>
      </c>
      <c r="ED116" s="113">
        <v>0</v>
      </c>
      <c r="EE116" s="113">
        <v>0</v>
      </c>
      <c r="EF116" s="113"/>
      <c r="EG116" s="113"/>
      <c r="EH116" s="113"/>
      <c r="EI116" s="113"/>
      <c r="EJ116" s="113"/>
      <c r="EK116" s="113"/>
      <c r="EL116" s="114">
        <f t="shared" si="171"/>
        <v>0</v>
      </c>
      <c r="EM116" s="114">
        <f t="shared" si="172"/>
        <v>0</v>
      </c>
      <c r="EN116" s="114">
        <f t="shared" si="173"/>
        <v>0</v>
      </c>
      <c r="EO116" s="114">
        <f t="shared" si="174"/>
        <v>0</v>
      </c>
      <c r="EP116" s="114">
        <f t="shared" si="331"/>
        <v>0</v>
      </c>
      <c r="EQ116" s="114">
        <f t="shared" si="318"/>
        <v>0</v>
      </c>
      <c r="ER116" s="114">
        <f t="shared" si="175"/>
        <v>0</v>
      </c>
      <c r="ES116" s="116">
        <f t="shared" si="176"/>
        <v>0</v>
      </c>
      <c r="ET116" s="126">
        <f t="shared" ca="1" si="177"/>
        <v>0</v>
      </c>
      <c r="EU116" s="115">
        <f t="shared" ca="1" si="341"/>
        <v>0</v>
      </c>
      <c r="EV116" s="118" t="str">
        <f t="shared" si="332"/>
        <v>Uncapped</v>
      </c>
      <c r="EW116" s="115">
        <f t="shared" ca="1" si="342"/>
        <v>0</v>
      </c>
      <c r="EX116" s="112">
        <f t="shared" ca="1" si="343"/>
        <v>0</v>
      </c>
      <c r="EY116" s="114">
        <f t="shared" ca="1" si="178"/>
        <v>0</v>
      </c>
      <c r="EZ116" s="115">
        <v>0</v>
      </c>
      <c r="FA116" s="115"/>
      <c r="FB116" s="115"/>
      <c r="FC116" s="115">
        <v>0</v>
      </c>
      <c r="FD116" s="115">
        <f t="shared" si="319"/>
        <v>0</v>
      </c>
      <c r="FE116" s="114">
        <f t="shared" si="312"/>
        <v>0</v>
      </c>
      <c r="FF116" s="115">
        <v>0</v>
      </c>
      <c r="FG116" s="115">
        <v>0</v>
      </c>
      <c r="FH116" s="115">
        <v>0</v>
      </c>
      <c r="FI116" s="115">
        <v>0</v>
      </c>
      <c r="FJ116" s="115">
        <f t="shared" si="320"/>
        <v>0</v>
      </c>
      <c r="FK116" s="114">
        <f t="shared" si="313"/>
        <v>0</v>
      </c>
      <c r="FL116" s="113"/>
      <c r="FM116" s="111"/>
      <c r="FN116" s="111"/>
      <c r="FO116" s="111"/>
      <c r="FP116" s="115">
        <f t="shared" si="365"/>
        <v>0</v>
      </c>
      <c r="FQ116" s="115"/>
      <c r="FR116" s="115"/>
      <c r="FS116" s="115"/>
      <c r="FT116" s="114">
        <f t="shared" si="209"/>
        <v>0</v>
      </c>
      <c r="FU116" s="366">
        <f t="shared" ca="1" si="210"/>
        <v>0</v>
      </c>
      <c r="FV116" s="121">
        <f t="shared" ca="1" si="211"/>
        <v>0</v>
      </c>
      <c r="FW116" s="114">
        <f t="shared" si="366"/>
        <v>0</v>
      </c>
      <c r="FX116" s="114">
        <f t="shared" si="366"/>
        <v>0</v>
      </c>
      <c r="FY116" s="114">
        <f t="shared" si="366"/>
        <v>0</v>
      </c>
      <c r="FZ116" s="114">
        <f t="shared" si="366"/>
        <v>0</v>
      </c>
      <c r="GA116" s="114">
        <f>SUM(FW116:FZ116)</f>
        <v>0</v>
      </c>
      <c r="GB116" s="114">
        <f t="shared" si="367"/>
        <v>0</v>
      </c>
      <c r="GC116" s="114">
        <f t="shared" si="367"/>
        <v>0</v>
      </c>
      <c r="GD116" s="114">
        <f t="shared" si="367"/>
        <v>0</v>
      </c>
      <c r="GE116" s="114">
        <f t="shared" si="367"/>
        <v>0</v>
      </c>
      <c r="GF116" s="114">
        <f t="shared" si="368"/>
        <v>0</v>
      </c>
      <c r="GG116" s="114">
        <f t="shared" si="368"/>
        <v>0</v>
      </c>
      <c r="GH116" s="114">
        <f t="shared" si="368"/>
        <v>0</v>
      </c>
      <c r="GI116" s="114">
        <f t="shared" si="368"/>
        <v>0</v>
      </c>
      <c r="GJ116" s="115">
        <f t="shared" si="321"/>
        <v>0</v>
      </c>
      <c r="GK116" s="114">
        <f t="shared" si="369"/>
        <v>0</v>
      </c>
      <c r="GL116" s="114">
        <f t="shared" si="344"/>
        <v>0</v>
      </c>
      <c r="GM116" s="114">
        <f t="shared" si="345"/>
        <v>0</v>
      </c>
      <c r="GN116" s="114">
        <f t="shared" si="346"/>
        <v>0</v>
      </c>
      <c r="GO116" s="114">
        <f t="shared" si="347"/>
        <v>0</v>
      </c>
      <c r="GP116" s="114">
        <f t="shared" si="322"/>
        <v>0</v>
      </c>
      <c r="GQ116" s="114">
        <f t="shared" si="370"/>
        <v>0</v>
      </c>
      <c r="GR116" s="193"/>
      <c r="GS116" s="122">
        <f t="shared" si="348"/>
        <v>43595581.768870875</v>
      </c>
      <c r="GT116" s="122">
        <f t="shared" si="349"/>
        <v>69480263.718245581</v>
      </c>
      <c r="GU116" s="123">
        <f t="shared" si="371"/>
        <v>0.62745273889083752</v>
      </c>
      <c r="GV116" s="124">
        <f t="shared" ca="1" si="350"/>
        <v>0</v>
      </c>
      <c r="GW116" s="124">
        <v>0</v>
      </c>
      <c r="GX116" s="32">
        <f t="shared" ca="1" si="351"/>
        <v>0</v>
      </c>
      <c r="GY116" s="100"/>
    </row>
    <row r="117" spans="1:207" s="408" customFormat="1" hidden="1">
      <c r="C117" s="402"/>
      <c r="D117" s="402"/>
      <c r="E117" s="403"/>
      <c r="F117" s="403" t="s">
        <v>720</v>
      </c>
      <c r="G117" s="403" t="s">
        <v>226</v>
      </c>
      <c r="H117" s="105" t="s">
        <v>550</v>
      </c>
      <c r="I117" s="403" t="s">
        <v>584</v>
      </c>
      <c r="J117" s="403" t="s">
        <v>207</v>
      </c>
      <c r="K117" s="403" t="s">
        <v>544</v>
      </c>
      <c r="L117" s="403"/>
      <c r="M117" s="403"/>
      <c r="N117" s="404"/>
      <c r="O117" s="549">
        <v>43353</v>
      </c>
      <c r="P117" s="108">
        <v>43353</v>
      </c>
      <c r="Q117" s="323">
        <f t="shared" si="323"/>
        <v>0</v>
      </c>
      <c r="R117" s="109">
        <f>IF((P117-VLOOKUP(Q117,month!$A$1:$C$13,3,0))&lt;0,Q117,Q117+1)</f>
        <v>0</v>
      </c>
      <c r="S117" s="108"/>
      <c r="T117" s="110" t="str">
        <f t="shared" si="215"/>
        <v/>
      </c>
      <c r="U117" s="404"/>
      <c r="V117" s="404"/>
      <c r="W117" s="405"/>
      <c r="X117" s="405"/>
      <c r="Y117" s="492"/>
      <c r="Z117" s="406" t="s">
        <v>545</v>
      </c>
      <c r="AA117" s="394">
        <v>1000</v>
      </c>
      <c r="AB117" s="394">
        <v>1000</v>
      </c>
      <c r="AC117" s="394">
        <v>1000</v>
      </c>
      <c r="AD117" s="394">
        <v>1000</v>
      </c>
      <c r="AE117" s="394">
        <v>1000</v>
      </c>
      <c r="AF117" s="394">
        <v>1000</v>
      </c>
      <c r="AG117" s="394">
        <v>1000</v>
      </c>
      <c r="AH117" s="394">
        <v>1000</v>
      </c>
      <c r="AI117" s="394">
        <v>1000</v>
      </c>
      <c r="AJ117" s="394">
        <v>1000</v>
      </c>
      <c r="AK117" s="394">
        <v>1000</v>
      </c>
      <c r="AL117" s="394">
        <v>1000</v>
      </c>
      <c r="AM117" s="388">
        <f t="shared" si="314"/>
        <v>12000</v>
      </c>
      <c r="AN117" s="388">
        <f t="shared" si="324"/>
        <v>12000</v>
      </c>
      <c r="AO117" s="389">
        <f t="shared" si="364"/>
        <v>1000</v>
      </c>
      <c r="AP117" s="502" t="s">
        <v>749</v>
      </c>
      <c r="AQ117" s="159">
        <v>0.5</v>
      </c>
      <c r="AR117" s="103" t="s">
        <v>211</v>
      </c>
      <c r="AS117" s="119" t="s">
        <v>210</v>
      </c>
      <c r="AT117" s="111">
        <v>1719094.9160908877</v>
      </c>
      <c r="AU117" s="111">
        <v>1887850.3746259576</v>
      </c>
      <c r="AV117" s="111"/>
      <c r="AW117" s="111"/>
      <c r="AX117" s="113">
        <v>1945219.6296200005</v>
      </c>
      <c r="AY117" s="113">
        <v>2196656</v>
      </c>
      <c r="AZ117" s="113"/>
      <c r="BA117" s="113"/>
      <c r="BB117" s="113"/>
      <c r="BC117" s="113"/>
      <c r="BD117" s="113"/>
      <c r="BE117" s="113"/>
      <c r="BF117" s="114">
        <f t="shared" si="152"/>
        <v>1945219.6296200005</v>
      </c>
      <c r="BG117" s="114">
        <f t="shared" si="153"/>
        <v>2196656</v>
      </c>
      <c r="BH117" s="114">
        <f t="shared" si="154"/>
        <v>0</v>
      </c>
      <c r="BI117" s="114">
        <f t="shared" si="155"/>
        <v>0</v>
      </c>
      <c r="BJ117" s="114">
        <f t="shared" si="325"/>
        <v>4141875.6296200007</v>
      </c>
      <c r="BK117" s="115">
        <f t="shared" si="358"/>
        <v>3606945.2907168455</v>
      </c>
      <c r="BL117" s="115">
        <f t="shared" si="156"/>
        <v>3606945.2907168455</v>
      </c>
      <c r="BM117" s="116">
        <f t="shared" si="157"/>
        <v>1.1483000000000001</v>
      </c>
      <c r="BN117" s="126">
        <f t="shared" ca="1" si="359"/>
        <v>0</v>
      </c>
      <c r="BO117" s="117">
        <f t="shared" ca="1" si="360"/>
        <v>0</v>
      </c>
      <c r="BP117" s="118" t="str">
        <f t="shared" si="361"/>
        <v>Uncapped</v>
      </c>
      <c r="BQ117" s="115">
        <f t="shared" ca="1" si="362"/>
        <v>0</v>
      </c>
      <c r="BR117" s="174" t="s">
        <v>738</v>
      </c>
      <c r="BS117" s="175">
        <v>0.3</v>
      </c>
      <c r="BT117" s="174" t="s">
        <v>211</v>
      </c>
      <c r="BU117" s="174" t="s">
        <v>210</v>
      </c>
      <c r="BV117" s="113">
        <v>0</v>
      </c>
      <c r="BW117" s="113">
        <v>0</v>
      </c>
      <c r="BX117" s="113">
        <v>0</v>
      </c>
      <c r="BY117" s="113">
        <v>0</v>
      </c>
      <c r="BZ117" s="113">
        <v>0</v>
      </c>
      <c r="CA117" s="113">
        <v>0</v>
      </c>
      <c r="CB117" s="113">
        <v>0</v>
      </c>
      <c r="CC117" s="113">
        <f t="shared" si="352"/>
        <v>0</v>
      </c>
      <c r="CD117" s="113"/>
      <c r="CE117" s="113"/>
      <c r="CF117" s="113"/>
      <c r="CG117" s="113"/>
      <c r="CH117" s="114">
        <f t="shared" si="158"/>
        <v>0</v>
      </c>
      <c r="CI117" s="114">
        <f t="shared" si="159"/>
        <v>0</v>
      </c>
      <c r="CJ117" s="120">
        <f t="shared" si="160"/>
        <v>0</v>
      </c>
      <c r="CK117" s="114">
        <f t="shared" si="161"/>
        <v>0</v>
      </c>
      <c r="CL117" s="114">
        <f t="shared" si="327"/>
        <v>0</v>
      </c>
      <c r="CM117" s="114">
        <f t="shared" si="316"/>
        <v>0</v>
      </c>
      <c r="CN117" s="114">
        <f t="shared" si="162"/>
        <v>0</v>
      </c>
      <c r="CO117" s="116">
        <f t="shared" si="163"/>
        <v>0</v>
      </c>
      <c r="CP117" s="126">
        <f t="shared" ca="1" si="164"/>
        <v>0</v>
      </c>
      <c r="CQ117" s="115">
        <f t="shared" ca="1" si="336"/>
        <v>0</v>
      </c>
      <c r="CR117" s="118" t="str">
        <f t="shared" si="328"/>
        <v>Uncapped</v>
      </c>
      <c r="CS117" s="115">
        <f t="shared" ca="1" si="337"/>
        <v>0</v>
      </c>
      <c r="CT117" s="113" t="s">
        <v>729</v>
      </c>
      <c r="CU117" s="119">
        <v>0.2</v>
      </c>
      <c r="CV117" s="113" t="s">
        <v>217</v>
      </c>
      <c r="CW117" s="113" t="s">
        <v>210</v>
      </c>
      <c r="CX117" s="113">
        <v>13631298.3753272</v>
      </c>
      <c r="CY117" s="113">
        <v>15463517.626933601</v>
      </c>
      <c r="CZ117" s="113"/>
      <c r="DA117" s="113"/>
      <c r="DB117" s="113">
        <v>13485327.436090879</v>
      </c>
      <c r="DC117" s="113">
        <v>13198691</v>
      </c>
      <c r="DD117" s="113"/>
      <c r="DE117" s="113"/>
      <c r="DF117" s="113"/>
      <c r="DG117" s="113"/>
      <c r="DH117" s="113"/>
      <c r="DI117" s="113"/>
      <c r="DJ117" s="114">
        <f t="shared" si="165"/>
        <v>13485327.436090879</v>
      </c>
      <c r="DK117" s="114">
        <f t="shared" si="166"/>
        <v>13198691</v>
      </c>
      <c r="DL117" s="114">
        <f t="shared" si="167"/>
        <v>0</v>
      </c>
      <c r="DM117" s="114">
        <f t="shared" si="168"/>
        <v>0</v>
      </c>
      <c r="DN117" s="114">
        <f t="shared" si="329"/>
        <v>26684018.436090879</v>
      </c>
      <c r="DO117" s="114">
        <f t="shared" si="317"/>
        <v>29094816.0022608</v>
      </c>
      <c r="DP117" s="114">
        <f t="shared" si="169"/>
        <v>29094816.0022608</v>
      </c>
      <c r="DQ117" s="116">
        <f t="shared" si="170"/>
        <v>0.91710000000000003</v>
      </c>
      <c r="DR117" s="126">
        <f t="shared" ca="1" si="338"/>
        <v>0</v>
      </c>
      <c r="DS117" s="115">
        <f t="shared" ca="1" si="339"/>
        <v>0</v>
      </c>
      <c r="DT117" s="118" t="str">
        <f t="shared" si="330"/>
        <v>Uncapped</v>
      </c>
      <c r="DU117" s="115">
        <f t="shared" ca="1" si="340"/>
        <v>0</v>
      </c>
      <c r="DV117" s="113"/>
      <c r="DW117" s="119">
        <v>0</v>
      </c>
      <c r="DX117" s="113"/>
      <c r="DY117" s="113"/>
      <c r="DZ117" s="113">
        <v>0</v>
      </c>
      <c r="EA117" s="113">
        <v>0</v>
      </c>
      <c r="EB117" s="113">
        <v>0</v>
      </c>
      <c r="EC117" s="113">
        <v>0</v>
      </c>
      <c r="ED117" s="113">
        <v>0</v>
      </c>
      <c r="EE117" s="113">
        <v>0</v>
      </c>
      <c r="EF117" s="113"/>
      <c r="EG117" s="113"/>
      <c r="EH117" s="113"/>
      <c r="EI117" s="113"/>
      <c r="EJ117" s="113"/>
      <c r="EK117" s="113"/>
      <c r="EL117" s="114">
        <f t="shared" si="171"/>
        <v>0</v>
      </c>
      <c r="EM117" s="114">
        <f t="shared" si="172"/>
        <v>0</v>
      </c>
      <c r="EN117" s="114">
        <f t="shared" si="173"/>
        <v>0</v>
      </c>
      <c r="EO117" s="114">
        <f t="shared" si="174"/>
        <v>0</v>
      </c>
      <c r="EP117" s="114">
        <f t="shared" si="331"/>
        <v>0</v>
      </c>
      <c r="EQ117" s="114">
        <f t="shared" si="318"/>
        <v>0</v>
      </c>
      <c r="ER117" s="114">
        <f t="shared" si="175"/>
        <v>0</v>
      </c>
      <c r="ES117" s="116">
        <f t="shared" si="176"/>
        <v>0</v>
      </c>
      <c r="ET117" s="126">
        <f t="shared" ca="1" si="177"/>
        <v>0</v>
      </c>
      <c r="EU117" s="115">
        <f t="shared" ca="1" si="341"/>
        <v>0</v>
      </c>
      <c r="EV117" s="118" t="str">
        <f t="shared" si="332"/>
        <v>Uncapped</v>
      </c>
      <c r="EW117" s="115">
        <f t="shared" ca="1" si="342"/>
        <v>0</v>
      </c>
      <c r="EX117" s="112">
        <f t="shared" ca="1" si="343"/>
        <v>0</v>
      </c>
      <c r="EY117" s="114">
        <f t="shared" ca="1" si="178"/>
        <v>0</v>
      </c>
      <c r="EZ117" s="115">
        <v>0</v>
      </c>
      <c r="FA117" s="115"/>
      <c r="FB117" s="115"/>
      <c r="FC117" s="115">
        <v>0</v>
      </c>
      <c r="FD117" s="115">
        <f t="shared" si="319"/>
        <v>0</v>
      </c>
      <c r="FE117" s="114">
        <f t="shared" si="312"/>
        <v>0</v>
      </c>
      <c r="FF117" s="115">
        <v>0</v>
      </c>
      <c r="FG117" s="115">
        <v>0</v>
      </c>
      <c r="FH117" s="115">
        <v>0</v>
      </c>
      <c r="FI117" s="115">
        <v>0</v>
      </c>
      <c r="FJ117" s="115">
        <f t="shared" si="320"/>
        <v>0</v>
      </c>
      <c r="FK117" s="114">
        <f t="shared" si="313"/>
        <v>0</v>
      </c>
      <c r="FL117" s="113"/>
      <c r="FM117" s="111"/>
      <c r="FN117" s="111"/>
      <c r="FO117" s="111"/>
      <c r="FP117" s="115">
        <f t="shared" si="365"/>
        <v>0</v>
      </c>
      <c r="FQ117" s="115"/>
      <c r="FR117" s="115"/>
      <c r="FS117" s="115"/>
      <c r="FT117" s="114">
        <f t="shared" si="209"/>
        <v>0</v>
      </c>
      <c r="FU117" s="366">
        <f t="shared" ca="1" si="210"/>
        <v>0</v>
      </c>
      <c r="FV117" s="121">
        <f t="shared" ca="1" si="211"/>
        <v>0</v>
      </c>
      <c r="FW117" s="114">
        <f t="shared" si="366"/>
        <v>0</v>
      </c>
      <c r="FX117" s="114">
        <f t="shared" si="366"/>
        <v>0</v>
      </c>
      <c r="FY117" s="114">
        <f t="shared" si="366"/>
        <v>0</v>
      </c>
      <c r="FZ117" s="114">
        <f t="shared" si="366"/>
        <v>0</v>
      </c>
      <c r="GA117" s="114">
        <f>SUM(FW117:FZ117)</f>
        <v>0</v>
      </c>
      <c r="GB117" s="114">
        <f t="shared" si="367"/>
        <v>0</v>
      </c>
      <c r="GC117" s="114">
        <f t="shared" si="367"/>
        <v>0</v>
      </c>
      <c r="GD117" s="114">
        <f t="shared" si="367"/>
        <v>0</v>
      </c>
      <c r="GE117" s="114">
        <f t="shared" si="367"/>
        <v>0</v>
      </c>
      <c r="GF117" s="114">
        <f t="shared" si="368"/>
        <v>0</v>
      </c>
      <c r="GG117" s="114">
        <f t="shared" si="368"/>
        <v>0</v>
      </c>
      <c r="GH117" s="114">
        <f t="shared" si="368"/>
        <v>0</v>
      </c>
      <c r="GI117" s="114">
        <f t="shared" si="368"/>
        <v>0</v>
      </c>
      <c r="GJ117" s="115">
        <f t="shared" si="321"/>
        <v>0</v>
      </c>
      <c r="GK117" s="114">
        <f t="shared" si="369"/>
        <v>0</v>
      </c>
      <c r="GL117" s="114">
        <f t="shared" si="344"/>
        <v>0</v>
      </c>
      <c r="GM117" s="114">
        <f t="shared" si="345"/>
        <v>0</v>
      </c>
      <c r="GN117" s="114">
        <f t="shared" si="346"/>
        <v>0</v>
      </c>
      <c r="GO117" s="114">
        <f t="shared" si="347"/>
        <v>0</v>
      </c>
      <c r="GP117" s="114">
        <f t="shared" si="322"/>
        <v>0</v>
      </c>
      <c r="GQ117" s="114">
        <f t="shared" si="370"/>
        <v>0</v>
      </c>
      <c r="GR117" s="193"/>
      <c r="GS117" s="122">
        <f t="shared" si="348"/>
        <v>30825894.06571088</v>
      </c>
      <c r="GT117" s="122">
        <f t="shared" si="349"/>
        <v>32701761.292977646</v>
      </c>
      <c r="GU117" s="123">
        <f t="shared" si="371"/>
        <v>0.94263711943645101</v>
      </c>
      <c r="GV117" s="124">
        <f t="shared" ca="1" si="350"/>
        <v>0</v>
      </c>
      <c r="GW117" s="124">
        <v>0</v>
      </c>
      <c r="GX117" s="32">
        <f t="shared" ca="1" si="351"/>
        <v>0</v>
      </c>
      <c r="GY117" s="100"/>
    </row>
    <row r="118" spans="1:207" s="408" customFormat="1" hidden="1">
      <c r="C118" s="402"/>
      <c r="D118" s="402"/>
      <c r="E118" s="403"/>
      <c r="F118" s="403" t="s">
        <v>720</v>
      </c>
      <c r="G118" s="403" t="s">
        <v>226</v>
      </c>
      <c r="H118" s="105" t="s">
        <v>551</v>
      </c>
      <c r="I118" s="403" t="s">
        <v>585</v>
      </c>
      <c r="J118" s="403" t="s">
        <v>212</v>
      </c>
      <c r="K118" s="403" t="s">
        <v>544</v>
      </c>
      <c r="L118" s="403"/>
      <c r="M118" s="403"/>
      <c r="N118" s="404"/>
      <c r="O118" s="108">
        <v>42522</v>
      </c>
      <c r="P118" s="108">
        <v>42522</v>
      </c>
      <c r="Q118" s="323">
        <f t="shared" si="323"/>
        <v>0</v>
      </c>
      <c r="R118" s="109">
        <f>IF((P118-VLOOKUP(Q118,month!$A$1:$C$13,3,0))&lt;0,Q118,Q118+1)</f>
        <v>0</v>
      </c>
      <c r="S118" s="108"/>
      <c r="T118" s="110" t="str">
        <f t="shared" si="215"/>
        <v/>
      </c>
      <c r="U118" s="404"/>
      <c r="V118" s="404"/>
      <c r="W118" s="405"/>
      <c r="X118" s="405"/>
      <c r="Y118" s="492"/>
      <c r="Z118" s="406" t="s">
        <v>545</v>
      </c>
      <c r="AA118" s="394">
        <v>1000</v>
      </c>
      <c r="AB118" s="394">
        <v>1000</v>
      </c>
      <c r="AC118" s="394">
        <v>1000</v>
      </c>
      <c r="AD118" s="394">
        <v>1000</v>
      </c>
      <c r="AE118" s="394">
        <v>1000</v>
      </c>
      <c r="AF118" s="394">
        <v>1000</v>
      </c>
      <c r="AG118" s="394">
        <v>1000</v>
      </c>
      <c r="AH118" s="394">
        <v>1000</v>
      </c>
      <c r="AI118" s="394">
        <v>1000</v>
      </c>
      <c r="AJ118" s="394">
        <v>1000</v>
      </c>
      <c r="AK118" s="394">
        <v>1000</v>
      </c>
      <c r="AL118" s="394">
        <v>1000</v>
      </c>
      <c r="AM118" s="388">
        <f t="shared" si="314"/>
        <v>12000</v>
      </c>
      <c r="AN118" s="388">
        <f t="shared" si="324"/>
        <v>12000</v>
      </c>
      <c r="AO118" s="389">
        <f t="shared" si="364"/>
        <v>1000</v>
      </c>
      <c r="AP118" s="502" t="s">
        <v>750</v>
      </c>
      <c r="AQ118" s="159">
        <v>0.5</v>
      </c>
      <c r="AR118" s="103" t="s">
        <v>211</v>
      </c>
      <c r="AS118" s="119" t="s">
        <v>210</v>
      </c>
      <c r="AT118" s="111">
        <v>619023.70180270565</v>
      </c>
      <c r="AU118" s="111">
        <v>689370.67089741363</v>
      </c>
      <c r="AV118" s="111">
        <v>657617.80913764494</v>
      </c>
      <c r="AW118" s="111">
        <v>770191.79826823843</v>
      </c>
      <c r="AX118" s="113">
        <v>773116.82</v>
      </c>
      <c r="AY118" s="113">
        <v>760063.59</v>
      </c>
      <c r="AZ118" s="113">
        <v>705215.07</v>
      </c>
      <c r="BA118" s="113"/>
      <c r="BB118" s="113"/>
      <c r="BC118" s="113"/>
      <c r="BD118" s="113"/>
      <c r="BE118" s="113"/>
      <c r="BF118" s="114">
        <f t="shared" si="152"/>
        <v>773116.82</v>
      </c>
      <c r="BG118" s="114">
        <f t="shared" si="153"/>
        <v>760063.59</v>
      </c>
      <c r="BH118" s="114">
        <f t="shared" si="154"/>
        <v>705215.07</v>
      </c>
      <c r="BI118" s="114">
        <f t="shared" si="155"/>
        <v>0</v>
      </c>
      <c r="BJ118" s="114">
        <f t="shared" si="325"/>
        <v>2238395.48</v>
      </c>
      <c r="BK118" s="115">
        <f t="shared" si="358"/>
        <v>2736203.9801060027</v>
      </c>
      <c r="BL118" s="115">
        <f t="shared" si="156"/>
        <v>2736203.9801060027</v>
      </c>
      <c r="BM118" s="116">
        <f t="shared" si="157"/>
        <v>0.81810000000000005</v>
      </c>
      <c r="BN118" s="126">
        <f t="shared" ca="1" si="359"/>
        <v>0</v>
      </c>
      <c r="BO118" s="117">
        <f t="shared" ca="1" si="360"/>
        <v>0</v>
      </c>
      <c r="BP118" s="118" t="str">
        <f t="shared" si="361"/>
        <v>Uncapped</v>
      </c>
      <c r="BQ118" s="115">
        <f t="shared" ca="1" si="362"/>
        <v>0</v>
      </c>
      <c r="BR118" s="174" t="s">
        <v>762</v>
      </c>
      <c r="BS118" s="175">
        <v>0.3</v>
      </c>
      <c r="BT118" s="174" t="s">
        <v>211</v>
      </c>
      <c r="BU118" s="174" t="s">
        <v>210</v>
      </c>
      <c r="BV118" s="113">
        <v>2060801.742359617</v>
      </c>
      <c r="BW118" s="113">
        <v>2402466.5250502843</v>
      </c>
      <c r="BX118" s="113">
        <v>2442175.5793229761</v>
      </c>
      <c r="BY118" s="113">
        <v>2380941.3983696885</v>
      </c>
      <c r="BZ118" s="113">
        <v>2137162.0499999998</v>
      </c>
      <c r="CA118" s="113">
        <v>2025228.7860000017</v>
      </c>
      <c r="CB118" s="113">
        <v>2007691</v>
      </c>
      <c r="CC118" s="113">
        <f t="shared" si="352"/>
        <v>2380941.3983696885</v>
      </c>
      <c r="CD118" s="113"/>
      <c r="CE118" s="113"/>
      <c r="CF118" s="113"/>
      <c r="CG118" s="113"/>
      <c r="CH118" s="114">
        <f t="shared" si="158"/>
        <v>2137162.0499999998</v>
      </c>
      <c r="CI118" s="114">
        <f t="shared" si="159"/>
        <v>2025228.7860000017</v>
      </c>
      <c r="CJ118" s="120">
        <f t="shared" si="160"/>
        <v>2007691</v>
      </c>
      <c r="CK118" s="114">
        <f t="shared" si="161"/>
        <v>2380941.3983696885</v>
      </c>
      <c r="CL118" s="114">
        <f t="shared" si="327"/>
        <v>8551023.2343696896</v>
      </c>
      <c r="CM118" s="114">
        <f t="shared" si="316"/>
        <v>9286385.2451025657</v>
      </c>
      <c r="CN118" s="114">
        <f t="shared" si="162"/>
        <v>9286385.2451025657</v>
      </c>
      <c r="CO118" s="116">
        <f t="shared" si="163"/>
        <v>0.92079999999999995</v>
      </c>
      <c r="CP118" s="126">
        <f t="shared" ca="1" si="164"/>
        <v>0</v>
      </c>
      <c r="CQ118" s="115">
        <f t="shared" ca="1" si="336"/>
        <v>0</v>
      </c>
      <c r="CR118" s="118" t="str">
        <f t="shared" si="328"/>
        <v>Uncapped</v>
      </c>
      <c r="CS118" s="115">
        <f t="shared" ca="1" si="337"/>
        <v>0</v>
      </c>
      <c r="CT118" s="113" t="s">
        <v>729</v>
      </c>
      <c r="CU118" s="119">
        <v>0.2</v>
      </c>
      <c r="CV118" s="113" t="s">
        <v>217</v>
      </c>
      <c r="CW118" s="113" t="s">
        <v>210</v>
      </c>
      <c r="CX118" s="113">
        <v>13631298.3753272</v>
      </c>
      <c r="CY118" s="113">
        <v>15463517.626933601</v>
      </c>
      <c r="CZ118" s="113">
        <v>15159650.061351301</v>
      </c>
      <c r="DA118" s="113">
        <v>16523055.704212198</v>
      </c>
      <c r="DB118" s="113">
        <v>13485327.436090879</v>
      </c>
      <c r="DC118" s="113">
        <v>13198691</v>
      </c>
      <c r="DD118" s="113">
        <v>13923765.347779993</v>
      </c>
      <c r="DE118" s="113"/>
      <c r="DF118" s="113"/>
      <c r="DG118" s="113"/>
      <c r="DH118" s="113"/>
      <c r="DI118" s="113"/>
      <c r="DJ118" s="114">
        <f t="shared" si="165"/>
        <v>13485327.436090879</v>
      </c>
      <c r="DK118" s="114">
        <f t="shared" si="166"/>
        <v>13198691</v>
      </c>
      <c r="DL118" s="114">
        <f t="shared" si="167"/>
        <v>13923765.347779993</v>
      </c>
      <c r="DM118" s="114">
        <f t="shared" si="168"/>
        <v>0</v>
      </c>
      <c r="DN118" s="114">
        <f t="shared" si="329"/>
        <v>40607783.783870876</v>
      </c>
      <c r="DO118" s="114">
        <f t="shared" si="317"/>
        <v>60777521.7678243</v>
      </c>
      <c r="DP118" s="114">
        <f t="shared" si="169"/>
        <v>60777521.7678243</v>
      </c>
      <c r="DQ118" s="116">
        <f t="shared" si="170"/>
        <v>0.66810000000000003</v>
      </c>
      <c r="DR118" s="126">
        <f t="shared" ca="1" si="338"/>
        <v>0</v>
      </c>
      <c r="DS118" s="115">
        <f t="shared" ca="1" si="339"/>
        <v>0</v>
      </c>
      <c r="DT118" s="118" t="str">
        <f t="shared" si="330"/>
        <v>Uncapped</v>
      </c>
      <c r="DU118" s="115">
        <f t="shared" ca="1" si="340"/>
        <v>0</v>
      </c>
      <c r="DV118" s="113"/>
      <c r="DW118" s="119">
        <v>0</v>
      </c>
      <c r="DX118" s="113"/>
      <c r="DY118" s="113"/>
      <c r="DZ118" s="113">
        <v>0</v>
      </c>
      <c r="EA118" s="113">
        <v>0</v>
      </c>
      <c r="EB118" s="113">
        <v>0</v>
      </c>
      <c r="EC118" s="113">
        <v>0</v>
      </c>
      <c r="ED118" s="113">
        <v>0</v>
      </c>
      <c r="EE118" s="113">
        <v>0</v>
      </c>
      <c r="EF118" s="113"/>
      <c r="EG118" s="113"/>
      <c r="EH118" s="113"/>
      <c r="EI118" s="113"/>
      <c r="EJ118" s="113"/>
      <c r="EK118" s="113"/>
      <c r="EL118" s="114">
        <f t="shared" si="171"/>
        <v>0</v>
      </c>
      <c r="EM118" s="114">
        <f t="shared" si="172"/>
        <v>0</v>
      </c>
      <c r="EN118" s="114">
        <f t="shared" si="173"/>
        <v>0</v>
      </c>
      <c r="EO118" s="114">
        <f t="shared" si="174"/>
        <v>0</v>
      </c>
      <c r="EP118" s="114">
        <f t="shared" si="331"/>
        <v>0</v>
      </c>
      <c r="EQ118" s="114">
        <f t="shared" si="318"/>
        <v>0</v>
      </c>
      <c r="ER118" s="114">
        <f t="shared" si="175"/>
        <v>0</v>
      </c>
      <c r="ES118" s="116">
        <f t="shared" si="176"/>
        <v>0</v>
      </c>
      <c r="ET118" s="126">
        <f t="shared" ca="1" si="177"/>
        <v>0</v>
      </c>
      <c r="EU118" s="115">
        <f t="shared" ca="1" si="341"/>
        <v>0</v>
      </c>
      <c r="EV118" s="118" t="str">
        <f t="shared" si="332"/>
        <v>Uncapped</v>
      </c>
      <c r="EW118" s="115">
        <f t="shared" ca="1" si="342"/>
        <v>0</v>
      </c>
      <c r="EX118" s="112">
        <f t="shared" ca="1" si="343"/>
        <v>0</v>
      </c>
      <c r="EY118" s="114">
        <f t="shared" ca="1" si="178"/>
        <v>0</v>
      </c>
      <c r="EZ118" s="115">
        <v>0</v>
      </c>
      <c r="FA118" s="115"/>
      <c r="FB118" s="115"/>
      <c r="FC118" s="115">
        <v>0</v>
      </c>
      <c r="FD118" s="115">
        <f t="shared" si="319"/>
        <v>0</v>
      </c>
      <c r="FE118" s="114">
        <f t="shared" si="312"/>
        <v>0</v>
      </c>
      <c r="FF118" s="115">
        <v>0</v>
      </c>
      <c r="FG118" s="115">
        <v>0</v>
      </c>
      <c r="FH118" s="115">
        <v>0</v>
      </c>
      <c r="FI118" s="115">
        <v>0</v>
      </c>
      <c r="FJ118" s="115">
        <f t="shared" si="320"/>
        <v>0</v>
      </c>
      <c r="FK118" s="114">
        <f t="shared" si="313"/>
        <v>0</v>
      </c>
      <c r="FL118" s="113"/>
      <c r="FM118" s="111"/>
      <c r="FN118" s="111"/>
      <c r="FO118" s="111"/>
      <c r="FP118" s="115">
        <f t="shared" si="365"/>
        <v>0</v>
      </c>
      <c r="FQ118" s="115"/>
      <c r="FR118" s="115"/>
      <c r="FS118" s="115"/>
      <c r="FT118" s="114">
        <f t="shared" si="209"/>
        <v>0</v>
      </c>
      <c r="FU118" s="366">
        <f t="shared" ca="1" si="210"/>
        <v>0</v>
      </c>
      <c r="FV118" s="121">
        <f t="shared" ca="1" si="211"/>
        <v>0</v>
      </c>
      <c r="FW118" s="114">
        <f t="shared" si="366"/>
        <v>0</v>
      </c>
      <c r="FX118" s="114">
        <f t="shared" si="366"/>
        <v>0</v>
      </c>
      <c r="FY118" s="114">
        <f t="shared" si="366"/>
        <v>0</v>
      </c>
      <c r="FZ118" s="114">
        <f t="shared" si="366"/>
        <v>0</v>
      </c>
      <c r="GA118" s="114">
        <f t="shared" ref="GA118:GA165" si="372">SUM(FW118:FZ118)</f>
        <v>0</v>
      </c>
      <c r="GB118" s="114">
        <f t="shared" si="367"/>
        <v>0</v>
      </c>
      <c r="GC118" s="114">
        <f t="shared" si="367"/>
        <v>0</v>
      </c>
      <c r="GD118" s="114">
        <f t="shared" si="367"/>
        <v>0</v>
      </c>
      <c r="GE118" s="114">
        <f t="shared" si="367"/>
        <v>0</v>
      </c>
      <c r="GF118" s="114">
        <f t="shared" si="368"/>
        <v>0</v>
      </c>
      <c r="GG118" s="114">
        <f t="shared" si="368"/>
        <v>0</v>
      </c>
      <c r="GH118" s="114">
        <f t="shared" si="368"/>
        <v>0</v>
      </c>
      <c r="GI118" s="114">
        <f t="shared" si="368"/>
        <v>0</v>
      </c>
      <c r="GJ118" s="115">
        <f t="shared" si="321"/>
        <v>0</v>
      </c>
      <c r="GK118" s="114">
        <f t="shared" si="369"/>
        <v>0</v>
      </c>
      <c r="GL118" s="114">
        <f t="shared" si="344"/>
        <v>0</v>
      </c>
      <c r="GM118" s="114">
        <f t="shared" si="345"/>
        <v>0</v>
      </c>
      <c r="GN118" s="114">
        <f t="shared" si="346"/>
        <v>0</v>
      </c>
      <c r="GO118" s="114">
        <f t="shared" si="347"/>
        <v>0</v>
      </c>
      <c r="GP118" s="114">
        <f t="shared" si="322"/>
        <v>0</v>
      </c>
      <c r="GQ118" s="114">
        <f t="shared" si="370"/>
        <v>0</v>
      </c>
      <c r="GR118" s="193"/>
      <c r="GS118" s="122">
        <f t="shared" si="348"/>
        <v>51397202.498240568</v>
      </c>
      <c r="GT118" s="122">
        <f t="shared" si="349"/>
        <v>72800110.993032873</v>
      </c>
      <c r="GU118" s="123">
        <f t="shared" si="371"/>
        <v>0.70600445242671939</v>
      </c>
      <c r="GV118" s="124">
        <f t="shared" ca="1" si="350"/>
        <v>0</v>
      </c>
      <c r="GW118" s="124">
        <v>0</v>
      </c>
      <c r="GX118" s="32">
        <f t="shared" ca="1" si="351"/>
        <v>0</v>
      </c>
      <c r="GY118" s="100"/>
    </row>
    <row r="119" spans="1:207" s="408" customFormat="1" hidden="1">
      <c r="C119" s="402"/>
      <c r="D119" s="402"/>
      <c r="E119" s="403"/>
      <c r="F119" s="403" t="s">
        <v>720</v>
      </c>
      <c r="G119" s="403" t="s">
        <v>226</v>
      </c>
      <c r="H119" s="105" t="s">
        <v>552</v>
      </c>
      <c r="I119" s="403" t="s">
        <v>586</v>
      </c>
      <c r="J119" s="403" t="s">
        <v>212</v>
      </c>
      <c r="K119" s="403" t="s">
        <v>544</v>
      </c>
      <c r="L119" s="403"/>
      <c r="M119" s="403"/>
      <c r="N119" s="404"/>
      <c r="O119" s="108">
        <v>42622</v>
      </c>
      <c r="P119" s="108">
        <v>42622</v>
      </c>
      <c r="Q119" s="323">
        <f t="shared" si="323"/>
        <v>0</v>
      </c>
      <c r="R119" s="109">
        <f>IF((P119-VLOOKUP(Q119,month!$A$1:$C$13,3,0))&lt;0,Q119,Q119+1)</f>
        <v>0</v>
      </c>
      <c r="S119" s="108"/>
      <c r="T119" s="110" t="str">
        <f t="shared" si="215"/>
        <v/>
      </c>
      <c r="U119" s="404"/>
      <c r="V119" s="404"/>
      <c r="W119" s="405"/>
      <c r="X119" s="405"/>
      <c r="Y119" s="492"/>
      <c r="Z119" s="406" t="s">
        <v>545</v>
      </c>
      <c r="AA119" s="394">
        <v>1000</v>
      </c>
      <c r="AB119" s="394">
        <v>1000</v>
      </c>
      <c r="AC119" s="394">
        <v>1000</v>
      </c>
      <c r="AD119" s="394">
        <v>1000</v>
      </c>
      <c r="AE119" s="394">
        <v>1000</v>
      </c>
      <c r="AF119" s="394">
        <v>1000</v>
      </c>
      <c r="AG119" s="394">
        <v>1000</v>
      </c>
      <c r="AH119" s="394">
        <v>1000</v>
      </c>
      <c r="AI119" s="394">
        <v>1000</v>
      </c>
      <c r="AJ119" s="394">
        <v>1000</v>
      </c>
      <c r="AK119" s="394">
        <v>1000</v>
      </c>
      <c r="AL119" s="394">
        <v>1000</v>
      </c>
      <c r="AM119" s="388">
        <f t="shared" si="314"/>
        <v>12000</v>
      </c>
      <c r="AN119" s="388">
        <f t="shared" si="324"/>
        <v>12000</v>
      </c>
      <c r="AO119" s="389">
        <f t="shared" si="364"/>
        <v>1000</v>
      </c>
      <c r="AP119" s="502" t="s">
        <v>739</v>
      </c>
      <c r="AQ119" s="159">
        <v>0.5</v>
      </c>
      <c r="AR119" s="103" t="s">
        <v>211</v>
      </c>
      <c r="AS119" s="119" t="s">
        <v>210</v>
      </c>
      <c r="AT119" s="111">
        <v>1052583.3912734503</v>
      </c>
      <c r="AU119" s="111">
        <v>1153018.3228203235</v>
      </c>
      <c r="AV119" s="111">
        <v>1130473.4868267623</v>
      </c>
      <c r="AW119" s="111">
        <v>1353924.7990794657</v>
      </c>
      <c r="AX119" s="113">
        <f>739668.69+113070.6</f>
        <v>852739.28999999992</v>
      </c>
      <c r="AY119" s="113">
        <v>1363310.415</v>
      </c>
      <c r="AZ119" s="113">
        <v>595284.12</v>
      </c>
      <c r="BA119" s="113"/>
      <c r="BB119" s="113"/>
      <c r="BC119" s="113"/>
      <c r="BD119" s="113"/>
      <c r="BE119" s="113"/>
      <c r="BF119" s="114">
        <f t="shared" si="152"/>
        <v>852739.28999999992</v>
      </c>
      <c r="BG119" s="114">
        <f t="shared" si="153"/>
        <v>1363310.415</v>
      </c>
      <c r="BH119" s="114">
        <f t="shared" si="154"/>
        <v>595284.12</v>
      </c>
      <c r="BI119" s="114">
        <f t="shared" si="155"/>
        <v>0</v>
      </c>
      <c r="BJ119" s="114">
        <f t="shared" si="325"/>
        <v>2811333.8250000002</v>
      </c>
      <c r="BK119" s="115">
        <f t="shared" si="358"/>
        <v>4690000.0000000019</v>
      </c>
      <c r="BL119" s="115">
        <f t="shared" si="156"/>
        <v>4690000.0000000019</v>
      </c>
      <c r="BM119" s="116">
        <f t="shared" si="157"/>
        <v>0.59940000000000004</v>
      </c>
      <c r="BN119" s="126">
        <f t="shared" ca="1" si="359"/>
        <v>0</v>
      </c>
      <c r="BO119" s="117">
        <f t="shared" ca="1" si="360"/>
        <v>0</v>
      </c>
      <c r="BP119" s="118" t="str">
        <f t="shared" si="361"/>
        <v>Uncapped</v>
      </c>
      <c r="BQ119" s="115">
        <f t="shared" ca="1" si="362"/>
        <v>0</v>
      </c>
      <c r="BR119" s="174" t="s">
        <v>761</v>
      </c>
      <c r="BS119" s="175">
        <v>0.3</v>
      </c>
      <c r="BT119" s="174" t="s">
        <v>211</v>
      </c>
      <c r="BU119" s="174" t="s">
        <v>210</v>
      </c>
      <c r="BV119" s="113">
        <v>202268.3059424891</v>
      </c>
      <c r="BW119" s="113">
        <v>234741.88681745128</v>
      </c>
      <c r="BX119" s="113">
        <v>223642.71409438783</v>
      </c>
      <c r="BY119" s="113">
        <v>239347.09314567197</v>
      </c>
      <c r="BZ119" s="113">
        <f>61541.64+33680</f>
        <v>95221.64</v>
      </c>
      <c r="CA119" s="113">
        <f>669807+18642</f>
        <v>688449</v>
      </c>
      <c r="CB119" s="113">
        <f>496089.19+40839</f>
        <v>536928.18999999994</v>
      </c>
      <c r="CC119" s="113">
        <f t="shared" si="352"/>
        <v>239347.09314567197</v>
      </c>
      <c r="CD119" s="113"/>
      <c r="CE119" s="113"/>
      <c r="CF119" s="113"/>
      <c r="CG119" s="113"/>
      <c r="CH119" s="114">
        <f t="shared" si="158"/>
        <v>95221.64</v>
      </c>
      <c r="CI119" s="114">
        <f t="shared" si="159"/>
        <v>688449</v>
      </c>
      <c r="CJ119" s="120">
        <f t="shared" si="160"/>
        <v>536928.18999999994</v>
      </c>
      <c r="CK119" s="114">
        <f t="shared" si="161"/>
        <v>239347.09314567197</v>
      </c>
      <c r="CL119" s="114">
        <f t="shared" si="327"/>
        <v>1559945.9231456721</v>
      </c>
      <c r="CM119" s="114">
        <f t="shared" si="316"/>
        <v>900000.00000000023</v>
      </c>
      <c r="CN119" s="114">
        <f t="shared" si="162"/>
        <v>900000.00000000023</v>
      </c>
      <c r="CO119" s="116">
        <f t="shared" si="163"/>
        <v>1.7333000000000001</v>
      </c>
      <c r="CP119" s="126">
        <f t="shared" ca="1" si="164"/>
        <v>0</v>
      </c>
      <c r="CQ119" s="115">
        <f t="shared" ca="1" si="336"/>
        <v>0</v>
      </c>
      <c r="CR119" s="118" t="str">
        <f t="shared" si="328"/>
        <v>Uncapped</v>
      </c>
      <c r="CS119" s="115">
        <f t="shared" ca="1" si="337"/>
        <v>0</v>
      </c>
      <c r="CT119" s="113" t="s">
        <v>729</v>
      </c>
      <c r="CU119" s="119">
        <v>0.2</v>
      </c>
      <c r="CV119" s="113" t="s">
        <v>217</v>
      </c>
      <c r="CW119" s="113" t="s">
        <v>210</v>
      </c>
      <c r="CX119" s="113">
        <v>13631298.3753272</v>
      </c>
      <c r="CY119" s="113">
        <v>15463517.626933601</v>
      </c>
      <c r="CZ119" s="113">
        <v>15159650.061351301</v>
      </c>
      <c r="DA119" s="113">
        <v>16523055.704212198</v>
      </c>
      <c r="DB119" s="113">
        <v>13485327.436090879</v>
      </c>
      <c r="DC119" s="113">
        <v>13198691</v>
      </c>
      <c r="DD119" s="113">
        <v>13923765.347779993</v>
      </c>
      <c r="DE119" s="113"/>
      <c r="DF119" s="113"/>
      <c r="DG119" s="113"/>
      <c r="DH119" s="113"/>
      <c r="DI119" s="113"/>
      <c r="DJ119" s="114">
        <f t="shared" si="165"/>
        <v>13485327.436090879</v>
      </c>
      <c r="DK119" s="114">
        <f t="shared" si="166"/>
        <v>13198691</v>
      </c>
      <c r="DL119" s="114">
        <f t="shared" si="167"/>
        <v>13923765.347779993</v>
      </c>
      <c r="DM119" s="114">
        <f t="shared" si="168"/>
        <v>0</v>
      </c>
      <c r="DN119" s="114">
        <f t="shared" si="329"/>
        <v>40607783.783870876</v>
      </c>
      <c r="DO119" s="114">
        <f t="shared" si="317"/>
        <v>60777521.7678243</v>
      </c>
      <c r="DP119" s="114">
        <f t="shared" si="169"/>
        <v>60777521.7678243</v>
      </c>
      <c r="DQ119" s="116">
        <f t="shared" si="170"/>
        <v>0.66810000000000003</v>
      </c>
      <c r="DR119" s="126">
        <f t="shared" ca="1" si="338"/>
        <v>0</v>
      </c>
      <c r="DS119" s="115">
        <f t="shared" ca="1" si="339"/>
        <v>0</v>
      </c>
      <c r="DT119" s="118" t="str">
        <f t="shared" si="330"/>
        <v>Uncapped</v>
      </c>
      <c r="DU119" s="115">
        <f t="shared" ca="1" si="340"/>
        <v>0</v>
      </c>
      <c r="DV119" s="113"/>
      <c r="DW119" s="119">
        <v>0</v>
      </c>
      <c r="DX119" s="113"/>
      <c r="DY119" s="113"/>
      <c r="DZ119" s="113">
        <v>0</v>
      </c>
      <c r="EA119" s="113">
        <v>0</v>
      </c>
      <c r="EB119" s="113">
        <v>0</v>
      </c>
      <c r="EC119" s="113">
        <v>0</v>
      </c>
      <c r="ED119" s="113">
        <v>0</v>
      </c>
      <c r="EE119" s="113">
        <v>0</v>
      </c>
      <c r="EF119" s="113"/>
      <c r="EG119" s="113"/>
      <c r="EH119" s="113"/>
      <c r="EI119" s="113"/>
      <c r="EJ119" s="113"/>
      <c r="EK119" s="113"/>
      <c r="EL119" s="114">
        <f t="shared" si="171"/>
        <v>0</v>
      </c>
      <c r="EM119" s="114">
        <f t="shared" si="172"/>
        <v>0</v>
      </c>
      <c r="EN119" s="114">
        <f t="shared" si="173"/>
        <v>0</v>
      </c>
      <c r="EO119" s="114">
        <f t="shared" si="174"/>
        <v>0</v>
      </c>
      <c r="EP119" s="114">
        <f t="shared" si="331"/>
        <v>0</v>
      </c>
      <c r="EQ119" s="114">
        <f t="shared" si="318"/>
        <v>0</v>
      </c>
      <c r="ER119" s="114">
        <f t="shared" si="175"/>
        <v>0</v>
      </c>
      <c r="ES119" s="116">
        <f t="shared" si="176"/>
        <v>0</v>
      </c>
      <c r="ET119" s="126">
        <f t="shared" ca="1" si="177"/>
        <v>0</v>
      </c>
      <c r="EU119" s="115">
        <f t="shared" ca="1" si="341"/>
        <v>0</v>
      </c>
      <c r="EV119" s="118" t="str">
        <f t="shared" si="332"/>
        <v>Uncapped</v>
      </c>
      <c r="EW119" s="115">
        <f t="shared" ca="1" si="342"/>
        <v>0</v>
      </c>
      <c r="EX119" s="112">
        <f t="shared" ca="1" si="343"/>
        <v>0</v>
      </c>
      <c r="EY119" s="114">
        <f t="shared" ca="1" si="178"/>
        <v>0</v>
      </c>
      <c r="EZ119" s="115">
        <v>0</v>
      </c>
      <c r="FA119" s="115"/>
      <c r="FB119" s="115"/>
      <c r="FC119" s="115">
        <v>0</v>
      </c>
      <c r="FD119" s="115">
        <f t="shared" si="319"/>
        <v>0</v>
      </c>
      <c r="FE119" s="114">
        <f t="shared" si="312"/>
        <v>0</v>
      </c>
      <c r="FF119" s="115">
        <v>0</v>
      </c>
      <c r="FG119" s="115">
        <v>0</v>
      </c>
      <c r="FH119" s="115">
        <v>0</v>
      </c>
      <c r="FI119" s="115">
        <v>0</v>
      </c>
      <c r="FJ119" s="115">
        <f t="shared" si="320"/>
        <v>0</v>
      </c>
      <c r="FK119" s="114">
        <f t="shared" si="313"/>
        <v>0</v>
      </c>
      <c r="FL119" s="113"/>
      <c r="FM119" s="111"/>
      <c r="FN119" s="111"/>
      <c r="FO119" s="111"/>
      <c r="FP119" s="115">
        <f t="shared" si="365"/>
        <v>0</v>
      </c>
      <c r="FQ119" s="115"/>
      <c r="FR119" s="115"/>
      <c r="FS119" s="115"/>
      <c r="FT119" s="114">
        <f t="shared" si="209"/>
        <v>0</v>
      </c>
      <c r="FU119" s="366">
        <f t="shared" ca="1" si="210"/>
        <v>0</v>
      </c>
      <c r="FV119" s="121">
        <f t="shared" ca="1" si="211"/>
        <v>0</v>
      </c>
      <c r="FW119" s="114">
        <f t="shared" si="366"/>
        <v>0</v>
      </c>
      <c r="FX119" s="114">
        <f t="shared" si="366"/>
        <v>0</v>
      </c>
      <c r="FY119" s="114">
        <f t="shared" si="366"/>
        <v>0</v>
      </c>
      <c r="FZ119" s="114">
        <f t="shared" si="366"/>
        <v>0</v>
      </c>
      <c r="GA119" s="114">
        <f t="shared" si="372"/>
        <v>0</v>
      </c>
      <c r="GB119" s="114">
        <f t="shared" si="367"/>
        <v>0</v>
      </c>
      <c r="GC119" s="114">
        <f t="shared" si="367"/>
        <v>0</v>
      </c>
      <c r="GD119" s="114">
        <f t="shared" si="367"/>
        <v>0</v>
      </c>
      <c r="GE119" s="114">
        <f t="shared" si="367"/>
        <v>0</v>
      </c>
      <c r="GF119" s="114">
        <f t="shared" si="368"/>
        <v>0</v>
      </c>
      <c r="GG119" s="114">
        <f t="shared" si="368"/>
        <v>0</v>
      </c>
      <c r="GH119" s="114">
        <f t="shared" si="368"/>
        <v>0</v>
      </c>
      <c r="GI119" s="114">
        <f t="shared" si="368"/>
        <v>0</v>
      </c>
      <c r="GJ119" s="115">
        <f t="shared" si="321"/>
        <v>0</v>
      </c>
      <c r="GK119" s="114">
        <f t="shared" si="369"/>
        <v>0</v>
      </c>
      <c r="GL119" s="114">
        <f t="shared" si="344"/>
        <v>0</v>
      </c>
      <c r="GM119" s="114">
        <f t="shared" si="345"/>
        <v>0</v>
      </c>
      <c r="GN119" s="114">
        <f t="shared" si="346"/>
        <v>0</v>
      </c>
      <c r="GO119" s="114">
        <f t="shared" si="347"/>
        <v>0</v>
      </c>
      <c r="GP119" s="114">
        <f t="shared" si="322"/>
        <v>0</v>
      </c>
      <c r="GQ119" s="114">
        <f t="shared" si="370"/>
        <v>0</v>
      </c>
      <c r="GR119" s="193"/>
      <c r="GS119" s="122">
        <f t="shared" si="348"/>
        <v>44979063.532016546</v>
      </c>
      <c r="GT119" s="122">
        <f t="shared" si="349"/>
        <v>66367521.7678243</v>
      </c>
      <c r="GU119" s="123">
        <f t="shared" si="371"/>
        <v>0.67772703174556215</v>
      </c>
      <c r="GV119" s="124">
        <f t="shared" ca="1" si="350"/>
        <v>0</v>
      </c>
      <c r="GW119" s="124">
        <v>0</v>
      </c>
      <c r="GX119" s="32">
        <f t="shared" ca="1" si="351"/>
        <v>0</v>
      </c>
      <c r="GY119" s="100"/>
    </row>
    <row r="120" spans="1:207" s="408" customFormat="1" hidden="1">
      <c r="C120" s="402"/>
      <c r="D120" s="402"/>
      <c r="E120" s="403"/>
      <c r="F120" s="403" t="s">
        <v>720</v>
      </c>
      <c r="G120" s="403" t="s">
        <v>226</v>
      </c>
      <c r="H120" s="105" t="s">
        <v>553</v>
      </c>
      <c r="I120" s="403" t="s">
        <v>587</v>
      </c>
      <c r="J120" s="403" t="s">
        <v>212</v>
      </c>
      <c r="K120" s="403" t="s">
        <v>544</v>
      </c>
      <c r="L120" s="403"/>
      <c r="M120" s="403"/>
      <c r="N120" s="404"/>
      <c r="O120" s="108">
        <v>42807</v>
      </c>
      <c r="P120" s="108">
        <v>42807</v>
      </c>
      <c r="Q120" s="323">
        <f t="shared" si="323"/>
        <v>0</v>
      </c>
      <c r="R120" s="109">
        <f>IF((P120-VLOOKUP(Q120,month!$A$1:$C$13,3,0))&lt;0,Q120,Q120+1)</f>
        <v>0</v>
      </c>
      <c r="S120" s="108"/>
      <c r="T120" s="110" t="str">
        <f t="shared" si="215"/>
        <v/>
      </c>
      <c r="U120" s="404"/>
      <c r="V120" s="404"/>
      <c r="W120" s="405"/>
      <c r="X120" s="405"/>
      <c r="Y120" s="492"/>
      <c r="Z120" s="406" t="s">
        <v>545</v>
      </c>
      <c r="AA120" s="394">
        <v>1000</v>
      </c>
      <c r="AB120" s="394">
        <v>1000</v>
      </c>
      <c r="AC120" s="394">
        <v>1000</v>
      </c>
      <c r="AD120" s="394">
        <v>1000</v>
      </c>
      <c r="AE120" s="394">
        <v>1000</v>
      </c>
      <c r="AF120" s="394">
        <v>1000</v>
      </c>
      <c r="AG120" s="394">
        <v>1000</v>
      </c>
      <c r="AH120" s="394">
        <v>1000</v>
      </c>
      <c r="AI120" s="394">
        <v>1000</v>
      </c>
      <c r="AJ120" s="394">
        <v>1000</v>
      </c>
      <c r="AK120" s="394">
        <v>1000</v>
      </c>
      <c r="AL120" s="394">
        <v>1000</v>
      </c>
      <c r="AM120" s="388">
        <f t="shared" si="314"/>
        <v>12000</v>
      </c>
      <c r="AN120" s="388">
        <f t="shared" si="324"/>
        <v>12000</v>
      </c>
      <c r="AO120" s="389">
        <f t="shared" si="364"/>
        <v>1000</v>
      </c>
      <c r="AP120" s="502" t="s">
        <v>750</v>
      </c>
      <c r="AQ120" s="159">
        <v>0.5</v>
      </c>
      <c r="AR120" s="103" t="s">
        <v>211</v>
      </c>
      <c r="AS120" s="119" t="s">
        <v>210</v>
      </c>
      <c r="AT120" s="111">
        <v>720887.91968241916</v>
      </c>
      <c r="AU120" s="111">
        <v>784595.67437440774</v>
      </c>
      <c r="AV120" s="111">
        <v>746491.73576980887</v>
      </c>
      <c r="AW120" s="111">
        <v>808196.19358136377</v>
      </c>
      <c r="AX120" s="113">
        <v>1424487.42</v>
      </c>
      <c r="AY120" s="113">
        <v>1196357.4045000002</v>
      </c>
      <c r="AZ120" s="113">
        <v>721705.2470999998</v>
      </c>
      <c r="BA120" s="113"/>
      <c r="BB120" s="113"/>
      <c r="BC120" s="113"/>
      <c r="BD120" s="113"/>
      <c r="BE120" s="113"/>
      <c r="BF120" s="114">
        <f t="shared" si="152"/>
        <v>1424487.42</v>
      </c>
      <c r="BG120" s="114">
        <f t="shared" si="153"/>
        <v>1196357.4045000002</v>
      </c>
      <c r="BH120" s="114">
        <f t="shared" si="154"/>
        <v>721705.2470999998</v>
      </c>
      <c r="BI120" s="114">
        <f t="shared" si="155"/>
        <v>0</v>
      </c>
      <c r="BJ120" s="114">
        <f t="shared" si="325"/>
        <v>3342550.0715999999</v>
      </c>
      <c r="BK120" s="115">
        <f t="shared" si="358"/>
        <v>3060171.5234079994</v>
      </c>
      <c r="BL120" s="115">
        <f t="shared" si="156"/>
        <v>3060171.5234079994</v>
      </c>
      <c r="BM120" s="116">
        <f t="shared" si="157"/>
        <v>1.0923</v>
      </c>
      <c r="BN120" s="126">
        <f t="shared" ca="1" si="359"/>
        <v>0</v>
      </c>
      <c r="BO120" s="117">
        <f t="shared" ca="1" si="360"/>
        <v>0</v>
      </c>
      <c r="BP120" s="118" t="str">
        <f t="shared" si="361"/>
        <v>Uncapped</v>
      </c>
      <c r="BQ120" s="115">
        <f t="shared" ca="1" si="362"/>
        <v>0</v>
      </c>
      <c r="BR120" s="174" t="s">
        <v>762</v>
      </c>
      <c r="BS120" s="175">
        <v>0.3</v>
      </c>
      <c r="BT120" s="174" t="s">
        <v>211</v>
      </c>
      <c r="BU120" s="174" t="s">
        <v>210</v>
      </c>
      <c r="BV120" s="113">
        <v>2237916.9674079753</v>
      </c>
      <c r="BW120" s="113">
        <v>2593737.6672715819</v>
      </c>
      <c r="BX120" s="113">
        <v>2631062.6626689765</v>
      </c>
      <c r="BY120" s="113">
        <v>2613100.8468210953</v>
      </c>
      <c r="BZ120" s="113">
        <v>2333200.87</v>
      </c>
      <c r="CA120" s="113">
        <v>2209902.1916999999</v>
      </c>
      <c r="CB120" s="113">
        <v>1880202.3</v>
      </c>
      <c r="CC120" s="113">
        <f t="shared" si="352"/>
        <v>2613100.8468210953</v>
      </c>
      <c r="CD120" s="113"/>
      <c r="CE120" s="113"/>
      <c r="CF120" s="113"/>
      <c r="CG120" s="113"/>
      <c r="CH120" s="114">
        <f t="shared" si="158"/>
        <v>2333200.87</v>
      </c>
      <c r="CI120" s="114">
        <f t="shared" si="159"/>
        <v>2209902.1916999999</v>
      </c>
      <c r="CJ120" s="120">
        <f t="shared" si="160"/>
        <v>1880202.3</v>
      </c>
      <c r="CK120" s="114">
        <f t="shared" si="161"/>
        <v>2613100.8468210953</v>
      </c>
      <c r="CL120" s="114">
        <f t="shared" si="327"/>
        <v>9036406.2085210942</v>
      </c>
      <c r="CM120" s="114">
        <f t="shared" si="316"/>
        <v>10075818.14416963</v>
      </c>
      <c r="CN120" s="114">
        <f t="shared" si="162"/>
        <v>10075818.14416963</v>
      </c>
      <c r="CO120" s="116">
        <f t="shared" si="163"/>
        <v>0.89680000000000004</v>
      </c>
      <c r="CP120" s="126">
        <f t="shared" ca="1" si="164"/>
        <v>0</v>
      </c>
      <c r="CQ120" s="115">
        <f t="shared" ca="1" si="336"/>
        <v>0</v>
      </c>
      <c r="CR120" s="118" t="str">
        <f t="shared" si="328"/>
        <v>Uncapped</v>
      </c>
      <c r="CS120" s="115">
        <f t="shared" ca="1" si="337"/>
        <v>0</v>
      </c>
      <c r="CT120" s="113" t="s">
        <v>729</v>
      </c>
      <c r="CU120" s="119">
        <v>0.2</v>
      </c>
      <c r="CV120" s="113" t="s">
        <v>217</v>
      </c>
      <c r="CW120" s="113" t="s">
        <v>210</v>
      </c>
      <c r="CX120" s="113">
        <v>13631298.3753272</v>
      </c>
      <c r="CY120" s="113">
        <v>15463517.626933601</v>
      </c>
      <c r="CZ120" s="113">
        <v>15159650.061351301</v>
      </c>
      <c r="DA120" s="113">
        <v>16523055.704212198</v>
      </c>
      <c r="DB120" s="113">
        <v>13485327.436090879</v>
      </c>
      <c r="DC120" s="113">
        <v>13198691</v>
      </c>
      <c r="DD120" s="113">
        <v>13923765.347779993</v>
      </c>
      <c r="DE120" s="113"/>
      <c r="DF120" s="113"/>
      <c r="DG120" s="113"/>
      <c r="DH120" s="113"/>
      <c r="DI120" s="113"/>
      <c r="DJ120" s="114">
        <f t="shared" si="165"/>
        <v>13485327.436090879</v>
      </c>
      <c r="DK120" s="114">
        <f t="shared" si="166"/>
        <v>13198691</v>
      </c>
      <c r="DL120" s="114">
        <f t="shared" si="167"/>
        <v>13923765.347779993</v>
      </c>
      <c r="DM120" s="114">
        <f t="shared" si="168"/>
        <v>0</v>
      </c>
      <c r="DN120" s="114">
        <f t="shared" si="329"/>
        <v>40607783.783870876</v>
      </c>
      <c r="DO120" s="114">
        <f t="shared" si="317"/>
        <v>60777521.7678243</v>
      </c>
      <c r="DP120" s="114">
        <f t="shared" si="169"/>
        <v>60777521.7678243</v>
      </c>
      <c r="DQ120" s="116">
        <f t="shared" si="170"/>
        <v>0.66810000000000003</v>
      </c>
      <c r="DR120" s="126">
        <f t="shared" ca="1" si="338"/>
        <v>0</v>
      </c>
      <c r="DS120" s="115">
        <f t="shared" ca="1" si="339"/>
        <v>0</v>
      </c>
      <c r="DT120" s="118" t="str">
        <f t="shared" si="330"/>
        <v>Uncapped</v>
      </c>
      <c r="DU120" s="115">
        <f t="shared" ca="1" si="340"/>
        <v>0</v>
      </c>
      <c r="DV120" s="113"/>
      <c r="DW120" s="119">
        <v>0</v>
      </c>
      <c r="DX120" s="113"/>
      <c r="DY120" s="113"/>
      <c r="DZ120" s="113">
        <v>0</v>
      </c>
      <c r="EA120" s="113">
        <v>0</v>
      </c>
      <c r="EB120" s="113">
        <v>0</v>
      </c>
      <c r="EC120" s="113">
        <v>0</v>
      </c>
      <c r="ED120" s="113">
        <v>0</v>
      </c>
      <c r="EE120" s="113">
        <v>0</v>
      </c>
      <c r="EF120" s="113"/>
      <c r="EG120" s="113"/>
      <c r="EH120" s="113"/>
      <c r="EI120" s="113"/>
      <c r="EJ120" s="113"/>
      <c r="EK120" s="113"/>
      <c r="EL120" s="114">
        <f t="shared" si="171"/>
        <v>0</v>
      </c>
      <c r="EM120" s="114">
        <f t="shared" si="172"/>
        <v>0</v>
      </c>
      <c r="EN120" s="114">
        <f t="shared" si="173"/>
        <v>0</v>
      </c>
      <c r="EO120" s="114">
        <f t="shared" si="174"/>
        <v>0</v>
      </c>
      <c r="EP120" s="114">
        <f t="shared" si="331"/>
        <v>0</v>
      </c>
      <c r="EQ120" s="114">
        <f t="shared" si="318"/>
        <v>0</v>
      </c>
      <c r="ER120" s="114">
        <f t="shared" si="175"/>
        <v>0</v>
      </c>
      <c r="ES120" s="116">
        <f t="shared" si="176"/>
        <v>0</v>
      </c>
      <c r="ET120" s="126">
        <f t="shared" ca="1" si="177"/>
        <v>0</v>
      </c>
      <c r="EU120" s="115">
        <f t="shared" ca="1" si="341"/>
        <v>0</v>
      </c>
      <c r="EV120" s="118" t="str">
        <f t="shared" si="332"/>
        <v>Uncapped</v>
      </c>
      <c r="EW120" s="115">
        <f t="shared" ca="1" si="342"/>
        <v>0</v>
      </c>
      <c r="EX120" s="112">
        <f t="shared" ca="1" si="343"/>
        <v>0</v>
      </c>
      <c r="EY120" s="114">
        <f t="shared" ca="1" si="178"/>
        <v>0</v>
      </c>
      <c r="EZ120" s="115">
        <v>0</v>
      </c>
      <c r="FA120" s="115"/>
      <c r="FB120" s="115"/>
      <c r="FC120" s="115">
        <v>0</v>
      </c>
      <c r="FD120" s="115">
        <f t="shared" si="319"/>
        <v>0</v>
      </c>
      <c r="FE120" s="114">
        <f t="shared" si="312"/>
        <v>0</v>
      </c>
      <c r="FF120" s="115">
        <v>0</v>
      </c>
      <c r="FG120" s="115">
        <v>0</v>
      </c>
      <c r="FH120" s="115">
        <v>0</v>
      </c>
      <c r="FI120" s="115">
        <v>0</v>
      </c>
      <c r="FJ120" s="115">
        <f t="shared" si="320"/>
        <v>0</v>
      </c>
      <c r="FK120" s="114">
        <f t="shared" si="313"/>
        <v>0</v>
      </c>
      <c r="FL120" s="113"/>
      <c r="FM120" s="111"/>
      <c r="FN120" s="111"/>
      <c r="FO120" s="111"/>
      <c r="FP120" s="115">
        <f t="shared" si="365"/>
        <v>0</v>
      </c>
      <c r="FQ120" s="115"/>
      <c r="FR120" s="115"/>
      <c r="FS120" s="115"/>
      <c r="FT120" s="114">
        <f t="shared" si="209"/>
        <v>0</v>
      </c>
      <c r="FU120" s="366">
        <f t="shared" ca="1" si="210"/>
        <v>0</v>
      </c>
      <c r="FV120" s="121">
        <f t="shared" ca="1" si="211"/>
        <v>0</v>
      </c>
      <c r="FW120" s="114">
        <f t="shared" si="366"/>
        <v>0</v>
      </c>
      <c r="FX120" s="114">
        <f t="shared" si="366"/>
        <v>0</v>
      </c>
      <c r="FY120" s="114">
        <f t="shared" si="366"/>
        <v>0</v>
      </c>
      <c r="FZ120" s="114">
        <f t="shared" si="366"/>
        <v>0</v>
      </c>
      <c r="GA120" s="114">
        <f t="shared" si="372"/>
        <v>0</v>
      </c>
      <c r="GB120" s="114">
        <f t="shared" si="367"/>
        <v>0</v>
      </c>
      <c r="GC120" s="114">
        <f t="shared" si="367"/>
        <v>0</v>
      </c>
      <c r="GD120" s="114">
        <f t="shared" si="367"/>
        <v>0</v>
      </c>
      <c r="GE120" s="114">
        <f t="shared" si="367"/>
        <v>0</v>
      </c>
      <c r="GF120" s="114">
        <f t="shared" si="368"/>
        <v>0</v>
      </c>
      <c r="GG120" s="114">
        <f t="shared" si="368"/>
        <v>0</v>
      </c>
      <c r="GH120" s="114">
        <f t="shared" si="368"/>
        <v>0</v>
      </c>
      <c r="GI120" s="114">
        <f t="shared" si="368"/>
        <v>0</v>
      </c>
      <c r="GJ120" s="115">
        <f t="shared" si="321"/>
        <v>0</v>
      </c>
      <c r="GK120" s="114">
        <f t="shared" si="369"/>
        <v>0</v>
      </c>
      <c r="GL120" s="114">
        <f t="shared" si="344"/>
        <v>0</v>
      </c>
      <c r="GM120" s="114">
        <f t="shared" si="345"/>
        <v>0</v>
      </c>
      <c r="GN120" s="114">
        <f t="shared" si="346"/>
        <v>0</v>
      </c>
      <c r="GO120" s="114">
        <f t="shared" si="347"/>
        <v>0</v>
      </c>
      <c r="GP120" s="114">
        <f t="shared" si="322"/>
        <v>0</v>
      </c>
      <c r="GQ120" s="114">
        <f t="shared" si="370"/>
        <v>0</v>
      </c>
      <c r="GR120" s="193"/>
      <c r="GS120" s="122">
        <f t="shared" si="348"/>
        <v>52986740.063991971</v>
      </c>
      <c r="GT120" s="122">
        <f t="shared" si="349"/>
        <v>73913511.435401931</v>
      </c>
      <c r="GU120" s="123">
        <f t="shared" si="371"/>
        <v>0.71687488572776992</v>
      </c>
      <c r="GV120" s="124">
        <f t="shared" ca="1" si="350"/>
        <v>0</v>
      </c>
      <c r="GW120" s="124">
        <v>0</v>
      </c>
      <c r="GX120" s="32">
        <f t="shared" ca="1" si="351"/>
        <v>0</v>
      </c>
      <c r="GY120" s="100"/>
    </row>
    <row r="121" spans="1:207" s="408" customFormat="1" hidden="1">
      <c r="C121" s="402"/>
      <c r="D121" s="402"/>
      <c r="E121" s="403"/>
      <c r="F121" s="403" t="s">
        <v>720</v>
      </c>
      <c r="G121" s="403" t="s">
        <v>226</v>
      </c>
      <c r="H121" s="105" t="s">
        <v>554</v>
      </c>
      <c r="I121" s="403" t="s">
        <v>588</v>
      </c>
      <c r="J121" s="403" t="s">
        <v>212</v>
      </c>
      <c r="K121" s="403" t="s">
        <v>544</v>
      </c>
      <c r="L121" s="403"/>
      <c r="M121" s="403"/>
      <c r="N121" s="404"/>
      <c r="O121" s="108">
        <v>42835</v>
      </c>
      <c r="P121" s="108">
        <v>42835</v>
      </c>
      <c r="Q121" s="323">
        <f t="shared" si="323"/>
        <v>0</v>
      </c>
      <c r="R121" s="109">
        <f>IF((P121-VLOOKUP(Q121,month!$A$1:$C$13,3,0))&lt;0,Q121,Q121+1)</f>
        <v>0</v>
      </c>
      <c r="S121" s="108"/>
      <c r="T121" s="110" t="str">
        <f t="shared" si="215"/>
        <v/>
      </c>
      <c r="U121" s="404"/>
      <c r="V121" s="404"/>
      <c r="W121" s="405"/>
      <c r="X121" s="405"/>
      <c r="Y121" s="492"/>
      <c r="Z121" s="406" t="s">
        <v>545</v>
      </c>
      <c r="AA121" s="394">
        <v>1000</v>
      </c>
      <c r="AB121" s="394">
        <v>1000</v>
      </c>
      <c r="AC121" s="394">
        <v>1000</v>
      </c>
      <c r="AD121" s="394">
        <v>1000</v>
      </c>
      <c r="AE121" s="394">
        <v>1000</v>
      </c>
      <c r="AF121" s="394">
        <v>1000</v>
      </c>
      <c r="AG121" s="394">
        <v>1000</v>
      </c>
      <c r="AH121" s="394">
        <v>1000</v>
      </c>
      <c r="AI121" s="394">
        <v>1000</v>
      </c>
      <c r="AJ121" s="394">
        <v>1000</v>
      </c>
      <c r="AK121" s="394">
        <v>1000</v>
      </c>
      <c r="AL121" s="394">
        <v>1000</v>
      </c>
      <c r="AM121" s="388">
        <f t="shared" si="314"/>
        <v>12000</v>
      </c>
      <c r="AN121" s="388">
        <f t="shared" si="324"/>
        <v>12000</v>
      </c>
      <c r="AO121" s="389">
        <f t="shared" si="364"/>
        <v>1000</v>
      </c>
      <c r="AP121" s="502" t="s">
        <v>739</v>
      </c>
      <c r="AQ121" s="159">
        <v>0.6</v>
      </c>
      <c r="AR121" s="103" t="s">
        <v>211</v>
      </c>
      <c r="AS121" s="119" t="s">
        <v>210</v>
      </c>
      <c r="AT121" s="111">
        <v>412797.63442605978</v>
      </c>
      <c r="AU121" s="111">
        <v>448483.33818445751</v>
      </c>
      <c r="AV121" s="111">
        <v>436286.62001220189</v>
      </c>
      <c r="AW121" s="111">
        <v>516477.91373291885</v>
      </c>
      <c r="AX121" s="113">
        <v>374753.24</v>
      </c>
      <c r="AY121" s="113">
        <v>598387.74569999962</v>
      </c>
      <c r="AZ121" s="113">
        <v>490681.8</v>
      </c>
      <c r="BA121" s="113"/>
      <c r="BB121" s="113"/>
      <c r="BC121" s="113"/>
      <c r="BD121" s="113"/>
      <c r="BE121" s="113"/>
      <c r="BF121" s="114">
        <f t="shared" si="152"/>
        <v>374753.24</v>
      </c>
      <c r="BG121" s="114">
        <f t="shared" si="153"/>
        <v>598387.74569999962</v>
      </c>
      <c r="BH121" s="114">
        <f t="shared" si="154"/>
        <v>490681.8</v>
      </c>
      <c r="BI121" s="114">
        <f t="shared" si="155"/>
        <v>0</v>
      </c>
      <c r="BJ121" s="114">
        <f t="shared" si="325"/>
        <v>1463822.7856999997</v>
      </c>
      <c r="BK121" s="115">
        <f t="shared" si="358"/>
        <v>1814045.5063556382</v>
      </c>
      <c r="BL121" s="115">
        <f t="shared" si="156"/>
        <v>1814045.5063556382</v>
      </c>
      <c r="BM121" s="116">
        <f t="shared" si="157"/>
        <v>0.80689999999999995</v>
      </c>
      <c r="BN121" s="126">
        <f t="shared" ca="1" si="359"/>
        <v>0</v>
      </c>
      <c r="BO121" s="117">
        <f t="shared" ca="1" si="360"/>
        <v>0</v>
      </c>
      <c r="BP121" s="118" t="str">
        <f t="shared" si="361"/>
        <v>Uncapped</v>
      </c>
      <c r="BQ121" s="115">
        <f t="shared" ca="1" si="362"/>
        <v>0</v>
      </c>
      <c r="BR121" s="174" t="s">
        <v>763</v>
      </c>
      <c r="BS121" s="175">
        <v>0.2</v>
      </c>
      <c r="BT121" s="174" t="s">
        <v>211</v>
      </c>
      <c r="BU121" s="174" t="s">
        <v>210</v>
      </c>
      <c r="BV121" s="113">
        <v>27858.6041825213</v>
      </c>
      <c r="BW121" s="113">
        <v>33436</v>
      </c>
      <c r="BX121" s="113">
        <v>34244.015631769202</v>
      </c>
      <c r="BY121" s="113">
        <v>41220.548387740899</v>
      </c>
      <c r="BZ121" s="113">
        <v>39923.42</v>
      </c>
      <c r="CA121" s="113">
        <v>46457.370000000024</v>
      </c>
      <c r="CB121" s="113">
        <v>51035.850000000013</v>
      </c>
      <c r="CC121" s="113">
        <f t="shared" si="352"/>
        <v>41220.548387740899</v>
      </c>
      <c r="CD121" s="113"/>
      <c r="CE121" s="113"/>
      <c r="CF121" s="113"/>
      <c r="CG121" s="113"/>
      <c r="CH121" s="114">
        <f t="shared" si="158"/>
        <v>39923.42</v>
      </c>
      <c r="CI121" s="114">
        <f t="shared" si="159"/>
        <v>46457.370000000024</v>
      </c>
      <c r="CJ121" s="120">
        <f t="shared" si="160"/>
        <v>51035.850000000013</v>
      </c>
      <c r="CK121" s="114">
        <f t="shared" si="161"/>
        <v>41220.548387740899</v>
      </c>
      <c r="CL121" s="114">
        <f t="shared" si="327"/>
        <v>178637.18838774093</v>
      </c>
      <c r="CM121" s="114">
        <f t="shared" si="316"/>
        <v>136759.1682020314</v>
      </c>
      <c r="CN121" s="114">
        <f t="shared" si="162"/>
        <v>136759.1682020314</v>
      </c>
      <c r="CO121" s="116">
        <f t="shared" si="163"/>
        <v>1.3062</v>
      </c>
      <c r="CP121" s="126">
        <f t="shared" ca="1" si="164"/>
        <v>0</v>
      </c>
      <c r="CQ121" s="115">
        <f t="shared" ca="1" si="336"/>
        <v>0</v>
      </c>
      <c r="CR121" s="118" t="str">
        <f t="shared" si="328"/>
        <v>Uncapped</v>
      </c>
      <c r="CS121" s="115">
        <f t="shared" ca="1" si="337"/>
        <v>0</v>
      </c>
      <c r="CT121" s="113" t="s">
        <v>734</v>
      </c>
      <c r="CU121" s="119">
        <v>0.2</v>
      </c>
      <c r="CV121" s="113" t="s">
        <v>217</v>
      </c>
      <c r="CW121" s="113" t="s">
        <v>735</v>
      </c>
      <c r="CX121" s="113">
        <v>4332720.3217541184</v>
      </c>
      <c r="CY121" s="113">
        <v>4778527.2500066841</v>
      </c>
      <c r="CZ121" s="113">
        <v>4616888.1107896138</v>
      </c>
      <c r="DA121" s="113">
        <v>4787499.8855306264</v>
      </c>
      <c r="DB121" s="113">
        <v>4218409.7</v>
      </c>
      <c r="DC121" s="113">
        <v>4427269.8909500409</v>
      </c>
      <c r="DD121" s="113">
        <v>3879830.89</v>
      </c>
      <c r="DE121" s="113"/>
      <c r="DF121" s="113"/>
      <c r="DG121" s="113"/>
      <c r="DH121" s="113"/>
      <c r="DI121" s="113"/>
      <c r="DJ121" s="114">
        <f t="shared" si="165"/>
        <v>4218409.7</v>
      </c>
      <c r="DK121" s="114">
        <f t="shared" si="166"/>
        <v>4427269.8909500409</v>
      </c>
      <c r="DL121" s="114">
        <f t="shared" si="167"/>
        <v>3879830.89</v>
      </c>
      <c r="DM121" s="114">
        <f t="shared" si="168"/>
        <v>0</v>
      </c>
      <c r="DN121" s="114">
        <f t="shared" si="329"/>
        <v>12525510.480950043</v>
      </c>
      <c r="DO121" s="114">
        <f t="shared" si="317"/>
        <v>18515635.568081044</v>
      </c>
      <c r="DP121" s="114">
        <f t="shared" si="169"/>
        <v>18515635.568081044</v>
      </c>
      <c r="DQ121" s="116">
        <f t="shared" si="170"/>
        <v>0.67649999999999999</v>
      </c>
      <c r="DR121" s="126">
        <f t="shared" ca="1" si="338"/>
        <v>0</v>
      </c>
      <c r="DS121" s="115">
        <f t="shared" ca="1" si="339"/>
        <v>0</v>
      </c>
      <c r="DT121" s="118" t="str">
        <f t="shared" si="330"/>
        <v>Uncapped</v>
      </c>
      <c r="DU121" s="115">
        <f t="shared" ca="1" si="340"/>
        <v>0</v>
      </c>
      <c r="DV121" s="113"/>
      <c r="DW121" s="119">
        <v>0</v>
      </c>
      <c r="DX121" s="113"/>
      <c r="DY121" s="113"/>
      <c r="DZ121" s="113">
        <v>0</v>
      </c>
      <c r="EA121" s="113">
        <v>0</v>
      </c>
      <c r="EB121" s="113">
        <v>0</v>
      </c>
      <c r="EC121" s="113">
        <v>0</v>
      </c>
      <c r="ED121" s="113">
        <v>0</v>
      </c>
      <c r="EE121" s="113">
        <v>0</v>
      </c>
      <c r="EF121" s="113"/>
      <c r="EG121" s="113"/>
      <c r="EH121" s="113"/>
      <c r="EI121" s="113"/>
      <c r="EJ121" s="113"/>
      <c r="EK121" s="113"/>
      <c r="EL121" s="114">
        <f t="shared" si="171"/>
        <v>0</v>
      </c>
      <c r="EM121" s="114">
        <f t="shared" si="172"/>
        <v>0</v>
      </c>
      <c r="EN121" s="114">
        <f t="shared" si="173"/>
        <v>0</v>
      </c>
      <c r="EO121" s="114">
        <f t="shared" si="174"/>
        <v>0</v>
      </c>
      <c r="EP121" s="114">
        <f t="shared" si="331"/>
        <v>0</v>
      </c>
      <c r="EQ121" s="114">
        <f t="shared" si="318"/>
        <v>0</v>
      </c>
      <c r="ER121" s="114">
        <f t="shared" si="175"/>
        <v>0</v>
      </c>
      <c r="ES121" s="116">
        <f t="shared" si="176"/>
        <v>0</v>
      </c>
      <c r="ET121" s="126">
        <f t="shared" ca="1" si="177"/>
        <v>0</v>
      </c>
      <c r="EU121" s="115">
        <f t="shared" ca="1" si="341"/>
        <v>0</v>
      </c>
      <c r="EV121" s="118" t="str">
        <f t="shared" si="332"/>
        <v>Uncapped</v>
      </c>
      <c r="EW121" s="115">
        <f t="shared" ca="1" si="342"/>
        <v>0</v>
      </c>
      <c r="EX121" s="112">
        <f t="shared" ca="1" si="343"/>
        <v>0</v>
      </c>
      <c r="EY121" s="114">
        <f t="shared" ca="1" si="178"/>
        <v>0</v>
      </c>
      <c r="EZ121" s="115">
        <v>0</v>
      </c>
      <c r="FA121" s="115"/>
      <c r="FB121" s="115"/>
      <c r="FC121" s="115">
        <v>0</v>
      </c>
      <c r="FD121" s="115">
        <f t="shared" si="319"/>
        <v>0</v>
      </c>
      <c r="FE121" s="114">
        <f t="shared" si="312"/>
        <v>0</v>
      </c>
      <c r="FF121" s="115">
        <v>0</v>
      </c>
      <c r="FG121" s="115">
        <v>0</v>
      </c>
      <c r="FH121" s="115">
        <v>0</v>
      </c>
      <c r="FI121" s="115">
        <v>0</v>
      </c>
      <c r="FJ121" s="115">
        <f t="shared" si="320"/>
        <v>0</v>
      </c>
      <c r="FK121" s="114">
        <f t="shared" si="313"/>
        <v>0</v>
      </c>
      <c r="FL121" s="113"/>
      <c r="FM121" s="111"/>
      <c r="FN121" s="111"/>
      <c r="FO121" s="111"/>
      <c r="FP121" s="115">
        <f t="shared" si="365"/>
        <v>0</v>
      </c>
      <c r="FQ121" s="115"/>
      <c r="FR121" s="115"/>
      <c r="FS121" s="115"/>
      <c r="FT121" s="114">
        <f t="shared" si="209"/>
        <v>0</v>
      </c>
      <c r="FU121" s="407">
        <f t="shared" ca="1" si="210"/>
        <v>0</v>
      </c>
      <c r="FV121" s="112">
        <f t="shared" ca="1" si="211"/>
        <v>0</v>
      </c>
      <c r="FW121" s="114">
        <f t="shared" si="366"/>
        <v>0</v>
      </c>
      <c r="FX121" s="114">
        <f t="shared" si="366"/>
        <v>0</v>
      </c>
      <c r="FY121" s="114">
        <f t="shared" si="366"/>
        <v>0</v>
      </c>
      <c r="FZ121" s="114">
        <f t="shared" si="366"/>
        <v>0</v>
      </c>
      <c r="GA121" s="114">
        <f t="shared" si="372"/>
        <v>0</v>
      </c>
      <c r="GB121" s="114">
        <f t="shared" si="367"/>
        <v>0</v>
      </c>
      <c r="GC121" s="114">
        <f t="shared" si="367"/>
        <v>0</v>
      </c>
      <c r="GD121" s="114">
        <f t="shared" si="367"/>
        <v>0</v>
      </c>
      <c r="GE121" s="114">
        <f t="shared" si="367"/>
        <v>0</v>
      </c>
      <c r="GF121" s="114">
        <f t="shared" si="368"/>
        <v>0</v>
      </c>
      <c r="GG121" s="114">
        <f t="shared" si="368"/>
        <v>0</v>
      </c>
      <c r="GH121" s="114">
        <f t="shared" si="368"/>
        <v>0</v>
      </c>
      <c r="GI121" s="114">
        <f t="shared" si="368"/>
        <v>0</v>
      </c>
      <c r="GJ121" s="115">
        <f t="shared" si="321"/>
        <v>0</v>
      </c>
      <c r="GK121" s="114">
        <f t="shared" si="369"/>
        <v>0</v>
      </c>
      <c r="GL121" s="114">
        <f t="shared" si="344"/>
        <v>0</v>
      </c>
      <c r="GM121" s="114">
        <f t="shared" si="345"/>
        <v>0</v>
      </c>
      <c r="GN121" s="114">
        <f t="shared" si="346"/>
        <v>0</v>
      </c>
      <c r="GO121" s="114">
        <f t="shared" si="347"/>
        <v>0</v>
      </c>
      <c r="GP121" s="114">
        <f t="shared" si="322"/>
        <v>0</v>
      </c>
      <c r="GQ121" s="114">
        <f t="shared" si="370"/>
        <v>0</v>
      </c>
      <c r="GR121" s="193"/>
      <c r="GS121" s="122">
        <f t="shared" si="348"/>
        <v>14167970.455037784</v>
      </c>
      <c r="GT121" s="122">
        <f t="shared" si="349"/>
        <v>20466440.242638715</v>
      </c>
      <c r="GU121" s="123">
        <f t="shared" si="371"/>
        <v>0.69225377188559511</v>
      </c>
      <c r="GV121" s="124">
        <f t="shared" ca="1" si="350"/>
        <v>0</v>
      </c>
      <c r="GW121" s="124">
        <v>0</v>
      </c>
      <c r="GX121" s="32">
        <f t="shared" ca="1" si="351"/>
        <v>0</v>
      </c>
      <c r="GY121" s="100"/>
    </row>
    <row r="122" spans="1:207" s="408" customFormat="1" hidden="1">
      <c r="C122" s="402"/>
      <c r="D122" s="402"/>
      <c r="E122" s="403"/>
      <c r="F122" s="403" t="s">
        <v>720</v>
      </c>
      <c r="G122" s="403" t="s">
        <v>226</v>
      </c>
      <c r="H122" s="105" t="s">
        <v>555</v>
      </c>
      <c r="I122" s="403" t="s">
        <v>589</v>
      </c>
      <c r="J122" s="403" t="s">
        <v>212</v>
      </c>
      <c r="K122" s="403" t="s">
        <v>544</v>
      </c>
      <c r="L122" s="403"/>
      <c r="M122" s="403"/>
      <c r="N122" s="404"/>
      <c r="O122" s="108">
        <v>43398</v>
      </c>
      <c r="P122" s="108">
        <v>43398</v>
      </c>
      <c r="Q122" s="323">
        <f t="shared" si="323"/>
        <v>0</v>
      </c>
      <c r="R122" s="109">
        <f>IF((P122-VLOOKUP(Q122,month!$A$1:$C$13,3,0))&lt;0,Q122,Q122+1)</f>
        <v>0</v>
      </c>
      <c r="S122" s="108"/>
      <c r="T122" s="110" t="str">
        <f t="shared" si="215"/>
        <v/>
      </c>
      <c r="U122" s="404"/>
      <c r="V122" s="404"/>
      <c r="W122" s="405"/>
      <c r="X122" s="405"/>
      <c r="Y122" s="492"/>
      <c r="Z122" s="406" t="s">
        <v>545</v>
      </c>
      <c r="AA122" s="394">
        <v>1000</v>
      </c>
      <c r="AB122" s="394">
        <v>1000</v>
      </c>
      <c r="AC122" s="394">
        <v>1000</v>
      </c>
      <c r="AD122" s="394">
        <v>1000</v>
      </c>
      <c r="AE122" s="394">
        <v>1000</v>
      </c>
      <c r="AF122" s="394">
        <v>1000</v>
      </c>
      <c r="AG122" s="394">
        <v>1000</v>
      </c>
      <c r="AH122" s="394">
        <v>1000</v>
      </c>
      <c r="AI122" s="394">
        <v>1000</v>
      </c>
      <c r="AJ122" s="394">
        <v>1000</v>
      </c>
      <c r="AK122" s="394">
        <v>1000</v>
      </c>
      <c r="AL122" s="394">
        <v>1000</v>
      </c>
      <c r="AM122" s="388">
        <f t="shared" si="314"/>
        <v>12000</v>
      </c>
      <c r="AN122" s="388">
        <f t="shared" si="324"/>
        <v>12000</v>
      </c>
      <c r="AO122" s="389">
        <f t="shared" si="364"/>
        <v>1000</v>
      </c>
      <c r="AP122" s="502" t="s">
        <v>739</v>
      </c>
      <c r="AQ122" s="159">
        <v>0.4</v>
      </c>
      <c r="AR122" s="103" t="s">
        <v>211</v>
      </c>
      <c r="AS122" s="119" t="s">
        <v>210</v>
      </c>
      <c r="AT122" s="111">
        <v>412797.63442605978</v>
      </c>
      <c r="AU122" s="111">
        <v>448483.33818445751</v>
      </c>
      <c r="AV122" s="111">
        <v>436286.62001220189</v>
      </c>
      <c r="AW122" s="111">
        <v>516477.91373291885</v>
      </c>
      <c r="AX122" s="113">
        <v>374753.24</v>
      </c>
      <c r="AY122" s="113">
        <v>598387.74569999962</v>
      </c>
      <c r="AZ122" s="113">
        <v>490681.8</v>
      </c>
      <c r="BA122" s="113"/>
      <c r="BB122" s="113"/>
      <c r="BC122" s="113"/>
      <c r="BD122" s="113"/>
      <c r="BE122" s="113"/>
      <c r="BF122" s="114">
        <f t="shared" si="152"/>
        <v>374753.24</v>
      </c>
      <c r="BG122" s="114">
        <f t="shared" si="153"/>
        <v>598387.74569999962</v>
      </c>
      <c r="BH122" s="114">
        <f t="shared" si="154"/>
        <v>490681.8</v>
      </c>
      <c r="BI122" s="114">
        <f t="shared" si="155"/>
        <v>0</v>
      </c>
      <c r="BJ122" s="114">
        <f t="shared" si="325"/>
        <v>1463822.7856999997</v>
      </c>
      <c r="BK122" s="115">
        <f t="shared" si="358"/>
        <v>1814045.5063556382</v>
      </c>
      <c r="BL122" s="115">
        <f t="shared" si="156"/>
        <v>1814045.5063556382</v>
      </c>
      <c r="BM122" s="116">
        <f t="shared" si="157"/>
        <v>0.80689999999999995</v>
      </c>
      <c r="BN122" s="126">
        <f t="shared" ca="1" si="359"/>
        <v>0</v>
      </c>
      <c r="BO122" s="117">
        <f t="shared" ca="1" si="360"/>
        <v>0</v>
      </c>
      <c r="BP122" s="118" t="str">
        <f t="shared" si="361"/>
        <v>Uncapped</v>
      </c>
      <c r="BQ122" s="115">
        <f t="shared" ca="1" si="362"/>
        <v>0</v>
      </c>
      <c r="BR122" s="174" t="s">
        <v>740</v>
      </c>
      <c r="BS122" s="175">
        <v>0.4</v>
      </c>
      <c r="BT122" s="174" t="s">
        <v>211</v>
      </c>
      <c r="BU122" s="174" t="s">
        <v>210</v>
      </c>
      <c r="BV122" s="113">
        <v>5205901.7546552001</v>
      </c>
      <c r="BW122" s="113">
        <v>6041740.1313270004</v>
      </c>
      <c r="BX122" s="113">
        <v>5756053.1908810986</v>
      </c>
      <c r="BY122" s="113">
        <v>6160067.2421446964</v>
      </c>
      <c r="BZ122" s="113">
        <v>5515068.8665199988</v>
      </c>
      <c r="CA122" s="113">
        <v>5778683</v>
      </c>
      <c r="CB122" s="113">
        <f>3919994.43121+1172274.56879</f>
        <v>5092269</v>
      </c>
      <c r="CC122" s="113">
        <f t="shared" si="352"/>
        <v>6160067.2421446964</v>
      </c>
      <c r="CD122" s="113"/>
      <c r="CE122" s="113"/>
      <c r="CF122" s="113"/>
      <c r="CG122" s="113"/>
      <c r="CH122" s="114">
        <f t="shared" si="158"/>
        <v>5515068.8665199988</v>
      </c>
      <c r="CI122" s="114">
        <f t="shared" si="159"/>
        <v>5778683</v>
      </c>
      <c r="CJ122" s="120">
        <f t="shared" si="160"/>
        <v>5092269</v>
      </c>
      <c r="CK122" s="114">
        <f t="shared" si="161"/>
        <v>6160067.2421446964</v>
      </c>
      <c r="CL122" s="114">
        <f t="shared" si="327"/>
        <v>22546088.108664695</v>
      </c>
      <c r="CM122" s="114">
        <f t="shared" si="316"/>
        <v>23163762.319007996</v>
      </c>
      <c r="CN122" s="114">
        <f t="shared" si="162"/>
        <v>23163762.319007996</v>
      </c>
      <c r="CO122" s="116">
        <f t="shared" si="163"/>
        <v>0.97330000000000005</v>
      </c>
      <c r="CP122" s="126">
        <f t="shared" ca="1" si="164"/>
        <v>0</v>
      </c>
      <c r="CQ122" s="115">
        <f t="shared" ca="1" si="336"/>
        <v>0</v>
      </c>
      <c r="CR122" s="118" t="str">
        <f t="shared" si="328"/>
        <v>Uncapped</v>
      </c>
      <c r="CS122" s="115">
        <f t="shared" ca="1" si="337"/>
        <v>0</v>
      </c>
      <c r="CT122" s="113" t="s">
        <v>733</v>
      </c>
      <c r="CU122" s="119">
        <v>0.2</v>
      </c>
      <c r="CV122" s="113" t="s">
        <v>217</v>
      </c>
      <c r="CW122" s="113" t="s">
        <v>210</v>
      </c>
      <c r="CX122" s="113">
        <v>4332720.3217541184</v>
      </c>
      <c r="CY122" s="113">
        <v>4778527.2500066841</v>
      </c>
      <c r="CZ122" s="113">
        <v>4616888.1107896138</v>
      </c>
      <c r="DA122" s="113">
        <v>4787499.8855306264</v>
      </c>
      <c r="DB122" s="113">
        <v>4218409.7</v>
      </c>
      <c r="DC122" s="113">
        <v>4427269.8909500409</v>
      </c>
      <c r="DD122" s="113">
        <v>3879830.89</v>
      </c>
      <c r="DE122" s="113"/>
      <c r="DF122" s="113"/>
      <c r="DG122" s="113"/>
      <c r="DH122" s="113"/>
      <c r="DI122" s="113"/>
      <c r="DJ122" s="114">
        <f t="shared" si="165"/>
        <v>4218409.7</v>
      </c>
      <c r="DK122" s="114">
        <f t="shared" si="166"/>
        <v>4427269.8909500409</v>
      </c>
      <c r="DL122" s="114">
        <f t="shared" si="167"/>
        <v>3879830.89</v>
      </c>
      <c r="DM122" s="114">
        <f t="shared" si="168"/>
        <v>0</v>
      </c>
      <c r="DN122" s="114">
        <f t="shared" si="329"/>
        <v>12525510.480950043</v>
      </c>
      <c r="DO122" s="114">
        <f t="shared" si="317"/>
        <v>18515635.568081044</v>
      </c>
      <c r="DP122" s="114">
        <f t="shared" si="169"/>
        <v>18515635.568081044</v>
      </c>
      <c r="DQ122" s="116">
        <f t="shared" si="170"/>
        <v>0.67649999999999999</v>
      </c>
      <c r="DR122" s="126">
        <f t="shared" ca="1" si="338"/>
        <v>0</v>
      </c>
      <c r="DS122" s="115">
        <f t="shared" ca="1" si="339"/>
        <v>0</v>
      </c>
      <c r="DT122" s="118" t="str">
        <f t="shared" si="330"/>
        <v>Uncapped</v>
      </c>
      <c r="DU122" s="115">
        <f t="shared" ca="1" si="340"/>
        <v>0</v>
      </c>
      <c r="DV122" s="113"/>
      <c r="DW122" s="119">
        <v>0</v>
      </c>
      <c r="DX122" s="113"/>
      <c r="DY122" s="113"/>
      <c r="DZ122" s="113">
        <v>0</v>
      </c>
      <c r="EA122" s="113">
        <v>0</v>
      </c>
      <c r="EB122" s="113">
        <v>0</v>
      </c>
      <c r="EC122" s="113">
        <v>0</v>
      </c>
      <c r="ED122" s="113">
        <v>0</v>
      </c>
      <c r="EE122" s="113">
        <v>0</v>
      </c>
      <c r="EF122" s="113"/>
      <c r="EG122" s="113"/>
      <c r="EH122" s="113"/>
      <c r="EI122" s="113"/>
      <c r="EJ122" s="113"/>
      <c r="EK122" s="113"/>
      <c r="EL122" s="114">
        <f t="shared" si="171"/>
        <v>0</v>
      </c>
      <c r="EM122" s="114">
        <f t="shared" si="172"/>
        <v>0</v>
      </c>
      <c r="EN122" s="114">
        <f t="shared" si="173"/>
        <v>0</v>
      </c>
      <c r="EO122" s="114">
        <f t="shared" si="174"/>
        <v>0</v>
      </c>
      <c r="EP122" s="114">
        <f t="shared" si="331"/>
        <v>0</v>
      </c>
      <c r="EQ122" s="114">
        <f t="shared" si="318"/>
        <v>0</v>
      </c>
      <c r="ER122" s="114">
        <f t="shared" si="175"/>
        <v>0</v>
      </c>
      <c r="ES122" s="116">
        <f t="shared" si="176"/>
        <v>0</v>
      </c>
      <c r="ET122" s="126">
        <f t="shared" ca="1" si="177"/>
        <v>0</v>
      </c>
      <c r="EU122" s="115">
        <f t="shared" ca="1" si="341"/>
        <v>0</v>
      </c>
      <c r="EV122" s="118" t="str">
        <f t="shared" si="332"/>
        <v>Uncapped</v>
      </c>
      <c r="EW122" s="115">
        <f t="shared" ca="1" si="342"/>
        <v>0</v>
      </c>
      <c r="EX122" s="112">
        <f t="shared" ca="1" si="343"/>
        <v>0</v>
      </c>
      <c r="EY122" s="114">
        <f t="shared" ca="1" si="178"/>
        <v>0</v>
      </c>
      <c r="EZ122" s="115">
        <v>0</v>
      </c>
      <c r="FA122" s="115"/>
      <c r="FB122" s="115"/>
      <c r="FC122" s="115">
        <v>0</v>
      </c>
      <c r="FD122" s="115">
        <f t="shared" si="319"/>
        <v>0</v>
      </c>
      <c r="FE122" s="114">
        <f t="shared" si="312"/>
        <v>0</v>
      </c>
      <c r="FF122" s="115">
        <v>0</v>
      </c>
      <c r="FG122" s="115">
        <v>0</v>
      </c>
      <c r="FH122" s="115">
        <v>0</v>
      </c>
      <c r="FI122" s="115">
        <v>0</v>
      </c>
      <c r="FJ122" s="115">
        <f t="shared" si="320"/>
        <v>0</v>
      </c>
      <c r="FK122" s="114">
        <f t="shared" si="313"/>
        <v>0</v>
      </c>
      <c r="FL122" s="113"/>
      <c r="FM122" s="111"/>
      <c r="FN122" s="111"/>
      <c r="FO122" s="111"/>
      <c r="FP122" s="115">
        <f t="shared" si="365"/>
        <v>0</v>
      </c>
      <c r="FQ122" s="115"/>
      <c r="FR122" s="115"/>
      <c r="FS122" s="115"/>
      <c r="FT122" s="114">
        <f t="shared" si="209"/>
        <v>0</v>
      </c>
      <c r="FU122" s="366">
        <f t="shared" ca="1" si="210"/>
        <v>0</v>
      </c>
      <c r="FV122" s="121">
        <f t="shared" ca="1" si="211"/>
        <v>0</v>
      </c>
      <c r="FW122" s="114">
        <f t="shared" si="366"/>
        <v>0</v>
      </c>
      <c r="FX122" s="114">
        <f t="shared" si="366"/>
        <v>0</v>
      </c>
      <c r="FY122" s="114">
        <f t="shared" si="366"/>
        <v>0</v>
      </c>
      <c r="FZ122" s="114">
        <f t="shared" si="366"/>
        <v>0</v>
      </c>
      <c r="GA122" s="114">
        <f t="shared" si="372"/>
        <v>0</v>
      </c>
      <c r="GB122" s="114">
        <f t="shared" si="367"/>
        <v>0</v>
      </c>
      <c r="GC122" s="114">
        <f t="shared" si="367"/>
        <v>0</v>
      </c>
      <c r="GD122" s="114">
        <f t="shared" si="367"/>
        <v>0</v>
      </c>
      <c r="GE122" s="114">
        <f t="shared" si="367"/>
        <v>0</v>
      </c>
      <c r="GF122" s="114">
        <f t="shared" si="368"/>
        <v>0</v>
      </c>
      <c r="GG122" s="114">
        <f t="shared" si="368"/>
        <v>0</v>
      </c>
      <c r="GH122" s="114">
        <f t="shared" si="368"/>
        <v>0</v>
      </c>
      <c r="GI122" s="114">
        <f t="shared" si="368"/>
        <v>0</v>
      </c>
      <c r="GJ122" s="115">
        <f t="shared" si="321"/>
        <v>0</v>
      </c>
      <c r="GK122" s="114">
        <f t="shared" si="369"/>
        <v>0</v>
      </c>
      <c r="GL122" s="114">
        <f t="shared" si="344"/>
        <v>0</v>
      </c>
      <c r="GM122" s="114">
        <f t="shared" si="345"/>
        <v>0</v>
      </c>
      <c r="GN122" s="114">
        <f t="shared" si="346"/>
        <v>0</v>
      </c>
      <c r="GO122" s="114">
        <f t="shared" si="347"/>
        <v>0</v>
      </c>
      <c r="GP122" s="114">
        <f t="shared" si="322"/>
        <v>0</v>
      </c>
      <c r="GQ122" s="114">
        <f t="shared" si="370"/>
        <v>0</v>
      </c>
      <c r="GR122" s="193"/>
      <c r="GS122" s="122">
        <f t="shared" si="348"/>
        <v>36535421.375314742</v>
      </c>
      <c r="GT122" s="122">
        <f t="shared" si="349"/>
        <v>43493443.39344468</v>
      </c>
      <c r="GU122" s="123">
        <f t="shared" si="371"/>
        <v>0.84002135781278131</v>
      </c>
      <c r="GV122" s="124">
        <f t="shared" ca="1" si="350"/>
        <v>0</v>
      </c>
      <c r="GW122" s="124">
        <v>0</v>
      </c>
      <c r="GX122" s="32">
        <f t="shared" ca="1" si="351"/>
        <v>0</v>
      </c>
      <c r="GY122" s="100"/>
    </row>
    <row r="123" spans="1:207" s="408" customFormat="1" hidden="1">
      <c r="C123" s="402"/>
      <c r="D123" s="402"/>
      <c r="E123" s="403"/>
      <c r="F123" s="403" t="s">
        <v>720</v>
      </c>
      <c r="G123" s="403" t="s">
        <v>226</v>
      </c>
      <c r="H123" s="105" t="s">
        <v>556</v>
      </c>
      <c r="I123" s="403" t="s">
        <v>590</v>
      </c>
      <c r="J123" s="403" t="s">
        <v>212</v>
      </c>
      <c r="K123" s="403" t="s">
        <v>544</v>
      </c>
      <c r="L123" s="403"/>
      <c r="M123" s="403"/>
      <c r="N123" s="404"/>
      <c r="O123" s="108">
        <v>43003</v>
      </c>
      <c r="P123" s="108">
        <v>43003</v>
      </c>
      <c r="Q123" s="323">
        <f t="shared" si="323"/>
        <v>0</v>
      </c>
      <c r="R123" s="109">
        <f>IF((P123-VLOOKUP(Q123,month!$A$1:$C$13,3,0))&lt;0,Q123,Q123+1)</f>
        <v>0</v>
      </c>
      <c r="S123" s="108"/>
      <c r="T123" s="110" t="str">
        <f t="shared" si="215"/>
        <v/>
      </c>
      <c r="U123" s="404"/>
      <c r="V123" s="404"/>
      <c r="W123" s="405"/>
      <c r="X123" s="405"/>
      <c r="Y123" s="492"/>
      <c r="Z123" s="406" t="s">
        <v>545</v>
      </c>
      <c r="AA123" s="394">
        <v>1000</v>
      </c>
      <c r="AB123" s="394">
        <v>1000</v>
      </c>
      <c r="AC123" s="394">
        <v>1000</v>
      </c>
      <c r="AD123" s="394">
        <v>1000</v>
      </c>
      <c r="AE123" s="394">
        <v>1000</v>
      </c>
      <c r="AF123" s="394">
        <v>1000</v>
      </c>
      <c r="AG123" s="394">
        <v>1000</v>
      </c>
      <c r="AH123" s="394">
        <v>1000</v>
      </c>
      <c r="AI123" s="394">
        <v>1000</v>
      </c>
      <c r="AJ123" s="394">
        <v>1000</v>
      </c>
      <c r="AK123" s="394">
        <v>1000</v>
      </c>
      <c r="AL123" s="394">
        <v>1000</v>
      </c>
      <c r="AM123" s="388">
        <f t="shared" ref="AM123:AM153" si="373">IF($H$2=1,SUM(AA123:AC123),IF($H$2=2,SUM(AA123:AF123),IF($H$2=3,SUM(AA123:AI123),SUM(AA123:AL123))))</f>
        <v>12000</v>
      </c>
      <c r="AN123" s="388">
        <f t="shared" si="324"/>
        <v>12000</v>
      </c>
      <c r="AO123" s="389">
        <f t="shared" si="364"/>
        <v>1000</v>
      </c>
      <c r="AP123" s="502" t="s">
        <v>739</v>
      </c>
      <c r="AQ123" s="159">
        <v>0.5</v>
      </c>
      <c r="AR123" s="103" t="s">
        <v>211</v>
      </c>
      <c r="AS123" s="119" t="s">
        <v>210</v>
      </c>
      <c r="AT123" s="111">
        <v>1817911.2699174744</v>
      </c>
      <c r="AU123" s="111">
        <v>1963207.6517371542</v>
      </c>
      <c r="AV123" s="111">
        <v>1938737.6633645268</v>
      </c>
      <c r="AW123" s="111">
        <v>2382885.3654021272</v>
      </c>
      <c r="AX123" s="113">
        <v>583092.06000000006</v>
      </c>
      <c r="AY123" s="113">
        <v>530043.22000000009</v>
      </c>
      <c r="AZ123" s="113">
        <v>1308417.72</v>
      </c>
      <c r="BA123" s="113"/>
      <c r="BB123" s="113"/>
      <c r="BC123" s="113"/>
      <c r="BD123" s="113"/>
      <c r="BE123" s="113"/>
      <c r="BF123" s="114">
        <f t="shared" ref="BF123:BF165" si="374">AX123+BB123</f>
        <v>583092.06000000006</v>
      </c>
      <c r="BG123" s="114">
        <f t="shared" ref="BG123:BG165" si="375">AY123+BC123</f>
        <v>530043.22000000009</v>
      </c>
      <c r="BH123" s="114">
        <f t="shared" ref="BH123:BH165" si="376">AZ123+BD123</f>
        <v>1308417.72</v>
      </c>
      <c r="BI123" s="114">
        <f t="shared" ref="BI123:BI165" si="377">BA123+BE123</f>
        <v>0</v>
      </c>
      <c r="BJ123" s="114">
        <f t="shared" si="325"/>
        <v>2421553</v>
      </c>
      <c r="BK123" s="115">
        <f t="shared" si="358"/>
        <v>8102741.950421283</v>
      </c>
      <c r="BL123" s="115">
        <f t="shared" ref="BL123:BL165" si="378">SUM(AT123:AW123)</f>
        <v>8102741.950421283</v>
      </c>
      <c r="BM123" s="116">
        <f t="shared" ref="BM123:BM165" si="379">IFERROR(ROUND(BJ123/BK123,4),0)</f>
        <v>0.2989</v>
      </c>
      <c r="BN123" s="126">
        <f t="shared" ca="1" si="359"/>
        <v>0</v>
      </c>
      <c r="BO123" s="117">
        <f t="shared" ca="1" si="360"/>
        <v>0</v>
      </c>
      <c r="BP123" s="118" t="str">
        <f t="shared" si="361"/>
        <v>Uncapped</v>
      </c>
      <c r="BQ123" s="115">
        <f t="shared" ca="1" si="362"/>
        <v>0</v>
      </c>
      <c r="BR123" s="174" t="s">
        <v>761</v>
      </c>
      <c r="BS123" s="175">
        <v>0.3</v>
      </c>
      <c r="BT123" s="174" t="s">
        <v>211</v>
      </c>
      <c r="BU123" s="174" t="s">
        <v>210</v>
      </c>
      <c r="BV123" s="113">
        <v>23000</v>
      </c>
      <c r="BW123" s="113">
        <v>144250</v>
      </c>
      <c r="BX123" s="113">
        <v>201949.99999999997</v>
      </c>
      <c r="BY123" s="113">
        <v>230800</v>
      </c>
      <c r="BZ123" s="113">
        <v>22269.17</v>
      </c>
      <c r="CA123" s="113">
        <v>154523.45499999996</v>
      </c>
      <c r="CB123" s="113">
        <v>158652.35999999999</v>
      </c>
      <c r="CC123" s="113">
        <f t="shared" si="352"/>
        <v>230800</v>
      </c>
      <c r="CD123" s="113"/>
      <c r="CE123" s="113"/>
      <c r="CF123" s="113"/>
      <c r="CG123" s="113"/>
      <c r="CH123" s="114">
        <f t="shared" ref="CH123:CH165" si="380">BZ123+CD123</f>
        <v>22269.17</v>
      </c>
      <c r="CI123" s="114">
        <f t="shared" ref="CI123:CI165" si="381">CA123+CE123</f>
        <v>154523.45499999996</v>
      </c>
      <c r="CJ123" s="120">
        <f t="shared" ref="CJ123:CJ165" si="382">CB123+CF123</f>
        <v>158652.35999999999</v>
      </c>
      <c r="CK123" s="114">
        <f t="shared" ref="CK123:CK165" si="383">CC123+CG123</f>
        <v>230800</v>
      </c>
      <c r="CL123" s="114">
        <f t="shared" si="327"/>
        <v>566244.98499999987</v>
      </c>
      <c r="CM123" s="114">
        <f t="shared" ref="CM123:CM152" si="384">IF($H$2=1,BV123,IF($H$2=2,SUM(BV123:BW123),IF($H$2=3,SUM(BV123:BX123),SUM(BV123:BY123))))</f>
        <v>600000</v>
      </c>
      <c r="CN123" s="114">
        <f t="shared" ref="CN123:CN165" si="385">SUM(BV123:BY123)</f>
        <v>600000</v>
      </c>
      <c r="CO123" s="116">
        <f t="shared" ref="CO123:CO165" si="386">IFERROR(ROUND(CL123/CM123,4),0)</f>
        <v>0.94369999999999998</v>
      </c>
      <c r="CP123" s="126">
        <f t="shared" ref="CP123:CP165" ca="1" si="387">IF(OR(BR123="MBO",BR123="10% Realized Price"),CO123,SUMPRODUCT(Lower_Payout*(Curve=BT123)*(Lower_Attain&lt;=CO123)*(Upper_Attain&gt;CO123))+(CO123-SUMPRODUCT(Lower_Attain*(Curve=BT123)*(Lower_Attain&lt;=CO123)*(Upper_Attain&gt;CO123)))*SUMPRODUCT(Slope*(Curve=BT123)*(Lower_Attain&lt;=CO123)*(Upper_Attain&gt;CO123)))</f>
        <v>0</v>
      </c>
      <c r="CQ123" s="115">
        <f t="shared" ca="1" si="336"/>
        <v>0</v>
      </c>
      <c r="CR123" s="118" t="str">
        <f t="shared" si="328"/>
        <v>Uncapped</v>
      </c>
      <c r="CS123" s="115">
        <f t="shared" ca="1" si="337"/>
        <v>0</v>
      </c>
      <c r="CT123" s="113" t="s">
        <v>729</v>
      </c>
      <c r="CU123" s="119">
        <v>0.2</v>
      </c>
      <c r="CV123" s="113" t="s">
        <v>217</v>
      </c>
      <c r="CW123" s="113" t="s">
        <v>210</v>
      </c>
      <c r="CX123" s="113">
        <v>13631298.3753272</v>
      </c>
      <c r="CY123" s="113">
        <v>15463517.626933601</v>
      </c>
      <c r="CZ123" s="113">
        <v>15159650.061351301</v>
      </c>
      <c r="DA123" s="113">
        <v>16523055.704212198</v>
      </c>
      <c r="DB123" s="113">
        <v>13485327.436090879</v>
      </c>
      <c r="DC123" s="113">
        <v>13198691</v>
      </c>
      <c r="DD123" s="113">
        <v>13923765.347779993</v>
      </c>
      <c r="DE123" s="113"/>
      <c r="DF123" s="113"/>
      <c r="DG123" s="113"/>
      <c r="DH123" s="113"/>
      <c r="DI123" s="113"/>
      <c r="DJ123" s="114">
        <f t="shared" ref="DJ123:DJ165" si="388">DB123+DF123</f>
        <v>13485327.436090879</v>
      </c>
      <c r="DK123" s="114">
        <f t="shared" ref="DK123:DK165" si="389">DC123+DG123</f>
        <v>13198691</v>
      </c>
      <c r="DL123" s="114">
        <f t="shared" ref="DL123:DL165" si="390">DD123+DH123</f>
        <v>13923765.347779993</v>
      </c>
      <c r="DM123" s="114">
        <f t="shared" ref="DM123:DM165" si="391">DE123+DI123</f>
        <v>0</v>
      </c>
      <c r="DN123" s="114">
        <f t="shared" si="329"/>
        <v>40607783.783870876</v>
      </c>
      <c r="DO123" s="114">
        <f t="shared" ref="DO123:DO152" si="392">IF($H$2=1,CX123,IF($H$2=2,SUM(CX123:CY123),IF($H$2=3,SUM(CX123:CZ123),SUM(CX123:DA123))))</f>
        <v>60777521.7678243</v>
      </c>
      <c r="DP123" s="114">
        <f t="shared" ref="DP123:DP165" si="393">SUM(CX123:DA123)</f>
        <v>60777521.7678243</v>
      </c>
      <c r="DQ123" s="116">
        <f t="shared" ref="DQ123:DQ165" si="394">IFERROR(ROUND(DN123/DO123,4),0)</f>
        <v>0.66810000000000003</v>
      </c>
      <c r="DR123" s="126">
        <f t="shared" ca="1" si="338"/>
        <v>0</v>
      </c>
      <c r="DS123" s="115">
        <f t="shared" ca="1" si="339"/>
        <v>0</v>
      </c>
      <c r="DT123" s="118" t="str">
        <f t="shared" si="330"/>
        <v>Uncapped</v>
      </c>
      <c r="DU123" s="115">
        <f t="shared" ca="1" si="340"/>
        <v>0</v>
      </c>
      <c r="DV123" s="113"/>
      <c r="DW123" s="119">
        <v>0</v>
      </c>
      <c r="DX123" s="113"/>
      <c r="DY123" s="113"/>
      <c r="DZ123" s="113">
        <v>0</v>
      </c>
      <c r="EA123" s="113">
        <v>0</v>
      </c>
      <c r="EB123" s="113">
        <v>0</v>
      </c>
      <c r="EC123" s="113">
        <v>0</v>
      </c>
      <c r="ED123" s="113">
        <v>0</v>
      </c>
      <c r="EE123" s="113">
        <v>0</v>
      </c>
      <c r="EF123" s="113"/>
      <c r="EG123" s="113"/>
      <c r="EH123" s="113"/>
      <c r="EI123" s="113"/>
      <c r="EJ123" s="113"/>
      <c r="EK123" s="113"/>
      <c r="EL123" s="114">
        <f t="shared" ref="EL123:EL165" si="395">ED123+EH123</f>
        <v>0</v>
      </c>
      <c r="EM123" s="114">
        <f t="shared" ref="EM123:EM165" si="396">EE123+EI123</f>
        <v>0</v>
      </c>
      <c r="EN123" s="114">
        <f t="shared" ref="EN123:EN165" si="397">EF123+EJ123</f>
        <v>0</v>
      </c>
      <c r="EO123" s="114">
        <f t="shared" ref="EO123:EO165" si="398">EG123+EK123</f>
        <v>0</v>
      </c>
      <c r="EP123" s="114">
        <f t="shared" si="331"/>
        <v>0</v>
      </c>
      <c r="EQ123" s="114">
        <f t="shared" ref="EQ123:EQ152" si="399">IF($H$2=1,DZ123,IF($H$2=2,SUM(DZ123:EA123),IF($H$2=3,SUM(DZ123:EB123),SUM(DZ123:EC123))))</f>
        <v>0</v>
      </c>
      <c r="ER123" s="114">
        <f t="shared" ref="ER123:ER165" si="400">SUM(DZ123:EC123)</f>
        <v>0</v>
      </c>
      <c r="ES123" s="116">
        <f t="shared" ref="ES123:ES165" si="401">IFERROR(ROUND(EP123/EQ123,4),0)</f>
        <v>0</v>
      </c>
      <c r="ET123" s="126">
        <f t="shared" ref="ET123:ET165" ca="1" si="402">IF(OR(DV123="MBO",DV123="10% Realized Price"),ES123,SUMPRODUCT(Lower_Payout*(Curve=DX123)*(Lower_Attain&lt;=ES123)*(Upper_Attain&gt;ES123))+(ES123-SUMPRODUCT(Lower_Attain*(Curve=DX123)*(Lower_Attain&lt;=ES123)*(Upper_Attain&gt;ES123)))*SUMPRODUCT(Slope*(Curve=DX123)*(Lower_Attain&lt;=ES123)*(Upper_Attain&gt;ES123)))</f>
        <v>0</v>
      </c>
      <c r="EU123" s="115">
        <f t="shared" ca="1" si="341"/>
        <v>0</v>
      </c>
      <c r="EV123" s="118" t="str">
        <f t="shared" si="332"/>
        <v>Uncapped</v>
      </c>
      <c r="EW123" s="115">
        <f t="shared" ca="1" si="342"/>
        <v>0</v>
      </c>
      <c r="EX123" s="112">
        <f t="shared" ca="1" si="343"/>
        <v>0</v>
      </c>
      <c r="EY123" s="114">
        <f t="shared" ref="EY123:EY165" ca="1" si="403">MAX(EX123,GP123)</f>
        <v>0</v>
      </c>
      <c r="EZ123" s="115">
        <v>0</v>
      </c>
      <c r="FA123" s="115"/>
      <c r="FB123" s="115"/>
      <c r="FC123" s="115">
        <v>0</v>
      </c>
      <c r="FD123" s="115">
        <f t="shared" ref="FD123:FD152" si="404">IF($H$2=1,EZ123,IF($H$2=2,SUM(EZ123:FA123),IF($H$2=3,SUM(EZ123:FB123),SUM(EZ123:FC123))))</f>
        <v>0</v>
      </c>
      <c r="FE123" s="114">
        <f t="shared" ref="FE123:FE150" si="405">SUMIFS(123:123,$5:$5,"SPIFF payout $ (Local CCY)",$4:$4,CONCATENATE("Q",$H$2))</f>
        <v>0</v>
      </c>
      <c r="FF123" s="115">
        <v>0</v>
      </c>
      <c r="FG123" s="115">
        <v>0</v>
      </c>
      <c r="FH123" s="115">
        <v>0</v>
      </c>
      <c r="FI123" s="115">
        <v>0</v>
      </c>
      <c r="FJ123" s="115">
        <f t="shared" ref="FJ123:FJ153" si="406">IF($H$2=1,FF123,IF($H$2=2,SUM(FF123:FG123),IF($H$2=3,SUM(FF123:FH123),SUM(FF123:FI123))))</f>
        <v>0</v>
      </c>
      <c r="FK123" s="114">
        <f t="shared" ref="FK123:FK150" si="407">SUMIFS(123:123,$5:$5,"Other payout $ (Local CCY)",$4:$4,CONCATENATE("Q",$H$2))</f>
        <v>0</v>
      </c>
      <c r="FL123" s="113"/>
      <c r="FM123" s="111"/>
      <c r="FN123" s="111"/>
      <c r="FO123" s="111"/>
      <c r="FP123" s="115">
        <f t="shared" si="365"/>
        <v>0</v>
      </c>
      <c r="FQ123" s="115"/>
      <c r="FR123" s="115"/>
      <c r="FS123" s="115"/>
      <c r="FT123" s="114">
        <f t="shared" si="209"/>
        <v>0</v>
      </c>
      <c r="FU123" s="366">
        <f t="shared" ca="1" si="210"/>
        <v>0</v>
      </c>
      <c r="FV123" s="121">
        <f t="shared" ca="1" si="211"/>
        <v>0</v>
      </c>
      <c r="FW123" s="114">
        <f t="shared" si="366"/>
        <v>0</v>
      </c>
      <c r="FX123" s="114">
        <f t="shared" si="366"/>
        <v>0</v>
      </c>
      <c r="FY123" s="114">
        <f t="shared" si="366"/>
        <v>0</v>
      </c>
      <c r="FZ123" s="114">
        <f t="shared" si="366"/>
        <v>0</v>
      </c>
      <c r="GA123" s="114">
        <f t="shared" si="372"/>
        <v>0</v>
      </c>
      <c r="GB123" s="114">
        <f t="shared" si="367"/>
        <v>0</v>
      </c>
      <c r="GC123" s="114">
        <f t="shared" si="367"/>
        <v>0</v>
      </c>
      <c r="GD123" s="114">
        <f t="shared" si="367"/>
        <v>0</v>
      </c>
      <c r="GE123" s="114">
        <f t="shared" si="367"/>
        <v>0</v>
      </c>
      <c r="GF123" s="114">
        <f t="shared" si="368"/>
        <v>0</v>
      </c>
      <c r="GG123" s="114">
        <f t="shared" si="368"/>
        <v>0</v>
      </c>
      <c r="GH123" s="114">
        <f t="shared" si="368"/>
        <v>0</v>
      </c>
      <c r="GI123" s="114">
        <f t="shared" si="368"/>
        <v>0</v>
      </c>
      <c r="GJ123" s="115">
        <f t="shared" ref="GJ123:GJ153" si="408">IF($H$2=1,GF123,IF($H$2=2,SUM(GF123:GG123),IF($H$2=3,SUM(GF123:GH123),SUM(GF123:GI123))))</f>
        <v>0</v>
      </c>
      <c r="GK123" s="114">
        <f t="shared" si="369"/>
        <v>0</v>
      </c>
      <c r="GL123" s="114">
        <f t="shared" si="344"/>
        <v>0</v>
      </c>
      <c r="GM123" s="114">
        <f t="shared" si="345"/>
        <v>0</v>
      </c>
      <c r="GN123" s="114">
        <f t="shared" si="346"/>
        <v>0</v>
      </c>
      <c r="GO123" s="114">
        <f t="shared" si="347"/>
        <v>0</v>
      </c>
      <c r="GP123" s="114">
        <f t="shared" ref="GP123:GP153" si="409">IF($H$2=1,GL123,IF($H$2=2,SUM(GL123:GM123),IF($H$2=3,SUM(GL123:GN123),IF($H$2=4,SUM(GL123:GO123)))))</f>
        <v>0</v>
      </c>
      <c r="GQ123" s="114">
        <f t="shared" si="370"/>
        <v>0</v>
      </c>
      <c r="GR123" s="193"/>
      <c r="GS123" s="122">
        <f t="shared" si="348"/>
        <v>43595581.768870875</v>
      </c>
      <c r="GT123" s="122">
        <f t="shared" si="349"/>
        <v>69480263.718245581</v>
      </c>
      <c r="GU123" s="123">
        <f t="shared" si="371"/>
        <v>0.62745273889083752</v>
      </c>
      <c r="GV123" s="124">
        <f t="shared" ca="1" si="350"/>
        <v>0</v>
      </c>
      <c r="GW123" s="124">
        <v>0</v>
      </c>
      <c r="GX123" s="32">
        <f t="shared" ca="1" si="351"/>
        <v>0</v>
      </c>
      <c r="GY123" s="100"/>
    </row>
    <row r="124" spans="1:207" s="408" customFormat="1" hidden="1">
      <c r="C124" s="402"/>
      <c r="D124" s="402"/>
      <c r="E124" s="403"/>
      <c r="F124" s="403" t="s">
        <v>720</v>
      </c>
      <c r="G124" s="403" t="s">
        <v>226</v>
      </c>
      <c r="H124" s="105" t="s">
        <v>557</v>
      </c>
      <c r="I124" s="403" t="s">
        <v>591</v>
      </c>
      <c r="J124" s="403" t="s">
        <v>212</v>
      </c>
      <c r="K124" s="403" t="s">
        <v>544</v>
      </c>
      <c r="L124" s="403"/>
      <c r="M124" s="403"/>
      <c r="N124" s="404"/>
      <c r="O124" s="108">
        <v>43374</v>
      </c>
      <c r="P124" s="108">
        <v>43374</v>
      </c>
      <c r="Q124" s="323">
        <f t="shared" si="323"/>
        <v>0</v>
      </c>
      <c r="R124" s="109">
        <f>IF((P124-VLOOKUP(Q124,month!$A$1:$C$13,3,0))&lt;0,Q124,Q124+1)</f>
        <v>0</v>
      </c>
      <c r="S124" s="108"/>
      <c r="T124" s="110" t="str">
        <f t="shared" si="215"/>
        <v/>
      </c>
      <c r="U124" s="404"/>
      <c r="V124" s="404"/>
      <c r="W124" s="405"/>
      <c r="X124" s="405"/>
      <c r="Y124" s="492"/>
      <c r="Z124" s="406" t="s">
        <v>545</v>
      </c>
      <c r="AA124" s="394">
        <v>1000</v>
      </c>
      <c r="AB124" s="394">
        <v>1000</v>
      </c>
      <c r="AC124" s="394">
        <v>1000</v>
      </c>
      <c r="AD124" s="394">
        <v>1000</v>
      </c>
      <c r="AE124" s="394">
        <v>1000</v>
      </c>
      <c r="AF124" s="394">
        <v>1000</v>
      </c>
      <c r="AG124" s="394">
        <v>1000</v>
      </c>
      <c r="AH124" s="394">
        <v>1000</v>
      </c>
      <c r="AI124" s="394">
        <v>1000</v>
      </c>
      <c r="AJ124" s="394">
        <v>1000</v>
      </c>
      <c r="AK124" s="394">
        <v>1000</v>
      </c>
      <c r="AL124" s="394">
        <v>1000</v>
      </c>
      <c r="AM124" s="388">
        <f t="shared" si="373"/>
        <v>12000</v>
      </c>
      <c r="AN124" s="388">
        <f t="shared" si="324"/>
        <v>12000</v>
      </c>
      <c r="AO124" s="389">
        <f t="shared" si="364"/>
        <v>1000</v>
      </c>
      <c r="AP124" s="502" t="s">
        <v>750</v>
      </c>
      <c r="AQ124" s="159">
        <v>0.5</v>
      </c>
      <c r="AR124" s="103" t="s">
        <v>211</v>
      </c>
      <c r="AS124" s="119" t="s">
        <v>210</v>
      </c>
      <c r="AT124" s="111">
        <v>720887.91968241916</v>
      </c>
      <c r="AU124" s="111">
        <v>784595.67437440774</v>
      </c>
      <c r="AV124" s="111">
        <v>746491.73576980887</v>
      </c>
      <c r="AW124" s="111">
        <v>808196.19358136377</v>
      </c>
      <c r="AX124" s="113">
        <v>1424487.42</v>
      </c>
      <c r="AY124" s="113">
        <v>1196357.4045000002</v>
      </c>
      <c r="AZ124" s="113">
        <v>721705.2470999998</v>
      </c>
      <c r="BA124" s="113"/>
      <c r="BB124" s="113"/>
      <c r="BC124" s="113"/>
      <c r="BD124" s="113"/>
      <c r="BE124" s="113"/>
      <c r="BF124" s="114">
        <f t="shared" si="374"/>
        <v>1424487.42</v>
      </c>
      <c r="BG124" s="114">
        <f t="shared" si="375"/>
        <v>1196357.4045000002</v>
      </c>
      <c r="BH124" s="114">
        <f t="shared" si="376"/>
        <v>721705.2470999998</v>
      </c>
      <c r="BI124" s="114">
        <f t="shared" si="377"/>
        <v>0</v>
      </c>
      <c r="BJ124" s="114">
        <f t="shared" si="325"/>
        <v>3342550.0715999999</v>
      </c>
      <c r="BK124" s="115">
        <f t="shared" si="358"/>
        <v>3060171.5234079994</v>
      </c>
      <c r="BL124" s="115">
        <f t="shared" si="378"/>
        <v>3060171.5234079994</v>
      </c>
      <c r="BM124" s="116">
        <f t="shared" si="379"/>
        <v>1.0923</v>
      </c>
      <c r="BN124" s="126">
        <f t="shared" ca="1" si="359"/>
        <v>0</v>
      </c>
      <c r="BO124" s="117">
        <f t="shared" ca="1" si="360"/>
        <v>0</v>
      </c>
      <c r="BP124" s="118" t="str">
        <f t="shared" si="361"/>
        <v>Uncapped</v>
      </c>
      <c r="BQ124" s="115">
        <f t="shared" ca="1" si="362"/>
        <v>0</v>
      </c>
      <c r="BR124" s="174" t="s">
        <v>762</v>
      </c>
      <c r="BS124" s="175">
        <v>0.3</v>
      </c>
      <c r="BT124" s="174" t="s">
        <v>211</v>
      </c>
      <c r="BU124" s="174" t="s">
        <v>210</v>
      </c>
      <c r="BV124" s="113">
        <v>2237916.9674079753</v>
      </c>
      <c r="BW124" s="113">
        <v>2593737.6672715819</v>
      </c>
      <c r="BX124" s="113">
        <v>2631062.6626689765</v>
      </c>
      <c r="BY124" s="113">
        <v>2613100.8468210953</v>
      </c>
      <c r="BZ124" s="113">
        <v>2333200.87</v>
      </c>
      <c r="CA124" s="113">
        <v>2209902.1916999999</v>
      </c>
      <c r="CB124" s="113">
        <v>1880202.3</v>
      </c>
      <c r="CC124" s="113">
        <f t="shared" si="352"/>
        <v>2613100.8468210953</v>
      </c>
      <c r="CD124" s="113"/>
      <c r="CE124" s="113"/>
      <c r="CF124" s="113"/>
      <c r="CG124" s="113"/>
      <c r="CH124" s="114">
        <f t="shared" si="380"/>
        <v>2333200.87</v>
      </c>
      <c r="CI124" s="114">
        <f t="shared" si="381"/>
        <v>2209902.1916999999</v>
      </c>
      <c r="CJ124" s="120">
        <f t="shared" si="382"/>
        <v>1880202.3</v>
      </c>
      <c r="CK124" s="114">
        <f t="shared" si="383"/>
        <v>2613100.8468210953</v>
      </c>
      <c r="CL124" s="114">
        <f t="shared" si="327"/>
        <v>9036406.2085210942</v>
      </c>
      <c r="CM124" s="114">
        <f t="shared" si="384"/>
        <v>10075818.14416963</v>
      </c>
      <c r="CN124" s="114">
        <f t="shared" si="385"/>
        <v>10075818.14416963</v>
      </c>
      <c r="CO124" s="116">
        <f t="shared" si="386"/>
        <v>0.89680000000000004</v>
      </c>
      <c r="CP124" s="126">
        <f t="shared" ca="1" si="387"/>
        <v>0</v>
      </c>
      <c r="CQ124" s="115">
        <f t="shared" ca="1" si="336"/>
        <v>0</v>
      </c>
      <c r="CR124" s="118" t="str">
        <f t="shared" si="328"/>
        <v>Uncapped</v>
      </c>
      <c r="CS124" s="115">
        <f t="shared" ca="1" si="337"/>
        <v>0</v>
      </c>
      <c r="CT124" s="113" t="s">
        <v>729</v>
      </c>
      <c r="CU124" s="119">
        <v>0.2</v>
      </c>
      <c r="CV124" s="113" t="s">
        <v>217</v>
      </c>
      <c r="CW124" s="113" t="s">
        <v>210</v>
      </c>
      <c r="CX124" s="113">
        <v>13631298.3753272</v>
      </c>
      <c r="CY124" s="113">
        <v>15463517.626933601</v>
      </c>
      <c r="CZ124" s="113">
        <v>15159650.061351301</v>
      </c>
      <c r="DA124" s="113">
        <v>16523055.704212198</v>
      </c>
      <c r="DB124" s="113">
        <v>13485327.436090879</v>
      </c>
      <c r="DC124" s="113">
        <v>13198691</v>
      </c>
      <c r="DD124" s="113">
        <v>13923765.347779993</v>
      </c>
      <c r="DE124" s="113"/>
      <c r="DF124" s="113"/>
      <c r="DG124" s="113"/>
      <c r="DH124" s="113"/>
      <c r="DI124" s="113"/>
      <c r="DJ124" s="114">
        <f t="shared" si="388"/>
        <v>13485327.436090879</v>
      </c>
      <c r="DK124" s="114">
        <f t="shared" si="389"/>
        <v>13198691</v>
      </c>
      <c r="DL124" s="114">
        <f t="shared" si="390"/>
        <v>13923765.347779993</v>
      </c>
      <c r="DM124" s="114">
        <f t="shared" si="391"/>
        <v>0</v>
      </c>
      <c r="DN124" s="114">
        <f t="shared" si="329"/>
        <v>40607783.783870876</v>
      </c>
      <c r="DO124" s="114">
        <f t="shared" si="392"/>
        <v>60777521.7678243</v>
      </c>
      <c r="DP124" s="114">
        <f t="shared" si="393"/>
        <v>60777521.7678243</v>
      </c>
      <c r="DQ124" s="116">
        <f t="shared" si="394"/>
        <v>0.66810000000000003</v>
      </c>
      <c r="DR124" s="126">
        <f t="shared" ca="1" si="338"/>
        <v>0</v>
      </c>
      <c r="DS124" s="115">
        <f t="shared" ca="1" si="339"/>
        <v>0</v>
      </c>
      <c r="DT124" s="118" t="str">
        <f t="shared" si="330"/>
        <v>Uncapped</v>
      </c>
      <c r="DU124" s="115">
        <f t="shared" ca="1" si="340"/>
        <v>0</v>
      </c>
      <c r="DV124" s="113"/>
      <c r="DW124" s="119">
        <v>0</v>
      </c>
      <c r="DX124" s="113"/>
      <c r="DY124" s="113"/>
      <c r="DZ124" s="113">
        <v>0</v>
      </c>
      <c r="EA124" s="113">
        <v>0</v>
      </c>
      <c r="EB124" s="113">
        <v>0</v>
      </c>
      <c r="EC124" s="113">
        <v>0</v>
      </c>
      <c r="ED124" s="113">
        <v>0</v>
      </c>
      <c r="EE124" s="113">
        <v>0</v>
      </c>
      <c r="EF124" s="113"/>
      <c r="EG124" s="113"/>
      <c r="EH124" s="113"/>
      <c r="EI124" s="113"/>
      <c r="EJ124" s="113"/>
      <c r="EK124" s="113"/>
      <c r="EL124" s="114">
        <f t="shared" si="395"/>
        <v>0</v>
      </c>
      <c r="EM124" s="114">
        <f t="shared" si="396"/>
        <v>0</v>
      </c>
      <c r="EN124" s="114">
        <f t="shared" si="397"/>
        <v>0</v>
      </c>
      <c r="EO124" s="114">
        <f t="shared" si="398"/>
        <v>0</v>
      </c>
      <c r="EP124" s="114">
        <f t="shared" si="331"/>
        <v>0</v>
      </c>
      <c r="EQ124" s="114">
        <f t="shared" si="399"/>
        <v>0</v>
      </c>
      <c r="ER124" s="114">
        <f t="shared" si="400"/>
        <v>0</v>
      </c>
      <c r="ES124" s="116">
        <f t="shared" si="401"/>
        <v>0</v>
      </c>
      <c r="ET124" s="126">
        <f t="shared" ca="1" si="402"/>
        <v>0</v>
      </c>
      <c r="EU124" s="115">
        <f t="shared" ca="1" si="341"/>
        <v>0</v>
      </c>
      <c r="EV124" s="118" t="str">
        <f t="shared" si="332"/>
        <v>Uncapped</v>
      </c>
      <c r="EW124" s="115">
        <f t="shared" ca="1" si="342"/>
        <v>0</v>
      </c>
      <c r="EX124" s="112">
        <f t="shared" ca="1" si="343"/>
        <v>0</v>
      </c>
      <c r="EY124" s="114">
        <f t="shared" ca="1" si="403"/>
        <v>0</v>
      </c>
      <c r="EZ124" s="115">
        <v>0</v>
      </c>
      <c r="FA124" s="115"/>
      <c r="FB124" s="115"/>
      <c r="FC124" s="115">
        <v>0</v>
      </c>
      <c r="FD124" s="115">
        <f t="shared" si="404"/>
        <v>0</v>
      </c>
      <c r="FE124" s="114">
        <f t="shared" si="405"/>
        <v>0</v>
      </c>
      <c r="FF124" s="115">
        <v>0</v>
      </c>
      <c r="FG124" s="115">
        <v>0</v>
      </c>
      <c r="FH124" s="115">
        <v>0</v>
      </c>
      <c r="FI124" s="115">
        <v>0</v>
      </c>
      <c r="FJ124" s="115">
        <f t="shared" si="406"/>
        <v>0</v>
      </c>
      <c r="FK124" s="114">
        <f t="shared" si="407"/>
        <v>0</v>
      </c>
      <c r="FL124" s="113"/>
      <c r="FM124" s="111"/>
      <c r="FN124" s="111"/>
      <c r="FO124" s="111"/>
      <c r="FP124" s="115">
        <f t="shared" si="365"/>
        <v>0</v>
      </c>
      <c r="FQ124" s="115"/>
      <c r="FR124" s="115"/>
      <c r="FS124" s="115"/>
      <c r="FT124" s="114">
        <f t="shared" si="209"/>
        <v>0</v>
      </c>
      <c r="FU124" s="366">
        <f t="shared" ca="1" si="210"/>
        <v>0</v>
      </c>
      <c r="FV124" s="121">
        <f t="shared" ca="1" si="211"/>
        <v>0</v>
      </c>
      <c r="FW124" s="114">
        <f t="shared" si="366"/>
        <v>0</v>
      </c>
      <c r="FX124" s="114">
        <f t="shared" si="366"/>
        <v>0</v>
      </c>
      <c r="FY124" s="114">
        <f t="shared" si="366"/>
        <v>0</v>
      </c>
      <c r="FZ124" s="114">
        <f t="shared" si="366"/>
        <v>0</v>
      </c>
      <c r="GA124" s="114">
        <f t="shared" si="372"/>
        <v>0</v>
      </c>
      <c r="GB124" s="114">
        <f t="shared" si="367"/>
        <v>0</v>
      </c>
      <c r="GC124" s="114">
        <f t="shared" si="367"/>
        <v>0</v>
      </c>
      <c r="GD124" s="114">
        <f t="shared" si="367"/>
        <v>0</v>
      </c>
      <c r="GE124" s="114">
        <f t="shared" si="367"/>
        <v>0</v>
      </c>
      <c r="GF124" s="114">
        <f t="shared" si="368"/>
        <v>0</v>
      </c>
      <c r="GG124" s="114">
        <f t="shared" si="368"/>
        <v>0</v>
      </c>
      <c r="GH124" s="114">
        <f t="shared" si="368"/>
        <v>0</v>
      </c>
      <c r="GI124" s="114">
        <f t="shared" si="368"/>
        <v>0</v>
      </c>
      <c r="GJ124" s="115">
        <f t="shared" si="408"/>
        <v>0</v>
      </c>
      <c r="GK124" s="114">
        <f t="shared" si="369"/>
        <v>0</v>
      </c>
      <c r="GL124" s="114">
        <f t="shared" si="344"/>
        <v>0</v>
      </c>
      <c r="GM124" s="114">
        <f t="shared" si="345"/>
        <v>0</v>
      </c>
      <c r="GN124" s="114">
        <f t="shared" si="346"/>
        <v>0</v>
      </c>
      <c r="GO124" s="114">
        <f t="shared" si="347"/>
        <v>0</v>
      </c>
      <c r="GP124" s="114">
        <f t="shared" si="409"/>
        <v>0</v>
      </c>
      <c r="GQ124" s="114">
        <f t="shared" si="370"/>
        <v>0</v>
      </c>
      <c r="GR124" s="193"/>
      <c r="GS124" s="122">
        <f t="shared" si="348"/>
        <v>52986740.063991971</v>
      </c>
      <c r="GT124" s="122">
        <f t="shared" si="349"/>
        <v>73913511.435401931</v>
      </c>
      <c r="GU124" s="123">
        <f t="shared" si="371"/>
        <v>0.71687488572776992</v>
      </c>
      <c r="GV124" s="124">
        <f t="shared" ca="1" si="350"/>
        <v>0</v>
      </c>
      <c r="GW124" s="124">
        <v>0</v>
      </c>
      <c r="GX124" s="32">
        <f t="shared" ca="1" si="351"/>
        <v>0</v>
      </c>
      <c r="GY124" s="100"/>
    </row>
    <row r="125" spans="1:207" s="408" customFormat="1" hidden="1">
      <c r="C125" s="402"/>
      <c r="D125" s="402"/>
      <c r="E125" s="403"/>
      <c r="F125" s="403" t="s">
        <v>720</v>
      </c>
      <c r="G125" s="403" t="s">
        <v>226</v>
      </c>
      <c r="H125" s="105" t="s">
        <v>558</v>
      </c>
      <c r="I125" s="403" t="s">
        <v>592</v>
      </c>
      <c r="J125" s="403" t="s">
        <v>212</v>
      </c>
      <c r="K125" s="403" t="s">
        <v>544</v>
      </c>
      <c r="L125" s="403"/>
      <c r="M125" s="403"/>
      <c r="N125" s="404"/>
      <c r="O125" s="108">
        <v>43221</v>
      </c>
      <c r="P125" s="108">
        <v>43221</v>
      </c>
      <c r="Q125" s="323">
        <f t="shared" ref="Q125:Q153" si="410">IF(P125&gt;$Q$2,MONTH(P125),0)</f>
        <v>0</v>
      </c>
      <c r="R125" s="109">
        <f>IF((P125-VLOOKUP(Q125,month!$A$1:$C$13,3,0))&lt;0,Q125,Q125+1)</f>
        <v>0</v>
      </c>
      <c r="S125" s="108"/>
      <c r="T125" s="110" t="str">
        <f t="shared" si="215"/>
        <v/>
      </c>
      <c r="U125" s="404"/>
      <c r="V125" s="404"/>
      <c r="W125" s="405"/>
      <c r="X125" s="405"/>
      <c r="Y125" s="492"/>
      <c r="Z125" s="406" t="s">
        <v>545</v>
      </c>
      <c r="AA125" s="394">
        <v>1000</v>
      </c>
      <c r="AB125" s="394">
        <v>1000</v>
      </c>
      <c r="AC125" s="394">
        <v>1000</v>
      </c>
      <c r="AD125" s="394">
        <v>1000</v>
      </c>
      <c r="AE125" s="394">
        <v>1000</v>
      </c>
      <c r="AF125" s="394">
        <v>1000</v>
      </c>
      <c r="AG125" s="394">
        <v>1000</v>
      </c>
      <c r="AH125" s="394">
        <v>1000</v>
      </c>
      <c r="AI125" s="394">
        <v>1000</v>
      </c>
      <c r="AJ125" s="394">
        <v>1000</v>
      </c>
      <c r="AK125" s="394">
        <v>1000</v>
      </c>
      <c r="AL125" s="394">
        <v>1000</v>
      </c>
      <c r="AM125" s="388">
        <f t="shared" si="373"/>
        <v>12000</v>
      </c>
      <c r="AN125" s="388">
        <f t="shared" ref="AN125:AN153" si="411">SUM(AA125:AL125)+INDEX(AA125:AL125,,MATCH($H$3,$AA$5:$AL$5,0))*(12-COUNTA(AA125:AL125))</f>
        <v>12000</v>
      </c>
      <c r="AO125" s="389">
        <f t="shared" si="364"/>
        <v>1000</v>
      </c>
      <c r="AP125" s="502" t="s">
        <v>750</v>
      </c>
      <c r="AQ125" s="159">
        <v>0.5</v>
      </c>
      <c r="AR125" s="103" t="s">
        <v>211</v>
      </c>
      <c r="AS125" s="119" t="s">
        <v>210</v>
      </c>
      <c r="AT125" s="111">
        <v>619023.70180270565</v>
      </c>
      <c r="AU125" s="111">
        <v>689370.67089741363</v>
      </c>
      <c r="AV125" s="111">
        <v>657617.80913764494</v>
      </c>
      <c r="AW125" s="111">
        <v>770191.79826823843</v>
      </c>
      <c r="AX125" s="113">
        <v>773116.82</v>
      </c>
      <c r="AY125" s="113">
        <v>760063.59</v>
      </c>
      <c r="AZ125" s="113">
        <v>705215.07</v>
      </c>
      <c r="BA125" s="113"/>
      <c r="BB125" s="113"/>
      <c r="BC125" s="113"/>
      <c r="BD125" s="113"/>
      <c r="BE125" s="113"/>
      <c r="BF125" s="114">
        <f t="shared" si="374"/>
        <v>773116.82</v>
      </c>
      <c r="BG125" s="114">
        <f t="shared" si="375"/>
        <v>760063.59</v>
      </c>
      <c r="BH125" s="114">
        <f t="shared" si="376"/>
        <v>705215.07</v>
      </c>
      <c r="BI125" s="114">
        <f t="shared" si="377"/>
        <v>0</v>
      </c>
      <c r="BJ125" s="114">
        <f t="shared" ref="BJ125:BJ153" si="412">IF($BB$3="After AR Adjustment",IF($H$2=1,BF125,IF($H$2=2,SUM(BF125:BG125),IF($H$2=3,SUM(BF125:BH125),SUM(BF125:BI125)))),IF($H$2=1,AX125,IF($H$2=2,SUM(AX125:AY125),IF($H$2=3,SUM(AX125:AZ125),SUM(AX125:BA125)))))</f>
        <v>2238395.48</v>
      </c>
      <c r="BK125" s="115">
        <f t="shared" si="358"/>
        <v>2736203.9801060027</v>
      </c>
      <c r="BL125" s="115">
        <f t="shared" si="378"/>
        <v>2736203.9801060027</v>
      </c>
      <c r="BM125" s="116">
        <f t="shared" si="379"/>
        <v>0.81810000000000005</v>
      </c>
      <c r="BN125" s="126">
        <f t="shared" ca="1" si="359"/>
        <v>0</v>
      </c>
      <c r="BO125" s="117">
        <f t="shared" ca="1" si="360"/>
        <v>0</v>
      </c>
      <c r="BP125" s="118" t="str">
        <f t="shared" si="361"/>
        <v>Uncapped</v>
      </c>
      <c r="BQ125" s="115">
        <f t="shared" ca="1" si="362"/>
        <v>0</v>
      </c>
      <c r="BR125" s="174" t="s">
        <v>762</v>
      </c>
      <c r="BS125" s="175">
        <v>0.3</v>
      </c>
      <c r="BT125" s="174" t="s">
        <v>211</v>
      </c>
      <c r="BU125" s="174" t="s">
        <v>210</v>
      </c>
      <c r="BV125" s="113">
        <v>2060801.742359617</v>
      </c>
      <c r="BW125" s="113">
        <v>2402466.5250502843</v>
      </c>
      <c r="BX125" s="113">
        <v>2442175.5793229761</v>
      </c>
      <c r="BY125" s="113">
        <v>2380941.3983696885</v>
      </c>
      <c r="BZ125" s="113">
        <v>2137162.0499999998</v>
      </c>
      <c r="CA125" s="113">
        <v>2025228.7860000017</v>
      </c>
      <c r="CB125" s="113">
        <v>2007691</v>
      </c>
      <c r="CC125" s="113">
        <f t="shared" si="352"/>
        <v>2380941.3983696885</v>
      </c>
      <c r="CD125" s="113"/>
      <c r="CE125" s="113"/>
      <c r="CF125" s="113"/>
      <c r="CG125" s="113"/>
      <c r="CH125" s="114">
        <f t="shared" si="380"/>
        <v>2137162.0499999998</v>
      </c>
      <c r="CI125" s="114">
        <f t="shared" si="381"/>
        <v>2025228.7860000017</v>
      </c>
      <c r="CJ125" s="120">
        <f t="shared" si="382"/>
        <v>2007691</v>
      </c>
      <c r="CK125" s="114">
        <f t="shared" si="383"/>
        <v>2380941.3983696885</v>
      </c>
      <c r="CL125" s="114">
        <f t="shared" ref="CL125:CL153" si="413">IF($BB$3="After AR Adjustment",IF($H$2=1,CH125,IF($H$2=2,SUM(CH125:CI125),IF($H$2=3,SUM(CH125:CJ125),SUM(CH125:CK125)))),IF($H$2=1,BZ125,IF($H$2=2,SUM(BZ125:CA125),IF($H$2=3,SUM(BZ125:CB125),SUM(BZ125:CC125)))))</f>
        <v>8551023.2343696896</v>
      </c>
      <c r="CM125" s="114">
        <f t="shared" si="384"/>
        <v>9286385.2451025657</v>
      </c>
      <c r="CN125" s="114">
        <f t="shared" si="385"/>
        <v>9286385.2451025657</v>
      </c>
      <c r="CO125" s="116">
        <f t="shared" si="386"/>
        <v>0.92079999999999995</v>
      </c>
      <c r="CP125" s="126">
        <f t="shared" ca="1" si="387"/>
        <v>0</v>
      </c>
      <c r="CQ125" s="115">
        <f t="shared" ca="1" si="336"/>
        <v>0</v>
      </c>
      <c r="CR125" s="118" t="str">
        <f t="shared" ref="CR125:CR153" si="414">IF($T125="Y","100%",IF($H$2=4,"Uncapped",IF(N125="Y","100%",IF($G125="AA","50%",IF($G125="SA","90%",IF($G125="APJ Regional-AA","50%",IF($G125="APJ Regional-SA","90%",75%)))))))</f>
        <v>Uncapped</v>
      </c>
      <c r="CS125" s="115">
        <f t="shared" ca="1" si="337"/>
        <v>0</v>
      </c>
      <c r="CT125" s="113" t="s">
        <v>729</v>
      </c>
      <c r="CU125" s="119">
        <v>0.2</v>
      </c>
      <c r="CV125" s="113" t="s">
        <v>217</v>
      </c>
      <c r="CW125" s="113" t="s">
        <v>210</v>
      </c>
      <c r="CX125" s="113">
        <v>13631298.3753272</v>
      </c>
      <c r="CY125" s="113">
        <v>15463517.626933601</v>
      </c>
      <c r="CZ125" s="113">
        <v>15159650.061351301</v>
      </c>
      <c r="DA125" s="113">
        <v>16523055.704212198</v>
      </c>
      <c r="DB125" s="113">
        <v>13485327.436090879</v>
      </c>
      <c r="DC125" s="113">
        <v>13198691</v>
      </c>
      <c r="DD125" s="113">
        <v>13923765.347779993</v>
      </c>
      <c r="DE125" s="113"/>
      <c r="DF125" s="113"/>
      <c r="DG125" s="113"/>
      <c r="DH125" s="113"/>
      <c r="DI125" s="113"/>
      <c r="DJ125" s="114">
        <f t="shared" si="388"/>
        <v>13485327.436090879</v>
      </c>
      <c r="DK125" s="114">
        <f t="shared" si="389"/>
        <v>13198691</v>
      </c>
      <c r="DL125" s="114">
        <f t="shared" si="390"/>
        <v>13923765.347779993</v>
      </c>
      <c r="DM125" s="114">
        <f t="shared" si="391"/>
        <v>0</v>
      </c>
      <c r="DN125" s="114">
        <f t="shared" ref="DN125:DN153" si="415">IF($BB$3="After AR Adjustment",IF($H$2=1,DJ125,IF($H$2=2,SUM(DJ125:DK125),IF($H$2=3,SUM(DJ125:DL125),SUM(DJ125:DM125)))),IF($H$2=1,DB125,IF($H$2=2,SUM(DB125:DC125),IF($H$2=3,SUM(DB125:DD125),SUM(DB125:DE125)))))</f>
        <v>40607783.783870876</v>
      </c>
      <c r="DO125" s="114">
        <f t="shared" si="392"/>
        <v>60777521.7678243</v>
      </c>
      <c r="DP125" s="114">
        <f t="shared" si="393"/>
        <v>60777521.7678243</v>
      </c>
      <c r="DQ125" s="116">
        <f t="shared" si="394"/>
        <v>0.66810000000000003</v>
      </c>
      <c r="DR125" s="126">
        <f t="shared" ca="1" si="338"/>
        <v>0</v>
      </c>
      <c r="DS125" s="115">
        <f t="shared" ca="1" si="339"/>
        <v>0</v>
      </c>
      <c r="DT125" s="118" t="str">
        <f t="shared" ref="DT125:DT153" si="416">IF($T125="Y","100%",IF($H$2=4,"Uncapped",IF(N125="Y","100%",IF($G125="AA","50%",IF($G125="SA","90%",IF($G125="APJ Regional-AA","50%",IF($G125="APJ Regional-SA","90%",75%)))))))</f>
        <v>Uncapped</v>
      </c>
      <c r="DU125" s="115">
        <f t="shared" ca="1" si="340"/>
        <v>0</v>
      </c>
      <c r="DV125" s="113"/>
      <c r="DW125" s="119">
        <v>0</v>
      </c>
      <c r="DX125" s="113"/>
      <c r="DY125" s="113"/>
      <c r="DZ125" s="113">
        <v>0</v>
      </c>
      <c r="EA125" s="113">
        <v>0</v>
      </c>
      <c r="EB125" s="113">
        <v>0</v>
      </c>
      <c r="EC125" s="113">
        <v>0</v>
      </c>
      <c r="ED125" s="113">
        <v>0</v>
      </c>
      <c r="EE125" s="113">
        <v>0</v>
      </c>
      <c r="EF125" s="113"/>
      <c r="EG125" s="113"/>
      <c r="EH125" s="113"/>
      <c r="EI125" s="113"/>
      <c r="EJ125" s="113"/>
      <c r="EK125" s="113"/>
      <c r="EL125" s="114">
        <f t="shared" si="395"/>
        <v>0</v>
      </c>
      <c r="EM125" s="114">
        <f t="shared" si="396"/>
        <v>0</v>
      </c>
      <c r="EN125" s="114">
        <f t="shared" si="397"/>
        <v>0</v>
      </c>
      <c r="EO125" s="114">
        <f t="shared" si="398"/>
        <v>0</v>
      </c>
      <c r="EP125" s="114">
        <f t="shared" ref="EP125:EP153" si="417">IF($BB$3="After AR Adjustment",IF($H$2=1,EL125,IF($H$2=2,SUM(EL125:EM125),IF($H$2=3,SUM(EL125:EN125),SUM(EL125:EO125)))),IF($H$2=1,ED125,IF($H$2=2,SUM(ED125:EE125),IF($H$2=3,SUM(ED125:EF125),SUM(ED125:EG125)))))</f>
        <v>0</v>
      </c>
      <c r="EQ125" s="114">
        <f t="shared" si="399"/>
        <v>0</v>
      </c>
      <c r="ER125" s="114">
        <f t="shared" si="400"/>
        <v>0</v>
      </c>
      <c r="ES125" s="116">
        <f t="shared" si="401"/>
        <v>0</v>
      </c>
      <c r="ET125" s="126">
        <f t="shared" ca="1" si="402"/>
        <v>0</v>
      </c>
      <c r="EU125" s="115">
        <f t="shared" ca="1" si="341"/>
        <v>0</v>
      </c>
      <c r="EV125" s="118" t="str">
        <f t="shared" ref="EV125:EV153" si="418">IF($T125="Y","100%",IF(DX125="T2","200%",IF($H$2=4,"Uncapped",IF($G125="AA","50%",IF($G125="SA","90%",IF($G125="APJ Regional-AA","50%",IF($G125="APJ Regional-SA","90%",75%)))))))</f>
        <v>Uncapped</v>
      </c>
      <c r="EW125" s="115">
        <f t="shared" ca="1" si="342"/>
        <v>0</v>
      </c>
      <c r="EX125" s="112">
        <f t="shared" ca="1" si="343"/>
        <v>0</v>
      </c>
      <c r="EY125" s="114">
        <f t="shared" ca="1" si="403"/>
        <v>0</v>
      </c>
      <c r="EZ125" s="115">
        <v>0</v>
      </c>
      <c r="FA125" s="115"/>
      <c r="FB125" s="115"/>
      <c r="FC125" s="115">
        <v>0</v>
      </c>
      <c r="FD125" s="115">
        <f t="shared" si="404"/>
        <v>0</v>
      </c>
      <c r="FE125" s="114">
        <f t="shared" si="405"/>
        <v>0</v>
      </c>
      <c r="FF125" s="115">
        <v>0</v>
      </c>
      <c r="FG125" s="115">
        <v>0</v>
      </c>
      <c r="FH125" s="115">
        <v>0</v>
      </c>
      <c r="FI125" s="115">
        <v>0</v>
      </c>
      <c r="FJ125" s="115">
        <f t="shared" si="406"/>
        <v>0</v>
      </c>
      <c r="FK125" s="114">
        <f t="shared" si="407"/>
        <v>0</v>
      </c>
      <c r="FL125" s="113"/>
      <c r="FM125" s="111"/>
      <c r="FN125" s="111"/>
      <c r="FO125" s="111"/>
      <c r="FP125" s="115">
        <f t="shared" si="365"/>
        <v>0</v>
      </c>
      <c r="FQ125" s="115"/>
      <c r="FR125" s="115"/>
      <c r="FS125" s="115"/>
      <c r="FT125" s="114">
        <f t="shared" si="209"/>
        <v>0</v>
      </c>
      <c r="FU125" s="366">
        <f t="shared" ca="1" si="210"/>
        <v>0</v>
      </c>
      <c r="FV125" s="121">
        <f t="shared" ca="1" si="211"/>
        <v>0</v>
      </c>
      <c r="FW125" s="114">
        <f t="shared" si="366"/>
        <v>0</v>
      </c>
      <c r="FX125" s="114">
        <f t="shared" si="366"/>
        <v>0</v>
      </c>
      <c r="FY125" s="114">
        <f t="shared" si="366"/>
        <v>0</v>
      </c>
      <c r="FZ125" s="114">
        <f t="shared" si="366"/>
        <v>0</v>
      </c>
      <c r="GA125" s="114">
        <f t="shared" si="372"/>
        <v>0</v>
      </c>
      <c r="GB125" s="114">
        <f t="shared" si="367"/>
        <v>0</v>
      </c>
      <c r="GC125" s="114">
        <f t="shared" si="367"/>
        <v>0</v>
      </c>
      <c r="GD125" s="114">
        <f t="shared" si="367"/>
        <v>0</v>
      </c>
      <c r="GE125" s="114">
        <f t="shared" si="367"/>
        <v>0</v>
      </c>
      <c r="GF125" s="114">
        <f t="shared" si="368"/>
        <v>0</v>
      </c>
      <c r="GG125" s="114">
        <f t="shared" si="368"/>
        <v>0</v>
      </c>
      <c r="GH125" s="114">
        <f t="shared" si="368"/>
        <v>0</v>
      </c>
      <c r="GI125" s="114">
        <f t="shared" si="368"/>
        <v>0</v>
      </c>
      <c r="GJ125" s="115">
        <f t="shared" si="408"/>
        <v>0</v>
      </c>
      <c r="GK125" s="114">
        <f t="shared" si="369"/>
        <v>0</v>
      </c>
      <c r="GL125" s="114">
        <f t="shared" si="344"/>
        <v>0</v>
      </c>
      <c r="GM125" s="114">
        <f t="shared" si="345"/>
        <v>0</v>
      </c>
      <c r="GN125" s="114">
        <f t="shared" si="346"/>
        <v>0</v>
      </c>
      <c r="GO125" s="114">
        <f t="shared" si="347"/>
        <v>0</v>
      </c>
      <c r="GP125" s="114">
        <f t="shared" si="409"/>
        <v>0</v>
      </c>
      <c r="GQ125" s="114">
        <f t="shared" si="370"/>
        <v>0</v>
      </c>
      <c r="GR125" s="193"/>
      <c r="GS125" s="122">
        <f t="shared" si="348"/>
        <v>51397202.498240568</v>
      </c>
      <c r="GT125" s="122">
        <f t="shared" si="349"/>
        <v>72800110.993032873</v>
      </c>
      <c r="GU125" s="123">
        <f t="shared" si="371"/>
        <v>0.70600445242671939</v>
      </c>
      <c r="GV125" s="124">
        <f t="shared" ca="1" si="350"/>
        <v>0</v>
      </c>
      <c r="GW125" s="124">
        <v>0</v>
      </c>
      <c r="GX125" s="32">
        <f t="shared" ca="1" si="351"/>
        <v>0</v>
      </c>
      <c r="GY125" s="100"/>
    </row>
    <row r="126" spans="1:207" s="408" customFormat="1" hidden="1">
      <c r="C126" s="402"/>
      <c r="D126" s="402"/>
      <c r="E126" s="403"/>
      <c r="F126" s="403" t="s">
        <v>720</v>
      </c>
      <c r="G126" s="403" t="s">
        <v>226</v>
      </c>
      <c r="H126" s="105" t="s">
        <v>559</v>
      </c>
      <c r="I126" s="403" t="s">
        <v>593</v>
      </c>
      <c r="J126" s="403" t="s">
        <v>212</v>
      </c>
      <c r="K126" s="403" t="s">
        <v>544</v>
      </c>
      <c r="L126" s="403"/>
      <c r="M126" s="403"/>
      <c r="N126" s="404"/>
      <c r="O126" s="108">
        <v>43283</v>
      </c>
      <c r="P126" s="108">
        <v>43283</v>
      </c>
      <c r="Q126" s="323">
        <f t="shared" si="410"/>
        <v>0</v>
      </c>
      <c r="R126" s="109">
        <f>IF((P126-VLOOKUP(Q126,month!$A$1:$C$13,3,0))&lt;0,Q126,Q126+1)</f>
        <v>0</v>
      </c>
      <c r="S126" s="108"/>
      <c r="T126" s="110" t="str">
        <f t="shared" si="215"/>
        <v/>
      </c>
      <c r="U126" s="404"/>
      <c r="V126" s="404"/>
      <c r="W126" s="405"/>
      <c r="X126" s="405"/>
      <c r="Y126" s="492"/>
      <c r="Z126" s="406" t="s">
        <v>545</v>
      </c>
      <c r="AA126" s="394">
        <v>1000</v>
      </c>
      <c r="AB126" s="394">
        <v>1000</v>
      </c>
      <c r="AC126" s="394">
        <v>1000</v>
      </c>
      <c r="AD126" s="394">
        <v>1000</v>
      </c>
      <c r="AE126" s="394">
        <v>1000</v>
      </c>
      <c r="AF126" s="394">
        <v>1000</v>
      </c>
      <c r="AG126" s="394">
        <v>1000</v>
      </c>
      <c r="AH126" s="394">
        <v>1000</v>
      </c>
      <c r="AI126" s="394">
        <v>1000</v>
      </c>
      <c r="AJ126" s="394">
        <v>1000</v>
      </c>
      <c r="AK126" s="394">
        <v>1000</v>
      </c>
      <c r="AL126" s="394">
        <v>1000</v>
      </c>
      <c r="AM126" s="388">
        <f t="shared" si="373"/>
        <v>12000</v>
      </c>
      <c r="AN126" s="388">
        <f t="shared" si="411"/>
        <v>12000</v>
      </c>
      <c r="AO126" s="389">
        <f t="shared" si="364"/>
        <v>1000</v>
      </c>
      <c r="AP126" s="502" t="s">
        <v>750</v>
      </c>
      <c r="AQ126" s="159">
        <v>0.5</v>
      </c>
      <c r="AR126" s="103" t="s">
        <v>211</v>
      </c>
      <c r="AS126" s="119" t="s">
        <v>210</v>
      </c>
      <c r="AT126" s="111">
        <v>619023.70180270565</v>
      </c>
      <c r="AU126" s="111">
        <v>689370.67089741363</v>
      </c>
      <c r="AV126" s="111">
        <v>657617.80913764494</v>
      </c>
      <c r="AW126" s="111">
        <v>770191.79826823843</v>
      </c>
      <c r="AX126" s="113">
        <v>773116.82</v>
      </c>
      <c r="AY126" s="113">
        <v>760063.59</v>
      </c>
      <c r="AZ126" s="113">
        <v>705215.07</v>
      </c>
      <c r="BA126" s="113"/>
      <c r="BB126" s="113"/>
      <c r="BC126" s="113"/>
      <c r="BD126" s="113"/>
      <c r="BE126" s="113"/>
      <c r="BF126" s="114">
        <f t="shared" si="374"/>
        <v>773116.82</v>
      </c>
      <c r="BG126" s="114">
        <f t="shared" si="375"/>
        <v>760063.59</v>
      </c>
      <c r="BH126" s="114">
        <f t="shared" si="376"/>
        <v>705215.07</v>
      </c>
      <c r="BI126" s="114">
        <f t="shared" si="377"/>
        <v>0</v>
      </c>
      <c r="BJ126" s="114">
        <f t="shared" si="412"/>
        <v>2238395.48</v>
      </c>
      <c r="BK126" s="115">
        <f t="shared" si="358"/>
        <v>2736203.9801060027</v>
      </c>
      <c r="BL126" s="115">
        <f t="shared" si="378"/>
        <v>2736203.9801060027</v>
      </c>
      <c r="BM126" s="116">
        <f t="shared" si="379"/>
        <v>0.81810000000000005</v>
      </c>
      <c r="BN126" s="126">
        <f t="shared" ca="1" si="359"/>
        <v>0</v>
      </c>
      <c r="BO126" s="117">
        <f t="shared" ca="1" si="360"/>
        <v>0</v>
      </c>
      <c r="BP126" s="118" t="str">
        <f t="shared" si="361"/>
        <v>Uncapped</v>
      </c>
      <c r="BQ126" s="115">
        <f t="shared" ca="1" si="362"/>
        <v>0</v>
      </c>
      <c r="BR126" s="174" t="s">
        <v>762</v>
      </c>
      <c r="BS126" s="175">
        <v>0.3</v>
      </c>
      <c r="BT126" s="174" t="s">
        <v>211</v>
      </c>
      <c r="BU126" s="174" t="s">
        <v>210</v>
      </c>
      <c r="BV126" s="113">
        <v>2060801.742359617</v>
      </c>
      <c r="BW126" s="113">
        <v>2402466.5250502843</v>
      </c>
      <c r="BX126" s="113">
        <v>2442175.5793229761</v>
      </c>
      <c r="BY126" s="113">
        <v>2380941.3983696885</v>
      </c>
      <c r="BZ126" s="113">
        <v>2137162.0499999998</v>
      </c>
      <c r="CA126" s="113">
        <v>2025228.7860000017</v>
      </c>
      <c r="CB126" s="113">
        <v>2007691</v>
      </c>
      <c r="CC126" s="113">
        <f t="shared" si="352"/>
        <v>2380941.3983696885</v>
      </c>
      <c r="CD126" s="113"/>
      <c r="CE126" s="113"/>
      <c r="CF126" s="113"/>
      <c r="CG126" s="113"/>
      <c r="CH126" s="114">
        <f t="shared" si="380"/>
        <v>2137162.0499999998</v>
      </c>
      <c r="CI126" s="114">
        <f t="shared" si="381"/>
        <v>2025228.7860000017</v>
      </c>
      <c r="CJ126" s="120">
        <f t="shared" si="382"/>
        <v>2007691</v>
      </c>
      <c r="CK126" s="114">
        <f t="shared" si="383"/>
        <v>2380941.3983696885</v>
      </c>
      <c r="CL126" s="114">
        <f t="shared" si="413"/>
        <v>8551023.2343696896</v>
      </c>
      <c r="CM126" s="114">
        <f t="shared" si="384"/>
        <v>9286385.2451025657</v>
      </c>
      <c r="CN126" s="114">
        <f t="shared" si="385"/>
        <v>9286385.2451025657</v>
      </c>
      <c r="CO126" s="116">
        <f t="shared" si="386"/>
        <v>0.92079999999999995</v>
      </c>
      <c r="CP126" s="126">
        <f t="shared" ca="1" si="387"/>
        <v>0</v>
      </c>
      <c r="CQ126" s="115">
        <f t="shared" ref="CQ126:CQ153" ca="1" si="419">AM126*BS126*CP126</f>
        <v>0</v>
      </c>
      <c r="CR126" s="118" t="str">
        <f t="shared" si="414"/>
        <v>Uncapped</v>
      </c>
      <c r="CS126" s="115">
        <f t="shared" ref="CS126:CS153" ca="1" si="420">IF(CR126="Uncapped",CQ126,IFERROR(AM126*BS126*CR126,0))</f>
        <v>0</v>
      </c>
      <c r="CT126" s="113" t="s">
        <v>729</v>
      </c>
      <c r="CU126" s="119">
        <v>0.2</v>
      </c>
      <c r="CV126" s="113" t="s">
        <v>217</v>
      </c>
      <c r="CW126" s="113" t="s">
        <v>210</v>
      </c>
      <c r="CX126" s="113">
        <v>13631298.3753272</v>
      </c>
      <c r="CY126" s="113">
        <v>15463517.626933601</v>
      </c>
      <c r="CZ126" s="113">
        <v>15159650.061351301</v>
      </c>
      <c r="DA126" s="113">
        <v>16523055.704212198</v>
      </c>
      <c r="DB126" s="113">
        <v>13485327.436090879</v>
      </c>
      <c r="DC126" s="113">
        <v>13198691</v>
      </c>
      <c r="DD126" s="113">
        <v>13923765.347779993</v>
      </c>
      <c r="DE126" s="113"/>
      <c r="DF126" s="113"/>
      <c r="DG126" s="113"/>
      <c r="DH126" s="113"/>
      <c r="DI126" s="113"/>
      <c r="DJ126" s="114">
        <f t="shared" si="388"/>
        <v>13485327.436090879</v>
      </c>
      <c r="DK126" s="114">
        <f t="shared" si="389"/>
        <v>13198691</v>
      </c>
      <c r="DL126" s="114">
        <f t="shared" si="390"/>
        <v>13923765.347779993</v>
      </c>
      <c r="DM126" s="114">
        <f t="shared" si="391"/>
        <v>0</v>
      </c>
      <c r="DN126" s="114">
        <f t="shared" si="415"/>
        <v>40607783.783870876</v>
      </c>
      <c r="DO126" s="114">
        <f t="shared" si="392"/>
        <v>60777521.7678243</v>
      </c>
      <c r="DP126" s="114">
        <f t="shared" si="393"/>
        <v>60777521.7678243</v>
      </c>
      <c r="DQ126" s="116">
        <f t="shared" si="394"/>
        <v>0.66810000000000003</v>
      </c>
      <c r="DR126" s="126">
        <f t="shared" ref="DR126:DR153" ca="1" si="421">IF(OR(CT126="MBO",CT126="10% Realized Price"),DQ126,SUMPRODUCT(Lower_Payout*(Curve=CV126)*(Lower_Attain&lt;=DQ126)*(Upper_Attain&gt;DQ126))+(DQ126-SUMPRODUCT(Lower_Attain*(Curve=CV126)*(Lower_Attain&lt;=DQ126)*(Upper_Attain&gt;DQ126)))*SUMPRODUCT(Slope*(Curve=CV126)*(Lower_Attain&lt;=DQ126)*(Upper_Attain&gt;DQ126)))</f>
        <v>0</v>
      </c>
      <c r="DS126" s="115">
        <f t="shared" ref="DS126:DS153" ca="1" si="422">AM126*CU126*DR126</f>
        <v>0</v>
      </c>
      <c r="DT126" s="118" t="str">
        <f t="shared" si="416"/>
        <v>Uncapped</v>
      </c>
      <c r="DU126" s="115">
        <f t="shared" ref="DU126:DU153" ca="1" si="423">IF(DT126="Uncapped",DS126,IFERROR(AM126*CU126*DT126,0))</f>
        <v>0</v>
      </c>
      <c r="DV126" s="113"/>
      <c r="DW126" s="119">
        <v>0</v>
      </c>
      <c r="DX126" s="113"/>
      <c r="DY126" s="113"/>
      <c r="DZ126" s="113">
        <v>0</v>
      </c>
      <c r="EA126" s="113">
        <v>0</v>
      </c>
      <c r="EB126" s="113">
        <v>0</v>
      </c>
      <c r="EC126" s="113">
        <v>0</v>
      </c>
      <c r="ED126" s="113">
        <v>0</v>
      </c>
      <c r="EE126" s="113">
        <v>0</v>
      </c>
      <c r="EF126" s="113"/>
      <c r="EG126" s="113"/>
      <c r="EH126" s="113"/>
      <c r="EI126" s="113"/>
      <c r="EJ126" s="113"/>
      <c r="EK126" s="113"/>
      <c r="EL126" s="114">
        <f t="shared" si="395"/>
        <v>0</v>
      </c>
      <c r="EM126" s="114">
        <f t="shared" si="396"/>
        <v>0</v>
      </c>
      <c r="EN126" s="114">
        <f t="shared" si="397"/>
        <v>0</v>
      </c>
      <c r="EO126" s="114">
        <f t="shared" si="398"/>
        <v>0</v>
      </c>
      <c r="EP126" s="114">
        <f t="shared" si="417"/>
        <v>0</v>
      </c>
      <c r="EQ126" s="114">
        <f t="shared" si="399"/>
        <v>0</v>
      </c>
      <c r="ER126" s="114">
        <f t="shared" si="400"/>
        <v>0</v>
      </c>
      <c r="ES126" s="116">
        <f t="shared" si="401"/>
        <v>0</v>
      </c>
      <c r="ET126" s="126">
        <f t="shared" ca="1" si="402"/>
        <v>0</v>
      </c>
      <c r="EU126" s="115">
        <f t="shared" ref="EU126:EU153" ca="1" si="424">AM126*DW126*ET126</f>
        <v>0</v>
      </c>
      <c r="EV126" s="118" t="str">
        <f t="shared" si="418"/>
        <v>Uncapped</v>
      </c>
      <c r="EW126" s="115">
        <f t="shared" ref="EW126:EW153" ca="1" si="425">IF(EV126="Uncapped",EU126,IFERROR(AM126*DW126*EV126,0))</f>
        <v>0</v>
      </c>
      <c r="EX126" s="112">
        <f t="shared" ref="EX126:EX153" ca="1" si="426">MIN(BO126,BQ126)+MIN(CQ126,CS126)+MIN(DS126,DU126)+MIN(EU126,EW126)</f>
        <v>0</v>
      </c>
      <c r="EY126" s="114">
        <f t="shared" ca="1" si="403"/>
        <v>0</v>
      </c>
      <c r="EZ126" s="115">
        <v>0</v>
      </c>
      <c r="FA126" s="115"/>
      <c r="FB126" s="115"/>
      <c r="FC126" s="115">
        <v>0</v>
      </c>
      <c r="FD126" s="115">
        <f t="shared" si="404"/>
        <v>0</v>
      </c>
      <c r="FE126" s="114">
        <f t="shared" si="405"/>
        <v>0</v>
      </c>
      <c r="FF126" s="115">
        <v>0</v>
      </c>
      <c r="FG126" s="115">
        <v>0</v>
      </c>
      <c r="FH126" s="115">
        <v>0</v>
      </c>
      <c r="FI126" s="115">
        <v>0</v>
      </c>
      <c r="FJ126" s="115">
        <f t="shared" si="406"/>
        <v>0</v>
      </c>
      <c r="FK126" s="114">
        <f t="shared" si="407"/>
        <v>0</v>
      </c>
      <c r="FL126" s="113"/>
      <c r="FM126" s="111"/>
      <c r="FN126" s="111"/>
      <c r="FO126" s="111"/>
      <c r="FP126" s="115">
        <f t="shared" si="365"/>
        <v>0</v>
      </c>
      <c r="FQ126" s="115"/>
      <c r="FR126" s="115"/>
      <c r="FS126" s="115"/>
      <c r="FT126" s="114">
        <f t="shared" si="209"/>
        <v>0</v>
      </c>
      <c r="FU126" s="366">
        <f t="shared" ca="1" si="210"/>
        <v>0</v>
      </c>
      <c r="FV126" s="121">
        <f t="shared" ca="1" si="211"/>
        <v>0</v>
      </c>
      <c r="FW126" s="114">
        <f t="shared" si="366"/>
        <v>0</v>
      </c>
      <c r="FX126" s="114">
        <f t="shared" si="366"/>
        <v>0</v>
      </c>
      <c r="FY126" s="114">
        <f t="shared" si="366"/>
        <v>0</v>
      </c>
      <c r="FZ126" s="114">
        <f t="shared" si="366"/>
        <v>0</v>
      </c>
      <c r="GA126" s="114">
        <f t="shared" si="372"/>
        <v>0</v>
      </c>
      <c r="GB126" s="114">
        <f t="shared" si="367"/>
        <v>0</v>
      </c>
      <c r="GC126" s="114">
        <f t="shared" si="367"/>
        <v>0</v>
      </c>
      <c r="GD126" s="114">
        <f t="shared" si="367"/>
        <v>0</v>
      </c>
      <c r="GE126" s="114">
        <f t="shared" si="367"/>
        <v>0</v>
      </c>
      <c r="GF126" s="114">
        <f t="shared" si="368"/>
        <v>0</v>
      </c>
      <c r="GG126" s="114">
        <f t="shared" si="368"/>
        <v>0</v>
      </c>
      <c r="GH126" s="114">
        <f t="shared" si="368"/>
        <v>0</v>
      </c>
      <c r="GI126" s="114">
        <f t="shared" si="368"/>
        <v>0</v>
      </c>
      <c r="GJ126" s="115">
        <f t="shared" si="408"/>
        <v>0</v>
      </c>
      <c r="GK126" s="114">
        <f t="shared" si="369"/>
        <v>0</v>
      </c>
      <c r="GL126" s="114">
        <f t="shared" ref="GL126:GL153" si="427">IF(U126="Y",V126*AO126,0)</f>
        <v>0</v>
      </c>
      <c r="GM126" s="114">
        <f t="shared" ref="GM126:GM153" si="428">IF(U126="Y",W126*AO126,0)</f>
        <v>0</v>
      </c>
      <c r="GN126" s="114">
        <f t="shared" ref="GN126:GN153" si="429">IF(U126="Y",X126*AO126,0)</f>
        <v>0</v>
      </c>
      <c r="GO126" s="114">
        <f t="shared" ref="GO126:GO153" si="430">IF(U126="Y",Y126*AO126,0)</f>
        <v>0</v>
      </c>
      <c r="GP126" s="114">
        <f t="shared" si="409"/>
        <v>0</v>
      </c>
      <c r="GQ126" s="114">
        <f t="shared" si="370"/>
        <v>0</v>
      </c>
      <c r="GR126" s="193"/>
      <c r="GS126" s="122">
        <f t="shared" ref="GS126:GS153" si="431">IFERROR(BJ126+CL126+DN126+EP126,0)</f>
        <v>51397202.498240568</v>
      </c>
      <c r="GT126" s="122">
        <f t="shared" ref="GT126:GT153" si="432">IFERROR(BK126+CM126+DO126+EQ126,0)</f>
        <v>72800110.993032873</v>
      </c>
      <c r="GU126" s="123">
        <f t="shared" si="371"/>
        <v>0.70600445242671939</v>
      </c>
      <c r="GV126" s="124">
        <f t="shared" ref="GV126:GV153" ca="1" si="433">BO126+CQ126+DS126+EU126</f>
        <v>0</v>
      </c>
      <c r="GW126" s="124">
        <v>0</v>
      </c>
      <c r="GX126" s="32">
        <f t="shared" ref="GX126:GX153" ca="1" si="434">IFERROR(GV126/AM126,0)</f>
        <v>0</v>
      </c>
      <c r="GY126" s="100"/>
    </row>
    <row r="127" spans="1:207" s="408" customFormat="1" hidden="1">
      <c r="C127" s="402"/>
      <c r="D127" s="402"/>
      <c r="E127" s="403"/>
      <c r="F127" s="403" t="s">
        <v>720</v>
      </c>
      <c r="G127" s="403" t="s">
        <v>226</v>
      </c>
      <c r="H127" s="105" t="s">
        <v>560</v>
      </c>
      <c r="I127" s="403" t="s">
        <v>594</v>
      </c>
      <c r="J127" s="403" t="s">
        <v>212</v>
      </c>
      <c r="K127" s="403" t="s">
        <v>544</v>
      </c>
      <c r="L127" s="403"/>
      <c r="M127" s="403"/>
      <c r="N127" s="404"/>
      <c r="O127" s="108">
        <v>43304</v>
      </c>
      <c r="P127" s="108">
        <v>43304</v>
      </c>
      <c r="Q127" s="323">
        <f t="shared" si="410"/>
        <v>0</v>
      </c>
      <c r="R127" s="109">
        <f>IF((P127-VLOOKUP(Q127,month!$A$1:$C$13,3,0))&lt;0,Q127,Q127+1)</f>
        <v>0</v>
      </c>
      <c r="S127" s="108"/>
      <c r="T127" s="110" t="str">
        <f t="shared" si="215"/>
        <v/>
      </c>
      <c r="U127" s="404"/>
      <c r="V127" s="404"/>
      <c r="W127" s="405"/>
      <c r="X127" s="405"/>
      <c r="Y127" s="492"/>
      <c r="Z127" s="406" t="s">
        <v>545</v>
      </c>
      <c r="AA127" s="394">
        <v>1000</v>
      </c>
      <c r="AB127" s="394">
        <v>1000</v>
      </c>
      <c r="AC127" s="394">
        <v>1000</v>
      </c>
      <c r="AD127" s="394">
        <v>1000</v>
      </c>
      <c r="AE127" s="394">
        <v>1000</v>
      </c>
      <c r="AF127" s="394">
        <v>1000</v>
      </c>
      <c r="AG127" s="394">
        <v>1000</v>
      </c>
      <c r="AH127" s="394">
        <v>1000</v>
      </c>
      <c r="AI127" s="394">
        <v>1000</v>
      </c>
      <c r="AJ127" s="394">
        <v>1000</v>
      </c>
      <c r="AK127" s="394">
        <v>1000</v>
      </c>
      <c r="AL127" s="394">
        <v>1000</v>
      </c>
      <c r="AM127" s="388">
        <f t="shared" si="373"/>
        <v>12000</v>
      </c>
      <c r="AN127" s="388">
        <f t="shared" si="411"/>
        <v>12000</v>
      </c>
      <c r="AO127" s="389">
        <f t="shared" si="364"/>
        <v>1000</v>
      </c>
      <c r="AP127" s="502" t="s">
        <v>750</v>
      </c>
      <c r="AQ127" s="159">
        <v>0.5</v>
      </c>
      <c r="AR127" s="103" t="s">
        <v>211</v>
      </c>
      <c r="AS127" s="119" t="s">
        <v>210</v>
      </c>
      <c r="AT127" s="111">
        <v>720887.91968241916</v>
      </c>
      <c r="AU127" s="111">
        <v>784595.67437440774</v>
      </c>
      <c r="AV127" s="111">
        <v>746491.73576980887</v>
      </c>
      <c r="AW127" s="111">
        <v>808196.19358136377</v>
      </c>
      <c r="AX127" s="113">
        <v>1424487.42</v>
      </c>
      <c r="AY127" s="113">
        <v>1196357.4045000002</v>
      </c>
      <c r="AZ127" s="113">
        <v>721705.2470999998</v>
      </c>
      <c r="BA127" s="113"/>
      <c r="BB127" s="113"/>
      <c r="BC127" s="113"/>
      <c r="BD127" s="113"/>
      <c r="BE127" s="113"/>
      <c r="BF127" s="114">
        <f t="shared" si="374"/>
        <v>1424487.42</v>
      </c>
      <c r="BG127" s="114">
        <f t="shared" si="375"/>
        <v>1196357.4045000002</v>
      </c>
      <c r="BH127" s="114">
        <f t="shared" si="376"/>
        <v>721705.2470999998</v>
      </c>
      <c r="BI127" s="114">
        <f t="shared" si="377"/>
        <v>0</v>
      </c>
      <c r="BJ127" s="114">
        <f t="shared" si="412"/>
        <v>3342550.0715999999</v>
      </c>
      <c r="BK127" s="115">
        <f t="shared" si="358"/>
        <v>3060171.5234079994</v>
      </c>
      <c r="BL127" s="115">
        <f t="shared" si="378"/>
        <v>3060171.5234079994</v>
      </c>
      <c r="BM127" s="116">
        <f t="shared" si="379"/>
        <v>1.0923</v>
      </c>
      <c r="BN127" s="126">
        <f t="shared" ca="1" si="359"/>
        <v>0</v>
      </c>
      <c r="BO127" s="117">
        <f t="shared" ca="1" si="360"/>
        <v>0</v>
      </c>
      <c r="BP127" s="118" t="str">
        <f t="shared" si="361"/>
        <v>Uncapped</v>
      </c>
      <c r="BQ127" s="115">
        <f t="shared" ca="1" si="362"/>
        <v>0</v>
      </c>
      <c r="BR127" s="174" t="s">
        <v>762</v>
      </c>
      <c r="BS127" s="175">
        <v>0.3</v>
      </c>
      <c r="BT127" s="174" t="s">
        <v>211</v>
      </c>
      <c r="BU127" s="174" t="s">
        <v>210</v>
      </c>
      <c r="BV127" s="113">
        <v>2237916.9674079753</v>
      </c>
      <c r="BW127" s="113">
        <v>2593737.6672715819</v>
      </c>
      <c r="BX127" s="113">
        <v>2631062.6626689765</v>
      </c>
      <c r="BY127" s="113">
        <v>2613100.8468210953</v>
      </c>
      <c r="BZ127" s="113">
        <v>2333200.87</v>
      </c>
      <c r="CA127" s="113">
        <v>2209902.1916999999</v>
      </c>
      <c r="CB127" s="113">
        <v>1880202.3</v>
      </c>
      <c r="CC127" s="113">
        <f t="shared" si="352"/>
        <v>2613100.8468210953</v>
      </c>
      <c r="CD127" s="113"/>
      <c r="CE127" s="113"/>
      <c r="CF127" s="113"/>
      <c r="CG127" s="113"/>
      <c r="CH127" s="114">
        <f t="shared" si="380"/>
        <v>2333200.87</v>
      </c>
      <c r="CI127" s="114">
        <f t="shared" si="381"/>
        <v>2209902.1916999999</v>
      </c>
      <c r="CJ127" s="120">
        <f t="shared" si="382"/>
        <v>1880202.3</v>
      </c>
      <c r="CK127" s="114">
        <f t="shared" si="383"/>
        <v>2613100.8468210953</v>
      </c>
      <c r="CL127" s="114">
        <f t="shared" si="413"/>
        <v>9036406.2085210942</v>
      </c>
      <c r="CM127" s="114">
        <f t="shared" si="384"/>
        <v>10075818.14416963</v>
      </c>
      <c r="CN127" s="114">
        <f t="shared" si="385"/>
        <v>10075818.14416963</v>
      </c>
      <c r="CO127" s="116">
        <f t="shared" si="386"/>
        <v>0.89680000000000004</v>
      </c>
      <c r="CP127" s="126">
        <f t="shared" ca="1" si="387"/>
        <v>0</v>
      </c>
      <c r="CQ127" s="115">
        <f t="shared" ca="1" si="419"/>
        <v>0</v>
      </c>
      <c r="CR127" s="118" t="str">
        <f t="shared" si="414"/>
        <v>Uncapped</v>
      </c>
      <c r="CS127" s="115">
        <f t="shared" ca="1" si="420"/>
        <v>0</v>
      </c>
      <c r="CT127" s="113" t="s">
        <v>729</v>
      </c>
      <c r="CU127" s="119">
        <v>0.2</v>
      </c>
      <c r="CV127" s="113" t="s">
        <v>217</v>
      </c>
      <c r="CW127" s="113" t="s">
        <v>210</v>
      </c>
      <c r="CX127" s="113">
        <v>13631298.3753272</v>
      </c>
      <c r="CY127" s="113">
        <v>15463517.626933601</v>
      </c>
      <c r="CZ127" s="113">
        <v>15159650.061351301</v>
      </c>
      <c r="DA127" s="113">
        <v>16523055.704212198</v>
      </c>
      <c r="DB127" s="113">
        <v>13485327.436090879</v>
      </c>
      <c r="DC127" s="113">
        <v>13198691</v>
      </c>
      <c r="DD127" s="113">
        <v>13923765.347779993</v>
      </c>
      <c r="DE127" s="113"/>
      <c r="DF127" s="113"/>
      <c r="DG127" s="113"/>
      <c r="DH127" s="113"/>
      <c r="DI127" s="113"/>
      <c r="DJ127" s="114">
        <f t="shared" si="388"/>
        <v>13485327.436090879</v>
      </c>
      <c r="DK127" s="114">
        <f t="shared" si="389"/>
        <v>13198691</v>
      </c>
      <c r="DL127" s="114">
        <f t="shared" si="390"/>
        <v>13923765.347779993</v>
      </c>
      <c r="DM127" s="114">
        <f t="shared" si="391"/>
        <v>0</v>
      </c>
      <c r="DN127" s="114">
        <f t="shared" si="415"/>
        <v>40607783.783870876</v>
      </c>
      <c r="DO127" s="114">
        <f t="shared" si="392"/>
        <v>60777521.7678243</v>
      </c>
      <c r="DP127" s="114">
        <f t="shared" si="393"/>
        <v>60777521.7678243</v>
      </c>
      <c r="DQ127" s="116">
        <f t="shared" si="394"/>
        <v>0.66810000000000003</v>
      </c>
      <c r="DR127" s="126">
        <f t="shared" ca="1" si="421"/>
        <v>0</v>
      </c>
      <c r="DS127" s="115">
        <f t="shared" ca="1" si="422"/>
        <v>0</v>
      </c>
      <c r="DT127" s="118" t="str">
        <f t="shared" si="416"/>
        <v>Uncapped</v>
      </c>
      <c r="DU127" s="115">
        <f t="shared" ca="1" si="423"/>
        <v>0</v>
      </c>
      <c r="DV127" s="113"/>
      <c r="DW127" s="119">
        <v>0</v>
      </c>
      <c r="DX127" s="113"/>
      <c r="DY127" s="113"/>
      <c r="DZ127" s="113">
        <v>0</v>
      </c>
      <c r="EA127" s="113">
        <v>0</v>
      </c>
      <c r="EB127" s="113">
        <v>0</v>
      </c>
      <c r="EC127" s="113">
        <v>0</v>
      </c>
      <c r="ED127" s="113">
        <v>0</v>
      </c>
      <c r="EE127" s="113">
        <v>0</v>
      </c>
      <c r="EF127" s="113"/>
      <c r="EG127" s="113"/>
      <c r="EH127" s="113"/>
      <c r="EI127" s="113"/>
      <c r="EJ127" s="113"/>
      <c r="EK127" s="113"/>
      <c r="EL127" s="114">
        <f t="shared" si="395"/>
        <v>0</v>
      </c>
      <c r="EM127" s="114">
        <f t="shared" si="396"/>
        <v>0</v>
      </c>
      <c r="EN127" s="114">
        <f t="shared" si="397"/>
        <v>0</v>
      </c>
      <c r="EO127" s="114">
        <f t="shared" si="398"/>
        <v>0</v>
      </c>
      <c r="EP127" s="114">
        <f t="shared" si="417"/>
        <v>0</v>
      </c>
      <c r="EQ127" s="114">
        <f t="shared" si="399"/>
        <v>0</v>
      </c>
      <c r="ER127" s="114">
        <f t="shared" si="400"/>
        <v>0</v>
      </c>
      <c r="ES127" s="116">
        <f t="shared" si="401"/>
        <v>0</v>
      </c>
      <c r="ET127" s="126">
        <f t="shared" ca="1" si="402"/>
        <v>0</v>
      </c>
      <c r="EU127" s="115">
        <f t="shared" ca="1" si="424"/>
        <v>0</v>
      </c>
      <c r="EV127" s="118" t="str">
        <f t="shared" si="418"/>
        <v>Uncapped</v>
      </c>
      <c r="EW127" s="115">
        <f t="shared" ca="1" si="425"/>
        <v>0</v>
      </c>
      <c r="EX127" s="112">
        <f t="shared" ca="1" si="426"/>
        <v>0</v>
      </c>
      <c r="EY127" s="114">
        <f t="shared" ca="1" si="403"/>
        <v>0</v>
      </c>
      <c r="EZ127" s="115">
        <v>0</v>
      </c>
      <c r="FA127" s="115">
        <v>187330</v>
      </c>
      <c r="FB127" s="115">
        <v>384000</v>
      </c>
      <c r="FC127" s="115">
        <v>0</v>
      </c>
      <c r="FD127" s="115">
        <f t="shared" si="404"/>
        <v>571330</v>
      </c>
      <c r="FE127" s="114">
        <f t="shared" si="405"/>
        <v>0</v>
      </c>
      <c r="FF127" s="115">
        <v>0</v>
      </c>
      <c r="FG127" s="115">
        <v>0</v>
      </c>
      <c r="FH127" s="115">
        <v>0</v>
      </c>
      <c r="FI127" s="115">
        <v>0</v>
      </c>
      <c r="FJ127" s="115">
        <f t="shared" si="406"/>
        <v>0</v>
      </c>
      <c r="FK127" s="114">
        <f t="shared" si="407"/>
        <v>0</v>
      </c>
      <c r="FL127" s="113"/>
      <c r="FM127" s="111"/>
      <c r="FN127" s="111"/>
      <c r="FO127" s="111"/>
      <c r="FP127" s="115">
        <f t="shared" si="365"/>
        <v>0</v>
      </c>
      <c r="FQ127" s="115"/>
      <c r="FR127" s="115"/>
      <c r="FS127" s="115"/>
      <c r="FT127" s="114">
        <f t="shared" ref="FT127:FT165" si="435">SUM(FQ127:FS127)</f>
        <v>0</v>
      </c>
      <c r="FU127" s="366">
        <f t="shared" ref="FU127:FU165" ca="1" si="436">ROUND(MAX(FV127-FT127,0),2)</f>
        <v>571330</v>
      </c>
      <c r="FV127" s="121">
        <f t="shared" ref="FV127:FV165" ca="1" si="437">SUM(EY127,FD127,FJ127,FP127)</f>
        <v>571330</v>
      </c>
      <c r="FW127" s="114">
        <f t="shared" si="366"/>
        <v>0</v>
      </c>
      <c r="FX127" s="114">
        <f t="shared" si="366"/>
        <v>0</v>
      </c>
      <c r="FY127" s="114">
        <f t="shared" si="366"/>
        <v>0</v>
      </c>
      <c r="FZ127" s="114">
        <f t="shared" si="366"/>
        <v>0</v>
      </c>
      <c r="GA127" s="114">
        <f t="shared" si="372"/>
        <v>0</v>
      </c>
      <c r="GB127" s="114">
        <f t="shared" si="367"/>
        <v>0</v>
      </c>
      <c r="GC127" s="114">
        <f t="shared" si="367"/>
        <v>187330</v>
      </c>
      <c r="GD127" s="114">
        <f t="shared" si="367"/>
        <v>384000</v>
      </c>
      <c r="GE127" s="114">
        <f t="shared" si="367"/>
        <v>0</v>
      </c>
      <c r="GF127" s="114">
        <f t="shared" si="368"/>
        <v>0</v>
      </c>
      <c r="GG127" s="114">
        <f t="shared" si="368"/>
        <v>187330</v>
      </c>
      <c r="GH127" s="114">
        <f t="shared" si="368"/>
        <v>384000</v>
      </c>
      <c r="GI127" s="114">
        <f t="shared" si="368"/>
        <v>0</v>
      </c>
      <c r="GJ127" s="115">
        <f t="shared" si="408"/>
        <v>571330</v>
      </c>
      <c r="GK127" s="114">
        <f t="shared" si="369"/>
        <v>571330</v>
      </c>
      <c r="GL127" s="114">
        <f t="shared" si="427"/>
        <v>0</v>
      </c>
      <c r="GM127" s="114">
        <f t="shared" si="428"/>
        <v>0</v>
      </c>
      <c r="GN127" s="114">
        <f t="shared" si="429"/>
        <v>0</v>
      </c>
      <c r="GO127" s="114">
        <f t="shared" si="430"/>
        <v>0</v>
      </c>
      <c r="GP127" s="114">
        <f t="shared" si="409"/>
        <v>0</v>
      </c>
      <c r="GQ127" s="114">
        <f t="shared" si="370"/>
        <v>0</v>
      </c>
      <c r="GR127" s="193"/>
      <c r="GS127" s="122">
        <f t="shared" si="431"/>
        <v>52986740.063991971</v>
      </c>
      <c r="GT127" s="122">
        <f t="shared" si="432"/>
        <v>73913511.435401931</v>
      </c>
      <c r="GU127" s="123">
        <f t="shared" si="371"/>
        <v>0.71687488572776992</v>
      </c>
      <c r="GV127" s="124">
        <f t="shared" ca="1" si="433"/>
        <v>0</v>
      </c>
      <c r="GW127" s="124">
        <v>0</v>
      </c>
      <c r="GX127" s="32">
        <f t="shared" ca="1" si="434"/>
        <v>0</v>
      </c>
      <c r="GY127" s="100"/>
    </row>
    <row r="128" spans="1:207" s="408" customFormat="1" hidden="1">
      <c r="C128" s="402"/>
      <c r="D128" s="402"/>
      <c r="E128" s="403"/>
      <c r="F128" s="403" t="s">
        <v>720</v>
      </c>
      <c r="G128" s="403" t="s">
        <v>226</v>
      </c>
      <c r="H128" s="105" t="s">
        <v>561</v>
      </c>
      <c r="I128" s="403" t="s">
        <v>595</v>
      </c>
      <c r="J128" s="403" t="s">
        <v>207</v>
      </c>
      <c r="K128" s="403" t="s">
        <v>544</v>
      </c>
      <c r="L128" s="403"/>
      <c r="M128" s="403"/>
      <c r="N128" s="404"/>
      <c r="O128" s="549">
        <v>43374</v>
      </c>
      <c r="P128" s="108">
        <v>43374</v>
      </c>
      <c r="Q128" s="323">
        <f t="shared" si="410"/>
        <v>0</v>
      </c>
      <c r="R128" s="109">
        <f>IF((P128-VLOOKUP(Q128,month!$A$1:$C$13,3,0))&lt;0,Q128,Q128+1)</f>
        <v>0</v>
      </c>
      <c r="S128" s="108"/>
      <c r="T128" s="110" t="str">
        <f t="shared" si="215"/>
        <v/>
      </c>
      <c r="U128" s="404"/>
      <c r="V128" s="404"/>
      <c r="W128" s="405"/>
      <c r="X128" s="405"/>
      <c r="Y128" s="492"/>
      <c r="Z128" s="406" t="s">
        <v>545</v>
      </c>
      <c r="AA128" s="394">
        <v>1000</v>
      </c>
      <c r="AB128" s="394">
        <v>1000</v>
      </c>
      <c r="AC128" s="394">
        <v>1000</v>
      </c>
      <c r="AD128" s="394">
        <v>1000</v>
      </c>
      <c r="AE128" s="394">
        <v>1000</v>
      </c>
      <c r="AF128" s="394">
        <v>1000</v>
      </c>
      <c r="AG128" s="394">
        <v>1000</v>
      </c>
      <c r="AH128" s="394">
        <v>1000</v>
      </c>
      <c r="AI128" s="394">
        <v>1000</v>
      </c>
      <c r="AJ128" s="394">
        <v>1000</v>
      </c>
      <c r="AK128" s="394">
        <v>1000</v>
      </c>
      <c r="AL128" s="394">
        <v>1000</v>
      </c>
      <c r="AM128" s="388">
        <f t="shared" si="373"/>
        <v>12000</v>
      </c>
      <c r="AN128" s="388">
        <f t="shared" si="411"/>
        <v>12000</v>
      </c>
      <c r="AO128" s="389">
        <f t="shared" si="364"/>
        <v>1000</v>
      </c>
      <c r="AP128" s="502" t="s">
        <v>751</v>
      </c>
      <c r="AQ128" s="159">
        <v>0.5</v>
      </c>
      <c r="AR128" s="103" t="s">
        <v>211</v>
      </c>
      <c r="AS128" s="119" t="s">
        <v>210</v>
      </c>
      <c r="AT128" s="111">
        <v>1473690.0191715213</v>
      </c>
      <c r="AU128" s="111">
        <v>1601896.0601008309</v>
      </c>
      <c r="AV128" s="111"/>
      <c r="AW128" s="111"/>
      <c r="AX128" s="113">
        <v>1436290.7616200005</v>
      </c>
      <c r="AY128" s="113">
        <v>1234137</v>
      </c>
      <c r="AZ128" s="113"/>
      <c r="BA128" s="113"/>
      <c r="BB128" s="113"/>
      <c r="BC128" s="113"/>
      <c r="BD128" s="113"/>
      <c r="BE128" s="113"/>
      <c r="BF128" s="114">
        <f t="shared" si="374"/>
        <v>1436290.7616200005</v>
      </c>
      <c r="BG128" s="114">
        <f t="shared" si="375"/>
        <v>1234137</v>
      </c>
      <c r="BH128" s="114">
        <f t="shared" si="376"/>
        <v>0</v>
      </c>
      <c r="BI128" s="114">
        <f t="shared" si="377"/>
        <v>0</v>
      </c>
      <c r="BJ128" s="114">
        <f t="shared" si="412"/>
        <v>2670427.7616200005</v>
      </c>
      <c r="BK128" s="115">
        <f t="shared" si="358"/>
        <v>3075586.0792723522</v>
      </c>
      <c r="BL128" s="115">
        <f t="shared" si="378"/>
        <v>3075586.0792723522</v>
      </c>
      <c r="BM128" s="116">
        <f t="shared" si="379"/>
        <v>0.86829999999999996</v>
      </c>
      <c r="BN128" s="126">
        <f t="shared" ca="1" si="359"/>
        <v>0</v>
      </c>
      <c r="BO128" s="117">
        <f t="shared" ca="1" si="360"/>
        <v>0</v>
      </c>
      <c r="BP128" s="118" t="str">
        <f t="shared" si="361"/>
        <v>Uncapped</v>
      </c>
      <c r="BQ128" s="115">
        <f t="shared" ca="1" si="362"/>
        <v>0</v>
      </c>
      <c r="BR128" s="174" t="s">
        <v>738</v>
      </c>
      <c r="BS128" s="175">
        <v>0.3</v>
      </c>
      <c r="BT128" s="174" t="s">
        <v>211</v>
      </c>
      <c r="BU128" s="174" t="s">
        <v>744</v>
      </c>
      <c r="BV128" s="113">
        <v>0</v>
      </c>
      <c r="BW128" s="113">
        <v>0</v>
      </c>
      <c r="BX128" s="113">
        <v>0</v>
      </c>
      <c r="BY128" s="113">
        <v>0</v>
      </c>
      <c r="BZ128" s="113">
        <v>0</v>
      </c>
      <c r="CA128" s="113">
        <v>0</v>
      </c>
      <c r="CB128" s="113">
        <v>0</v>
      </c>
      <c r="CC128" s="113">
        <f t="shared" si="352"/>
        <v>0</v>
      </c>
      <c r="CD128" s="113"/>
      <c r="CE128" s="113"/>
      <c r="CF128" s="113"/>
      <c r="CG128" s="113"/>
      <c r="CH128" s="114">
        <f t="shared" si="380"/>
        <v>0</v>
      </c>
      <c r="CI128" s="114">
        <f t="shared" si="381"/>
        <v>0</v>
      </c>
      <c r="CJ128" s="120">
        <f t="shared" si="382"/>
        <v>0</v>
      </c>
      <c r="CK128" s="114">
        <f t="shared" si="383"/>
        <v>0</v>
      </c>
      <c r="CL128" s="114">
        <f t="shared" si="413"/>
        <v>0</v>
      </c>
      <c r="CM128" s="114">
        <f t="shared" si="384"/>
        <v>0</v>
      </c>
      <c r="CN128" s="114">
        <f t="shared" si="385"/>
        <v>0</v>
      </c>
      <c r="CO128" s="116">
        <f t="shared" si="386"/>
        <v>0</v>
      </c>
      <c r="CP128" s="126">
        <f t="shared" ca="1" si="387"/>
        <v>0</v>
      </c>
      <c r="CQ128" s="115">
        <f t="shared" ca="1" si="419"/>
        <v>0</v>
      </c>
      <c r="CR128" s="118" t="str">
        <f t="shared" si="414"/>
        <v>Uncapped</v>
      </c>
      <c r="CS128" s="115">
        <f t="shared" ca="1" si="420"/>
        <v>0</v>
      </c>
      <c r="CT128" s="113" t="s">
        <v>729</v>
      </c>
      <c r="CU128" s="119">
        <v>0.2</v>
      </c>
      <c r="CV128" s="113" t="s">
        <v>217</v>
      </c>
      <c r="CW128" s="113" t="s">
        <v>210</v>
      </c>
      <c r="CX128" s="113">
        <v>13631298.3753272</v>
      </c>
      <c r="CY128" s="113">
        <v>15463517.626933601</v>
      </c>
      <c r="CZ128" s="113"/>
      <c r="DA128" s="113"/>
      <c r="DB128" s="113">
        <v>13485327.436090879</v>
      </c>
      <c r="DC128" s="113">
        <v>13198691</v>
      </c>
      <c r="DD128" s="113"/>
      <c r="DE128" s="113"/>
      <c r="DF128" s="113"/>
      <c r="DG128" s="113"/>
      <c r="DH128" s="113"/>
      <c r="DI128" s="113"/>
      <c r="DJ128" s="114">
        <f t="shared" si="388"/>
        <v>13485327.436090879</v>
      </c>
      <c r="DK128" s="114">
        <f t="shared" si="389"/>
        <v>13198691</v>
      </c>
      <c r="DL128" s="114">
        <f t="shared" si="390"/>
        <v>0</v>
      </c>
      <c r="DM128" s="114">
        <f t="shared" si="391"/>
        <v>0</v>
      </c>
      <c r="DN128" s="114">
        <f t="shared" si="415"/>
        <v>26684018.436090879</v>
      </c>
      <c r="DO128" s="114">
        <f t="shared" si="392"/>
        <v>29094816.0022608</v>
      </c>
      <c r="DP128" s="114">
        <f t="shared" si="393"/>
        <v>29094816.0022608</v>
      </c>
      <c r="DQ128" s="116">
        <f t="shared" si="394"/>
        <v>0.91710000000000003</v>
      </c>
      <c r="DR128" s="126">
        <f t="shared" ca="1" si="421"/>
        <v>0</v>
      </c>
      <c r="DS128" s="115">
        <f t="shared" ca="1" si="422"/>
        <v>0</v>
      </c>
      <c r="DT128" s="118" t="str">
        <f t="shared" si="416"/>
        <v>Uncapped</v>
      </c>
      <c r="DU128" s="115">
        <f t="shared" ca="1" si="423"/>
        <v>0</v>
      </c>
      <c r="DV128" s="113"/>
      <c r="DW128" s="119">
        <v>0</v>
      </c>
      <c r="DX128" s="113"/>
      <c r="DY128" s="113"/>
      <c r="DZ128" s="113">
        <v>0</v>
      </c>
      <c r="EA128" s="113">
        <v>0</v>
      </c>
      <c r="EB128" s="113">
        <v>0</v>
      </c>
      <c r="EC128" s="113">
        <v>0</v>
      </c>
      <c r="ED128" s="113">
        <v>0</v>
      </c>
      <c r="EE128" s="113">
        <v>0</v>
      </c>
      <c r="EF128" s="113"/>
      <c r="EG128" s="113"/>
      <c r="EH128" s="113"/>
      <c r="EI128" s="113"/>
      <c r="EJ128" s="113"/>
      <c r="EK128" s="113"/>
      <c r="EL128" s="114">
        <f t="shared" si="395"/>
        <v>0</v>
      </c>
      <c r="EM128" s="114">
        <f t="shared" si="396"/>
        <v>0</v>
      </c>
      <c r="EN128" s="114">
        <f t="shared" si="397"/>
        <v>0</v>
      </c>
      <c r="EO128" s="114">
        <f t="shared" si="398"/>
        <v>0</v>
      </c>
      <c r="EP128" s="114">
        <f t="shared" si="417"/>
        <v>0</v>
      </c>
      <c r="EQ128" s="114">
        <f t="shared" si="399"/>
        <v>0</v>
      </c>
      <c r="ER128" s="114">
        <f t="shared" si="400"/>
        <v>0</v>
      </c>
      <c r="ES128" s="116">
        <f t="shared" si="401"/>
        <v>0</v>
      </c>
      <c r="ET128" s="126">
        <f t="shared" ca="1" si="402"/>
        <v>0</v>
      </c>
      <c r="EU128" s="115">
        <f t="shared" ca="1" si="424"/>
        <v>0</v>
      </c>
      <c r="EV128" s="118" t="str">
        <f t="shared" si="418"/>
        <v>Uncapped</v>
      </c>
      <c r="EW128" s="115">
        <f t="shared" ca="1" si="425"/>
        <v>0</v>
      </c>
      <c r="EX128" s="112">
        <f t="shared" ca="1" si="426"/>
        <v>0</v>
      </c>
      <c r="EY128" s="114">
        <f t="shared" ca="1" si="403"/>
        <v>0</v>
      </c>
      <c r="EZ128" s="115">
        <v>0</v>
      </c>
      <c r="FA128" s="115"/>
      <c r="FB128" s="115"/>
      <c r="FC128" s="115">
        <v>0</v>
      </c>
      <c r="FD128" s="115">
        <f t="shared" si="404"/>
        <v>0</v>
      </c>
      <c r="FE128" s="114">
        <f t="shared" si="405"/>
        <v>0</v>
      </c>
      <c r="FF128" s="115">
        <v>0</v>
      </c>
      <c r="FG128" s="115">
        <v>0</v>
      </c>
      <c r="FH128" s="115">
        <v>0</v>
      </c>
      <c r="FI128" s="115">
        <v>0</v>
      </c>
      <c r="FJ128" s="115">
        <f t="shared" si="406"/>
        <v>0</v>
      </c>
      <c r="FK128" s="114">
        <f t="shared" si="407"/>
        <v>0</v>
      </c>
      <c r="FL128" s="113"/>
      <c r="FM128" s="111"/>
      <c r="FN128" s="111"/>
      <c r="FO128" s="111"/>
      <c r="FP128" s="115">
        <f t="shared" si="365"/>
        <v>0</v>
      </c>
      <c r="FQ128" s="115"/>
      <c r="FR128" s="115"/>
      <c r="FS128" s="115"/>
      <c r="FT128" s="114">
        <f t="shared" si="435"/>
        <v>0</v>
      </c>
      <c r="FU128" s="366">
        <f t="shared" ca="1" si="436"/>
        <v>0</v>
      </c>
      <c r="FV128" s="121">
        <f t="shared" ca="1" si="437"/>
        <v>0</v>
      </c>
      <c r="FW128" s="114">
        <f t="shared" si="366"/>
        <v>0</v>
      </c>
      <c r="FX128" s="114">
        <f t="shared" si="366"/>
        <v>0</v>
      </c>
      <c r="FY128" s="114">
        <f t="shared" si="366"/>
        <v>0</v>
      </c>
      <c r="FZ128" s="114">
        <f t="shared" si="366"/>
        <v>0</v>
      </c>
      <c r="GA128" s="114">
        <f t="shared" si="372"/>
        <v>0</v>
      </c>
      <c r="GB128" s="114">
        <f t="shared" si="367"/>
        <v>0</v>
      </c>
      <c r="GC128" s="114">
        <f t="shared" si="367"/>
        <v>0</v>
      </c>
      <c r="GD128" s="114">
        <f t="shared" si="367"/>
        <v>0</v>
      </c>
      <c r="GE128" s="114">
        <f t="shared" si="367"/>
        <v>0</v>
      </c>
      <c r="GF128" s="114">
        <f t="shared" si="368"/>
        <v>0</v>
      </c>
      <c r="GG128" s="114">
        <f t="shared" si="368"/>
        <v>0</v>
      </c>
      <c r="GH128" s="114">
        <f t="shared" si="368"/>
        <v>0</v>
      </c>
      <c r="GI128" s="114">
        <f t="shared" si="368"/>
        <v>0</v>
      </c>
      <c r="GJ128" s="115">
        <f t="shared" si="408"/>
        <v>0</v>
      </c>
      <c r="GK128" s="114">
        <f t="shared" ref="GK128:GK166" si="438">SUM(GF128:GI128)</f>
        <v>0</v>
      </c>
      <c r="GL128" s="114">
        <f t="shared" si="427"/>
        <v>0</v>
      </c>
      <c r="GM128" s="114">
        <f t="shared" si="428"/>
        <v>0</v>
      </c>
      <c r="GN128" s="114">
        <f t="shared" si="429"/>
        <v>0</v>
      </c>
      <c r="GO128" s="114">
        <f t="shared" si="430"/>
        <v>0</v>
      </c>
      <c r="GP128" s="114">
        <f t="shared" si="409"/>
        <v>0</v>
      </c>
      <c r="GQ128" s="114">
        <f t="shared" ref="GQ128:GQ162" si="439">SUM(GL128:GO128)</f>
        <v>0</v>
      </c>
      <c r="GR128" s="193"/>
      <c r="GS128" s="122">
        <f t="shared" si="431"/>
        <v>29354446.197710879</v>
      </c>
      <c r="GT128" s="122">
        <f t="shared" si="432"/>
        <v>32170402.081533153</v>
      </c>
      <c r="GU128" s="123">
        <f t="shared" ref="GU128:GU166" si="440">IFERROR(GS128/GT128,"")</f>
        <v>0.91246749491394386</v>
      </c>
      <c r="GV128" s="124">
        <f t="shared" ca="1" si="433"/>
        <v>0</v>
      </c>
      <c r="GW128" s="124">
        <v>0</v>
      </c>
      <c r="GX128" s="32">
        <f t="shared" ca="1" si="434"/>
        <v>0</v>
      </c>
      <c r="GY128" s="100"/>
    </row>
    <row r="129" spans="3:207" s="408" customFormat="1" hidden="1">
      <c r="C129" s="402"/>
      <c r="D129" s="402"/>
      <c r="E129" s="403"/>
      <c r="F129" s="403" t="s">
        <v>720</v>
      </c>
      <c r="G129" s="403" t="s">
        <v>226</v>
      </c>
      <c r="H129" s="105" t="s">
        <v>562</v>
      </c>
      <c r="I129" s="403" t="s">
        <v>596</v>
      </c>
      <c r="J129" s="403" t="s">
        <v>212</v>
      </c>
      <c r="K129" s="403" t="s">
        <v>544</v>
      </c>
      <c r="L129" s="403"/>
      <c r="M129" s="403"/>
      <c r="N129" s="404"/>
      <c r="O129" s="108">
        <v>43395</v>
      </c>
      <c r="P129" s="108">
        <v>43395</v>
      </c>
      <c r="Q129" s="323">
        <f t="shared" si="410"/>
        <v>0</v>
      </c>
      <c r="R129" s="109">
        <f>IF((P129-VLOOKUP(Q129,month!$A$1:$C$13,3,0))&lt;0,Q129,Q129+1)</f>
        <v>0</v>
      </c>
      <c r="S129" s="108"/>
      <c r="T129" s="110" t="str">
        <f t="shared" si="215"/>
        <v/>
      </c>
      <c r="U129" s="404"/>
      <c r="V129" s="404"/>
      <c r="W129" s="405"/>
      <c r="X129" s="405"/>
      <c r="Y129" s="492"/>
      <c r="Z129" s="406" t="s">
        <v>545</v>
      </c>
      <c r="AA129" s="394">
        <v>1000</v>
      </c>
      <c r="AB129" s="394">
        <v>1000</v>
      </c>
      <c r="AC129" s="394">
        <v>1000</v>
      </c>
      <c r="AD129" s="394">
        <v>1000</v>
      </c>
      <c r="AE129" s="394">
        <v>1000</v>
      </c>
      <c r="AF129" s="394">
        <v>1000</v>
      </c>
      <c r="AG129" s="394">
        <v>1000</v>
      </c>
      <c r="AH129" s="394">
        <v>1000</v>
      </c>
      <c r="AI129" s="394">
        <v>1000</v>
      </c>
      <c r="AJ129" s="394">
        <v>1000</v>
      </c>
      <c r="AK129" s="394">
        <v>1000</v>
      </c>
      <c r="AL129" s="394">
        <v>1000</v>
      </c>
      <c r="AM129" s="388">
        <f t="shared" si="373"/>
        <v>12000</v>
      </c>
      <c r="AN129" s="388">
        <f t="shared" si="411"/>
        <v>12000</v>
      </c>
      <c r="AO129" s="389">
        <f t="shared" si="364"/>
        <v>1000</v>
      </c>
      <c r="AP129" s="502" t="s">
        <v>739</v>
      </c>
      <c r="AQ129" s="159">
        <v>0.4</v>
      </c>
      <c r="AR129" s="103" t="s">
        <v>211</v>
      </c>
      <c r="AS129" s="119" t="s">
        <v>210</v>
      </c>
      <c r="AT129" s="111">
        <v>3303532.5981613281</v>
      </c>
      <c r="AU129" s="111">
        <v>3658876.8275554618</v>
      </c>
      <c r="AV129" s="111">
        <v>3539622.6234550145</v>
      </c>
      <c r="AW129" s="111">
        <v>3541548.5655471394</v>
      </c>
      <c r="AX129" s="113">
        <v>3446903.51</v>
      </c>
      <c r="AY129" s="113">
        <v>3218966.0412500044</v>
      </c>
      <c r="AZ129" s="113">
        <v>2940994.7070000023</v>
      </c>
      <c r="BA129" s="113"/>
      <c r="BB129" s="113"/>
      <c r="BC129" s="113"/>
      <c r="BD129" s="113"/>
      <c r="BE129" s="113"/>
      <c r="BF129" s="114">
        <f t="shared" si="374"/>
        <v>3446903.51</v>
      </c>
      <c r="BG129" s="114">
        <f t="shared" si="375"/>
        <v>3218966.0412500044</v>
      </c>
      <c r="BH129" s="114">
        <f t="shared" si="376"/>
        <v>2940994.7070000023</v>
      </c>
      <c r="BI129" s="114">
        <f t="shared" si="377"/>
        <v>0</v>
      </c>
      <c r="BJ129" s="114">
        <f t="shared" si="412"/>
        <v>9606864.2582500055</v>
      </c>
      <c r="BK129" s="115">
        <f t="shared" si="358"/>
        <v>14043580.614718944</v>
      </c>
      <c r="BL129" s="115">
        <f t="shared" si="378"/>
        <v>14043580.614718944</v>
      </c>
      <c r="BM129" s="116">
        <f t="shared" si="379"/>
        <v>0.68410000000000004</v>
      </c>
      <c r="BN129" s="126">
        <f t="shared" ca="1" si="359"/>
        <v>0</v>
      </c>
      <c r="BO129" s="117">
        <f t="shared" ca="1" si="360"/>
        <v>0</v>
      </c>
      <c r="BP129" s="118" t="str">
        <f t="shared" si="361"/>
        <v>Uncapped</v>
      </c>
      <c r="BQ129" s="115">
        <f t="shared" ca="1" si="362"/>
        <v>0</v>
      </c>
      <c r="BR129" s="174" t="s">
        <v>740</v>
      </c>
      <c r="BS129" s="175">
        <v>0.4</v>
      </c>
      <c r="BT129" s="174" t="s">
        <v>211</v>
      </c>
      <c r="BU129" s="174" t="s">
        <v>210</v>
      </c>
      <c r="BV129" s="113">
        <v>5205901.7546552001</v>
      </c>
      <c r="BW129" s="113">
        <v>6041740.1313270004</v>
      </c>
      <c r="BX129" s="113">
        <v>5756053.1908810986</v>
      </c>
      <c r="BY129" s="113">
        <v>6160067.2421446964</v>
      </c>
      <c r="BZ129" s="113">
        <v>5515068.8665199988</v>
      </c>
      <c r="CA129" s="113">
        <v>5778683</v>
      </c>
      <c r="CB129" s="113">
        <f>3919994.43121+1172274.56879</f>
        <v>5092269</v>
      </c>
      <c r="CC129" s="113">
        <f t="shared" si="352"/>
        <v>6160067.2421446964</v>
      </c>
      <c r="CD129" s="113"/>
      <c r="CE129" s="113"/>
      <c r="CF129" s="113"/>
      <c r="CG129" s="113"/>
      <c r="CH129" s="114">
        <f t="shared" si="380"/>
        <v>5515068.8665199988</v>
      </c>
      <c r="CI129" s="114">
        <f t="shared" si="381"/>
        <v>5778683</v>
      </c>
      <c r="CJ129" s="120">
        <f t="shared" si="382"/>
        <v>5092269</v>
      </c>
      <c r="CK129" s="114">
        <f t="shared" si="383"/>
        <v>6160067.2421446964</v>
      </c>
      <c r="CL129" s="114">
        <f t="shared" si="413"/>
        <v>22546088.108664695</v>
      </c>
      <c r="CM129" s="114">
        <f t="shared" si="384"/>
        <v>23163762.319007996</v>
      </c>
      <c r="CN129" s="114">
        <f t="shared" si="385"/>
        <v>23163762.319007996</v>
      </c>
      <c r="CO129" s="116">
        <f t="shared" si="386"/>
        <v>0.97330000000000005</v>
      </c>
      <c r="CP129" s="126">
        <f t="shared" ca="1" si="387"/>
        <v>0</v>
      </c>
      <c r="CQ129" s="115">
        <f t="shared" ca="1" si="419"/>
        <v>0</v>
      </c>
      <c r="CR129" s="118" t="str">
        <f t="shared" si="414"/>
        <v>Uncapped</v>
      </c>
      <c r="CS129" s="115">
        <f t="shared" ca="1" si="420"/>
        <v>0</v>
      </c>
      <c r="CT129" s="113" t="s">
        <v>733</v>
      </c>
      <c r="CU129" s="119">
        <v>0.2</v>
      </c>
      <c r="CV129" s="113" t="s">
        <v>217</v>
      </c>
      <c r="CW129" s="113" t="s">
        <v>210</v>
      </c>
      <c r="CX129" s="113">
        <v>4332720.3217541184</v>
      </c>
      <c r="CY129" s="113">
        <v>4778527.2500066841</v>
      </c>
      <c r="CZ129" s="113">
        <v>4616888.1107896138</v>
      </c>
      <c r="DA129" s="113">
        <v>4787499.8855306264</v>
      </c>
      <c r="DB129" s="113">
        <v>4282731.8</v>
      </c>
      <c r="DC129" s="113">
        <v>4427269.8909500409</v>
      </c>
      <c r="DD129" s="113">
        <v>3879830.89</v>
      </c>
      <c r="DE129" s="113"/>
      <c r="DF129" s="113"/>
      <c r="DG129" s="113"/>
      <c r="DH129" s="113"/>
      <c r="DI129" s="113"/>
      <c r="DJ129" s="114">
        <f t="shared" si="388"/>
        <v>4282731.8</v>
      </c>
      <c r="DK129" s="114">
        <f t="shared" si="389"/>
        <v>4427269.8909500409</v>
      </c>
      <c r="DL129" s="114">
        <f t="shared" si="390"/>
        <v>3879830.89</v>
      </c>
      <c r="DM129" s="114">
        <f t="shared" si="391"/>
        <v>0</v>
      </c>
      <c r="DN129" s="114">
        <f t="shared" si="415"/>
        <v>12589832.58095004</v>
      </c>
      <c r="DO129" s="114">
        <f t="shared" si="392"/>
        <v>18515635.568081044</v>
      </c>
      <c r="DP129" s="114">
        <f t="shared" si="393"/>
        <v>18515635.568081044</v>
      </c>
      <c r="DQ129" s="116">
        <f t="shared" si="394"/>
        <v>0.68</v>
      </c>
      <c r="DR129" s="126">
        <f t="shared" ca="1" si="421"/>
        <v>0</v>
      </c>
      <c r="DS129" s="115">
        <f t="shared" ca="1" si="422"/>
        <v>0</v>
      </c>
      <c r="DT129" s="118" t="str">
        <f t="shared" si="416"/>
        <v>Uncapped</v>
      </c>
      <c r="DU129" s="115">
        <f t="shared" ca="1" si="423"/>
        <v>0</v>
      </c>
      <c r="DV129" s="113"/>
      <c r="DW129" s="119">
        <v>0</v>
      </c>
      <c r="DX129" s="113"/>
      <c r="DY129" s="113"/>
      <c r="DZ129" s="113">
        <v>0</v>
      </c>
      <c r="EA129" s="113">
        <v>0</v>
      </c>
      <c r="EB129" s="113">
        <v>0</v>
      </c>
      <c r="EC129" s="113">
        <v>0</v>
      </c>
      <c r="ED129" s="113">
        <v>0</v>
      </c>
      <c r="EE129" s="113">
        <v>0</v>
      </c>
      <c r="EF129" s="113"/>
      <c r="EG129" s="113"/>
      <c r="EH129" s="113"/>
      <c r="EI129" s="113"/>
      <c r="EJ129" s="113"/>
      <c r="EK129" s="113"/>
      <c r="EL129" s="114">
        <f t="shared" si="395"/>
        <v>0</v>
      </c>
      <c r="EM129" s="114">
        <f t="shared" si="396"/>
        <v>0</v>
      </c>
      <c r="EN129" s="114">
        <f t="shared" si="397"/>
        <v>0</v>
      </c>
      <c r="EO129" s="114">
        <f t="shared" si="398"/>
        <v>0</v>
      </c>
      <c r="EP129" s="114">
        <f t="shared" si="417"/>
        <v>0</v>
      </c>
      <c r="EQ129" s="114">
        <f t="shared" si="399"/>
        <v>0</v>
      </c>
      <c r="ER129" s="114">
        <f t="shared" si="400"/>
        <v>0</v>
      </c>
      <c r="ES129" s="116">
        <f t="shared" si="401"/>
        <v>0</v>
      </c>
      <c r="ET129" s="126">
        <f t="shared" ca="1" si="402"/>
        <v>0</v>
      </c>
      <c r="EU129" s="115">
        <f t="shared" ca="1" si="424"/>
        <v>0</v>
      </c>
      <c r="EV129" s="118" t="str">
        <f t="shared" si="418"/>
        <v>Uncapped</v>
      </c>
      <c r="EW129" s="115">
        <f t="shared" ca="1" si="425"/>
        <v>0</v>
      </c>
      <c r="EX129" s="112">
        <f t="shared" ca="1" si="426"/>
        <v>0</v>
      </c>
      <c r="EY129" s="114">
        <f t="shared" ca="1" si="403"/>
        <v>0</v>
      </c>
      <c r="EZ129" s="115">
        <v>0</v>
      </c>
      <c r="FA129" s="115"/>
      <c r="FB129" s="115"/>
      <c r="FC129" s="115">
        <v>0</v>
      </c>
      <c r="FD129" s="115">
        <f t="shared" si="404"/>
        <v>0</v>
      </c>
      <c r="FE129" s="114">
        <f t="shared" si="405"/>
        <v>0</v>
      </c>
      <c r="FF129" s="115">
        <v>0</v>
      </c>
      <c r="FG129" s="115">
        <v>0</v>
      </c>
      <c r="FH129" s="115">
        <v>0</v>
      </c>
      <c r="FI129" s="115">
        <v>0</v>
      </c>
      <c r="FJ129" s="115">
        <f t="shared" si="406"/>
        <v>0</v>
      </c>
      <c r="FK129" s="114">
        <f t="shared" si="407"/>
        <v>0</v>
      </c>
      <c r="FL129" s="113"/>
      <c r="FM129" s="111"/>
      <c r="FN129" s="111"/>
      <c r="FO129" s="111"/>
      <c r="FP129" s="115">
        <f t="shared" si="365"/>
        <v>0</v>
      </c>
      <c r="FQ129" s="115"/>
      <c r="FR129" s="115"/>
      <c r="FS129" s="115"/>
      <c r="FT129" s="114">
        <f t="shared" si="435"/>
        <v>0</v>
      </c>
      <c r="FU129" s="366">
        <f t="shared" ca="1" si="436"/>
        <v>0</v>
      </c>
      <c r="FV129" s="121">
        <f t="shared" ca="1" si="437"/>
        <v>0</v>
      </c>
      <c r="FW129" s="114">
        <f t="shared" si="366"/>
        <v>0</v>
      </c>
      <c r="FX129" s="114">
        <f t="shared" si="366"/>
        <v>0</v>
      </c>
      <c r="FY129" s="114">
        <f t="shared" si="366"/>
        <v>0</v>
      </c>
      <c r="FZ129" s="114">
        <f t="shared" si="366"/>
        <v>0</v>
      </c>
      <c r="GA129" s="114">
        <f t="shared" si="372"/>
        <v>0</v>
      </c>
      <c r="GB129" s="114">
        <f t="shared" si="367"/>
        <v>0</v>
      </c>
      <c r="GC129" s="114">
        <f t="shared" si="367"/>
        <v>0</v>
      </c>
      <c r="GD129" s="114">
        <f t="shared" si="367"/>
        <v>0</v>
      </c>
      <c r="GE129" s="114">
        <f t="shared" si="367"/>
        <v>0</v>
      </c>
      <c r="GF129" s="114">
        <f t="shared" si="368"/>
        <v>0</v>
      </c>
      <c r="GG129" s="114">
        <f t="shared" si="368"/>
        <v>0</v>
      </c>
      <c r="GH129" s="114">
        <f t="shared" si="368"/>
        <v>0</v>
      </c>
      <c r="GI129" s="114">
        <f t="shared" si="368"/>
        <v>0</v>
      </c>
      <c r="GJ129" s="115">
        <f t="shared" si="408"/>
        <v>0</v>
      </c>
      <c r="GK129" s="114">
        <f t="shared" si="438"/>
        <v>0</v>
      </c>
      <c r="GL129" s="114">
        <f t="shared" si="427"/>
        <v>0</v>
      </c>
      <c r="GM129" s="114">
        <f t="shared" si="428"/>
        <v>0</v>
      </c>
      <c r="GN129" s="114">
        <f t="shared" si="429"/>
        <v>0</v>
      </c>
      <c r="GO129" s="114">
        <f t="shared" si="430"/>
        <v>0</v>
      </c>
      <c r="GP129" s="114">
        <f t="shared" si="409"/>
        <v>0</v>
      </c>
      <c r="GQ129" s="114">
        <f t="shared" si="439"/>
        <v>0</v>
      </c>
      <c r="GR129" s="193"/>
      <c r="GS129" s="122">
        <f t="shared" si="431"/>
        <v>44742784.947864741</v>
      </c>
      <c r="GT129" s="122">
        <f t="shared" si="432"/>
        <v>55722978.50180798</v>
      </c>
      <c r="GU129" s="123">
        <f t="shared" si="440"/>
        <v>0.80295034743006466</v>
      </c>
      <c r="GV129" s="124">
        <f t="shared" ca="1" si="433"/>
        <v>0</v>
      </c>
      <c r="GW129" s="124">
        <v>0</v>
      </c>
      <c r="GX129" s="32">
        <f t="shared" ca="1" si="434"/>
        <v>0</v>
      </c>
      <c r="GY129" s="100"/>
    </row>
    <row r="130" spans="3:207" s="408" customFormat="1" hidden="1">
      <c r="C130" s="402"/>
      <c r="D130" s="402"/>
      <c r="E130" s="403"/>
      <c r="F130" s="403" t="s">
        <v>720</v>
      </c>
      <c r="G130" s="403" t="s">
        <v>226</v>
      </c>
      <c r="H130" s="105" t="s">
        <v>563</v>
      </c>
      <c r="I130" s="403" t="s">
        <v>597</v>
      </c>
      <c r="J130" s="403" t="s">
        <v>212</v>
      </c>
      <c r="K130" s="403" t="s">
        <v>544</v>
      </c>
      <c r="L130" s="403"/>
      <c r="M130" s="403"/>
      <c r="N130" s="404"/>
      <c r="O130" s="108">
        <v>43374</v>
      </c>
      <c r="P130" s="108">
        <v>43374</v>
      </c>
      <c r="Q130" s="323">
        <f t="shared" si="410"/>
        <v>0</v>
      </c>
      <c r="R130" s="109">
        <f>IF((P130-VLOOKUP(Q130,month!$A$1:$C$13,3,0))&lt;0,Q130,Q130+1)</f>
        <v>0</v>
      </c>
      <c r="S130" s="108"/>
      <c r="T130" s="110" t="str">
        <f t="shared" si="215"/>
        <v/>
      </c>
      <c r="U130" s="404"/>
      <c r="V130" s="404"/>
      <c r="W130" s="405"/>
      <c r="X130" s="405"/>
      <c r="Y130" s="492"/>
      <c r="Z130" s="406" t="s">
        <v>545</v>
      </c>
      <c r="AA130" s="394">
        <v>1000</v>
      </c>
      <c r="AB130" s="394">
        <v>1000</v>
      </c>
      <c r="AC130" s="394">
        <v>1000</v>
      </c>
      <c r="AD130" s="394">
        <v>1000</v>
      </c>
      <c r="AE130" s="394">
        <v>1000</v>
      </c>
      <c r="AF130" s="394">
        <v>1000</v>
      </c>
      <c r="AG130" s="394">
        <v>1000</v>
      </c>
      <c r="AH130" s="394">
        <v>1000</v>
      </c>
      <c r="AI130" s="394">
        <v>1000</v>
      </c>
      <c r="AJ130" s="394">
        <v>1000</v>
      </c>
      <c r="AK130" s="394">
        <v>1000</v>
      </c>
      <c r="AL130" s="394">
        <v>1000</v>
      </c>
      <c r="AM130" s="388">
        <f t="shared" si="373"/>
        <v>12000</v>
      </c>
      <c r="AN130" s="388">
        <f t="shared" si="411"/>
        <v>12000</v>
      </c>
      <c r="AO130" s="389">
        <f t="shared" si="364"/>
        <v>1000</v>
      </c>
      <c r="AP130" s="502" t="s">
        <v>739</v>
      </c>
      <c r="AQ130" s="159">
        <v>0.4</v>
      </c>
      <c r="AR130" s="103" t="s">
        <v>211</v>
      </c>
      <c r="AS130" s="119" t="s">
        <v>210</v>
      </c>
      <c r="AT130" s="111">
        <v>616390.08916673041</v>
      </c>
      <c r="AU130" s="111">
        <v>671167.08426676516</v>
      </c>
      <c r="AV130" s="111">
        <v>640978.86732239777</v>
      </c>
      <c r="AW130" s="111">
        <v>729473.40625056799</v>
      </c>
      <c r="AX130" s="113">
        <v>450242.64500000002</v>
      </c>
      <c r="AY130" s="113">
        <v>609916.10399999889</v>
      </c>
      <c r="AZ130" s="113">
        <v>448154.38</v>
      </c>
      <c r="BA130" s="113"/>
      <c r="BB130" s="113"/>
      <c r="BC130" s="113"/>
      <c r="BD130" s="113"/>
      <c r="BE130" s="113"/>
      <c r="BF130" s="114">
        <f t="shared" si="374"/>
        <v>450242.64500000002</v>
      </c>
      <c r="BG130" s="114">
        <f t="shared" si="375"/>
        <v>609916.10399999889</v>
      </c>
      <c r="BH130" s="114">
        <f t="shared" si="376"/>
        <v>448154.38</v>
      </c>
      <c r="BI130" s="114">
        <f t="shared" si="377"/>
        <v>0</v>
      </c>
      <c r="BJ130" s="114">
        <f t="shared" si="412"/>
        <v>1508313.1289999988</v>
      </c>
      <c r="BK130" s="115">
        <f t="shared" si="358"/>
        <v>2658009.4470064617</v>
      </c>
      <c r="BL130" s="115">
        <f t="shared" si="378"/>
        <v>2658009.4470064617</v>
      </c>
      <c r="BM130" s="116">
        <f t="shared" si="379"/>
        <v>0.5675</v>
      </c>
      <c r="BN130" s="126">
        <f t="shared" ca="1" si="359"/>
        <v>0</v>
      </c>
      <c r="BO130" s="117">
        <f t="shared" ca="1" si="360"/>
        <v>0</v>
      </c>
      <c r="BP130" s="118" t="str">
        <f t="shared" si="361"/>
        <v>Uncapped</v>
      </c>
      <c r="BQ130" s="115">
        <f t="shared" ca="1" si="362"/>
        <v>0</v>
      </c>
      <c r="BR130" s="174" t="s">
        <v>740</v>
      </c>
      <c r="BS130" s="175">
        <v>0.4</v>
      </c>
      <c r="BT130" s="174" t="s">
        <v>211</v>
      </c>
      <c r="BU130" s="174" t="s">
        <v>210</v>
      </c>
      <c r="BV130" s="113">
        <v>5205901.7546552001</v>
      </c>
      <c r="BW130" s="113">
        <v>6041740.1313270004</v>
      </c>
      <c r="BX130" s="113">
        <v>5756053.1908810986</v>
      </c>
      <c r="BY130" s="113">
        <v>6160067.2421446964</v>
      </c>
      <c r="BZ130" s="113">
        <v>5515068.8665199988</v>
      </c>
      <c r="CA130" s="113">
        <v>5778683</v>
      </c>
      <c r="CB130" s="113">
        <f>3919994.43121+1172274.56879</f>
        <v>5092269</v>
      </c>
      <c r="CC130" s="113">
        <f t="shared" si="352"/>
        <v>6160067.2421446964</v>
      </c>
      <c r="CD130" s="113"/>
      <c r="CE130" s="113"/>
      <c r="CF130" s="113"/>
      <c r="CG130" s="113"/>
      <c r="CH130" s="114">
        <f t="shared" si="380"/>
        <v>5515068.8665199988</v>
      </c>
      <c r="CI130" s="114">
        <f t="shared" si="381"/>
        <v>5778683</v>
      </c>
      <c r="CJ130" s="120">
        <f t="shared" si="382"/>
        <v>5092269</v>
      </c>
      <c r="CK130" s="114">
        <f t="shared" si="383"/>
        <v>6160067.2421446964</v>
      </c>
      <c r="CL130" s="114">
        <f t="shared" si="413"/>
        <v>22546088.108664695</v>
      </c>
      <c r="CM130" s="114">
        <f t="shared" si="384"/>
        <v>23163762.319007996</v>
      </c>
      <c r="CN130" s="114">
        <f t="shared" si="385"/>
        <v>23163762.319007996</v>
      </c>
      <c r="CO130" s="116">
        <f t="shared" si="386"/>
        <v>0.97330000000000005</v>
      </c>
      <c r="CP130" s="126">
        <f t="shared" ca="1" si="387"/>
        <v>0</v>
      </c>
      <c r="CQ130" s="115">
        <f t="shared" ca="1" si="419"/>
        <v>0</v>
      </c>
      <c r="CR130" s="118" t="str">
        <f t="shared" si="414"/>
        <v>Uncapped</v>
      </c>
      <c r="CS130" s="115">
        <f t="shared" ca="1" si="420"/>
        <v>0</v>
      </c>
      <c r="CT130" s="113" t="s">
        <v>733</v>
      </c>
      <c r="CU130" s="119">
        <v>0.2</v>
      </c>
      <c r="CV130" s="113" t="s">
        <v>217</v>
      </c>
      <c r="CW130" s="113" t="s">
        <v>210</v>
      </c>
      <c r="CX130" s="113">
        <v>4332720.3217541184</v>
      </c>
      <c r="CY130" s="113">
        <v>4778527.2500066841</v>
      </c>
      <c r="CZ130" s="113">
        <v>4616888.1107896138</v>
      </c>
      <c r="DA130" s="113">
        <v>4787499.8855306264</v>
      </c>
      <c r="DB130" s="113">
        <v>4282731.8</v>
      </c>
      <c r="DC130" s="113">
        <v>4427269.8909500409</v>
      </c>
      <c r="DD130" s="113">
        <v>3879830.89</v>
      </c>
      <c r="DE130" s="113"/>
      <c r="DF130" s="113"/>
      <c r="DG130" s="113"/>
      <c r="DH130" s="113"/>
      <c r="DI130" s="113"/>
      <c r="DJ130" s="114">
        <f t="shared" si="388"/>
        <v>4282731.8</v>
      </c>
      <c r="DK130" s="114">
        <f t="shared" si="389"/>
        <v>4427269.8909500409</v>
      </c>
      <c r="DL130" s="114">
        <f t="shared" si="390"/>
        <v>3879830.89</v>
      </c>
      <c r="DM130" s="114">
        <f t="shared" si="391"/>
        <v>0</v>
      </c>
      <c r="DN130" s="114">
        <f t="shared" si="415"/>
        <v>12589832.58095004</v>
      </c>
      <c r="DO130" s="114">
        <f t="shared" si="392"/>
        <v>18515635.568081044</v>
      </c>
      <c r="DP130" s="114">
        <f t="shared" si="393"/>
        <v>18515635.568081044</v>
      </c>
      <c r="DQ130" s="116">
        <f t="shared" si="394"/>
        <v>0.68</v>
      </c>
      <c r="DR130" s="126">
        <f t="shared" ca="1" si="421"/>
        <v>0</v>
      </c>
      <c r="DS130" s="115">
        <f t="shared" ca="1" si="422"/>
        <v>0</v>
      </c>
      <c r="DT130" s="118" t="str">
        <f t="shared" si="416"/>
        <v>Uncapped</v>
      </c>
      <c r="DU130" s="115">
        <f t="shared" ca="1" si="423"/>
        <v>0</v>
      </c>
      <c r="DV130" s="113"/>
      <c r="DW130" s="119">
        <v>0</v>
      </c>
      <c r="DX130" s="113"/>
      <c r="DY130" s="113"/>
      <c r="DZ130" s="113">
        <v>0</v>
      </c>
      <c r="EA130" s="113">
        <v>0</v>
      </c>
      <c r="EB130" s="113">
        <v>0</v>
      </c>
      <c r="EC130" s="113">
        <v>0</v>
      </c>
      <c r="ED130" s="113">
        <v>0</v>
      </c>
      <c r="EE130" s="113">
        <v>0</v>
      </c>
      <c r="EF130" s="113"/>
      <c r="EG130" s="113"/>
      <c r="EH130" s="113"/>
      <c r="EI130" s="113"/>
      <c r="EJ130" s="113"/>
      <c r="EK130" s="113"/>
      <c r="EL130" s="114">
        <f t="shared" si="395"/>
        <v>0</v>
      </c>
      <c r="EM130" s="114">
        <f t="shared" si="396"/>
        <v>0</v>
      </c>
      <c r="EN130" s="114">
        <f t="shared" si="397"/>
        <v>0</v>
      </c>
      <c r="EO130" s="114">
        <f t="shared" si="398"/>
        <v>0</v>
      </c>
      <c r="EP130" s="114">
        <f t="shared" si="417"/>
        <v>0</v>
      </c>
      <c r="EQ130" s="114">
        <f t="shared" si="399"/>
        <v>0</v>
      </c>
      <c r="ER130" s="114">
        <f t="shared" si="400"/>
        <v>0</v>
      </c>
      <c r="ES130" s="116">
        <f t="shared" si="401"/>
        <v>0</v>
      </c>
      <c r="ET130" s="126">
        <f t="shared" ca="1" si="402"/>
        <v>0</v>
      </c>
      <c r="EU130" s="115">
        <f t="shared" ca="1" si="424"/>
        <v>0</v>
      </c>
      <c r="EV130" s="118" t="str">
        <f t="shared" si="418"/>
        <v>Uncapped</v>
      </c>
      <c r="EW130" s="115">
        <f t="shared" ca="1" si="425"/>
        <v>0</v>
      </c>
      <c r="EX130" s="112">
        <f t="shared" ca="1" si="426"/>
        <v>0</v>
      </c>
      <c r="EY130" s="114">
        <f t="shared" ca="1" si="403"/>
        <v>0</v>
      </c>
      <c r="EZ130" s="115">
        <v>0</v>
      </c>
      <c r="FA130" s="115"/>
      <c r="FB130" s="115"/>
      <c r="FC130" s="115">
        <v>0</v>
      </c>
      <c r="FD130" s="115">
        <f t="shared" si="404"/>
        <v>0</v>
      </c>
      <c r="FE130" s="114">
        <f t="shared" si="405"/>
        <v>0</v>
      </c>
      <c r="FF130" s="115">
        <v>0</v>
      </c>
      <c r="FG130" s="115">
        <v>0</v>
      </c>
      <c r="FH130" s="115">
        <v>0</v>
      </c>
      <c r="FI130" s="115">
        <v>0</v>
      </c>
      <c r="FJ130" s="115">
        <f t="shared" si="406"/>
        <v>0</v>
      </c>
      <c r="FK130" s="114">
        <f t="shared" si="407"/>
        <v>0</v>
      </c>
      <c r="FL130" s="113"/>
      <c r="FM130" s="111"/>
      <c r="FN130" s="111"/>
      <c r="FO130" s="111"/>
      <c r="FP130" s="115">
        <f t="shared" si="365"/>
        <v>0</v>
      </c>
      <c r="FQ130" s="115"/>
      <c r="FR130" s="115"/>
      <c r="FS130" s="115"/>
      <c r="FT130" s="114">
        <f t="shared" si="435"/>
        <v>0</v>
      </c>
      <c r="FU130" s="366">
        <f t="shared" ca="1" si="436"/>
        <v>0</v>
      </c>
      <c r="FV130" s="121">
        <f t="shared" ca="1" si="437"/>
        <v>0</v>
      </c>
      <c r="FW130" s="114">
        <f t="shared" si="366"/>
        <v>0</v>
      </c>
      <c r="FX130" s="114">
        <f t="shared" si="366"/>
        <v>0</v>
      </c>
      <c r="FY130" s="114">
        <f t="shared" si="366"/>
        <v>0</v>
      </c>
      <c r="FZ130" s="114">
        <f t="shared" si="366"/>
        <v>0</v>
      </c>
      <c r="GA130" s="114">
        <f t="shared" si="372"/>
        <v>0</v>
      </c>
      <c r="GB130" s="114">
        <f t="shared" si="367"/>
        <v>0</v>
      </c>
      <c r="GC130" s="114">
        <f t="shared" si="367"/>
        <v>0</v>
      </c>
      <c r="GD130" s="114">
        <f t="shared" si="367"/>
        <v>0</v>
      </c>
      <c r="GE130" s="114">
        <f t="shared" si="367"/>
        <v>0</v>
      </c>
      <c r="GF130" s="114">
        <f t="shared" ref="GF130:GI165" si="441">GB130+FW130</f>
        <v>0</v>
      </c>
      <c r="GG130" s="114">
        <f t="shared" si="441"/>
        <v>0</v>
      </c>
      <c r="GH130" s="114">
        <f t="shared" si="441"/>
        <v>0</v>
      </c>
      <c r="GI130" s="114">
        <f t="shared" si="441"/>
        <v>0</v>
      </c>
      <c r="GJ130" s="115">
        <f t="shared" si="408"/>
        <v>0</v>
      </c>
      <c r="GK130" s="114">
        <f t="shared" si="438"/>
        <v>0</v>
      </c>
      <c r="GL130" s="114">
        <f t="shared" si="427"/>
        <v>0</v>
      </c>
      <c r="GM130" s="114">
        <f t="shared" si="428"/>
        <v>0</v>
      </c>
      <c r="GN130" s="114">
        <f t="shared" si="429"/>
        <v>0</v>
      </c>
      <c r="GO130" s="114">
        <f t="shared" si="430"/>
        <v>0</v>
      </c>
      <c r="GP130" s="114">
        <f t="shared" si="409"/>
        <v>0</v>
      </c>
      <c r="GQ130" s="114">
        <f t="shared" si="439"/>
        <v>0</v>
      </c>
      <c r="GR130" s="193"/>
      <c r="GS130" s="122">
        <f t="shared" si="431"/>
        <v>36644233.818614736</v>
      </c>
      <c r="GT130" s="122">
        <f t="shared" si="432"/>
        <v>44337407.3340955</v>
      </c>
      <c r="GU130" s="123">
        <f t="shared" si="440"/>
        <v>0.82648571538000803</v>
      </c>
      <c r="GV130" s="124">
        <f t="shared" ca="1" si="433"/>
        <v>0</v>
      </c>
      <c r="GW130" s="124">
        <v>0</v>
      </c>
      <c r="GX130" s="32">
        <f t="shared" ca="1" si="434"/>
        <v>0</v>
      </c>
      <c r="GY130" s="100"/>
    </row>
    <row r="131" spans="3:207" s="408" customFormat="1" hidden="1">
      <c r="C131" s="402"/>
      <c r="D131" s="402"/>
      <c r="E131" s="403"/>
      <c r="F131" s="403" t="s">
        <v>720</v>
      </c>
      <c r="G131" s="403" t="s">
        <v>226</v>
      </c>
      <c r="H131" s="105" t="s">
        <v>564</v>
      </c>
      <c r="I131" s="403" t="s">
        <v>598</v>
      </c>
      <c r="J131" s="403" t="s">
        <v>471</v>
      </c>
      <c r="K131" s="403" t="s">
        <v>544</v>
      </c>
      <c r="L131" s="403" t="s">
        <v>471</v>
      </c>
      <c r="M131" s="403" t="s">
        <v>472</v>
      </c>
      <c r="N131" s="404"/>
      <c r="O131" s="549">
        <v>43416</v>
      </c>
      <c r="P131" s="108">
        <v>43416</v>
      </c>
      <c r="Q131" s="323">
        <f t="shared" si="410"/>
        <v>0</v>
      </c>
      <c r="R131" s="109">
        <f>IF((P131-VLOOKUP(Q131,month!$A$1:$C$13,3,0))&lt;0,Q131,Q131+1)</f>
        <v>0</v>
      </c>
      <c r="S131" s="108"/>
      <c r="T131" s="110" t="str">
        <f t="shared" si="215"/>
        <v/>
      </c>
      <c r="U131" s="483" t="s">
        <v>214</v>
      </c>
      <c r="V131" s="483">
        <v>1</v>
      </c>
      <c r="W131" s="405"/>
      <c r="X131" s="405"/>
      <c r="Y131" s="492"/>
      <c r="Z131" s="406" t="s">
        <v>545</v>
      </c>
      <c r="AA131" s="394">
        <v>1000</v>
      </c>
      <c r="AB131" s="394">
        <v>1000</v>
      </c>
      <c r="AC131" s="394">
        <v>1000</v>
      </c>
      <c r="AD131" s="394">
        <v>1000</v>
      </c>
      <c r="AE131" s="394">
        <v>1000</v>
      </c>
      <c r="AF131" s="394">
        <v>1000</v>
      </c>
      <c r="AG131" s="394">
        <v>1000</v>
      </c>
      <c r="AH131" s="394">
        <v>1000</v>
      </c>
      <c r="AI131" s="394">
        <v>1000</v>
      </c>
      <c r="AJ131" s="394">
        <v>1000</v>
      </c>
      <c r="AK131" s="394">
        <v>1000</v>
      </c>
      <c r="AL131" s="394">
        <v>1000</v>
      </c>
      <c r="AM131" s="388">
        <f t="shared" si="373"/>
        <v>12000</v>
      </c>
      <c r="AN131" s="388">
        <f t="shared" si="411"/>
        <v>12000</v>
      </c>
      <c r="AO131" s="389">
        <f>AA131</f>
        <v>1000</v>
      </c>
      <c r="AP131" s="502" t="s">
        <v>741</v>
      </c>
      <c r="AQ131" s="159">
        <v>0.6</v>
      </c>
      <c r="AR131" s="103" t="s">
        <v>211</v>
      </c>
      <c r="AS131" s="119" t="s">
        <v>210</v>
      </c>
      <c r="AT131" s="111">
        <f>7660213.01062671*50%</f>
        <v>3830106.505313355</v>
      </c>
      <c r="AU131" s="111">
        <v>9018493.9927070495</v>
      </c>
      <c r="AV131" s="111"/>
      <c r="AW131" s="111"/>
      <c r="AX131" s="113"/>
      <c r="AY131" s="113">
        <v>8567846</v>
      </c>
      <c r="AZ131" s="113"/>
      <c r="BA131" s="113"/>
      <c r="BB131" s="113"/>
      <c r="BC131" s="113"/>
      <c r="BD131" s="113"/>
      <c r="BE131" s="113"/>
      <c r="BF131" s="114">
        <f t="shared" si="374"/>
        <v>0</v>
      </c>
      <c r="BG131" s="114">
        <f t="shared" si="375"/>
        <v>8567846</v>
      </c>
      <c r="BH131" s="114">
        <f t="shared" si="376"/>
        <v>0</v>
      </c>
      <c r="BI131" s="114">
        <f t="shared" si="377"/>
        <v>0</v>
      </c>
      <c r="BJ131" s="114">
        <f t="shared" si="412"/>
        <v>8567846</v>
      </c>
      <c r="BK131" s="115">
        <f t="shared" si="358"/>
        <v>12848600.498020405</v>
      </c>
      <c r="BL131" s="115">
        <f t="shared" si="378"/>
        <v>12848600.498020405</v>
      </c>
      <c r="BM131" s="116">
        <f t="shared" si="379"/>
        <v>0.66679999999999995</v>
      </c>
      <c r="BN131" s="126">
        <f t="shared" ca="1" si="359"/>
        <v>0</v>
      </c>
      <c r="BO131" s="117">
        <f t="shared" ca="1" si="360"/>
        <v>0</v>
      </c>
      <c r="BP131" s="118" t="str">
        <f t="shared" si="361"/>
        <v>Uncapped</v>
      </c>
      <c r="BQ131" s="115">
        <f t="shared" ca="1" si="362"/>
        <v>0</v>
      </c>
      <c r="BR131" s="174" t="s">
        <v>742</v>
      </c>
      <c r="BS131" s="175">
        <v>0.2</v>
      </c>
      <c r="BT131" s="174" t="s">
        <v>211</v>
      </c>
      <c r="BU131" s="174" t="s">
        <v>210</v>
      </c>
      <c r="BV131" s="113">
        <v>2985542.6861821399</v>
      </c>
      <c r="BW131" s="113">
        <v>6445023.6418903396</v>
      </c>
      <c r="BX131" s="113">
        <v>0</v>
      </c>
      <c r="BY131" s="113">
        <v>0</v>
      </c>
      <c r="BZ131" s="113"/>
      <c r="CA131" s="113">
        <v>4532450</v>
      </c>
      <c r="CB131" s="113">
        <v>0</v>
      </c>
      <c r="CC131" s="113">
        <f t="shared" si="352"/>
        <v>0</v>
      </c>
      <c r="CD131" s="113"/>
      <c r="CE131" s="113"/>
      <c r="CF131" s="113"/>
      <c r="CG131" s="113"/>
      <c r="CH131" s="114">
        <f t="shared" si="380"/>
        <v>0</v>
      </c>
      <c r="CI131" s="114">
        <f t="shared" si="381"/>
        <v>4532450</v>
      </c>
      <c r="CJ131" s="120">
        <f t="shared" si="382"/>
        <v>0</v>
      </c>
      <c r="CK131" s="114">
        <f t="shared" si="383"/>
        <v>0</v>
      </c>
      <c r="CL131" s="114">
        <f t="shared" si="413"/>
        <v>4532450</v>
      </c>
      <c r="CM131" s="114">
        <f t="shared" si="384"/>
        <v>9430566.328072479</v>
      </c>
      <c r="CN131" s="114">
        <f t="shared" si="385"/>
        <v>9430566.328072479</v>
      </c>
      <c r="CO131" s="116">
        <f t="shared" si="386"/>
        <v>0.48060000000000003</v>
      </c>
      <c r="CP131" s="126">
        <f t="shared" ca="1" si="387"/>
        <v>0</v>
      </c>
      <c r="CQ131" s="115">
        <f t="shared" ca="1" si="419"/>
        <v>0</v>
      </c>
      <c r="CR131" s="118" t="str">
        <f t="shared" si="414"/>
        <v>Uncapped</v>
      </c>
      <c r="CS131" s="115">
        <f t="shared" ca="1" si="420"/>
        <v>0</v>
      </c>
      <c r="CT131" s="113" t="s">
        <v>696</v>
      </c>
      <c r="CU131" s="119">
        <v>0.2</v>
      </c>
      <c r="CV131" s="113" t="s">
        <v>217</v>
      </c>
      <c r="CW131" s="113" t="s">
        <v>210</v>
      </c>
      <c r="CX131" s="533">
        <v>30940861.023927297</v>
      </c>
      <c r="CY131" s="113">
        <v>72180793.063260496</v>
      </c>
      <c r="CZ131" s="113"/>
      <c r="DA131" s="113"/>
      <c r="DB131" s="113"/>
      <c r="DC131" s="113">
        <v>65995192.891159974</v>
      </c>
      <c r="DD131" s="113"/>
      <c r="DE131" s="113"/>
      <c r="DF131" s="113"/>
      <c r="DG131" s="113"/>
      <c r="DH131" s="113"/>
      <c r="DI131" s="113"/>
      <c r="DJ131" s="114">
        <f t="shared" si="388"/>
        <v>0</v>
      </c>
      <c r="DK131" s="114">
        <f t="shared" si="389"/>
        <v>65995192.891159974</v>
      </c>
      <c r="DL131" s="114">
        <f t="shared" si="390"/>
        <v>0</v>
      </c>
      <c r="DM131" s="114">
        <f t="shared" si="391"/>
        <v>0</v>
      </c>
      <c r="DN131" s="114">
        <f t="shared" si="415"/>
        <v>65995192.891159974</v>
      </c>
      <c r="DO131" s="114">
        <f t="shared" si="392"/>
        <v>103121654.0871878</v>
      </c>
      <c r="DP131" s="114">
        <f t="shared" si="393"/>
        <v>103121654.0871878</v>
      </c>
      <c r="DQ131" s="116">
        <f t="shared" si="394"/>
        <v>0.64</v>
      </c>
      <c r="DR131" s="126">
        <f t="shared" ca="1" si="421"/>
        <v>0</v>
      </c>
      <c r="DS131" s="115">
        <f t="shared" ca="1" si="422"/>
        <v>0</v>
      </c>
      <c r="DT131" s="118" t="str">
        <f t="shared" si="416"/>
        <v>Uncapped</v>
      </c>
      <c r="DU131" s="115">
        <f t="shared" ca="1" si="423"/>
        <v>0</v>
      </c>
      <c r="DV131" s="113"/>
      <c r="DW131" s="119">
        <v>0</v>
      </c>
      <c r="DX131" s="113"/>
      <c r="DY131" s="113"/>
      <c r="DZ131" s="113">
        <v>0</v>
      </c>
      <c r="EA131" s="113">
        <v>0</v>
      </c>
      <c r="EB131" s="113">
        <v>0</v>
      </c>
      <c r="EC131" s="113">
        <v>0</v>
      </c>
      <c r="ED131" s="113">
        <v>0</v>
      </c>
      <c r="EE131" s="113">
        <v>0</v>
      </c>
      <c r="EF131" s="113"/>
      <c r="EG131" s="113"/>
      <c r="EH131" s="113"/>
      <c r="EI131" s="113"/>
      <c r="EJ131" s="113"/>
      <c r="EK131" s="113"/>
      <c r="EL131" s="114">
        <f t="shared" si="395"/>
        <v>0</v>
      </c>
      <c r="EM131" s="114">
        <f t="shared" si="396"/>
        <v>0</v>
      </c>
      <c r="EN131" s="114">
        <f t="shared" si="397"/>
        <v>0</v>
      </c>
      <c r="EO131" s="114">
        <f t="shared" si="398"/>
        <v>0</v>
      </c>
      <c r="EP131" s="114">
        <f t="shared" si="417"/>
        <v>0</v>
      </c>
      <c r="EQ131" s="114">
        <f t="shared" si="399"/>
        <v>0</v>
      </c>
      <c r="ER131" s="114">
        <f t="shared" si="400"/>
        <v>0</v>
      </c>
      <c r="ES131" s="116">
        <f t="shared" si="401"/>
        <v>0</v>
      </c>
      <c r="ET131" s="126">
        <f t="shared" ca="1" si="402"/>
        <v>0</v>
      </c>
      <c r="EU131" s="115">
        <f t="shared" ca="1" si="424"/>
        <v>0</v>
      </c>
      <c r="EV131" s="118" t="str">
        <f t="shared" si="418"/>
        <v>Uncapped</v>
      </c>
      <c r="EW131" s="115">
        <f t="shared" ca="1" si="425"/>
        <v>0</v>
      </c>
      <c r="EX131" s="112">
        <f t="shared" ca="1" si="426"/>
        <v>0</v>
      </c>
      <c r="EY131" s="114">
        <f t="shared" ca="1" si="403"/>
        <v>1000</v>
      </c>
      <c r="EZ131" s="115">
        <v>0</v>
      </c>
      <c r="FA131" s="115"/>
      <c r="FB131" s="115"/>
      <c r="FC131" s="115">
        <v>0</v>
      </c>
      <c r="FD131" s="115">
        <f t="shared" si="404"/>
        <v>0</v>
      </c>
      <c r="FE131" s="114">
        <f t="shared" si="405"/>
        <v>0</v>
      </c>
      <c r="FF131" s="115">
        <v>0</v>
      </c>
      <c r="FG131" s="115">
        <v>0</v>
      </c>
      <c r="FH131" s="115">
        <v>0</v>
      </c>
      <c r="FI131" s="115">
        <v>0</v>
      </c>
      <c r="FJ131" s="115">
        <f t="shared" si="406"/>
        <v>0</v>
      </c>
      <c r="FK131" s="114">
        <f t="shared" si="407"/>
        <v>0</v>
      </c>
      <c r="FL131" s="113"/>
      <c r="FM131" s="111"/>
      <c r="FN131" s="111"/>
      <c r="FO131" s="111"/>
      <c r="FP131" s="115">
        <f t="shared" si="365"/>
        <v>0</v>
      </c>
      <c r="FQ131" s="115"/>
      <c r="FR131" s="115"/>
      <c r="FS131" s="115"/>
      <c r="FT131" s="114">
        <f t="shared" si="435"/>
        <v>0</v>
      </c>
      <c r="FU131" s="366">
        <f t="shared" ca="1" si="436"/>
        <v>1000</v>
      </c>
      <c r="FV131" s="121">
        <f t="shared" ca="1" si="437"/>
        <v>1000</v>
      </c>
      <c r="FW131" s="114">
        <f t="shared" si="366"/>
        <v>0</v>
      </c>
      <c r="FX131" s="114">
        <f t="shared" si="366"/>
        <v>0</v>
      </c>
      <c r="FY131" s="114">
        <f t="shared" si="366"/>
        <v>0</v>
      </c>
      <c r="FZ131" s="114">
        <f t="shared" si="366"/>
        <v>0</v>
      </c>
      <c r="GA131" s="114">
        <f t="shared" si="372"/>
        <v>0</v>
      </c>
      <c r="GB131" s="114">
        <f t="shared" si="367"/>
        <v>0</v>
      </c>
      <c r="GC131" s="114">
        <f t="shared" si="367"/>
        <v>0</v>
      </c>
      <c r="GD131" s="114">
        <f t="shared" si="367"/>
        <v>0</v>
      </c>
      <c r="GE131" s="114">
        <f t="shared" si="367"/>
        <v>0</v>
      </c>
      <c r="GF131" s="114">
        <f t="shared" si="441"/>
        <v>0</v>
      </c>
      <c r="GG131" s="114">
        <f t="shared" si="441"/>
        <v>0</v>
      </c>
      <c r="GH131" s="114">
        <f t="shared" si="441"/>
        <v>0</v>
      </c>
      <c r="GI131" s="114">
        <f t="shared" si="441"/>
        <v>0</v>
      </c>
      <c r="GJ131" s="115">
        <f t="shared" si="408"/>
        <v>0</v>
      </c>
      <c r="GK131" s="114">
        <f t="shared" si="438"/>
        <v>0</v>
      </c>
      <c r="GL131" s="114">
        <f t="shared" si="427"/>
        <v>1000</v>
      </c>
      <c r="GM131" s="114">
        <f t="shared" si="428"/>
        <v>0</v>
      </c>
      <c r="GN131" s="114">
        <f t="shared" si="429"/>
        <v>0</v>
      </c>
      <c r="GO131" s="114">
        <f t="shared" si="430"/>
        <v>0</v>
      </c>
      <c r="GP131" s="114">
        <f t="shared" si="409"/>
        <v>1000</v>
      </c>
      <c r="GQ131" s="114">
        <f t="shared" si="439"/>
        <v>1000</v>
      </c>
      <c r="GR131" s="193"/>
      <c r="GS131" s="122">
        <f t="shared" si="431"/>
        <v>79095488.891159981</v>
      </c>
      <c r="GT131" s="122">
        <f t="shared" si="432"/>
        <v>125400820.91328068</v>
      </c>
      <c r="GU131" s="123">
        <f t="shared" si="440"/>
        <v>0.63074139638892357</v>
      </c>
      <c r="GV131" s="124">
        <f t="shared" ca="1" si="433"/>
        <v>0</v>
      </c>
      <c r="GW131" s="124">
        <v>0</v>
      </c>
      <c r="GX131" s="32">
        <f t="shared" ca="1" si="434"/>
        <v>0</v>
      </c>
      <c r="GY131" s="100"/>
    </row>
    <row r="132" spans="3:207" s="408" customFormat="1" hidden="1">
      <c r="C132" s="402"/>
      <c r="D132" s="402"/>
      <c r="E132" s="403"/>
      <c r="F132" s="403" t="s">
        <v>720</v>
      </c>
      <c r="G132" s="403" t="s">
        <v>226</v>
      </c>
      <c r="H132" s="105" t="s">
        <v>565</v>
      </c>
      <c r="I132" s="403" t="s">
        <v>647</v>
      </c>
      <c r="J132" s="403" t="s">
        <v>238</v>
      </c>
      <c r="K132" s="403" t="s">
        <v>544</v>
      </c>
      <c r="L132" s="403"/>
      <c r="M132" s="403"/>
      <c r="N132" s="404"/>
      <c r="O132" s="549">
        <v>43549</v>
      </c>
      <c r="P132" s="359">
        <v>43549</v>
      </c>
      <c r="Q132" s="323">
        <f t="shared" si="410"/>
        <v>3</v>
      </c>
      <c r="R132" s="109">
        <f>IF((P132-VLOOKUP(Q132,month!$A$1:$C$13,3,0))&lt;0,Q132,Q132+1)</f>
        <v>3</v>
      </c>
      <c r="S132" s="108"/>
      <c r="T132" s="110" t="str">
        <f t="shared" ref="T132:T165" si="442">IF(S132&gt;0,"Y","")</f>
        <v/>
      </c>
      <c r="U132" s="483" t="s">
        <v>214</v>
      </c>
      <c r="V132" s="483"/>
      <c r="W132" s="320">
        <v>3</v>
      </c>
      <c r="X132" s="405"/>
      <c r="Y132" s="492"/>
      <c r="Z132" s="406" t="s">
        <v>545</v>
      </c>
      <c r="AA132" s="394">
        <v>1000</v>
      </c>
      <c r="AB132" s="394">
        <v>1000</v>
      </c>
      <c r="AC132" s="394">
        <v>1000</v>
      </c>
      <c r="AD132" s="394">
        <v>1000</v>
      </c>
      <c r="AE132" s="394">
        <v>1000</v>
      </c>
      <c r="AF132" s="394">
        <v>1000</v>
      </c>
      <c r="AG132" s="394">
        <v>1000</v>
      </c>
      <c r="AH132" s="394">
        <v>1000</v>
      </c>
      <c r="AI132" s="394">
        <v>1000</v>
      </c>
      <c r="AJ132" s="394">
        <v>1000</v>
      </c>
      <c r="AK132" s="394">
        <v>1000</v>
      </c>
      <c r="AL132" s="394">
        <v>1000</v>
      </c>
      <c r="AM132" s="388">
        <f t="shared" si="373"/>
        <v>12000</v>
      </c>
      <c r="AN132" s="388">
        <f t="shared" si="411"/>
        <v>12000</v>
      </c>
      <c r="AO132" s="389">
        <f>AD132</f>
        <v>1000</v>
      </c>
      <c r="AP132" s="502" t="s">
        <v>741</v>
      </c>
      <c r="AQ132" s="159">
        <v>0.5</v>
      </c>
      <c r="AR132" s="103" t="s">
        <v>211</v>
      </c>
      <c r="AS132" s="119" t="s">
        <v>210</v>
      </c>
      <c r="AT132" s="111"/>
      <c r="AU132" s="111">
        <v>9018493.9927070495</v>
      </c>
      <c r="AV132" s="111">
        <v>8796147.5207522418</v>
      </c>
      <c r="AW132" s="111">
        <v>8692302.8088380583</v>
      </c>
      <c r="AX132" s="113"/>
      <c r="AY132" s="113">
        <v>8567846</v>
      </c>
      <c r="AZ132" s="113">
        <v>8476727.1855899971</v>
      </c>
      <c r="BA132" s="113">
        <f>AW132</f>
        <v>8692302.8088380583</v>
      </c>
      <c r="BB132" s="113"/>
      <c r="BC132" s="113"/>
      <c r="BD132" s="113"/>
      <c r="BE132" s="113"/>
      <c r="BF132" s="114">
        <f t="shared" si="374"/>
        <v>0</v>
      </c>
      <c r="BG132" s="114">
        <f t="shared" si="375"/>
        <v>8567846</v>
      </c>
      <c r="BH132" s="114">
        <f t="shared" si="376"/>
        <v>8476727.1855899971</v>
      </c>
      <c r="BI132" s="114">
        <f t="shared" si="377"/>
        <v>8692302.8088380583</v>
      </c>
      <c r="BJ132" s="114">
        <f t="shared" si="412"/>
        <v>25736875.994428057</v>
      </c>
      <c r="BK132" s="115">
        <f t="shared" si="358"/>
        <v>26506944.32229735</v>
      </c>
      <c r="BL132" s="115">
        <f t="shared" si="378"/>
        <v>26506944.32229735</v>
      </c>
      <c r="BM132" s="116">
        <f t="shared" si="379"/>
        <v>0.97089999999999999</v>
      </c>
      <c r="BN132" s="126">
        <f t="shared" ca="1" si="359"/>
        <v>0</v>
      </c>
      <c r="BO132" s="117">
        <f t="shared" ca="1" si="360"/>
        <v>0</v>
      </c>
      <c r="BP132" s="118" t="str">
        <f t="shared" si="361"/>
        <v>Uncapped</v>
      </c>
      <c r="BQ132" s="115">
        <f t="shared" ca="1" si="362"/>
        <v>0</v>
      </c>
      <c r="BR132" s="174" t="s">
        <v>742</v>
      </c>
      <c r="BS132" s="175">
        <v>0.3</v>
      </c>
      <c r="BT132" s="174" t="s">
        <v>211</v>
      </c>
      <c r="BU132" s="174" t="s">
        <v>210</v>
      </c>
      <c r="BV132" s="113"/>
      <c r="BW132" s="113">
        <v>6445023.6418903396</v>
      </c>
      <c r="BX132" s="113">
        <v>6363502.5482628401</v>
      </c>
      <c r="BY132" s="113">
        <v>7830752.9030379094</v>
      </c>
      <c r="BZ132" s="113"/>
      <c r="CA132" s="113">
        <v>4532450</v>
      </c>
      <c r="CB132" s="113">
        <v>5447038.1621899921</v>
      </c>
      <c r="CC132" s="113">
        <f t="shared" si="352"/>
        <v>7830752.9030379094</v>
      </c>
      <c r="CD132" s="113"/>
      <c r="CE132" s="113"/>
      <c r="CF132" s="113"/>
      <c r="CG132" s="113"/>
      <c r="CH132" s="114">
        <f t="shared" si="380"/>
        <v>0</v>
      </c>
      <c r="CI132" s="114">
        <f t="shared" si="381"/>
        <v>4532450</v>
      </c>
      <c r="CJ132" s="120">
        <f t="shared" si="382"/>
        <v>5447038.1621899921</v>
      </c>
      <c r="CK132" s="114">
        <f t="shared" si="383"/>
        <v>7830752.9030379094</v>
      </c>
      <c r="CL132" s="114">
        <f t="shared" si="413"/>
        <v>17810241.065227903</v>
      </c>
      <c r="CM132" s="114">
        <f t="shared" si="384"/>
        <v>20639279.093191087</v>
      </c>
      <c r="CN132" s="114">
        <f t="shared" si="385"/>
        <v>20639279.093191087</v>
      </c>
      <c r="CO132" s="116">
        <f t="shared" si="386"/>
        <v>0.8629</v>
      </c>
      <c r="CP132" s="126">
        <f t="shared" ca="1" si="387"/>
        <v>0</v>
      </c>
      <c r="CQ132" s="115">
        <f t="shared" ca="1" si="419"/>
        <v>0</v>
      </c>
      <c r="CR132" s="118">
        <v>1</v>
      </c>
      <c r="CS132" s="115">
        <f t="shared" si="420"/>
        <v>3600</v>
      </c>
      <c r="CT132" s="113" t="s">
        <v>731</v>
      </c>
      <c r="CU132" s="119">
        <v>0.2</v>
      </c>
      <c r="CV132" s="113" t="s">
        <v>217</v>
      </c>
      <c r="CW132" s="113" t="s">
        <v>726</v>
      </c>
      <c r="CX132" s="113"/>
      <c r="CY132" s="113">
        <v>72180793.063260496</v>
      </c>
      <c r="CZ132" s="113">
        <v>69179032.514420599</v>
      </c>
      <c r="DA132" s="113">
        <v>76323964.015026003</v>
      </c>
      <c r="DB132" s="113"/>
      <c r="DC132" s="113">
        <v>65995192.891159974</v>
      </c>
      <c r="DD132" s="113">
        <v>66410604.684560001</v>
      </c>
      <c r="DE132" s="113">
        <f>DA132</f>
        <v>76323964.015026003</v>
      </c>
      <c r="DF132" s="113"/>
      <c r="DG132" s="113"/>
      <c r="DH132" s="113"/>
      <c r="DI132" s="113"/>
      <c r="DJ132" s="114">
        <f t="shared" si="388"/>
        <v>0</v>
      </c>
      <c r="DK132" s="114">
        <f t="shared" si="389"/>
        <v>65995192.891159974</v>
      </c>
      <c r="DL132" s="114">
        <f t="shared" si="390"/>
        <v>66410604.684560001</v>
      </c>
      <c r="DM132" s="114">
        <f t="shared" si="391"/>
        <v>76323964.015026003</v>
      </c>
      <c r="DN132" s="114">
        <f t="shared" si="415"/>
        <v>208729761.59074599</v>
      </c>
      <c r="DO132" s="114">
        <f t="shared" si="392"/>
        <v>217683789.5927071</v>
      </c>
      <c r="DP132" s="114">
        <f t="shared" si="393"/>
        <v>217683789.5927071</v>
      </c>
      <c r="DQ132" s="116">
        <f t="shared" si="394"/>
        <v>0.95889999999999997</v>
      </c>
      <c r="DR132" s="126">
        <f t="shared" ca="1" si="421"/>
        <v>0</v>
      </c>
      <c r="DS132" s="115">
        <f t="shared" ca="1" si="422"/>
        <v>0</v>
      </c>
      <c r="DT132" s="118">
        <v>1</v>
      </c>
      <c r="DU132" s="115">
        <f t="shared" si="423"/>
        <v>2400</v>
      </c>
      <c r="DV132" s="113"/>
      <c r="DW132" s="119">
        <v>0</v>
      </c>
      <c r="DX132" s="113"/>
      <c r="DY132" s="113"/>
      <c r="DZ132" s="113">
        <v>0</v>
      </c>
      <c r="EA132" s="113">
        <v>0</v>
      </c>
      <c r="EB132" s="113">
        <v>0</v>
      </c>
      <c r="EC132" s="113">
        <v>0</v>
      </c>
      <c r="ED132" s="113">
        <v>0</v>
      </c>
      <c r="EE132" s="113">
        <v>0</v>
      </c>
      <c r="EF132" s="113"/>
      <c r="EG132" s="113"/>
      <c r="EH132" s="113"/>
      <c r="EI132" s="113"/>
      <c r="EJ132" s="113"/>
      <c r="EK132" s="113"/>
      <c r="EL132" s="114">
        <f t="shared" si="395"/>
        <v>0</v>
      </c>
      <c r="EM132" s="114">
        <f t="shared" si="396"/>
        <v>0</v>
      </c>
      <c r="EN132" s="114">
        <f t="shared" si="397"/>
        <v>0</v>
      </c>
      <c r="EO132" s="114">
        <f t="shared" si="398"/>
        <v>0</v>
      </c>
      <c r="EP132" s="114">
        <f t="shared" si="417"/>
        <v>0</v>
      </c>
      <c r="EQ132" s="114">
        <f t="shared" si="399"/>
        <v>0</v>
      </c>
      <c r="ER132" s="114">
        <f t="shared" si="400"/>
        <v>0</v>
      </c>
      <c r="ES132" s="116">
        <f t="shared" si="401"/>
        <v>0</v>
      </c>
      <c r="ET132" s="126">
        <f t="shared" ca="1" si="402"/>
        <v>0</v>
      </c>
      <c r="EU132" s="115">
        <f t="shared" ca="1" si="424"/>
        <v>0</v>
      </c>
      <c r="EV132" s="118" t="str">
        <f t="shared" si="418"/>
        <v>Uncapped</v>
      </c>
      <c r="EW132" s="115">
        <f t="shared" ca="1" si="425"/>
        <v>0</v>
      </c>
      <c r="EX132" s="112">
        <f t="shared" ca="1" si="426"/>
        <v>0</v>
      </c>
      <c r="EY132" s="114">
        <f t="shared" ca="1" si="403"/>
        <v>3000</v>
      </c>
      <c r="EZ132" s="115">
        <v>0</v>
      </c>
      <c r="FA132" s="115"/>
      <c r="FB132" s="115"/>
      <c r="FC132" s="115">
        <v>0</v>
      </c>
      <c r="FD132" s="115">
        <f t="shared" si="404"/>
        <v>0</v>
      </c>
      <c r="FE132" s="114">
        <f t="shared" si="405"/>
        <v>0</v>
      </c>
      <c r="FF132" s="115">
        <v>0</v>
      </c>
      <c r="FG132" s="115">
        <v>0</v>
      </c>
      <c r="FH132" s="115">
        <v>0</v>
      </c>
      <c r="FI132" s="115">
        <v>0</v>
      </c>
      <c r="FJ132" s="115">
        <f t="shared" si="406"/>
        <v>0</v>
      </c>
      <c r="FK132" s="114">
        <f t="shared" si="407"/>
        <v>0</v>
      </c>
      <c r="FL132" s="113"/>
      <c r="FM132" s="111"/>
      <c r="FN132" s="111"/>
      <c r="FO132" s="111"/>
      <c r="FP132" s="115">
        <f t="shared" ref="FP132:FP178" si="443">SUM(FL132:FO132)</f>
        <v>0</v>
      </c>
      <c r="FQ132" s="115"/>
      <c r="FR132" s="115"/>
      <c r="FS132" s="115"/>
      <c r="FT132" s="114">
        <f t="shared" si="435"/>
        <v>0</v>
      </c>
      <c r="FU132" s="366">
        <f t="shared" ca="1" si="436"/>
        <v>3000</v>
      </c>
      <c r="FV132" s="121">
        <f t="shared" ca="1" si="437"/>
        <v>3000</v>
      </c>
      <c r="FW132" s="114">
        <f t="shared" ref="FW132:FZ165" si="444">FF132</f>
        <v>0</v>
      </c>
      <c r="FX132" s="114">
        <f t="shared" si="444"/>
        <v>0</v>
      </c>
      <c r="FY132" s="114">
        <f t="shared" si="444"/>
        <v>0</v>
      </c>
      <c r="FZ132" s="114">
        <f t="shared" si="444"/>
        <v>0</v>
      </c>
      <c r="GA132" s="114">
        <f t="shared" si="372"/>
        <v>0</v>
      </c>
      <c r="GB132" s="114">
        <f t="shared" ref="GB132:GE165" si="445">EZ132</f>
        <v>0</v>
      </c>
      <c r="GC132" s="114">
        <f t="shared" si="445"/>
        <v>0</v>
      </c>
      <c r="GD132" s="114">
        <f t="shared" si="445"/>
        <v>0</v>
      </c>
      <c r="GE132" s="114">
        <f t="shared" si="445"/>
        <v>0</v>
      </c>
      <c r="GF132" s="114">
        <f t="shared" si="441"/>
        <v>0</v>
      </c>
      <c r="GG132" s="114">
        <f t="shared" si="441"/>
        <v>0</v>
      </c>
      <c r="GH132" s="114">
        <f t="shared" si="441"/>
        <v>0</v>
      </c>
      <c r="GI132" s="114">
        <f t="shared" si="441"/>
        <v>0</v>
      </c>
      <c r="GJ132" s="115">
        <f t="shared" si="408"/>
        <v>0</v>
      </c>
      <c r="GK132" s="114">
        <f t="shared" si="438"/>
        <v>0</v>
      </c>
      <c r="GL132" s="114">
        <f t="shared" si="427"/>
        <v>0</v>
      </c>
      <c r="GM132" s="114">
        <f t="shared" si="428"/>
        <v>3000</v>
      </c>
      <c r="GN132" s="114">
        <f t="shared" si="429"/>
        <v>0</v>
      </c>
      <c r="GO132" s="114">
        <f t="shared" si="430"/>
        <v>0</v>
      </c>
      <c r="GP132" s="114">
        <f t="shared" si="409"/>
        <v>3000</v>
      </c>
      <c r="GQ132" s="114">
        <f t="shared" si="439"/>
        <v>3000</v>
      </c>
      <c r="GR132" s="193"/>
      <c r="GS132" s="122">
        <f t="shared" si="431"/>
        <v>252276878.65040195</v>
      </c>
      <c r="GT132" s="122">
        <f t="shared" si="432"/>
        <v>264830013.00819552</v>
      </c>
      <c r="GU132" s="123">
        <f t="shared" si="440"/>
        <v>0.95259927598385497</v>
      </c>
      <c r="GV132" s="124">
        <f t="shared" ca="1" si="433"/>
        <v>0</v>
      </c>
      <c r="GW132" s="124">
        <v>0</v>
      </c>
      <c r="GX132" s="32">
        <f t="shared" ca="1" si="434"/>
        <v>0</v>
      </c>
      <c r="GY132" s="100"/>
    </row>
    <row r="133" spans="3:207" s="408" customFormat="1" hidden="1">
      <c r="C133" s="402"/>
      <c r="D133" s="402"/>
      <c r="E133" s="403"/>
      <c r="F133" s="403" t="s">
        <v>720</v>
      </c>
      <c r="G133" s="403" t="s">
        <v>226</v>
      </c>
      <c r="H133" s="105" t="s">
        <v>566</v>
      </c>
      <c r="I133" s="403" t="s">
        <v>599</v>
      </c>
      <c r="J133" s="403" t="s">
        <v>615</v>
      </c>
      <c r="K133" s="403" t="s">
        <v>544</v>
      </c>
      <c r="L133" s="403"/>
      <c r="M133" s="403"/>
      <c r="N133" s="404"/>
      <c r="O133" s="108">
        <v>41263</v>
      </c>
      <c r="P133" s="108">
        <v>41263</v>
      </c>
      <c r="Q133" s="323">
        <f t="shared" si="410"/>
        <v>0</v>
      </c>
      <c r="R133" s="109">
        <f>IF((P133-VLOOKUP(Q133,month!$A$1:$C$13,3,0))&lt;0,Q133,Q133+1)</f>
        <v>0</v>
      </c>
      <c r="S133" s="108"/>
      <c r="T133" s="110" t="str">
        <f t="shared" si="442"/>
        <v/>
      </c>
      <c r="U133" s="404"/>
      <c r="V133" s="404"/>
      <c r="W133" s="405"/>
      <c r="X133" s="405"/>
      <c r="Y133" s="492"/>
      <c r="Z133" s="406" t="s">
        <v>545</v>
      </c>
      <c r="AA133" s="394">
        <v>1000</v>
      </c>
      <c r="AB133" s="394">
        <v>1000</v>
      </c>
      <c r="AC133" s="394">
        <v>1000</v>
      </c>
      <c r="AD133" s="394">
        <v>1000</v>
      </c>
      <c r="AE133" s="394">
        <v>1000</v>
      </c>
      <c r="AF133" s="394">
        <v>1000</v>
      </c>
      <c r="AG133" s="394">
        <v>1000</v>
      </c>
      <c r="AH133" s="394">
        <v>1000</v>
      </c>
      <c r="AI133" s="394">
        <v>1000</v>
      </c>
      <c r="AJ133" s="394">
        <v>1000</v>
      </c>
      <c r="AK133" s="394">
        <v>1000</v>
      </c>
      <c r="AL133" s="394">
        <v>1000</v>
      </c>
      <c r="AM133" s="388">
        <f t="shared" si="373"/>
        <v>12000</v>
      </c>
      <c r="AN133" s="388">
        <f t="shared" si="411"/>
        <v>12000</v>
      </c>
      <c r="AO133" s="389">
        <f t="shared" ref="AO133:AO148" si="446">AI133</f>
        <v>1000</v>
      </c>
      <c r="AP133" s="502" t="s">
        <v>752</v>
      </c>
      <c r="AQ133" s="159">
        <v>0.4</v>
      </c>
      <c r="AR133" s="103" t="s">
        <v>211</v>
      </c>
      <c r="AS133" s="119" t="s">
        <v>210</v>
      </c>
      <c r="AT133" s="111">
        <v>4360578.9259366393</v>
      </c>
      <c r="AU133" s="111">
        <v>4893312.7375113787</v>
      </c>
      <c r="AV133" s="111">
        <v>4735121.6985724214</v>
      </c>
      <c r="AW133" s="111">
        <v>4908195.1324120481</v>
      </c>
      <c r="AX133" s="113">
        <v>4322655.22</v>
      </c>
      <c r="AY133" s="113">
        <v>4427269.8909500409</v>
      </c>
      <c r="AZ133" s="113">
        <v>3879830.89</v>
      </c>
      <c r="BA133" s="113"/>
      <c r="BB133" s="113"/>
      <c r="BC133" s="113"/>
      <c r="BD133" s="113"/>
      <c r="BE133" s="113"/>
      <c r="BF133" s="114">
        <f t="shared" si="374"/>
        <v>4322655.22</v>
      </c>
      <c r="BG133" s="114">
        <f t="shared" si="375"/>
        <v>4427269.8909500409</v>
      </c>
      <c r="BH133" s="114">
        <f t="shared" si="376"/>
        <v>3879830.89</v>
      </c>
      <c r="BI133" s="114">
        <f t="shared" si="377"/>
        <v>0</v>
      </c>
      <c r="BJ133" s="114">
        <f t="shared" si="412"/>
        <v>12629756.000950042</v>
      </c>
      <c r="BK133" s="115">
        <f t="shared" si="358"/>
        <v>18897208.494432487</v>
      </c>
      <c r="BL133" s="115">
        <f t="shared" si="378"/>
        <v>18897208.494432487</v>
      </c>
      <c r="BM133" s="116">
        <f t="shared" si="379"/>
        <v>0.66830000000000001</v>
      </c>
      <c r="BN133" s="126">
        <f t="shared" ca="1" si="359"/>
        <v>0</v>
      </c>
      <c r="BO133" s="117">
        <f t="shared" ca="1" si="360"/>
        <v>0</v>
      </c>
      <c r="BP133" s="118" t="str">
        <f t="shared" si="361"/>
        <v>Uncapped</v>
      </c>
      <c r="BQ133" s="115">
        <f t="shared" ca="1" si="362"/>
        <v>0</v>
      </c>
      <c r="BR133" s="174" t="s">
        <v>740</v>
      </c>
      <c r="BS133" s="175">
        <v>0.4</v>
      </c>
      <c r="BT133" s="174" t="s">
        <v>211</v>
      </c>
      <c r="BU133" s="174" t="s">
        <v>210</v>
      </c>
      <c r="BV133" s="113">
        <v>5205901.7546552001</v>
      </c>
      <c r="BW133" s="113">
        <v>6041740.1313270004</v>
      </c>
      <c r="BX133" s="113">
        <v>5756053.1908810986</v>
      </c>
      <c r="BY133" s="113">
        <v>6160067.2421446964</v>
      </c>
      <c r="BZ133" s="113">
        <v>5515068.8665199988</v>
      </c>
      <c r="CA133" s="113">
        <v>5778683</v>
      </c>
      <c r="CB133" s="113">
        <f>3919994.43121+1172274.56879</f>
        <v>5092269</v>
      </c>
      <c r="CC133" s="113">
        <f t="shared" si="352"/>
        <v>6160067.2421446964</v>
      </c>
      <c r="CD133" s="113"/>
      <c r="CE133" s="113"/>
      <c r="CF133" s="113"/>
      <c r="CG133" s="113"/>
      <c r="CH133" s="114">
        <f t="shared" si="380"/>
        <v>5515068.8665199988</v>
      </c>
      <c r="CI133" s="114">
        <f t="shared" si="381"/>
        <v>5778683</v>
      </c>
      <c r="CJ133" s="120">
        <f t="shared" si="382"/>
        <v>5092269</v>
      </c>
      <c r="CK133" s="114">
        <f t="shared" si="383"/>
        <v>6160067.2421446964</v>
      </c>
      <c r="CL133" s="114">
        <f t="shared" si="413"/>
        <v>22546088.108664695</v>
      </c>
      <c r="CM133" s="114">
        <f t="shared" si="384"/>
        <v>23163762.319007996</v>
      </c>
      <c r="CN133" s="114">
        <f t="shared" si="385"/>
        <v>23163762.319007996</v>
      </c>
      <c r="CO133" s="116">
        <f t="shared" si="386"/>
        <v>0.97330000000000005</v>
      </c>
      <c r="CP133" s="126">
        <f t="shared" ca="1" si="387"/>
        <v>0</v>
      </c>
      <c r="CQ133" s="115">
        <f t="shared" ca="1" si="419"/>
        <v>0</v>
      </c>
      <c r="CR133" s="118" t="str">
        <f t="shared" si="414"/>
        <v>Uncapped</v>
      </c>
      <c r="CS133" s="115">
        <f t="shared" ca="1" si="420"/>
        <v>0</v>
      </c>
      <c r="CT133" s="113" t="s">
        <v>729</v>
      </c>
      <c r="CU133" s="119">
        <v>0.2</v>
      </c>
      <c r="CV133" s="113" t="s">
        <v>217</v>
      </c>
      <c r="CW133" s="113" t="s">
        <v>210</v>
      </c>
      <c r="CX133" s="113">
        <v>13631298.3753272</v>
      </c>
      <c r="CY133" s="113">
        <v>15463517.626933601</v>
      </c>
      <c r="CZ133" s="113">
        <v>15159650.061351301</v>
      </c>
      <c r="DA133" s="113">
        <v>16523055.704212198</v>
      </c>
      <c r="DB133" s="113">
        <v>13485327.436090879</v>
      </c>
      <c r="DC133" s="113">
        <v>13198691</v>
      </c>
      <c r="DD133" s="113">
        <v>13923765.347779993</v>
      </c>
      <c r="DE133" s="113"/>
      <c r="DF133" s="113"/>
      <c r="DG133" s="113"/>
      <c r="DH133" s="113"/>
      <c r="DI133" s="113"/>
      <c r="DJ133" s="114">
        <f t="shared" si="388"/>
        <v>13485327.436090879</v>
      </c>
      <c r="DK133" s="114">
        <f t="shared" si="389"/>
        <v>13198691</v>
      </c>
      <c r="DL133" s="114">
        <f t="shared" si="390"/>
        <v>13923765.347779993</v>
      </c>
      <c r="DM133" s="114">
        <f t="shared" si="391"/>
        <v>0</v>
      </c>
      <c r="DN133" s="114">
        <f t="shared" si="415"/>
        <v>40607783.783870876</v>
      </c>
      <c r="DO133" s="114">
        <f t="shared" si="392"/>
        <v>60777521.7678243</v>
      </c>
      <c r="DP133" s="114">
        <f t="shared" si="393"/>
        <v>60777521.7678243</v>
      </c>
      <c r="DQ133" s="116">
        <f t="shared" si="394"/>
        <v>0.66810000000000003</v>
      </c>
      <c r="DR133" s="126">
        <f t="shared" ca="1" si="421"/>
        <v>0</v>
      </c>
      <c r="DS133" s="115">
        <f t="shared" ca="1" si="422"/>
        <v>0</v>
      </c>
      <c r="DT133" s="118" t="str">
        <f t="shared" si="416"/>
        <v>Uncapped</v>
      </c>
      <c r="DU133" s="115">
        <f t="shared" ca="1" si="423"/>
        <v>0</v>
      </c>
      <c r="DV133" s="113"/>
      <c r="DW133" s="119">
        <v>0</v>
      </c>
      <c r="DX133" s="113"/>
      <c r="DY133" s="113"/>
      <c r="DZ133" s="113">
        <v>0</v>
      </c>
      <c r="EA133" s="113">
        <v>0</v>
      </c>
      <c r="EB133" s="113">
        <v>0</v>
      </c>
      <c r="EC133" s="113">
        <v>0</v>
      </c>
      <c r="ED133" s="113">
        <v>0</v>
      </c>
      <c r="EE133" s="113">
        <v>0</v>
      </c>
      <c r="EF133" s="113"/>
      <c r="EG133" s="113"/>
      <c r="EH133" s="113"/>
      <c r="EI133" s="113"/>
      <c r="EJ133" s="113"/>
      <c r="EK133" s="113"/>
      <c r="EL133" s="114">
        <f t="shared" si="395"/>
        <v>0</v>
      </c>
      <c r="EM133" s="114">
        <f t="shared" si="396"/>
        <v>0</v>
      </c>
      <c r="EN133" s="114">
        <f t="shared" si="397"/>
        <v>0</v>
      </c>
      <c r="EO133" s="114">
        <f t="shared" si="398"/>
        <v>0</v>
      </c>
      <c r="EP133" s="114">
        <f t="shared" si="417"/>
        <v>0</v>
      </c>
      <c r="EQ133" s="114">
        <f t="shared" si="399"/>
        <v>0</v>
      </c>
      <c r="ER133" s="114">
        <f t="shared" si="400"/>
        <v>0</v>
      </c>
      <c r="ES133" s="116">
        <f t="shared" si="401"/>
        <v>0</v>
      </c>
      <c r="ET133" s="126">
        <f t="shared" ca="1" si="402"/>
        <v>0</v>
      </c>
      <c r="EU133" s="115">
        <f t="shared" ca="1" si="424"/>
        <v>0</v>
      </c>
      <c r="EV133" s="118" t="str">
        <f t="shared" si="418"/>
        <v>Uncapped</v>
      </c>
      <c r="EW133" s="115">
        <f t="shared" ca="1" si="425"/>
        <v>0</v>
      </c>
      <c r="EX133" s="112">
        <f t="shared" ca="1" si="426"/>
        <v>0</v>
      </c>
      <c r="EY133" s="114">
        <f t="shared" ca="1" si="403"/>
        <v>0</v>
      </c>
      <c r="EZ133" s="115">
        <v>0</v>
      </c>
      <c r="FA133" s="115"/>
      <c r="FB133" s="115"/>
      <c r="FC133" s="115">
        <v>0</v>
      </c>
      <c r="FD133" s="115">
        <f t="shared" si="404"/>
        <v>0</v>
      </c>
      <c r="FE133" s="114">
        <f t="shared" si="405"/>
        <v>0</v>
      </c>
      <c r="FF133" s="115">
        <v>0</v>
      </c>
      <c r="FG133" s="115">
        <v>0</v>
      </c>
      <c r="FH133" s="115">
        <v>0</v>
      </c>
      <c r="FI133" s="115">
        <v>0</v>
      </c>
      <c r="FJ133" s="115">
        <f t="shared" si="406"/>
        <v>0</v>
      </c>
      <c r="FK133" s="114">
        <f t="shared" si="407"/>
        <v>0</v>
      </c>
      <c r="FL133" s="113"/>
      <c r="FM133" s="111"/>
      <c r="FN133" s="111"/>
      <c r="FO133" s="111"/>
      <c r="FP133" s="115">
        <f t="shared" si="443"/>
        <v>0</v>
      </c>
      <c r="FQ133" s="115"/>
      <c r="FR133" s="115"/>
      <c r="FS133" s="115"/>
      <c r="FT133" s="114">
        <f t="shared" si="435"/>
        <v>0</v>
      </c>
      <c r="FU133" s="366">
        <f t="shared" ca="1" si="436"/>
        <v>0</v>
      </c>
      <c r="FV133" s="121">
        <f t="shared" ca="1" si="437"/>
        <v>0</v>
      </c>
      <c r="FW133" s="114">
        <f t="shared" si="444"/>
        <v>0</v>
      </c>
      <c r="FX133" s="114">
        <f t="shared" si="444"/>
        <v>0</v>
      </c>
      <c r="FY133" s="114">
        <f t="shared" si="444"/>
        <v>0</v>
      </c>
      <c r="FZ133" s="114">
        <f t="shared" si="444"/>
        <v>0</v>
      </c>
      <c r="GA133" s="114">
        <f t="shared" si="372"/>
        <v>0</v>
      </c>
      <c r="GB133" s="114">
        <f t="shared" si="445"/>
        <v>0</v>
      </c>
      <c r="GC133" s="114">
        <f t="shared" si="445"/>
        <v>0</v>
      </c>
      <c r="GD133" s="114">
        <f t="shared" si="445"/>
        <v>0</v>
      </c>
      <c r="GE133" s="114">
        <f t="shared" si="445"/>
        <v>0</v>
      </c>
      <c r="GF133" s="114">
        <f t="shared" si="441"/>
        <v>0</v>
      </c>
      <c r="GG133" s="114">
        <f t="shared" si="441"/>
        <v>0</v>
      </c>
      <c r="GH133" s="114">
        <f t="shared" si="441"/>
        <v>0</v>
      </c>
      <c r="GI133" s="114">
        <f t="shared" si="441"/>
        <v>0</v>
      </c>
      <c r="GJ133" s="115">
        <f t="shared" si="408"/>
        <v>0</v>
      </c>
      <c r="GK133" s="114">
        <f t="shared" si="438"/>
        <v>0</v>
      </c>
      <c r="GL133" s="114">
        <f t="shared" si="427"/>
        <v>0</v>
      </c>
      <c r="GM133" s="114">
        <f t="shared" si="428"/>
        <v>0</v>
      </c>
      <c r="GN133" s="114">
        <f t="shared" si="429"/>
        <v>0</v>
      </c>
      <c r="GO133" s="114">
        <f t="shared" si="430"/>
        <v>0</v>
      </c>
      <c r="GP133" s="114">
        <f t="shared" si="409"/>
        <v>0</v>
      </c>
      <c r="GQ133" s="114">
        <f t="shared" si="439"/>
        <v>0</v>
      </c>
      <c r="GR133" s="193"/>
      <c r="GS133" s="122">
        <f t="shared" si="431"/>
        <v>75783627.893485606</v>
      </c>
      <c r="GT133" s="122">
        <f t="shared" si="432"/>
        <v>102838492.58126479</v>
      </c>
      <c r="GU133" s="123">
        <f t="shared" si="440"/>
        <v>0.73691889088708729</v>
      </c>
      <c r="GV133" s="124">
        <f t="shared" ca="1" si="433"/>
        <v>0</v>
      </c>
      <c r="GW133" s="124">
        <v>0</v>
      </c>
      <c r="GX133" s="32">
        <f t="shared" ca="1" si="434"/>
        <v>0</v>
      </c>
      <c r="GY133" s="100"/>
    </row>
    <row r="134" spans="3:207" s="408" customFormat="1" hidden="1">
      <c r="C134" s="402"/>
      <c r="D134" s="402"/>
      <c r="E134" s="403"/>
      <c r="F134" s="403" t="s">
        <v>720</v>
      </c>
      <c r="G134" s="403" t="s">
        <v>226</v>
      </c>
      <c r="H134" s="105" t="s">
        <v>567</v>
      </c>
      <c r="I134" s="403" t="s">
        <v>600</v>
      </c>
      <c r="J134" s="403" t="s">
        <v>212</v>
      </c>
      <c r="K134" s="403" t="s">
        <v>544</v>
      </c>
      <c r="L134" s="403"/>
      <c r="M134" s="403"/>
      <c r="N134" s="404"/>
      <c r="O134" s="108">
        <v>41365</v>
      </c>
      <c r="P134" s="108">
        <v>41365</v>
      </c>
      <c r="Q134" s="323">
        <f t="shared" si="410"/>
        <v>0</v>
      </c>
      <c r="R134" s="109">
        <f>IF((P134-VLOOKUP(Q134,month!$A$1:$C$13,3,0))&lt;0,Q134,Q134+1)</f>
        <v>0</v>
      </c>
      <c r="S134" s="108"/>
      <c r="T134" s="110" t="str">
        <f t="shared" si="442"/>
        <v/>
      </c>
      <c r="U134" s="404"/>
      <c r="V134" s="404"/>
      <c r="W134" s="405"/>
      <c r="X134" s="405"/>
      <c r="Y134" s="492"/>
      <c r="Z134" s="406" t="s">
        <v>545</v>
      </c>
      <c r="AA134" s="394">
        <v>1000</v>
      </c>
      <c r="AB134" s="394">
        <v>1000</v>
      </c>
      <c r="AC134" s="394">
        <v>1000</v>
      </c>
      <c r="AD134" s="394">
        <v>1000</v>
      </c>
      <c r="AE134" s="394">
        <v>1000</v>
      </c>
      <c r="AF134" s="394">
        <v>1000</v>
      </c>
      <c r="AG134" s="394">
        <v>1000</v>
      </c>
      <c r="AH134" s="394">
        <v>1000</v>
      </c>
      <c r="AI134" s="394">
        <v>1000</v>
      </c>
      <c r="AJ134" s="394">
        <v>1000</v>
      </c>
      <c r="AK134" s="394">
        <v>1000</v>
      </c>
      <c r="AL134" s="394">
        <v>1000</v>
      </c>
      <c r="AM134" s="388">
        <f t="shared" si="373"/>
        <v>12000</v>
      </c>
      <c r="AN134" s="388">
        <f t="shared" si="411"/>
        <v>12000</v>
      </c>
      <c r="AO134" s="389">
        <f t="shared" si="446"/>
        <v>1000</v>
      </c>
      <c r="AP134" s="502" t="s">
        <v>739</v>
      </c>
      <c r="AQ134" s="159">
        <v>0.4</v>
      </c>
      <c r="AR134" s="103" t="s">
        <v>211</v>
      </c>
      <c r="AS134" s="119" t="s">
        <v>210</v>
      </c>
      <c r="AT134" s="111">
        <v>616390.08916673041</v>
      </c>
      <c r="AU134" s="111">
        <v>671167.08426676516</v>
      </c>
      <c r="AV134" s="111">
        <v>640978.86732239777</v>
      </c>
      <c r="AW134" s="111">
        <v>729473.40625056799</v>
      </c>
      <c r="AX134" s="113">
        <v>450242.64500000002</v>
      </c>
      <c r="AY134" s="113">
        <v>609916.10399999889</v>
      </c>
      <c r="AZ134" s="113">
        <v>448154.38</v>
      </c>
      <c r="BA134" s="113"/>
      <c r="BB134" s="113"/>
      <c r="BC134" s="113"/>
      <c r="BD134" s="113"/>
      <c r="BE134" s="113"/>
      <c r="BF134" s="114">
        <f t="shared" si="374"/>
        <v>450242.64500000002</v>
      </c>
      <c r="BG134" s="114">
        <f t="shared" si="375"/>
        <v>609916.10399999889</v>
      </c>
      <c r="BH134" s="114">
        <f t="shared" si="376"/>
        <v>448154.38</v>
      </c>
      <c r="BI134" s="114">
        <f t="shared" si="377"/>
        <v>0</v>
      </c>
      <c r="BJ134" s="114">
        <f t="shared" si="412"/>
        <v>1508313.1289999988</v>
      </c>
      <c r="BK134" s="115">
        <f t="shared" si="358"/>
        <v>2658009.4470064617</v>
      </c>
      <c r="BL134" s="115">
        <f t="shared" si="378"/>
        <v>2658009.4470064617</v>
      </c>
      <c r="BM134" s="116">
        <f t="shared" si="379"/>
        <v>0.5675</v>
      </c>
      <c r="BN134" s="126">
        <f t="shared" ca="1" si="359"/>
        <v>0</v>
      </c>
      <c r="BO134" s="117">
        <f t="shared" ca="1" si="360"/>
        <v>0</v>
      </c>
      <c r="BP134" s="118" t="str">
        <f t="shared" si="361"/>
        <v>Uncapped</v>
      </c>
      <c r="BQ134" s="115">
        <f t="shared" ca="1" si="362"/>
        <v>0</v>
      </c>
      <c r="BR134" s="174" t="s">
        <v>740</v>
      </c>
      <c r="BS134" s="175">
        <v>0.4</v>
      </c>
      <c r="BT134" s="174" t="s">
        <v>211</v>
      </c>
      <c r="BU134" s="174" t="s">
        <v>210</v>
      </c>
      <c r="BV134" s="113">
        <v>5205901.7546552001</v>
      </c>
      <c r="BW134" s="113">
        <v>6041740.1313270004</v>
      </c>
      <c r="BX134" s="113">
        <v>5756053.1908810986</v>
      </c>
      <c r="BY134" s="113">
        <v>6160067.2421446964</v>
      </c>
      <c r="BZ134" s="113">
        <v>5515068.8665199988</v>
      </c>
      <c r="CA134" s="113">
        <v>5778683</v>
      </c>
      <c r="CB134" s="113">
        <f>3919994.43121+1172274.56879</f>
        <v>5092269</v>
      </c>
      <c r="CC134" s="113">
        <f t="shared" si="352"/>
        <v>6160067.2421446964</v>
      </c>
      <c r="CD134" s="113"/>
      <c r="CE134" s="113"/>
      <c r="CF134" s="113"/>
      <c r="CG134" s="113"/>
      <c r="CH134" s="114">
        <f t="shared" si="380"/>
        <v>5515068.8665199988</v>
      </c>
      <c r="CI134" s="114">
        <f t="shared" si="381"/>
        <v>5778683</v>
      </c>
      <c r="CJ134" s="120">
        <f t="shared" si="382"/>
        <v>5092269</v>
      </c>
      <c r="CK134" s="114">
        <f t="shared" si="383"/>
        <v>6160067.2421446964</v>
      </c>
      <c r="CL134" s="114">
        <f t="shared" si="413"/>
        <v>22546088.108664695</v>
      </c>
      <c r="CM134" s="114">
        <f t="shared" si="384"/>
        <v>23163762.319007996</v>
      </c>
      <c r="CN134" s="114">
        <f t="shared" si="385"/>
        <v>23163762.319007996</v>
      </c>
      <c r="CO134" s="116">
        <f t="shared" si="386"/>
        <v>0.97330000000000005</v>
      </c>
      <c r="CP134" s="126">
        <f t="shared" ca="1" si="387"/>
        <v>0</v>
      </c>
      <c r="CQ134" s="115">
        <f t="shared" ca="1" si="419"/>
        <v>0</v>
      </c>
      <c r="CR134" s="118" t="str">
        <f t="shared" si="414"/>
        <v>Uncapped</v>
      </c>
      <c r="CS134" s="115">
        <f t="shared" ca="1" si="420"/>
        <v>0</v>
      </c>
      <c r="CT134" s="113" t="s">
        <v>733</v>
      </c>
      <c r="CU134" s="119">
        <v>0.2</v>
      </c>
      <c r="CV134" s="113" t="s">
        <v>217</v>
      </c>
      <c r="CW134" s="113" t="s">
        <v>210</v>
      </c>
      <c r="CX134" s="113">
        <v>4332720.3217541184</v>
      </c>
      <c r="CY134" s="113">
        <v>4778527.2500066841</v>
      </c>
      <c r="CZ134" s="113">
        <v>4616888.1107896138</v>
      </c>
      <c r="DA134" s="113">
        <v>4787499.8855306264</v>
      </c>
      <c r="DB134" s="113">
        <v>4282731.8</v>
      </c>
      <c r="DC134" s="113">
        <v>4427269.8909500409</v>
      </c>
      <c r="DD134" s="113">
        <v>3879830.89</v>
      </c>
      <c r="DE134" s="113"/>
      <c r="DF134" s="113"/>
      <c r="DG134" s="113"/>
      <c r="DH134" s="113"/>
      <c r="DI134" s="113"/>
      <c r="DJ134" s="114">
        <f t="shared" si="388"/>
        <v>4282731.8</v>
      </c>
      <c r="DK134" s="114">
        <f t="shared" si="389"/>
        <v>4427269.8909500409</v>
      </c>
      <c r="DL134" s="114">
        <f t="shared" si="390"/>
        <v>3879830.89</v>
      </c>
      <c r="DM134" s="114">
        <f t="shared" si="391"/>
        <v>0</v>
      </c>
      <c r="DN134" s="114">
        <f t="shared" si="415"/>
        <v>12589832.58095004</v>
      </c>
      <c r="DO134" s="114">
        <f t="shared" si="392"/>
        <v>18515635.568081044</v>
      </c>
      <c r="DP134" s="114">
        <f t="shared" si="393"/>
        <v>18515635.568081044</v>
      </c>
      <c r="DQ134" s="116">
        <f t="shared" si="394"/>
        <v>0.68</v>
      </c>
      <c r="DR134" s="126">
        <f t="shared" ca="1" si="421"/>
        <v>0</v>
      </c>
      <c r="DS134" s="115">
        <f t="shared" ca="1" si="422"/>
        <v>0</v>
      </c>
      <c r="DT134" s="118" t="str">
        <f t="shared" si="416"/>
        <v>Uncapped</v>
      </c>
      <c r="DU134" s="115">
        <f t="shared" ca="1" si="423"/>
        <v>0</v>
      </c>
      <c r="DV134" s="113"/>
      <c r="DW134" s="119">
        <v>0</v>
      </c>
      <c r="DX134" s="113"/>
      <c r="DY134" s="113"/>
      <c r="DZ134" s="113">
        <v>0</v>
      </c>
      <c r="EA134" s="113">
        <v>0</v>
      </c>
      <c r="EB134" s="113">
        <v>0</v>
      </c>
      <c r="EC134" s="113">
        <v>0</v>
      </c>
      <c r="ED134" s="113">
        <v>0</v>
      </c>
      <c r="EE134" s="113">
        <v>0</v>
      </c>
      <c r="EF134" s="113"/>
      <c r="EG134" s="113"/>
      <c r="EH134" s="113"/>
      <c r="EI134" s="113"/>
      <c r="EJ134" s="113"/>
      <c r="EK134" s="113"/>
      <c r="EL134" s="114">
        <f t="shared" si="395"/>
        <v>0</v>
      </c>
      <c r="EM134" s="114">
        <f t="shared" si="396"/>
        <v>0</v>
      </c>
      <c r="EN134" s="114">
        <f t="shared" si="397"/>
        <v>0</v>
      </c>
      <c r="EO134" s="114">
        <f t="shared" si="398"/>
        <v>0</v>
      </c>
      <c r="EP134" s="114">
        <f t="shared" si="417"/>
        <v>0</v>
      </c>
      <c r="EQ134" s="114">
        <f t="shared" si="399"/>
        <v>0</v>
      </c>
      <c r="ER134" s="114">
        <f t="shared" si="400"/>
        <v>0</v>
      </c>
      <c r="ES134" s="116">
        <f t="shared" si="401"/>
        <v>0</v>
      </c>
      <c r="ET134" s="126">
        <f t="shared" ca="1" si="402"/>
        <v>0</v>
      </c>
      <c r="EU134" s="115">
        <f t="shared" ca="1" si="424"/>
        <v>0</v>
      </c>
      <c r="EV134" s="118" t="str">
        <f t="shared" si="418"/>
        <v>Uncapped</v>
      </c>
      <c r="EW134" s="115">
        <f t="shared" ca="1" si="425"/>
        <v>0</v>
      </c>
      <c r="EX134" s="112">
        <f t="shared" ca="1" si="426"/>
        <v>0</v>
      </c>
      <c r="EY134" s="114">
        <f t="shared" ca="1" si="403"/>
        <v>0</v>
      </c>
      <c r="EZ134" s="115">
        <v>0</v>
      </c>
      <c r="FA134" s="115"/>
      <c r="FB134" s="115"/>
      <c r="FC134" s="115">
        <v>0</v>
      </c>
      <c r="FD134" s="115">
        <f t="shared" si="404"/>
        <v>0</v>
      </c>
      <c r="FE134" s="114">
        <f t="shared" si="405"/>
        <v>0</v>
      </c>
      <c r="FF134" s="115">
        <v>0</v>
      </c>
      <c r="FG134" s="115">
        <v>0</v>
      </c>
      <c r="FH134" s="115">
        <v>0</v>
      </c>
      <c r="FI134" s="115">
        <v>0</v>
      </c>
      <c r="FJ134" s="115">
        <f t="shared" si="406"/>
        <v>0</v>
      </c>
      <c r="FK134" s="114">
        <f t="shared" si="407"/>
        <v>0</v>
      </c>
      <c r="FL134" s="113"/>
      <c r="FM134" s="111"/>
      <c r="FN134" s="111"/>
      <c r="FO134" s="111"/>
      <c r="FP134" s="115">
        <f t="shared" si="443"/>
        <v>0</v>
      </c>
      <c r="FQ134" s="115"/>
      <c r="FR134" s="115"/>
      <c r="FS134" s="115"/>
      <c r="FT134" s="114">
        <f t="shared" si="435"/>
        <v>0</v>
      </c>
      <c r="FU134" s="366">
        <f t="shared" ca="1" si="436"/>
        <v>0</v>
      </c>
      <c r="FV134" s="121">
        <f t="shared" ca="1" si="437"/>
        <v>0</v>
      </c>
      <c r="FW134" s="114">
        <f t="shared" si="444"/>
        <v>0</v>
      </c>
      <c r="FX134" s="114">
        <f t="shared" si="444"/>
        <v>0</v>
      </c>
      <c r="FY134" s="114">
        <f t="shared" si="444"/>
        <v>0</v>
      </c>
      <c r="FZ134" s="114">
        <f t="shared" si="444"/>
        <v>0</v>
      </c>
      <c r="GA134" s="114">
        <f t="shared" si="372"/>
        <v>0</v>
      </c>
      <c r="GB134" s="114">
        <f t="shared" si="445"/>
        <v>0</v>
      </c>
      <c r="GC134" s="114">
        <f t="shared" si="445"/>
        <v>0</v>
      </c>
      <c r="GD134" s="114">
        <f t="shared" si="445"/>
        <v>0</v>
      </c>
      <c r="GE134" s="114">
        <f t="shared" si="445"/>
        <v>0</v>
      </c>
      <c r="GF134" s="114">
        <f t="shared" si="441"/>
        <v>0</v>
      </c>
      <c r="GG134" s="114">
        <f t="shared" si="441"/>
        <v>0</v>
      </c>
      <c r="GH134" s="114">
        <f t="shared" si="441"/>
        <v>0</v>
      </c>
      <c r="GI134" s="114">
        <f t="shared" si="441"/>
        <v>0</v>
      </c>
      <c r="GJ134" s="115">
        <f t="shared" si="408"/>
        <v>0</v>
      </c>
      <c r="GK134" s="114">
        <f t="shared" si="438"/>
        <v>0</v>
      </c>
      <c r="GL134" s="114">
        <f t="shared" si="427"/>
        <v>0</v>
      </c>
      <c r="GM134" s="114">
        <f t="shared" si="428"/>
        <v>0</v>
      </c>
      <c r="GN134" s="114">
        <f t="shared" si="429"/>
        <v>0</v>
      </c>
      <c r="GO134" s="114">
        <f t="shared" si="430"/>
        <v>0</v>
      </c>
      <c r="GP134" s="114">
        <f t="shared" si="409"/>
        <v>0</v>
      </c>
      <c r="GQ134" s="114">
        <f t="shared" si="439"/>
        <v>0</v>
      </c>
      <c r="GR134" s="193"/>
      <c r="GS134" s="122">
        <f t="shared" si="431"/>
        <v>36644233.818614736</v>
      </c>
      <c r="GT134" s="122">
        <f t="shared" si="432"/>
        <v>44337407.3340955</v>
      </c>
      <c r="GU134" s="123">
        <f t="shared" si="440"/>
        <v>0.82648571538000803</v>
      </c>
      <c r="GV134" s="124">
        <f t="shared" ca="1" si="433"/>
        <v>0</v>
      </c>
      <c r="GW134" s="124">
        <v>0</v>
      </c>
      <c r="GX134" s="32">
        <f t="shared" ca="1" si="434"/>
        <v>0</v>
      </c>
      <c r="GY134" s="100"/>
    </row>
    <row r="135" spans="3:207" s="408" customFormat="1" hidden="1">
      <c r="C135" s="402"/>
      <c r="D135" s="402"/>
      <c r="E135" s="403"/>
      <c r="F135" s="403" t="s">
        <v>720</v>
      </c>
      <c r="G135" s="403" t="s">
        <v>226</v>
      </c>
      <c r="H135" s="105" t="s">
        <v>568</v>
      </c>
      <c r="I135" s="403" t="s">
        <v>601</v>
      </c>
      <c r="J135" s="403" t="s">
        <v>212</v>
      </c>
      <c r="K135" s="403" t="s">
        <v>544</v>
      </c>
      <c r="L135" s="403"/>
      <c r="M135" s="403"/>
      <c r="N135" s="404"/>
      <c r="O135" s="108">
        <v>41730</v>
      </c>
      <c r="P135" s="108">
        <v>41730</v>
      </c>
      <c r="Q135" s="323">
        <f t="shared" si="410"/>
        <v>0</v>
      </c>
      <c r="R135" s="109">
        <f>IF((P135-VLOOKUP(Q135,month!$A$1:$C$13,3,0))&lt;0,Q135,Q135+1)</f>
        <v>0</v>
      </c>
      <c r="S135" s="108"/>
      <c r="T135" s="110" t="str">
        <f t="shared" si="442"/>
        <v/>
      </c>
      <c r="U135" s="404"/>
      <c r="V135" s="404"/>
      <c r="W135" s="405"/>
      <c r="X135" s="405"/>
      <c r="Y135" s="492"/>
      <c r="Z135" s="406" t="s">
        <v>545</v>
      </c>
      <c r="AA135" s="394">
        <v>1000</v>
      </c>
      <c r="AB135" s="394">
        <v>1000</v>
      </c>
      <c r="AC135" s="394">
        <v>1000</v>
      </c>
      <c r="AD135" s="394">
        <v>1000</v>
      </c>
      <c r="AE135" s="394">
        <v>1000</v>
      </c>
      <c r="AF135" s="394">
        <v>1000</v>
      </c>
      <c r="AG135" s="394">
        <v>1000</v>
      </c>
      <c r="AH135" s="394">
        <v>1000</v>
      </c>
      <c r="AI135" s="394">
        <v>1000</v>
      </c>
      <c r="AJ135" s="394">
        <v>1000</v>
      </c>
      <c r="AK135" s="394">
        <v>1000</v>
      </c>
      <c r="AL135" s="394">
        <v>1000</v>
      </c>
      <c r="AM135" s="388">
        <f t="shared" si="373"/>
        <v>12000</v>
      </c>
      <c r="AN135" s="388">
        <f t="shared" si="411"/>
        <v>12000</v>
      </c>
      <c r="AO135" s="389">
        <f t="shared" si="446"/>
        <v>1000</v>
      </c>
      <c r="AP135" s="502" t="s">
        <v>750</v>
      </c>
      <c r="AQ135" s="159">
        <v>0.5</v>
      </c>
      <c r="AR135" s="103" t="s">
        <v>211</v>
      </c>
      <c r="AS135" s="119" t="s">
        <v>210</v>
      </c>
      <c r="AT135" s="111">
        <v>720887.91968241916</v>
      </c>
      <c r="AU135" s="111">
        <v>784595.67437440774</v>
      </c>
      <c r="AV135" s="111">
        <v>746491.73576980887</v>
      </c>
      <c r="AW135" s="111">
        <v>808196.19358136377</v>
      </c>
      <c r="AX135" s="113">
        <v>1424487.42</v>
      </c>
      <c r="AY135" s="113">
        <v>1196357.4045000002</v>
      </c>
      <c r="AZ135" s="113">
        <v>721705.2470999998</v>
      </c>
      <c r="BA135" s="113"/>
      <c r="BB135" s="113"/>
      <c r="BC135" s="113"/>
      <c r="BD135" s="113"/>
      <c r="BE135" s="113"/>
      <c r="BF135" s="114">
        <f t="shared" si="374"/>
        <v>1424487.42</v>
      </c>
      <c r="BG135" s="114">
        <f t="shared" si="375"/>
        <v>1196357.4045000002</v>
      </c>
      <c r="BH135" s="114">
        <f t="shared" si="376"/>
        <v>721705.2470999998</v>
      </c>
      <c r="BI135" s="114">
        <f t="shared" si="377"/>
        <v>0</v>
      </c>
      <c r="BJ135" s="114">
        <f t="shared" si="412"/>
        <v>3342550.0715999999</v>
      </c>
      <c r="BK135" s="115">
        <f t="shared" ref="BK135:BK164" si="447">IF($H$2=1,AT135,IF($H$2=2,SUM(AT135:AU135),IF($H$2=3,SUM(AT135:AV135),SUM(AT135:AW135))))</f>
        <v>3060171.5234079994</v>
      </c>
      <c r="BL135" s="115">
        <f t="shared" si="378"/>
        <v>3060171.5234079994</v>
      </c>
      <c r="BM135" s="116">
        <f t="shared" si="379"/>
        <v>1.0923</v>
      </c>
      <c r="BN135" s="126">
        <f t="shared" ref="BN135:BN159" ca="1" si="448">IF(OR(AP135="MBO",AP135="10% Realized Price"),BM135,SUMPRODUCT(Lower_Payout*(Curve=AR135)*(Lower_Attain&lt;=BM135)*(Upper_Attain&gt;BM135))+(BM135-SUMPRODUCT(Lower_Attain*(Curve=AR135)*(Lower_Attain&lt;=BM135)*(Upper_Attain&gt;BM135)))*SUMPRODUCT(Slope*(Curve=AR135)*(Lower_Attain&lt;=BM135)*(Upper_Attain&gt;BM135)))</f>
        <v>0</v>
      </c>
      <c r="BO135" s="117">
        <f t="shared" ref="BO135:BO159" ca="1" si="449">IFERROR(AM135*AQ135*BN135,0)</f>
        <v>0</v>
      </c>
      <c r="BP135" s="118" t="str">
        <f t="shared" ref="BP135:BP181" si="450">IF($T135="Y","100%",IF($H$2=4,"Uncapped",IF(N135="Y","100%",IF($G135="AA","50%",IF($G135="SA","90%",IF($G135="APJ Regional-AA","50%",IF($G135="APJ Regional-SA","90%",75%)))))))</f>
        <v>Uncapped</v>
      </c>
      <c r="BQ135" s="115">
        <f t="shared" ref="BQ135:BQ159" ca="1" si="451">IF(BP135="Uncapped",BO135,IFERROR(AM135*AQ135*BP135,0))</f>
        <v>0</v>
      </c>
      <c r="BR135" s="174" t="s">
        <v>762</v>
      </c>
      <c r="BS135" s="175">
        <v>0.3</v>
      </c>
      <c r="BT135" s="174" t="s">
        <v>211</v>
      </c>
      <c r="BU135" s="174" t="s">
        <v>210</v>
      </c>
      <c r="BV135" s="113">
        <v>2237916.9674079753</v>
      </c>
      <c r="BW135" s="113">
        <v>2593737.6672715819</v>
      </c>
      <c r="BX135" s="113">
        <v>2631062.6626689765</v>
      </c>
      <c r="BY135" s="113">
        <v>2613100.8468210953</v>
      </c>
      <c r="BZ135" s="113">
        <v>2333200.87</v>
      </c>
      <c r="CA135" s="113">
        <v>2209902.1916999999</v>
      </c>
      <c r="CB135" s="113">
        <v>1880202.3</v>
      </c>
      <c r="CC135" s="113">
        <f t="shared" si="352"/>
        <v>2613100.8468210953</v>
      </c>
      <c r="CD135" s="113"/>
      <c r="CE135" s="113"/>
      <c r="CF135" s="113"/>
      <c r="CG135" s="113"/>
      <c r="CH135" s="114">
        <f t="shared" si="380"/>
        <v>2333200.87</v>
      </c>
      <c r="CI135" s="114">
        <f t="shared" si="381"/>
        <v>2209902.1916999999</v>
      </c>
      <c r="CJ135" s="120">
        <f t="shared" si="382"/>
        <v>1880202.3</v>
      </c>
      <c r="CK135" s="114">
        <f t="shared" si="383"/>
        <v>2613100.8468210953</v>
      </c>
      <c r="CL135" s="114">
        <f t="shared" si="413"/>
        <v>9036406.2085210942</v>
      </c>
      <c r="CM135" s="114">
        <f t="shared" si="384"/>
        <v>10075818.14416963</v>
      </c>
      <c r="CN135" s="114">
        <f t="shared" si="385"/>
        <v>10075818.14416963</v>
      </c>
      <c r="CO135" s="116">
        <f t="shared" si="386"/>
        <v>0.89680000000000004</v>
      </c>
      <c r="CP135" s="126">
        <f t="shared" ca="1" si="387"/>
        <v>0</v>
      </c>
      <c r="CQ135" s="115">
        <f t="shared" ca="1" si="419"/>
        <v>0</v>
      </c>
      <c r="CR135" s="118" t="str">
        <f t="shared" si="414"/>
        <v>Uncapped</v>
      </c>
      <c r="CS135" s="115">
        <f t="shared" ca="1" si="420"/>
        <v>0</v>
      </c>
      <c r="CT135" s="113" t="s">
        <v>729</v>
      </c>
      <c r="CU135" s="119">
        <v>0.2</v>
      </c>
      <c r="CV135" s="113" t="s">
        <v>217</v>
      </c>
      <c r="CW135" s="113" t="s">
        <v>210</v>
      </c>
      <c r="CX135" s="113">
        <v>13631298.3753272</v>
      </c>
      <c r="CY135" s="113">
        <v>15463517.626933601</v>
      </c>
      <c r="CZ135" s="113">
        <v>15159650.061351301</v>
      </c>
      <c r="DA135" s="113">
        <v>16523055.704212198</v>
      </c>
      <c r="DB135" s="113">
        <v>13485327.436090879</v>
      </c>
      <c r="DC135" s="113">
        <v>13198691</v>
      </c>
      <c r="DD135" s="113">
        <v>13923765.347779993</v>
      </c>
      <c r="DE135" s="113"/>
      <c r="DF135" s="113"/>
      <c r="DG135" s="113"/>
      <c r="DH135" s="113"/>
      <c r="DI135" s="113"/>
      <c r="DJ135" s="114">
        <f t="shared" si="388"/>
        <v>13485327.436090879</v>
      </c>
      <c r="DK135" s="114">
        <f t="shared" si="389"/>
        <v>13198691</v>
      </c>
      <c r="DL135" s="114">
        <f t="shared" si="390"/>
        <v>13923765.347779993</v>
      </c>
      <c r="DM135" s="114">
        <f t="shared" si="391"/>
        <v>0</v>
      </c>
      <c r="DN135" s="114">
        <f t="shared" si="415"/>
        <v>40607783.783870876</v>
      </c>
      <c r="DO135" s="114">
        <f t="shared" si="392"/>
        <v>60777521.7678243</v>
      </c>
      <c r="DP135" s="114">
        <f t="shared" si="393"/>
        <v>60777521.7678243</v>
      </c>
      <c r="DQ135" s="116">
        <f t="shared" si="394"/>
        <v>0.66810000000000003</v>
      </c>
      <c r="DR135" s="126">
        <f t="shared" ca="1" si="421"/>
        <v>0</v>
      </c>
      <c r="DS135" s="115">
        <f t="shared" ca="1" si="422"/>
        <v>0</v>
      </c>
      <c r="DT135" s="118" t="str">
        <f t="shared" si="416"/>
        <v>Uncapped</v>
      </c>
      <c r="DU135" s="115">
        <f t="shared" ca="1" si="423"/>
        <v>0</v>
      </c>
      <c r="DV135" s="113"/>
      <c r="DW135" s="119">
        <v>0</v>
      </c>
      <c r="DX135" s="113"/>
      <c r="DY135" s="113"/>
      <c r="DZ135" s="113">
        <v>0</v>
      </c>
      <c r="EA135" s="113">
        <v>0</v>
      </c>
      <c r="EB135" s="113">
        <v>0</v>
      </c>
      <c r="EC135" s="113">
        <v>0</v>
      </c>
      <c r="ED135" s="113">
        <v>0</v>
      </c>
      <c r="EE135" s="113">
        <v>0</v>
      </c>
      <c r="EF135" s="113"/>
      <c r="EG135" s="113"/>
      <c r="EH135" s="113"/>
      <c r="EI135" s="113"/>
      <c r="EJ135" s="113"/>
      <c r="EK135" s="113"/>
      <c r="EL135" s="114">
        <f t="shared" si="395"/>
        <v>0</v>
      </c>
      <c r="EM135" s="114">
        <f t="shared" si="396"/>
        <v>0</v>
      </c>
      <c r="EN135" s="114">
        <f t="shared" si="397"/>
        <v>0</v>
      </c>
      <c r="EO135" s="114">
        <f t="shared" si="398"/>
        <v>0</v>
      </c>
      <c r="EP135" s="114">
        <f t="shared" si="417"/>
        <v>0</v>
      </c>
      <c r="EQ135" s="114">
        <f t="shared" si="399"/>
        <v>0</v>
      </c>
      <c r="ER135" s="114">
        <f t="shared" si="400"/>
        <v>0</v>
      </c>
      <c r="ES135" s="116">
        <f t="shared" si="401"/>
        <v>0</v>
      </c>
      <c r="ET135" s="126">
        <f t="shared" ca="1" si="402"/>
        <v>0</v>
      </c>
      <c r="EU135" s="115">
        <f t="shared" ca="1" si="424"/>
        <v>0</v>
      </c>
      <c r="EV135" s="118" t="str">
        <f t="shared" si="418"/>
        <v>Uncapped</v>
      </c>
      <c r="EW135" s="115">
        <f t="shared" ca="1" si="425"/>
        <v>0</v>
      </c>
      <c r="EX135" s="112">
        <f t="shared" ca="1" si="426"/>
        <v>0</v>
      </c>
      <c r="EY135" s="114">
        <f t="shared" ca="1" si="403"/>
        <v>0</v>
      </c>
      <c r="EZ135" s="115">
        <v>0</v>
      </c>
      <c r="FA135" s="115"/>
      <c r="FB135" s="115"/>
      <c r="FC135" s="115">
        <v>0</v>
      </c>
      <c r="FD135" s="115">
        <f t="shared" si="404"/>
        <v>0</v>
      </c>
      <c r="FE135" s="114">
        <f t="shared" si="405"/>
        <v>0</v>
      </c>
      <c r="FF135" s="115">
        <v>0</v>
      </c>
      <c r="FG135" s="115">
        <v>0</v>
      </c>
      <c r="FH135" s="115">
        <v>0</v>
      </c>
      <c r="FI135" s="115">
        <v>0</v>
      </c>
      <c r="FJ135" s="115">
        <f t="shared" si="406"/>
        <v>0</v>
      </c>
      <c r="FK135" s="114">
        <f t="shared" si="407"/>
        <v>0</v>
      </c>
      <c r="FL135" s="113"/>
      <c r="FM135" s="111"/>
      <c r="FN135" s="111"/>
      <c r="FO135" s="111"/>
      <c r="FP135" s="115">
        <f t="shared" si="443"/>
        <v>0</v>
      </c>
      <c r="FQ135" s="115"/>
      <c r="FR135" s="115"/>
      <c r="FS135" s="115"/>
      <c r="FT135" s="114">
        <f t="shared" si="435"/>
        <v>0</v>
      </c>
      <c r="FU135" s="366">
        <f t="shared" ca="1" si="436"/>
        <v>0</v>
      </c>
      <c r="FV135" s="121">
        <f t="shared" ca="1" si="437"/>
        <v>0</v>
      </c>
      <c r="FW135" s="114">
        <f t="shared" si="444"/>
        <v>0</v>
      </c>
      <c r="FX135" s="114">
        <f t="shared" si="444"/>
        <v>0</v>
      </c>
      <c r="FY135" s="114">
        <f t="shared" si="444"/>
        <v>0</v>
      </c>
      <c r="FZ135" s="114">
        <f t="shared" si="444"/>
        <v>0</v>
      </c>
      <c r="GA135" s="114">
        <f t="shared" si="372"/>
        <v>0</v>
      </c>
      <c r="GB135" s="114">
        <f t="shared" si="445"/>
        <v>0</v>
      </c>
      <c r="GC135" s="114">
        <f t="shared" si="445"/>
        <v>0</v>
      </c>
      <c r="GD135" s="114">
        <f t="shared" si="445"/>
        <v>0</v>
      </c>
      <c r="GE135" s="114">
        <f t="shared" si="445"/>
        <v>0</v>
      </c>
      <c r="GF135" s="114">
        <f t="shared" si="441"/>
        <v>0</v>
      </c>
      <c r="GG135" s="114">
        <f t="shared" si="441"/>
        <v>0</v>
      </c>
      <c r="GH135" s="114">
        <f t="shared" si="441"/>
        <v>0</v>
      </c>
      <c r="GI135" s="114">
        <f t="shared" si="441"/>
        <v>0</v>
      </c>
      <c r="GJ135" s="115">
        <f t="shared" si="408"/>
        <v>0</v>
      </c>
      <c r="GK135" s="114">
        <f t="shared" si="438"/>
        <v>0</v>
      </c>
      <c r="GL135" s="114">
        <f t="shared" si="427"/>
        <v>0</v>
      </c>
      <c r="GM135" s="114">
        <f t="shared" si="428"/>
        <v>0</v>
      </c>
      <c r="GN135" s="114">
        <f t="shared" si="429"/>
        <v>0</v>
      </c>
      <c r="GO135" s="114">
        <f t="shared" si="430"/>
        <v>0</v>
      </c>
      <c r="GP135" s="114">
        <f t="shared" si="409"/>
        <v>0</v>
      </c>
      <c r="GQ135" s="114">
        <f t="shared" si="439"/>
        <v>0</v>
      </c>
      <c r="GR135" s="193"/>
      <c r="GS135" s="122">
        <f t="shared" si="431"/>
        <v>52986740.063991971</v>
      </c>
      <c r="GT135" s="122">
        <f t="shared" si="432"/>
        <v>73913511.435401931</v>
      </c>
      <c r="GU135" s="123">
        <f t="shared" si="440"/>
        <v>0.71687488572776992</v>
      </c>
      <c r="GV135" s="124">
        <f t="shared" ca="1" si="433"/>
        <v>0</v>
      </c>
      <c r="GW135" s="124">
        <v>0</v>
      </c>
      <c r="GX135" s="32">
        <f t="shared" ca="1" si="434"/>
        <v>0</v>
      </c>
      <c r="GY135" s="100"/>
    </row>
    <row r="136" spans="3:207" s="408" customFormat="1" hidden="1">
      <c r="C136" s="402"/>
      <c r="D136" s="402"/>
      <c r="E136" s="403"/>
      <c r="F136" s="403" t="s">
        <v>720</v>
      </c>
      <c r="G136" s="403" t="s">
        <v>226</v>
      </c>
      <c r="H136" s="105" t="s">
        <v>569</v>
      </c>
      <c r="I136" s="403" t="s">
        <v>602</v>
      </c>
      <c r="J136" s="403" t="s">
        <v>615</v>
      </c>
      <c r="K136" s="403" t="s">
        <v>544</v>
      </c>
      <c r="L136" s="403"/>
      <c r="M136" s="403"/>
      <c r="N136" s="404"/>
      <c r="O136" s="108">
        <v>42002</v>
      </c>
      <c r="P136" s="108">
        <v>42002</v>
      </c>
      <c r="Q136" s="323">
        <f t="shared" si="410"/>
        <v>0</v>
      </c>
      <c r="R136" s="109">
        <f>IF((P136-VLOOKUP(Q136,month!$A$1:$C$13,3,0))&lt;0,Q136,Q136+1)</f>
        <v>0</v>
      </c>
      <c r="S136" s="108"/>
      <c r="T136" s="110" t="str">
        <f t="shared" si="442"/>
        <v/>
      </c>
      <c r="U136" s="404"/>
      <c r="V136" s="404"/>
      <c r="W136" s="405"/>
      <c r="X136" s="405"/>
      <c r="Y136" s="492"/>
      <c r="Z136" s="406" t="s">
        <v>545</v>
      </c>
      <c r="AA136" s="394">
        <v>1000</v>
      </c>
      <c r="AB136" s="394">
        <v>1000</v>
      </c>
      <c r="AC136" s="394">
        <v>1000</v>
      </c>
      <c r="AD136" s="394">
        <v>1000</v>
      </c>
      <c r="AE136" s="394">
        <v>1000</v>
      </c>
      <c r="AF136" s="394">
        <v>1000</v>
      </c>
      <c r="AG136" s="394">
        <v>1000</v>
      </c>
      <c r="AH136" s="394">
        <v>1000</v>
      </c>
      <c r="AI136" s="394">
        <v>1000</v>
      </c>
      <c r="AJ136" s="394">
        <v>1000</v>
      </c>
      <c r="AK136" s="394">
        <v>1000</v>
      </c>
      <c r="AL136" s="394">
        <v>1000</v>
      </c>
      <c r="AM136" s="388">
        <f t="shared" si="373"/>
        <v>12000</v>
      </c>
      <c r="AN136" s="388">
        <f t="shared" si="411"/>
        <v>12000</v>
      </c>
      <c r="AO136" s="389">
        <f t="shared" si="446"/>
        <v>1000</v>
      </c>
      <c r="AP136" s="502" t="s">
        <v>750</v>
      </c>
      <c r="AQ136" s="159">
        <v>0.5</v>
      </c>
      <c r="AR136" s="103" t="s">
        <v>211</v>
      </c>
      <c r="AS136" s="119" t="s">
        <v>210</v>
      </c>
      <c r="AT136" s="111">
        <v>720887.91968241916</v>
      </c>
      <c r="AU136" s="111">
        <v>784595.67437440774</v>
      </c>
      <c r="AV136" s="111">
        <v>746491.73576980887</v>
      </c>
      <c r="AW136" s="111">
        <v>808196.19358136377</v>
      </c>
      <c r="AX136" s="113">
        <v>1424487.42</v>
      </c>
      <c r="AY136" s="113">
        <v>1196357.4045000002</v>
      </c>
      <c r="AZ136" s="113">
        <v>721705.2470999998</v>
      </c>
      <c r="BA136" s="113"/>
      <c r="BB136" s="113"/>
      <c r="BC136" s="113"/>
      <c r="BD136" s="113"/>
      <c r="BE136" s="113"/>
      <c r="BF136" s="114">
        <f t="shared" si="374"/>
        <v>1424487.42</v>
      </c>
      <c r="BG136" s="114">
        <f t="shared" si="375"/>
        <v>1196357.4045000002</v>
      </c>
      <c r="BH136" s="114">
        <f t="shared" si="376"/>
        <v>721705.2470999998</v>
      </c>
      <c r="BI136" s="114">
        <f t="shared" si="377"/>
        <v>0</v>
      </c>
      <c r="BJ136" s="114">
        <f t="shared" si="412"/>
        <v>3342550.0715999999</v>
      </c>
      <c r="BK136" s="115">
        <f t="shared" si="447"/>
        <v>3060171.5234079994</v>
      </c>
      <c r="BL136" s="115">
        <f t="shared" si="378"/>
        <v>3060171.5234079994</v>
      </c>
      <c r="BM136" s="116">
        <f t="shared" si="379"/>
        <v>1.0923</v>
      </c>
      <c r="BN136" s="126">
        <f t="shared" ca="1" si="448"/>
        <v>0</v>
      </c>
      <c r="BO136" s="117">
        <f t="shared" ca="1" si="449"/>
        <v>0</v>
      </c>
      <c r="BP136" s="118" t="str">
        <f t="shared" si="450"/>
        <v>Uncapped</v>
      </c>
      <c r="BQ136" s="115">
        <f t="shared" ca="1" si="451"/>
        <v>0</v>
      </c>
      <c r="BR136" s="174" t="s">
        <v>762</v>
      </c>
      <c r="BS136" s="175">
        <v>0.3</v>
      </c>
      <c r="BT136" s="174" t="s">
        <v>211</v>
      </c>
      <c r="BU136" s="174" t="s">
        <v>210</v>
      </c>
      <c r="BV136" s="113">
        <v>2237916.9674079753</v>
      </c>
      <c r="BW136" s="113">
        <v>2593737.6672715819</v>
      </c>
      <c r="BX136" s="113">
        <v>2631062.6626689765</v>
      </c>
      <c r="BY136" s="113">
        <v>2613100.8468210953</v>
      </c>
      <c r="BZ136" s="113">
        <v>2333200.87</v>
      </c>
      <c r="CA136" s="113">
        <v>2209902.1916999999</v>
      </c>
      <c r="CB136" s="113">
        <v>1880202.3</v>
      </c>
      <c r="CC136" s="113">
        <f t="shared" si="352"/>
        <v>2613100.8468210953</v>
      </c>
      <c r="CD136" s="113"/>
      <c r="CE136" s="113"/>
      <c r="CF136" s="113"/>
      <c r="CG136" s="113"/>
      <c r="CH136" s="114">
        <f t="shared" si="380"/>
        <v>2333200.87</v>
      </c>
      <c r="CI136" s="114">
        <f t="shared" si="381"/>
        <v>2209902.1916999999</v>
      </c>
      <c r="CJ136" s="120">
        <f t="shared" si="382"/>
        <v>1880202.3</v>
      </c>
      <c r="CK136" s="114">
        <f t="shared" si="383"/>
        <v>2613100.8468210953</v>
      </c>
      <c r="CL136" s="114">
        <f t="shared" si="413"/>
        <v>9036406.2085210942</v>
      </c>
      <c r="CM136" s="114">
        <f t="shared" si="384"/>
        <v>10075818.14416963</v>
      </c>
      <c r="CN136" s="114">
        <f t="shared" si="385"/>
        <v>10075818.14416963</v>
      </c>
      <c r="CO136" s="116">
        <f t="shared" si="386"/>
        <v>0.89680000000000004</v>
      </c>
      <c r="CP136" s="126">
        <f t="shared" ca="1" si="387"/>
        <v>0</v>
      </c>
      <c r="CQ136" s="115">
        <f t="shared" ca="1" si="419"/>
        <v>0</v>
      </c>
      <c r="CR136" s="118" t="str">
        <f t="shared" si="414"/>
        <v>Uncapped</v>
      </c>
      <c r="CS136" s="115">
        <f t="shared" ca="1" si="420"/>
        <v>0</v>
      </c>
      <c r="CT136" s="113" t="s">
        <v>729</v>
      </c>
      <c r="CU136" s="119">
        <v>0.2</v>
      </c>
      <c r="CV136" s="113" t="s">
        <v>217</v>
      </c>
      <c r="CW136" s="113" t="s">
        <v>210</v>
      </c>
      <c r="CX136" s="113">
        <v>13631298.3753272</v>
      </c>
      <c r="CY136" s="113">
        <v>15463517.626933601</v>
      </c>
      <c r="CZ136" s="113">
        <v>15159650.061351301</v>
      </c>
      <c r="DA136" s="113">
        <v>16523055.704212198</v>
      </c>
      <c r="DB136" s="113">
        <v>13485327.436090879</v>
      </c>
      <c r="DC136" s="113">
        <v>13198691</v>
      </c>
      <c r="DD136" s="113">
        <v>13923765.347779993</v>
      </c>
      <c r="DE136" s="113"/>
      <c r="DF136" s="113"/>
      <c r="DG136" s="113"/>
      <c r="DH136" s="113"/>
      <c r="DI136" s="113"/>
      <c r="DJ136" s="114">
        <f t="shared" si="388"/>
        <v>13485327.436090879</v>
      </c>
      <c r="DK136" s="114">
        <f t="shared" si="389"/>
        <v>13198691</v>
      </c>
      <c r="DL136" s="114">
        <f t="shared" si="390"/>
        <v>13923765.347779993</v>
      </c>
      <c r="DM136" s="114">
        <f t="shared" si="391"/>
        <v>0</v>
      </c>
      <c r="DN136" s="114">
        <f t="shared" si="415"/>
        <v>40607783.783870876</v>
      </c>
      <c r="DO136" s="114">
        <f t="shared" si="392"/>
        <v>60777521.7678243</v>
      </c>
      <c r="DP136" s="114">
        <f t="shared" si="393"/>
        <v>60777521.7678243</v>
      </c>
      <c r="DQ136" s="116">
        <f t="shared" si="394"/>
        <v>0.66810000000000003</v>
      </c>
      <c r="DR136" s="126">
        <f t="shared" ca="1" si="421"/>
        <v>0</v>
      </c>
      <c r="DS136" s="115">
        <f t="shared" ca="1" si="422"/>
        <v>0</v>
      </c>
      <c r="DT136" s="118" t="str">
        <f t="shared" si="416"/>
        <v>Uncapped</v>
      </c>
      <c r="DU136" s="115">
        <f t="shared" ca="1" si="423"/>
        <v>0</v>
      </c>
      <c r="DV136" s="113"/>
      <c r="DW136" s="119">
        <v>0</v>
      </c>
      <c r="DX136" s="113"/>
      <c r="DY136" s="113"/>
      <c r="DZ136" s="113">
        <v>0</v>
      </c>
      <c r="EA136" s="113">
        <v>0</v>
      </c>
      <c r="EB136" s="113">
        <v>0</v>
      </c>
      <c r="EC136" s="113">
        <v>0</v>
      </c>
      <c r="ED136" s="113">
        <v>0</v>
      </c>
      <c r="EE136" s="113">
        <v>0</v>
      </c>
      <c r="EF136" s="113"/>
      <c r="EG136" s="113"/>
      <c r="EH136" s="113"/>
      <c r="EI136" s="113"/>
      <c r="EJ136" s="113"/>
      <c r="EK136" s="113"/>
      <c r="EL136" s="114">
        <f t="shared" si="395"/>
        <v>0</v>
      </c>
      <c r="EM136" s="114">
        <f t="shared" si="396"/>
        <v>0</v>
      </c>
      <c r="EN136" s="114">
        <f t="shared" si="397"/>
        <v>0</v>
      </c>
      <c r="EO136" s="114">
        <f t="shared" si="398"/>
        <v>0</v>
      </c>
      <c r="EP136" s="114">
        <f t="shared" si="417"/>
        <v>0</v>
      </c>
      <c r="EQ136" s="114">
        <f t="shared" si="399"/>
        <v>0</v>
      </c>
      <c r="ER136" s="114">
        <f t="shared" si="400"/>
        <v>0</v>
      </c>
      <c r="ES136" s="116">
        <f t="shared" si="401"/>
        <v>0</v>
      </c>
      <c r="ET136" s="126">
        <f t="shared" ca="1" si="402"/>
        <v>0</v>
      </c>
      <c r="EU136" s="115">
        <f t="shared" ca="1" si="424"/>
        <v>0</v>
      </c>
      <c r="EV136" s="118" t="str">
        <f t="shared" si="418"/>
        <v>Uncapped</v>
      </c>
      <c r="EW136" s="115">
        <f t="shared" ca="1" si="425"/>
        <v>0</v>
      </c>
      <c r="EX136" s="112">
        <f t="shared" ca="1" si="426"/>
        <v>0</v>
      </c>
      <c r="EY136" s="114">
        <f t="shared" ca="1" si="403"/>
        <v>0</v>
      </c>
      <c r="EZ136" s="115">
        <v>0</v>
      </c>
      <c r="FA136" s="115"/>
      <c r="FB136" s="115"/>
      <c r="FC136" s="115">
        <v>0</v>
      </c>
      <c r="FD136" s="115">
        <f t="shared" si="404"/>
        <v>0</v>
      </c>
      <c r="FE136" s="114">
        <f t="shared" si="405"/>
        <v>0</v>
      </c>
      <c r="FF136" s="115">
        <v>0</v>
      </c>
      <c r="FG136" s="115">
        <v>0</v>
      </c>
      <c r="FH136" s="115">
        <v>0</v>
      </c>
      <c r="FI136" s="115">
        <v>0</v>
      </c>
      <c r="FJ136" s="115">
        <f t="shared" si="406"/>
        <v>0</v>
      </c>
      <c r="FK136" s="114">
        <f t="shared" si="407"/>
        <v>0</v>
      </c>
      <c r="FL136" s="113"/>
      <c r="FM136" s="111"/>
      <c r="FN136" s="111"/>
      <c r="FO136" s="111"/>
      <c r="FP136" s="115">
        <f t="shared" si="443"/>
        <v>0</v>
      </c>
      <c r="FQ136" s="115"/>
      <c r="FR136" s="115"/>
      <c r="FS136" s="115"/>
      <c r="FT136" s="114">
        <f t="shared" si="435"/>
        <v>0</v>
      </c>
      <c r="FU136" s="366">
        <f t="shared" ca="1" si="436"/>
        <v>0</v>
      </c>
      <c r="FV136" s="121">
        <f t="shared" ca="1" si="437"/>
        <v>0</v>
      </c>
      <c r="FW136" s="114">
        <f t="shared" si="444"/>
        <v>0</v>
      </c>
      <c r="FX136" s="114">
        <f t="shared" si="444"/>
        <v>0</v>
      </c>
      <c r="FY136" s="114">
        <f t="shared" si="444"/>
        <v>0</v>
      </c>
      <c r="FZ136" s="114">
        <f t="shared" si="444"/>
        <v>0</v>
      </c>
      <c r="GA136" s="114">
        <f t="shared" si="372"/>
        <v>0</v>
      </c>
      <c r="GB136" s="114">
        <f t="shared" si="445"/>
        <v>0</v>
      </c>
      <c r="GC136" s="114">
        <f t="shared" si="445"/>
        <v>0</v>
      </c>
      <c r="GD136" s="114">
        <f t="shared" si="445"/>
        <v>0</v>
      </c>
      <c r="GE136" s="114">
        <f t="shared" si="445"/>
        <v>0</v>
      </c>
      <c r="GF136" s="114">
        <f t="shared" si="441"/>
        <v>0</v>
      </c>
      <c r="GG136" s="114">
        <f t="shared" si="441"/>
        <v>0</v>
      </c>
      <c r="GH136" s="114">
        <f t="shared" si="441"/>
        <v>0</v>
      </c>
      <c r="GI136" s="114">
        <f t="shared" si="441"/>
        <v>0</v>
      </c>
      <c r="GJ136" s="115">
        <f t="shared" si="408"/>
        <v>0</v>
      </c>
      <c r="GK136" s="114">
        <f t="shared" si="438"/>
        <v>0</v>
      </c>
      <c r="GL136" s="114">
        <f t="shared" si="427"/>
        <v>0</v>
      </c>
      <c r="GM136" s="114">
        <f t="shared" si="428"/>
        <v>0</v>
      </c>
      <c r="GN136" s="114">
        <f t="shared" si="429"/>
        <v>0</v>
      </c>
      <c r="GO136" s="114">
        <f t="shared" si="430"/>
        <v>0</v>
      </c>
      <c r="GP136" s="114">
        <f t="shared" si="409"/>
        <v>0</v>
      </c>
      <c r="GQ136" s="114">
        <f t="shared" si="439"/>
        <v>0</v>
      </c>
      <c r="GR136" s="193"/>
      <c r="GS136" s="122">
        <f t="shared" si="431"/>
        <v>52986740.063991971</v>
      </c>
      <c r="GT136" s="122">
        <f t="shared" si="432"/>
        <v>73913511.435401931</v>
      </c>
      <c r="GU136" s="123">
        <f t="shared" si="440"/>
        <v>0.71687488572776992</v>
      </c>
      <c r="GV136" s="124">
        <f t="shared" ca="1" si="433"/>
        <v>0</v>
      </c>
      <c r="GW136" s="124">
        <v>0</v>
      </c>
      <c r="GX136" s="32">
        <f t="shared" ca="1" si="434"/>
        <v>0</v>
      </c>
      <c r="GY136" s="100"/>
    </row>
    <row r="137" spans="3:207" s="408" customFormat="1" hidden="1">
      <c r="C137" s="402"/>
      <c r="D137" s="402"/>
      <c r="E137" s="403"/>
      <c r="F137" s="403" t="s">
        <v>720</v>
      </c>
      <c r="G137" s="403" t="s">
        <v>226</v>
      </c>
      <c r="H137" s="105" t="s">
        <v>570</v>
      </c>
      <c r="I137" s="403" t="s">
        <v>603</v>
      </c>
      <c r="J137" s="403" t="s">
        <v>207</v>
      </c>
      <c r="K137" s="403" t="s">
        <v>544</v>
      </c>
      <c r="L137" s="403"/>
      <c r="M137" s="403"/>
      <c r="N137" s="404"/>
      <c r="O137" s="108">
        <v>42121</v>
      </c>
      <c r="P137" s="108">
        <v>42121</v>
      </c>
      <c r="Q137" s="323">
        <f t="shared" si="410"/>
        <v>0</v>
      </c>
      <c r="R137" s="109">
        <f>IF((P137-VLOOKUP(Q137,month!$A$1:$C$13,3,0))&lt;0,Q137,Q137+1)</f>
        <v>0</v>
      </c>
      <c r="S137" s="108"/>
      <c r="T137" s="110" t="str">
        <f t="shared" si="442"/>
        <v/>
      </c>
      <c r="U137" s="404"/>
      <c r="V137" s="404"/>
      <c r="W137" s="405"/>
      <c r="X137" s="405"/>
      <c r="Y137" s="492"/>
      <c r="Z137" s="406" t="s">
        <v>545</v>
      </c>
      <c r="AA137" s="394">
        <v>1000</v>
      </c>
      <c r="AB137" s="394">
        <v>1000</v>
      </c>
      <c r="AC137" s="394">
        <v>1000</v>
      </c>
      <c r="AD137" s="394">
        <v>1000</v>
      </c>
      <c r="AE137" s="394">
        <v>1000</v>
      </c>
      <c r="AF137" s="394">
        <v>1000</v>
      </c>
      <c r="AG137" s="394">
        <v>1000</v>
      </c>
      <c r="AH137" s="394">
        <v>1000</v>
      </c>
      <c r="AI137" s="394">
        <v>1000</v>
      </c>
      <c r="AJ137" s="394">
        <v>1000</v>
      </c>
      <c r="AK137" s="394">
        <v>1000</v>
      </c>
      <c r="AL137" s="394">
        <v>1000</v>
      </c>
      <c r="AM137" s="388">
        <f t="shared" si="373"/>
        <v>12000</v>
      </c>
      <c r="AN137" s="388">
        <f t="shared" si="411"/>
        <v>12000</v>
      </c>
      <c r="AO137" s="389">
        <f t="shared" si="446"/>
        <v>1000</v>
      </c>
      <c r="AP137" s="502" t="s">
        <v>753</v>
      </c>
      <c r="AQ137" s="159">
        <v>0.5</v>
      </c>
      <c r="AR137" s="103" t="s">
        <v>211</v>
      </c>
      <c r="AS137" s="119" t="s">
        <v>210</v>
      </c>
      <c r="AT137" s="111">
        <v>2454647.0609810022</v>
      </c>
      <c r="AU137" s="111">
        <v>2977189.7605398973</v>
      </c>
      <c r="AV137" s="111">
        <v>3040490.9843134643</v>
      </c>
      <c r="AW137" s="111">
        <v>2532479.2411463298</v>
      </c>
      <c r="AX137" s="113">
        <v>2496413.3565199943</v>
      </c>
      <c r="AY137" s="113">
        <v>2789163</v>
      </c>
      <c r="AZ137" s="113">
        <v>2876255.0325699951</v>
      </c>
      <c r="BA137" s="113"/>
      <c r="BB137" s="113"/>
      <c r="BC137" s="113"/>
      <c r="BD137" s="113"/>
      <c r="BE137" s="113"/>
      <c r="BF137" s="114">
        <f t="shared" si="374"/>
        <v>2496413.3565199943</v>
      </c>
      <c r="BG137" s="114">
        <f t="shared" si="375"/>
        <v>2789163</v>
      </c>
      <c r="BH137" s="114">
        <f t="shared" si="376"/>
        <v>2876255.0325699951</v>
      </c>
      <c r="BI137" s="114">
        <f t="shared" si="377"/>
        <v>0</v>
      </c>
      <c r="BJ137" s="114">
        <f t="shared" si="412"/>
        <v>8161831.3890899895</v>
      </c>
      <c r="BK137" s="115">
        <f t="shared" si="447"/>
        <v>11004807.046980694</v>
      </c>
      <c r="BL137" s="115">
        <f t="shared" si="378"/>
        <v>11004807.046980694</v>
      </c>
      <c r="BM137" s="116">
        <f t="shared" si="379"/>
        <v>0.74170000000000003</v>
      </c>
      <c r="BN137" s="126">
        <f t="shared" ca="1" si="448"/>
        <v>0</v>
      </c>
      <c r="BO137" s="117">
        <f t="shared" ca="1" si="449"/>
        <v>0</v>
      </c>
      <c r="BP137" s="118" t="str">
        <f t="shared" si="450"/>
        <v>Uncapped</v>
      </c>
      <c r="BQ137" s="115">
        <f t="shared" ca="1" si="451"/>
        <v>0</v>
      </c>
      <c r="BR137" s="174" t="s">
        <v>738</v>
      </c>
      <c r="BS137" s="175">
        <v>0.3</v>
      </c>
      <c r="BT137" s="174" t="s">
        <v>211</v>
      </c>
      <c r="BU137" s="174" t="s">
        <v>210</v>
      </c>
      <c r="BV137" s="113">
        <v>0</v>
      </c>
      <c r="BW137" s="113">
        <v>0</v>
      </c>
      <c r="BX137" s="113">
        <v>0</v>
      </c>
      <c r="BY137" s="113">
        <v>0</v>
      </c>
      <c r="BZ137" s="113">
        <v>0</v>
      </c>
      <c r="CA137" s="113">
        <v>0</v>
      </c>
      <c r="CB137" s="113">
        <v>0</v>
      </c>
      <c r="CC137" s="113">
        <f t="shared" si="352"/>
        <v>0</v>
      </c>
      <c r="CD137" s="113"/>
      <c r="CE137" s="113"/>
      <c r="CF137" s="113"/>
      <c r="CG137" s="113"/>
      <c r="CH137" s="114">
        <f t="shared" si="380"/>
        <v>0</v>
      </c>
      <c r="CI137" s="114">
        <f t="shared" si="381"/>
        <v>0</v>
      </c>
      <c r="CJ137" s="120">
        <f t="shared" si="382"/>
        <v>0</v>
      </c>
      <c r="CK137" s="114">
        <f t="shared" si="383"/>
        <v>0</v>
      </c>
      <c r="CL137" s="114">
        <f t="shared" si="413"/>
        <v>0</v>
      </c>
      <c r="CM137" s="114">
        <f t="shared" si="384"/>
        <v>0</v>
      </c>
      <c r="CN137" s="114">
        <f t="shared" si="385"/>
        <v>0</v>
      </c>
      <c r="CO137" s="116">
        <f t="shared" si="386"/>
        <v>0</v>
      </c>
      <c r="CP137" s="126">
        <f t="shared" ca="1" si="387"/>
        <v>0</v>
      </c>
      <c r="CQ137" s="115">
        <f t="shared" ca="1" si="419"/>
        <v>0</v>
      </c>
      <c r="CR137" s="118" t="str">
        <f t="shared" si="414"/>
        <v>Uncapped</v>
      </c>
      <c r="CS137" s="115">
        <f t="shared" ca="1" si="420"/>
        <v>0</v>
      </c>
      <c r="CT137" s="113" t="s">
        <v>729</v>
      </c>
      <c r="CU137" s="119">
        <v>0.2</v>
      </c>
      <c r="CV137" s="113" t="s">
        <v>217</v>
      </c>
      <c r="CW137" s="113" t="s">
        <v>210</v>
      </c>
      <c r="CX137" s="113">
        <v>13631298.3753272</v>
      </c>
      <c r="CY137" s="113">
        <v>15463517.626933601</v>
      </c>
      <c r="CZ137" s="113">
        <v>15159650.061351301</v>
      </c>
      <c r="DA137" s="113">
        <v>16523055.704212198</v>
      </c>
      <c r="DB137" s="113">
        <v>13485327.436090879</v>
      </c>
      <c r="DC137" s="113">
        <v>13198691</v>
      </c>
      <c r="DD137" s="113">
        <v>13923765.347779993</v>
      </c>
      <c r="DE137" s="113"/>
      <c r="DF137" s="113"/>
      <c r="DG137" s="113"/>
      <c r="DH137" s="113"/>
      <c r="DI137" s="113"/>
      <c r="DJ137" s="114">
        <f t="shared" si="388"/>
        <v>13485327.436090879</v>
      </c>
      <c r="DK137" s="114">
        <f t="shared" si="389"/>
        <v>13198691</v>
      </c>
      <c r="DL137" s="114">
        <f t="shared" si="390"/>
        <v>13923765.347779993</v>
      </c>
      <c r="DM137" s="114">
        <f t="shared" si="391"/>
        <v>0</v>
      </c>
      <c r="DN137" s="114">
        <f t="shared" si="415"/>
        <v>40607783.783870876</v>
      </c>
      <c r="DO137" s="114">
        <f t="shared" si="392"/>
        <v>60777521.7678243</v>
      </c>
      <c r="DP137" s="114">
        <f t="shared" si="393"/>
        <v>60777521.7678243</v>
      </c>
      <c r="DQ137" s="116">
        <f t="shared" si="394"/>
        <v>0.66810000000000003</v>
      </c>
      <c r="DR137" s="126">
        <f t="shared" ca="1" si="421"/>
        <v>0</v>
      </c>
      <c r="DS137" s="115">
        <f t="shared" ca="1" si="422"/>
        <v>0</v>
      </c>
      <c r="DT137" s="118" t="str">
        <f t="shared" si="416"/>
        <v>Uncapped</v>
      </c>
      <c r="DU137" s="115">
        <f t="shared" ca="1" si="423"/>
        <v>0</v>
      </c>
      <c r="DV137" s="113"/>
      <c r="DW137" s="119">
        <v>0</v>
      </c>
      <c r="DX137" s="113"/>
      <c r="DY137" s="113"/>
      <c r="DZ137" s="113">
        <v>0</v>
      </c>
      <c r="EA137" s="113">
        <v>0</v>
      </c>
      <c r="EB137" s="113">
        <v>0</v>
      </c>
      <c r="EC137" s="113">
        <v>0</v>
      </c>
      <c r="ED137" s="113">
        <v>0</v>
      </c>
      <c r="EE137" s="113">
        <v>0</v>
      </c>
      <c r="EF137" s="113"/>
      <c r="EG137" s="113"/>
      <c r="EH137" s="113"/>
      <c r="EI137" s="113"/>
      <c r="EJ137" s="113"/>
      <c r="EK137" s="113"/>
      <c r="EL137" s="114">
        <f t="shared" si="395"/>
        <v>0</v>
      </c>
      <c r="EM137" s="114">
        <f t="shared" si="396"/>
        <v>0</v>
      </c>
      <c r="EN137" s="114">
        <f t="shared" si="397"/>
        <v>0</v>
      </c>
      <c r="EO137" s="114">
        <f t="shared" si="398"/>
        <v>0</v>
      </c>
      <c r="EP137" s="114">
        <f t="shared" si="417"/>
        <v>0</v>
      </c>
      <c r="EQ137" s="114">
        <f t="shared" si="399"/>
        <v>0</v>
      </c>
      <c r="ER137" s="114">
        <f t="shared" si="400"/>
        <v>0</v>
      </c>
      <c r="ES137" s="116">
        <f t="shared" si="401"/>
        <v>0</v>
      </c>
      <c r="ET137" s="126">
        <f t="shared" ca="1" si="402"/>
        <v>0</v>
      </c>
      <c r="EU137" s="115">
        <f t="shared" ca="1" si="424"/>
        <v>0</v>
      </c>
      <c r="EV137" s="118" t="str">
        <f t="shared" si="418"/>
        <v>Uncapped</v>
      </c>
      <c r="EW137" s="115">
        <f t="shared" ca="1" si="425"/>
        <v>0</v>
      </c>
      <c r="EX137" s="112">
        <f t="shared" ca="1" si="426"/>
        <v>0</v>
      </c>
      <c r="EY137" s="114">
        <f t="shared" ca="1" si="403"/>
        <v>0</v>
      </c>
      <c r="EZ137" s="115">
        <v>0</v>
      </c>
      <c r="FA137" s="115"/>
      <c r="FB137" s="115"/>
      <c r="FC137" s="115">
        <v>0</v>
      </c>
      <c r="FD137" s="115">
        <f t="shared" si="404"/>
        <v>0</v>
      </c>
      <c r="FE137" s="114">
        <f t="shared" si="405"/>
        <v>0</v>
      </c>
      <c r="FF137" s="115">
        <v>0</v>
      </c>
      <c r="FG137" s="115">
        <v>0</v>
      </c>
      <c r="FH137" s="115">
        <v>0</v>
      </c>
      <c r="FI137" s="115">
        <v>0</v>
      </c>
      <c r="FJ137" s="115">
        <f t="shared" si="406"/>
        <v>0</v>
      </c>
      <c r="FK137" s="114">
        <f t="shared" si="407"/>
        <v>0</v>
      </c>
      <c r="FL137" s="113"/>
      <c r="FM137" s="111"/>
      <c r="FN137" s="111"/>
      <c r="FO137" s="111"/>
      <c r="FP137" s="115">
        <f t="shared" si="443"/>
        <v>0</v>
      </c>
      <c r="FQ137" s="115"/>
      <c r="FR137" s="115"/>
      <c r="FS137" s="115"/>
      <c r="FT137" s="114">
        <f t="shared" si="435"/>
        <v>0</v>
      </c>
      <c r="FU137" s="366">
        <f t="shared" ca="1" si="436"/>
        <v>0</v>
      </c>
      <c r="FV137" s="121">
        <f t="shared" ca="1" si="437"/>
        <v>0</v>
      </c>
      <c r="FW137" s="114">
        <f t="shared" si="444"/>
        <v>0</v>
      </c>
      <c r="FX137" s="114">
        <f t="shared" si="444"/>
        <v>0</v>
      </c>
      <c r="FY137" s="114">
        <f t="shared" si="444"/>
        <v>0</v>
      </c>
      <c r="FZ137" s="114">
        <f t="shared" si="444"/>
        <v>0</v>
      </c>
      <c r="GA137" s="114">
        <f t="shared" si="372"/>
        <v>0</v>
      </c>
      <c r="GB137" s="114">
        <f t="shared" si="445"/>
        <v>0</v>
      </c>
      <c r="GC137" s="114">
        <f t="shared" si="445"/>
        <v>0</v>
      </c>
      <c r="GD137" s="114">
        <f t="shared" si="445"/>
        <v>0</v>
      </c>
      <c r="GE137" s="114">
        <f t="shared" si="445"/>
        <v>0</v>
      </c>
      <c r="GF137" s="114">
        <f t="shared" si="441"/>
        <v>0</v>
      </c>
      <c r="GG137" s="114">
        <f t="shared" si="441"/>
        <v>0</v>
      </c>
      <c r="GH137" s="114">
        <f t="shared" si="441"/>
        <v>0</v>
      </c>
      <c r="GI137" s="114">
        <f t="shared" si="441"/>
        <v>0</v>
      </c>
      <c r="GJ137" s="115">
        <f t="shared" si="408"/>
        <v>0</v>
      </c>
      <c r="GK137" s="114">
        <f t="shared" si="438"/>
        <v>0</v>
      </c>
      <c r="GL137" s="114">
        <f t="shared" si="427"/>
        <v>0</v>
      </c>
      <c r="GM137" s="114">
        <f t="shared" si="428"/>
        <v>0</v>
      </c>
      <c r="GN137" s="114">
        <f t="shared" si="429"/>
        <v>0</v>
      </c>
      <c r="GO137" s="114">
        <f t="shared" si="430"/>
        <v>0</v>
      </c>
      <c r="GP137" s="114">
        <f t="shared" si="409"/>
        <v>0</v>
      </c>
      <c r="GQ137" s="114">
        <f t="shared" si="439"/>
        <v>0</v>
      </c>
      <c r="GR137" s="193"/>
      <c r="GS137" s="122">
        <f t="shared" si="431"/>
        <v>48769615.172960863</v>
      </c>
      <c r="GT137" s="122">
        <f t="shared" si="432"/>
        <v>71782328.814805001</v>
      </c>
      <c r="GU137" s="123">
        <f t="shared" si="440"/>
        <v>0.67940976530288055</v>
      </c>
      <c r="GV137" s="124">
        <f t="shared" ca="1" si="433"/>
        <v>0</v>
      </c>
      <c r="GW137" s="124">
        <v>0</v>
      </c>
      <c r="GX137" s="32">
        <f t="shared" ca="1" si="434"/>
        <v>0</v>
      </c>
      <c r="GY137" s="100"/>
    </row>
    <row r="138" spans="3:207" s="408" customFormat="1" hidden="1">
      <c r="C138" s="402"/>
      <c r="D138" s="402"/>
      <c r="E138" s="403"/>
      <c r="F138" s="403" t="s">
        <v>720</v>
      </c>
      <c r="G138" s="403" t="s">
        <v>226</v>
      </c>
      <c r="H138" s="105" t="s">
        <v>571</v>
      </c>
      <c r="I138" s="403" t="s">
        <v>604</v>
      </c>
      <c r="J138" s="403" t="s">
        <v>615</v>
      </c>
      <c r="K138" s="403" t="s">
        <v>544</v>
      </c>
      <c r="L138" s="403"/>
      <c r="M138" s="403"/>
      <c r="N138" s="404"/>
      <c r="O138" s="108">
        <v>36843</v>
      </c>
      <c r="P138" s="108">
        <v>36843</v>
      </c>
      <c r="Q138" s="323">
        <f t="shared" si="410"/>
        <v>0</v>
      </c>
      <c r="R138" s="109">
        <f>IF((P138-VLOOKUP(Q138,month!$A$1:$C$13,3,0))&lt;0,Q138,Q138+1)</f>
        <v>0</v>
      </c>
      <c r="S138" s="108"/>
      <c r="T138" s="110" t="str">
        <f t="shared" si="442"/>
        <v/>
      </c>
      <c r="U138" s="404"/>
      <c r="V138" s="404"/>
      <c r="W138" s="405"/>
      <c r="X138" s="405"/>
      <c r="Y138" s="492"/>
      <c r="Z138" s="406" t="s">
        <v>545</v>
      </c>
      <c r="AA138" s="394">
        <v>1000</v>
      </c>
      <c r="AB138" s="394">
        <v>1000</v>
      </c>
      <c r="AC138" s="394">
        <v>1000</v>
      </c>
      <c r="AD138" s="394">
        <v>1000</v>
      </c>
      <c r="AE138" s="394">
        <v>1000</v>
      </c>
      <c r="AF138" s="394">
        <v>1000</v>
      </c>
      <c r="AG138" s="394">
        <v>1000</v>
      </c>
      <c r="AH138" s="394">
        <v>1000</v>
      </c>
      <c r="AI138" s="394">
        <v>1000</v>
      </c>
      <c r="AJ138" s="394">
        <v>1000</v>
      </c>
      <c r="AK138" s="394">
        <v>1000</v>
      </c>
      <c r="AL138" s="394">
        <v>1000</v>
      </c>
      <c r="AM138" s="388">
        <f t="shared" si="373"/>
        <v>12000</v>
      </c>
      <c r="AN138" s="388">
        <f t="shared" si="411"/>
        <v>12000</v>
      </c>
      <c r="AO138" s="389">
        <f t="shared" si="446"/>
        <v>1000</v>
      </c>
      <c r="AP138" s="502" t="s">
        <v>754</v>
      </c>
      <c r="AQ138" s="159">
        <v>0.5</v>
      </c>
      <c r="AR138" s="103" t="s">
        <v>211</v>
      </c>
      <c r="AS138" s="119" t="s">
        <v>210</v>
      </c>
      <c r="AT138" s="111">
        <v>3095762.967133414</v>
      </c>
      <c r="AU138" s="111">
        <v>3495217.8613749291</v>
      </c>
      <c r="AV138" s="111">
        <v>3494803.8642856767</v>
      </c>
      <c r="AW138" s="111">
        <v>4206957.2576272646</v>
      </c>
      <c r="AX138" s="113">
        <f>1406571.56+113070.6+33680</f>
        <v>1553322.1600000001</v>
      </c>
      <c r="AY138" s="113">
        <f>2717684.09+18642</f>
        <v>2736326.09</v>
      </c>
      <c r="AZ138" s="113">
        <f>2558443.39+40839</f>
        <v>2599282.39</v>
      </c>
      <c r="BA138" s="113"/>
      <c r="BB138" s="113"/>
      <c r="BC138" s="113"/>
      <c r="BD138" s="113"/>
      <c r="BE138" s="113"/>
      <c r="BF138" s="114">
        <f t="shared" si="374"/>
        <v>1553322.1600000001</v>
      </c>
      <c r="BG138" s="114">
        <f t="shared" si="375"/>
        <v>2736326.09</v>
      </c>
      <c r="BH138" s="114">
        <f t="shared" si="376"/>
        <v>2599282.39</v>
      </c>
      <c r="BI138" s="114">
        <f t="shared" si="377"/>
        <v>0</v>
      </c>
      <c r="BJ138" s="114">
        <f t="shared" si="412"/>
        <v>6888930.6400000006</v>
      </c>
      <c r="BK138" s="115">
        <f t="shared" si="447"/>
        <v>14292741.950421285</v>
      </c>
      <c r="BL138" s="115">
        <f t="shared" si="378"/>
        <v>14292741.950421285</v>
      </c>
      <c r="BM138" s="116">
        <f t="shared" si="379"/>
        <v>0.48199999999999998</v>
      </c>
      <c r="BN138" s="126">
        <f t="shared" ca="1" si="448"/>
        <v>0</v>
      </c>
      <c r="BO138" s="117">
        <f t="shared" ca="1" si="449"/>
        <v>0</v>
      </c>
      <c r="BP138" s="118" t="str">
        <f t="shared" si="450"/>
        <v>Uncapped</v>
      </c>
      <c r="BQ138" s="115">
        <f t="shared" ca="1" si="451"/>
        <v>0</v>
      </c>
      <c r="BR138" s="174" t="s">
        <v>741</v>
      </c>
      <c r="BS138" s="175">
        <v>0.3</v>
      </c>
      <c r="BT138" s="174" t="s">
        <v>211</v>
      </c>
      <c r="BU138" s="174" t="s">
        <v>210</v>
      </c>
      <c r="BV138" s="113">
        <v>7660213.0106267072</v>
      </c>
      <c r="BW138" s="113">
        <v>9018493.9927070495</v>
      </c>
      <c r="BX138" s="113">
        <v>8796147.5207522418</v>
      </c>
      <c r="BY138" s="113">
        <v>8692302.8088380583</v>
      </c>
      <c r="BZ138" s="113">
        <v>7834656.9941839725</v>
      </c>
      <c r="CA138" s="113">
        <v>8567846</v>
      </c>
      <c r="CB138" s="113">
        <v>8476727.1855899971</v>
      </c>
      <c r="CC138" s="113">
        <f t="shared" si="352"/>
        <v>8692302.8088380583</v>
      </c>
      <c r="CD138" s="113"/>
      <c r="CE138" s="113"/>
      <c r="CF138" s="113"/>
      <c r="CG138" s="113"/>
      <c r="CH138" s="114">
        <f t="shared" si="380"/>
        <v>7834656.9941839725</v>
      </c>
      <c r="CI138" s="114">
        <f t="shared" si="381"/>
        <v>8567846</v>
      </c>
      <c r="CJ138" s="120">
        <f t="shared" si="382"/>
        <v>8476727.1855899971</v>
      </c>
      <c r="CK138" s="114">
        <f t="shared" si="383"/>
        <v>8692302.8088380583</v>
      </c>
      <c r="CL138" s="114">
        <f t="shared" si="413"/>
        <v>33571532.988612026</v>
      </c>
      <c r="CM138" s="114">
        <f t="shared" si="384"/>
        <v>34167157.332924053</v>
      </c>
      <c r="CN138" s="114">
        <f t="shared" si="385"/>
        <v>34167157.332924053</v>
      </c>
      <c r="CO138" s="116">
        <f t="shared" si="386"/>
        <v>0.98260000000000003</v>
      </c>
      <c r="CP138" s="126">
        <f t="shared" ca="1" si="387"/>
        <v>0</v>
      </c>
      <c r="CQ138" s="115">
        <f t="shared" ca="1" si="419"/>
        <v>0</v>
      </c>
      <c r="CR138" s="118" t="str">
        <f t="shared" si="414"/>
        <v>Uncapped</v>
      </c>
      <c r="CS138" s="115">
        <f t="shared" ca="1" si="420"/>
        <v>0</v>
      </c>
      <c r="CT138" s="113" t="s">
        <v>696</v>
      </c>
      <c r="CU138" s="119">
        <v>0.2</v>
      </c>
      <c r="CV138" s="113" t="s">
        <v>217</v>
      </c>
      <c r="CW138" s="113" t="s">
        <v>210</v>
      </c>
      <c r="CX138" s="113">
        <v>61881722.047854595</v>
      </c>
      <c r="CY138" s="113">
        <v>72180793.063260496</v>
      </c>
      <c r="CZ138" s="113">
        <v>69179032.514420599</v>
      </c>
      <c r="DA138" s="113">
        <v>76323964.015026003</v>
      </c>
      <c r="DB138" s="113">
        <v>63657388.730680585</v>
      </c>
      <c r="DC138" s="113">
        <v>65995192.891159974</v>
      </c>
      <c r="DD138" s="113">
        <v>66410604.684560001</v>
      </c>
      <c r="DE138" s="113"/>
      <c r="DF138" s="113"/>
      <c r="DG138" s="113"/>
      <c r="DH138" s="113"/>
      <c r="DI138" s="113"/>
      <c r="DJ138" s="114">
        <f t="shared" si="388"/>
        <v>63657388.730680585</v>
      </c>
      <c r="DK138" s="114">
        <f t="shared" si="389"/>
        <v>65995192.891159974</v>
      </c>
      <c r="DL138" s="114">
        <f t="shared" si="390"/>
        <v>66410604.684560001</v>
      </c>
      <c r="DM138" s="114">
        <f t="shared" si="391"/>
        <v>0</v>
      </c>
      <c r="DN138" s="114">
        <f t="shared" si="415"/>
        <v>196063186.30640057</v>
      </c>
      <c r="DO138" s="114">
        <f t="shared" si="392"/>
        <v>279565511.6405617</v>
      </c>
      <c r="DP138" s="114">
        <f t="shared" si="393"/>
        <v>279565511.6405617</v>
      </c>
      <c r="DQ138" s="116">
        <f t="shared" si="394"/>
        <v>0.70130000000000003</v>
      </c>
      <c r="DR138" s="126">
        <f t="shared" ca="1" si="421"/>
        <v>0</v>
      </c>
      <c r="DS138" s="115">
        <f t="shared" ca="1" si="422"/>
        <v>0</v>
      </c>
      <c r="DT138" s="118" t="str">
        <f t="shared" si="416"/>
        <v>Uncapped</v>
      </c>
      <c r="DU138" s="115">
        <f t="shared" ca="1" si="423"/>
        <v>0</v>
      </c>
      <c r="DV138" s="113"/>
      <c r="DW138" s="119">
        <v>0</v>
      </c>
      <c r="DX138" s="113"/>
      <c r="DY138" s="113"/>
      <c r="DZ138" s="113">
        <v>0</v>
      </c>
      <c r="EA138" s="113">
        <v>0</v>
      </c>
      <c r="EB138" s="113">
        <v>0</v>
      </c>
      <c r="EC138" s="113">
        <v>0</v>
      </c>
      <c r="ED138" s="113">
        <v>0</v>
      </c>
      <c r="EE138" s="113">
        <v>0</v>
      </c>
      <c r="EF138" s="113"/>
      <c r="EG138" s="113"/>
      <c r="EH138" s="113"/>
      <c r="EI138" s="113"/>
      <c r="EJ138" s="113"/>
      <c r="EK138" s="113"/>
      <c r="EL138" s="114">
        <f t="shared" si="395"/>
        <v>0</v>
      </c>
      <c r="EM138" s="114">
        <f t="shared" si="396"/>
        <v>0</v>
      </c>
      <c r="EN138" s="114">
        <f t="shared" si="397"/>
        <v>0</v>
      </c>
      <c r="EO138" s="114">
        <f t="shared" si="398"/>
        <v>0</v>
      </c>
      <c r="EP138" s="114">
        <f t="shared" si="417"/>
        <v>0</v>
      </c>
      <c r="EQ138" s="114">
        <f t="shared" si="399"/>
        <v>0</v>
      </c>
      <c r="ER138" s="114">
        <f t="shared" si="400"/>
        <v>0</v>
      </c>
      <c r="ES138" s="116">
        <f t="shared" si="401"/>
        <v>0</v>
      </c>
      <c r="ET138" s="126">
        <f t="shared" ca="1" si="402"/>
        <v>0</v>
      </c>
      <c r="EU138" s="115">
        <f t="shared" ca="1" si="424"/>
        <v>0</v>
      </c>
      <c r="EV138" s="118" t="str">
        <f t="shared" si="418"/>
        <v>Uncapped</v>
      </c>
      <c r="EW138" s="115">
        <f t="shared" ca="1" si="425"/>
        <v>0</v>
      </c>
      <c r="EX138" s="112">
        <f t="shared" ca="1" si="426"/>
        <v>0</v>
      </c>
      <c r="EY138" s="114">
        <f t="shared" ca="1" si="403"/>
        <v>0</v>
      </c>
      <c r="EZ138" s="115">
        <v>0</v>
      </c>
      <c r="FA138" s="115"/>
      <c r="FB138" s="115"/>
      <c r="FC138" s="115">
        <v>0</v>
      </c>
      <c r="FD138" s="115">
        <f t="shared" si="404"/>
        <v>0</v>
      </c>
      <c r="FE138" s="114">
        <f t="shared" si="405"/>
        <v>0</v>
      </c>
      <c r="FF138" s="115">
        <v>0</v>
      </c>
      <c r="FG138" s="115">
        <v>0</v>
      </c>
      <c r="FH138" s="115">
        <v>0</v>
      </c>
      <c r="FI138" s="115">
        <v>0</v>
      </c>
      <c r="FJ138" s="115">
        <f t="shared" si="406"/>
        <v>0</v>
      </c>
      <c r="FK138" s="114">
        <f t="shared" si="407"/>
        <v>0</v>
      </c>
      <c r="FL138" s="113"/>
      <c r="FM138" s="111"/>
      <c r="FN138" s="111"/>
      <c r="FO138" s="111"/>
      <c r="FP138" s="115">
        <f t="shared" si="443"/>
        <v>0</v>
      </c>
      <c r="FQ138" s="115"/>
      <c r="FR138" s="115"/>
      <c r="FS138" s="115"/>
      <c r="FT138" s="114">
        <f t="shared" si="435"/>
        <v>0</v>
      </c>
      <c r="FU138" s="366">
        <f t="shared" ca="1" si="436"/>
        <v>0</v>
      </c>
      <c r="FV138" s="121">
        <f t="shared" ca="1" si="437"/>
        <v>0</v>
      </c>
      <c r="FW138" s="114">
        <f t="shared" si="444"/>
        <v>0</v>
      </c>
      <c r="FX138" s="114">
        <f t="shared" si="444"/>
        <v>0</v>
      </c>
      <c r="FY138" s="114">
        <f t="shared" si="444"/>
        <v>0</v>
      </c>
      <c r="FZ138" s="114">
        <f t="shared" si="444"/>
        <v>0</v>
      </c>
      <c r="GA138" s="114">
        <f t="shared" si="372"/>
        <v>0</v>
      </c>
      <c r="GB138" s="114">
        <f t="shared" si="445"/>
        <v>0</v>
      </c>
      <c r="GC138" s="114">
        <f t="shared" si="445"/>
        <v>0</v>
      </c>
      <c r="GD138" s="114">
        <f t="shared" si="445"/>
        <v>0</v>
      </c>
      <c r="GE138" s="114">
        <f t="shared" si="445"/>
        <v>0</v>
      </c>
      <c r="GF138" s="114">
        <f t="shared" si="441"/>
        <v>0</v>
      </c>
      <c r="GG138" s="114">
        <f t="shared" si="441"/>
        <v>0</v>
      </c>
      <c r="GH138" s="114">
        <f t="shared" si="441"/>
        <v>0</v>
      </c>
      <c r="GI138" s="114">
        <f t="shared" si="441"/>
        <v>0</v>
      </c>
      <c r="GJ138" s="115">
        <f t="shared" si="408"/>
        <v>0</v>
      </c>
      <c r="GK138" s="114">
        <f t="shared" si="438"/>
        <v>0</v>
      </c>
      <c r="GL138" s="114">
        <f t="shared" si="427"/>
        <v>0</v>
      </c>
      <c r="GM138" s="114">
        <f t="shared" si="428"/>
        <v>0</v>
      </c>
      <c r="GN138" s="114">
        <f t="shared" si="429"/>
        <v>0</v>
      </c>
      <c r="GO138" s="114">
        <f t="shared" si="430"/>
        <v>0</v>
      </c>
      <c r="GP138" s="114">
        <f t="shared" si="409"/>
        <v>0</v>
      </c>
      <c r="GQ138" s="114">
        <f t="shared" si="439"/>
        <v>0</v>
      </c>
      <c r="GR138" s="193"/>
      <c r="GS138" s="122">
        <f t="shared" si="431"/>
        <v>236523649.93501258</v>
      </c>
      <c r="GT138" s="122">
        <f t="shared" si="432"/>
        <v>328025410.92390704</v>
      </c>
      <c r="GU138" s="123">
        <f t="shared" si="440"/>
        <v>0.72105282718441477</v>
      </c>
      <c r="GV138" s="124">
        <f t="shared" ca="1" si="433"/>
        <v>0</v>
      </c>
      <c r="GW138" s="124">
        <v>0</v>
      </c>
      <c r="GX138" s="32">
        <f t="shared" ca="1" si="434"/>
        <v>0</v>
      </c>
      <c r="GY138" s="100"/>
    </row>
    <row r="139" spans="3:207" s="408" customFormat="1" hidden="1">
      <c r="C139" s="402"/>
      <c r="D139" s="402"/>
      <c r="E139" s="403"/>
      <c r="F139" s="403" t="s">
        <v>720</v>
      </c>
      <c r="G139" s="403" t="s">
        <v>226</v>
      </c>
      <c r="H139" s="105" t="s">
        <v>572</v>
      </c>
      <c r="I139" s="403" t="s">
        <v>605</v>
      </c>
      <c r="J139" s="403" t="s">
        <v>207</v>
      </c>
      <c r="K139" s="403" t="s">
        <v>544</v>
      </c>
      <c r="L139" s="403"/>
      <c r="M139" s="403"/>
      <c r="N139" s="404"/>
      <c r="O139" s="108">
        <v>39022</v>
      </c>
      <c r="P139" s="108">
        <v>39022</v>
      </c>
      <c r="Q139" s="323">
        <f t="shared" si="410"/>
        <v>0</v>
      </c>
      <c r="R139" s="109">
        <f>IF((P139-VLOOKUP(Q139,month!$A$1:$C$13,3,0))&lt;0,Q139,Q139+1)</f>
        <v>0</v>
      </c>
      <c r="S139" s="108"/>
      <c r="T139" s="110" t="str">
        <f t="shared" si="442"/>
        <v/>
      </c>
      <c r="U139" s="404"/>
      <c r="V139" s="404"/>
      <c r="W139" s="405"/>
      <c r="X139" s="405"/>
      <c r="Y139" s="492"/>
      <c r="Z139" s="406" t="s">
        <v>545</v>
      </c>
      <c r="AA139" s="394">
        <v>1000</v>
      </c>
      <c r="AB139" s="394">
        <v>1000</v>
      </c>
      <c r="AC139" s="394">
        <v>1000</v>
      </c>
      <c r="AD139" s="394">
        <v>1000</v>
      </c>
      <c r="AE139" s="394">
        <v>1000</v>
      </c>
      <c r="AF139" s="394">
        <v>1000</v>
      </c>
      <c r="AG139" s="394">
        <v>1000</v>
      </c>
      <c r="AH139" s="394">
        <v>1000</v>
      </c>
      <c r="AI139" s="394">
        <v>1000</v>
      </c>
      <c r="AJ139" s="394">
        <v>1000</v>
      </c>
      <c r="AK139" s="394">
        <v>1000</v>
      </c>
      <c r="AL139" s="394">
        <v>1000</v>
      </c>
      <c r="AM139" s="388">
        <f t="shared" si="373"/>
        <v>12000</v>
      </c>
      <c r="AN139" s="388">
        <f t="shared" si="411"/>
        <v>12000</v>
      </c>
      <c r="AO139" s="389">
        <f t="shared" si="446"/>
        <v>1000</v>
      </c>
      <c r="AP139" s="502" t="s">
        <v>755</v>
      </c>
      <c r="AQ139" s="159">
        <v>0.5</v>
      </c>
      <c r="AR139" s="103" t="s">
        <v>211</v>
      </c>
      <c r="AS139" s="119" t="s">
        <v>210</v>
      </c>
      <c r="AT139" s="111">
        <v>7660213.0106267072</v>
      </c>
      <c r="AU139" s="111">
        <v>9018493.9927070495</v>
      </c>
      <c r="AV139" s="111">
        <v>8796147.5207522418</v>
      </c>
      <c r="AW139" s="111">
        <v>8692302.8088380583</v>
      </c>
      <c r="AX139" s="113">
        <v>8011482.2230399977</v>
      </c>
      <c r="AY139" s="113">
        <v>8567846</v>
      </c>
      <c r="AZ139" s="113">
        <v>8476727.1855899971</v>
      </c>
      <c r="BA139" s="113"/>
      <c r="BB139" s="113"/>
      <c r="BC139" s="113"/>
      <c r="BD139" s="113"/>
      <c r="BE139" s="113"/>
      <c r="BF139" s="114">
        <f t="shared" si="374"/>
        <v>8011482.2230399977</v>
      </c>
      <c r="BG139" s="114">
        <f t="shared" si="375"/>
        <v>8567846</v>
      </c>
      <c r="BH139" s="114">
        <f t="shared" si="376"/>
        <v>8476727.1855899971</v>
      </c>
      <c r="BI139" s="114">
        <f t="shared" si="377"/>
        <v>0</v>
      </c>
      <c r="BJ139" s="114">
        <f t="shared" si="412"/>
        <v>25056055.408629995</v>
      </c>
      <c r="BK139" s="115">
        <f t="shared" si="447"/>
        <v>34167157.332924053</v>
      </c>
      <c r="BL139" s="115">
        <f t="shared" si="378"/>
        <v>34167157.332924053</v>
      </c>
      <c r="BM139" s="116">
        <f t="shared" si="379"/>
        <v>0.73329999999999995</v>
      </c>
      <c r="BN139" s="126">
        <f t="shared" ca="1" si="448"/>
        <v>0</v>
      </c>
      <c r="BO139" s="117">
        <f t="shared" ca="1" si="449"/>
        <v>0</v>
      </c>
      <c r="BP139" s="118" t="str">
        <f t="shared" si="450"/>
        <v>Uncapped</v>
      </c>
      <c r="BQ139" s="115">
        <f t="shared" ca="1" si="451"/>
        <v>0</v>
      </c>
      <c r="BR139" s="174" t="s">
        <v>738</v>
      </c>
      <c r="BS139" s="175">
        <v>0.3</v>
      </c>
      <c r="BT139" s="174" t="s">
        <v>211</v>
      </c>
      <c r="BU139" s="174" t="s">
        <v>210</v>
      </c>
      <c r="BV139" s="113">
        <v>0</v>
      </c>
      <c r="BW139" s="113">
        <v>0</v>
      </c>
      <c r="BX139" s="113">
        <v>0</v>
      </c>
      <c r="BY139" s="113">
        <v>0</v>
      </c>
      <c r="BZ139" s="113">
        <v>0</v>
      </c>
      <c r="CA139" s="113">
        <v>0</v>
      </c>
      <c r="CB139" s="113">
        <v>0</v>
      </c>
      <c r="CC139" s="113">
        <f t="shared" si="352"/>
        <v>0</v>
      </c>
      <c r="CD139" s="113"/>
      <c r="CE139" s="113"/>
      <c r="CF139" s="113"/>
      <c r="CG139" s="113"/>
      <c r="CH139" s="114">
        <f t="shared" si="380"/>
        <v>0</v>
      </c>
      <c r="CI139" s="114">
        <f t="shared" si="381"/>
        <v>0</v>
      </c>
      <c r="CJ139" s="120">
        <f t="shared" si="382"/>
        <v>0</v>
      </c>
      <c r="CK139" s="114">
        <f t="shared" si="383"/>
        <v>0</v>
      </c>
      <c r="CL139" s="114">
        <f t="shared" si="413"/>
        <v>0</v>
      </c>
      <c r="CM139" s="114">
        <f t="shared" si="384"/>
        <v>0</v>
      </c>
      <c r="CN139" s="114">
        <f t="shared" si="385"/>
        <v>0</v>
      </c>
      <c r="CO139" s="116">
        <f t="shared" si="386"/>
        <v>0</v>
      </c>
      <c r="CP139" s="126">
        <f t="shared" ca="1" si="387"/>
        <v>0</v>
      </c>
      <c r="CQ139" s="115">
        <f t="shared" ca="1" si="419"/>
        <v>0</v>
      </c>
      <c r="CR139" s="118" t="str">
        <f t="shared" si="414"/>
        <v>Uncapped</v>
      </c>
      <c r="CS139" s="115">
        <f t="shared" ca="1" si="420"/>
        <v>0</v>
      </c>
      <c r="CT139" s="113" t="s">
        <v>729</v>
      </c>
      <c r="CU139" s="119">
        <v>0.2</v>
      </c>
      <c r="CV139" s="113" t="s">
        <v>217</v>
      </c>
      <c r="CW139" s="113" t="s">
        <v>210</v>
      </c>
      <c r="CX139" s="113">
        <v>13631298.3753272</v>
      </c>
      <c r="CY139" s="113">
        <v>15463517.626933601</v>
      </c>
      <c r="CZ139" s="113">
        <v>15159650.061351301</v>
      </c>
      <c r="DA139" s="113">
        <v>16523055.704212198</v>
      </c>
      <c r="DB139" s="113">
        <v>13485327.436090879</v>
      </c>
      <c r="DC139" s="113">
        <v>13198691</v>
      </c>
      <c r="DD139" s="113">
        <v>13923765.347779993</v>
      </c>
      <c r="DE139" s="113"/>
      <c r="DF139" s="113"/>
      <c r="DG139" s="113"/>
      <c r="DH139" s="113"/>
      <c r="DI139" s="113"/>
      <c r="DJ139" s="114">
        <f t="shared" si="388"/>
        <v>13485327.436090879</v>
      </c>
      <c r="DK139" s="114">
        <f t="shared" si="389"/>
        <v>13198691</v>
      </c>
      <c r="DL139" s="114">
        <f t="shared" si="390"/>
        <v>13923765.347779993</v>
      </c>
      <c r="DM139" s="114">
        <f t="shared" si="391"/>
        <v>0</v>
      </c>
      <c r="DN139" s="114">
        <f t="shared" si="415"/>
        <v>40607783.783870876</v>
      </c>
      <c r="DO139" s="114">
        <f t="shared" si="392"/>
        <v>60777521.7678243</v>
      </c>
      <c r="DP139" s="114">
        <f t="shared" si="393"/>
        <v>60777521.7678243</v>
      </c>
      <c r="DQ139" s="116">
        <f t="shared" si="394"/>
        <v>0.66810000000000003</v>
      </c>
      <c r="DR139" s="126">
        <f t="shared" ca="1" si="421"/>
        <v>0</v>
      </c>
      <c r="DS139" s="115">
        <f t="shared" ca="1" si="422"/>
        <v>0</v>
      </c>
      <c r="DT139" s="118" t="str">
        <f t="shared" si="416"/>
        <v>Uncapped</v>
      </c>
      <c r="DU139" s="115">
        <f t="shared" ca="1" si="423"/>
        <v>0</v>
      </c>
      <c r="DV139" s="113"/>
      <c r="DW139" s="119">
        <v>0</v>
      </c>
      <c r="DX139" s="113"/>
      <c r="DY139" s="113"/>
      <c r="DZ139" s="113">
        <v>0</v>
      </c>
      <c r="EA139" s="113">
        <v>0</v>
      </c>
      <c r="EB139" s="113">
        <v>0</v>
      </c>
      <c r="EC139" s="113">
        <v>0</v>
      </c>
      <c r="ED139" s="113">
        <v>0</v>
      </c>
      <c r="EE139" s="113">
        <v>0</v>
      </c>
      <c r="EF139" s="113"/>
      <c r="EG139" s="113"/>
      <c r="EH139" s="113"/>
      <c r="EI139" s="113"/>
      <c r="EJ139" s="113"/>
      <c r="EK139" s="113"/>
      <c r="EL139" s="114">
        <f t="shared" si="395"/>
        <v>0</v>
      </c>
      <c r="EM139" s="114">
        <f t="shared" si="396"/>
        <v>0</v>
      </c>
      <c r="EN139" s="114">
        <f t="shared" si="397"/>
        <v>0</v>
      </c>
      <c r="EO139" s="114">
        <f t="shared" si="398"/>
        <v>0</v>
      </c>
      <c r="EP139" s="114">
        <f t="shared" si="417"/>
        <v>0</v>
      </c>
      <c r="EQ139" s="114">
        <f t="shared" si="399"/>
        <v>0</v>
      </c>
      <c r="ER139" s="114">
        <f t="shared" si="400"/>
        <v>0</v>
      </c>
      <c r="ES139" s="116">
        <f t="shared" si="401"/>
        <v>0</v>
      </c>
      <c r="ET139" s="126">
        <f t="shared" ca="1" si="402"/>
        <v>0</v>
      </c>
      <c r="EU139" s="115">
        <f t="shared" ca="1" si="424"/>
        <v>0</v>
      </c>
      <c r="EV139" s="118" t="str">
        <f t="shared" si="418"/>
        <v>Uncapped</v>
      </c>
      <c r="EW139" s="115">
        <f t="shared" ca="1" si="425"/>
        <v>0</v>
      </c>
      <c r="EX139" s="112">
        <f t="shared" ca="1" si="426"/>
        <v>0</v>
      </c>
      <c r="EY139" s="114">
        <f t="shared" ca="1" si="403"/>
        <v>0</v>
      </c>
      <c r="EZ139" s="115">
        <v>0</v>
      </c>
      <c r="FA139" s="115"/>
      <c r="FB139" s="115"/>
      <c r="FC139" s="115">
        <v>0</v>
      </c>
      <c r="FD139" s="115">
        <f t="shared" si="404"/>
        <v>0</v>
      </c>
      <c r="FE139" s="114">
        <f t="shared" si="405"/>
        <v>0</v>
      </c>
      <c r="FF139" s="115">
        <v>0</v>
      </c>
      <c r="FG139" s="115">
        <v>0</v>
      </c>
      <c r="FH139" s="115">
        <v>0</v>
      </c>
      <c r="FI139" s="115">
        <v>0</v>
      </c>
      <c r="FJ139" s="115">
        <f t="shared" si="406"/>
        <v>0</v>
      </c>
      <c r="FK139" s="114">
        <f t="shared" si="407"/>
        <v>0</v>
      </c>
      <c r="FL139" s="113"/>
      <c r="FM139" s="111"/>
      <c r="FN139" s="111"/>
      <c r="FO139" s="111"/>
      <c r="FP139" s="115">
        <f t="shared" si="443"/>
        <v>0</v>
      </c>
      <c r="FQ139" s="115"/>
      <c r="FR139" s="115"/>
      <c r="FS139" s="115"/>
      <c r="FT139" s="114">
        <f t="shared" si="435"/>
        <v>0</v>
      </c>
      <c r="FU139" s="366">
        <f t="shared" ca="1" si="436"/>
        <v>0</v>
      </c>
      <c r="FV139" s="121">
        <f t="shared" ca="1" si="437"/>
        <v>0</v>
      </c>
      <c r="FW139" s="114">
        <f t="shared" si="444"/>
        <v>0</v>
      </c>
      <c r="FX139" s="114">
        <f t="shared" si="444"/>
        <v>0</v>
      </c>
      <c r="FY139" s="114">
        <f t="shared" si="444"/>
        <v>0</v>
      </c>
      <c r="FZ139" s="114">
        <f t="shared" si="444"/>
        <v>0</v>
      </c>
      <c r="GA139" s="114">
        <f t="shared" si="372"/>
        <v>0</v>
      </c>
      <c r="GB139" s="114">
        <f t="shared" si="445"/>
        <v>0</v>
      </c>
      <c r="GC139" s="114">
        <f t="shared" si="445"/>
        <v>0</v>
      </c>
      <c r="GD139" s="114">
        <f t="shared" si="445"/>
        <v>0</v>
      </c>
      <c r="GE139" s="114">
        <f t="shared" si="445"/>
        <v>0</v>
      </c>
      <c r="GF139" s="114">
        <f t="shared" si="441"/>
        <v>0</v>
      </c>
      <c r="GG139" s="114">
        <f t="shared" si="441"/>
        <v>0</v>
      </c>
      <c r="GH139" s="114">
        <f t="shared" si="441"/>
        <v>0</v>
      </c>
      <c r="GI139" s="114">
        <f t="shared" si="441"/>
        <v>0</v>
      </c>
      <c r="GJ139" s="115">
        <f t="shared" si="408"/>
        <v>0</v>
      </c>
      <c r="GK139" s="114">
        <f t="shared" si="438"/>
        <v>0</v>
      </c>
      <c r="GL139" s="114">
        <f t="shared" si="427"/>
        <v>0</v>
      </c>
      <c r="GM139" s="114">
        <f t="shared" si="428"/>
        <v>0</v>
      </c>
      <c r="GN139" s="114">
        <f t="shared" si="429"/>
        <v>0</v>
      </c>
      <c r="GO139" s="114">
        <f t="shared" si="430"/>
        <v>0</v>
      </c>
      <c r="GP139" s="114">
        <f t="shared" si="409"/>
        <v>0</v>
      </c>
      <c r="GQ139" s="114">
        <f t="shared" si="439"/>
        <v>0</v>
      </c>
      <c r="GR139" s="193"/>
      <c r="GS139" s="122">
        <f t="shared" si="431"/>
        <v>65663839.192500874</v>
      </c>
      <c r="GT139" s="122">
        <f t="shared" si="432"/>
        <v>94944679.10074836</v>
      </c>
      <c r="GU139" s="123">
        <f t="shared" si="440"/>
        <v>0.69160104404400802</v>
      </c>
      <c r="GV139" s="124">
        <f t="shared" ca="1" si="433"/>
        <v>0</v>
      </c>
      <c r="GW139" s="124">
        <v>0</v>
      </c>
      <c r="GX139" s="32">
        <f t="shared" ca="1" si="434"/>
        <v>0</v>
      </c>
      <c r="GY139" s="100"/>
    </row>
    <row r="140" spans="3:207" s="408" customFormat="1" hidden="1">
      <c r="C140" s="402"/>
      <c r="D140" s="402"/>
      <c r="E140" s="403"/>
      <c r="F140" s="403" t="s">
        <v>720</v>
      </c>
      <c r="G140" s="403" t="s">
        <v>226</v>
      </c>
      <c r="H140" s="105" t="s">
        <v>573</v>
      </c>
      <c r="I140" s="403" t="s">
        <v>606</v>
      </c>
      <c r="J140" s="403" t="s">
        <v>207</v>
      </c>
      <c r="K140" s="403" t="s">
        <v>544</v>
      </c>
      <c r="L140" s="403"/>
      <c r="M140" s="403"/>
      <c r="N140" s="404"/>
      <c r="O140" s="108">
        <v>39153</v>
      </c>
      <c r="P140" s="108">
        <v>39153</v>
      </c>
      <c r="Q140" s="323">
        <f t="shared" si="410"/>
        <v>0</v>
      </c>
      <c r="R140" s="109">
        <f>IF((P140-VLOOKUP(Q140,month!$A$1:$C$13,3,0))&lt;0,Q140,Q140+1)</f>
        <v>0</v>
      </c>
      <c r="S140" s="108"/>
      <c r="T140" s="110" t="str">
        <f t="shared" si="442"/>
        <v/>
      </c>
      <c r="U140" s="404"/>
      <c r="V140" s="404"/>
      <c r="W140" s="405"/>
      <c r="X140" s="405"/>
      <c r="Y140" s="492"/>
      <c r="Z140" s="406" t="s">
        <v>545</v>
      </c>
      <c r="AA140" s="394">
        <v>1000</v>
      </c>
      <c r="AB140" s="394">
        <v>1000</v>
      </c>
      <c r="AC140" s="394">
        <v>1000</v>
      </c>
      <c r="AD140" s="394">
        <v>1000</v>
      </c>
      <c r="AE140" s="394">
        <v>1000</v>
      </c>
      <c r="AF140" s="394">
        <v>1000</v>
      </c>
      <c r="AG140" s="394">
        <v>1000</v>
      </c>
      <c r="AH140" s="394">
        <v>1000</v>
      </c>
      <c r="AI140" s="394">
        <v>1000</v>
      </c>
      <c r="AJ140" s="394">
        <v>1000</v>
      </c>
      <c r="AK140" s="394">
        <v>1000</v>
      </c>
      <c r="AL140" s="394">
        <v>1000</v>
      </c>
      <c r="AM140" s="388">
        <f t="shared" si="373"/>
        <v>12000</v>
      </c>
      <c r="AN140" s="388">
        <f t="shared" si="411"/>
        <v>12000</v>
      </c>
      <c r="AO140" s="389">
        <f t="shared" si="446"/>
        <v>1000</v>
      </c>
      <c r="AP140" s="502" t="s">
        <v>754</v>
      </c>
      <c r="AQ140" s="159">
        <v>0.5</v>
      </c>
      <c r="AR140" s="103" t="s">
        <v>211</v>
      </c>
      <c r="AS140" s="119" t="s">
        <v>210</v>
      </c>
      <c r="AT140" s="111">
        <v>3095762.967133414</v>
      </c>
      <c r="AU140" s="111">
        <v>3495217.8613749291</v>
      </c>
      <c r="AV140" s="111">
        <v>3494803.8642856767</v>
      </c>
      <c r="AW140" s="111">
        <v>4206957.2576272646</v>
      </c>
      <c r="AX140" s="113">
        <f>1406571.56+113070.6+33680</f>
        <v>1553322.1600000001</v>
      </c>
      <c r="AY140" s="113">
        <f>2717684.09+18642</f>
        <v>2736326.09</v>
      </c>
      <c r="AZ140" s="113">
        <f>2558443.39+40839</f>
        <v>2599282.39</v>
      </c>
      <c r="BA140" s="113"/>
      <c r="BB140" s="113"/>
      <c r="BC140" s="113"/>
      <c r="BD140" s="113"/>
      <c r="BE140" s="113"/>
      <c r="BF140" s="114">
        <f t="shared" si="374"/>
        <v>1553322.1600000001</v>
      </c>
      <c r="BG140" s="114">
        <f t="shared" si="375"/>
        <v>2736326.09</v>
      </c>
      <c r="BH140" s="114">
        <f t="shared" si="376"/>
        <v>2599282.39</v>
      </c>
      <c r="BI140" s="114">
        <f t="shared" si="377"/>
        <v>0</v>
      </c>
      <c r="BJ140" s="114">
        <f t="shared" si="412"/>
        <v>6888930.6400000006</v>
      </c>
      <c r="BK140" s="115">
        <f t="shared" si="447"/>
        <v>14292741.950421285</v>
      </c>
      <c r="BL140" s="115">
        <f t="shared" si="378"/>
        <v>14292741.950421285</v>
      </c>
      <c r="BM140" s="116">
        <f t="shared" si="379"/>
        <v>0.48199999999999998</v>
      </c>
      <c r="BN140" s="126">
        <f t="shared" ca="1" si="448"/>
        <v>0</v>
      </c>
      <c r="BO140" s="117">
        <f t="shared" ca="1" si="449"/>
        <v>0</v>
      </c>
      <c r="BP140" s="118" t="str">
        <f t="shared" si="450"/>
        <v>Uncapped</v>
      </c>
      <c r="BQ140" s="115">
        <f t="shared" ca="1" si="451"/>
        <v>0</v>
      </c>
      <c r="BR140" s="174" t="s">
        <v>741</v>
      </c>
      <c r="BS140" s="175">
        <v>0.3</v>
      </c>
      <c r="BT140" s="174" t="s">
        <v>211</v>
      </c>
      <c r="BU140" s="174" t="s">
        <v>210</v>
      </c>
      <c r="BV140" s="113">
        <v>7660213.0106267072</v>
      </c>
      <c r="BW140" s="113">
        <v>9018493.9927070495</v>
      </c>
      <c r="BX140" s="113">
        <v>8796147.5207522418</v>
      </c>
      <c r="BY140" s="113">
        <v>8692302.8088380583</v>
      </c>
      <c r="BZ140" s="113">
        <v>7834656.9941839725</v>
      </c>
      <c r="CA140" s="113">
        <v>8567846</v>
      </c>
      <c r="CB140" s="113">
        <v>8476727.1855899971</v>
      </c>
      <c r="CC140" s="113">
        <f t="shared" si="352"/>
        <v>8692302.8088380583</v>
      </c>
      <c r="CD140" s="113"/>
      <c r="CE140" s="113"/>
      <c r="CF140" s="113"/>
      <c r="CG140" s="113"/>
      <c r="CH140" s="114">
        <f t="shared" si="380"/>
        <v>7834656.9941839725</v>
      </c>
      <c r="CI140" s="114">
        <f t="shared" si="381"/>
        <v>8567846</v>
      </c>
      <c r="CJ140" s="120">
        <f t="shared" si="382"/>
        <v>8476727.1855899971</v>
      </c>
      <c r="CK140" s="114">
        <f t="shared" si="383"/>
        <v>8692302.8088380583</v>
      </c>
      <c r="CL140" s="114">
        <f t="shared" si="413"/>
        <v>33571532.988612026</v>
      </c>
      <c r="CM140" s="114">
        <f t="shared" si="384"/>
        <v>34167157.332924053</v>
      </c>
      <c r="CN140" s="114">
        <f t="shared" si="385"/>
        <v>34167157.332924053</v>
      </c>
      <c r="CO140" s="116">
        <f t="shared" si="386"/>
        <v>0.98260000000000003</v>
      </c>
      <c r="CP140" s="126">
        <f t="shared" ca="1" si="387"/>
        <v>0</v>
      </c>
      <c r="CQ140" s="115">
        <f t="shared" ca="1" si="419"/>
        <v>0</v>
      </c>
      <c r="CR140" s="118" t="str">
        <f t="shared" si="414"/>
        <v>Uncapped</v>
      </c>
      <c r="CS140" s="115">
        <f t="shared" ca="1" si="420"/>
        <v>0</v>
      </c>
      <c r="CT140" s="113" t="s">
        <v>696</v>
      </c>
      <c r="CU140" s="119">
        <v>0.2</v>
      </c>
      <c r="CV140" s="113" t="s">
        <v>217</v>
      </c>
      <c r="CW140" s="113" t="s">
        <v>210</v>
      </c>
      <c r="CX140" s="113">
        <v>61881722.047854595</v>
      </c>
      <c r="CY140" s="113">
        <v>72180793.063260496</v>
      </c>
      <c r="CZ140" s="113">
        <v>69179032.514420599</v>
      </c>
      <c r="DA140" s="113">
        <v>76323964.015026003</v>
      </c>
      <c r="DB140" s="113">
        <v>63657388.730680585</v>
      </c>
      <c r="DC140" s="113">
        <v>65995192.891159974</v>
      </c>
      <c r="DD140" s="113">
        <v>66410604.684560001</v>
      </c>
      <c r="DE140" s="113"/>
      <c r="DF140" s="113"/>
      <c r="DG140" s="113"/>
      <c r="DH140" s="113"/>
      <c r="DI140" s="113"/>
      <c r="DJ140" s="114">
        <f t="shared" si="388"/>
        <v>63657388.730680585</v>
      </c>
      <c r="DK140" s="114">
        <f t="shared" si="389"/>
        <v>65995192.891159974</v>
      </c>
      <c r="DL140" s="114">
        <f t="shared" si="390"/>
        <v>66410604.684560001</v>
      </c>
      <c r="DM140" s="114">
        <f t="shared" si="391"/>
        <v>0</v>
      </c>
      <c r="DN140" s="114">
        <f t="shared" si="415"/>
        <v>196063186.30640057</v>
      </c>
      <c r="DO140" s="114">
        <f t="shared" si="392"/>
        <v>279565511.6405617</v>
      </c>
      <c r="DP140" s="114">
        <f t="shared" si="393"/>
        <v>279565511.6405617</v>
      </c>
      <c r="DQ140" s="116">
        <f t="shared" si="394"/>
        <v>0.70130000000000003</v>
      </c>
      <c r="DR140" s="126">
        <f t="shared" ca="1" si="421"/>
        <v>0</v>
      </c>
      <c r="DS140" s="115">
        <f t="shared" ca="1" si="422"/>
        <v>0</v>
      </c>
      <c r="DT140" s="118" t="str">
        <f t="shared" si="416"/>
        <v>Uncapped</v>
      </c>
      <c r="DU140" s="115">
        <f t="shared" ca="1" si="423"/>
        <v>0</v>
      </c>
      <c r="DV140" s="113"/>
      <c r="DW140" s="119">
        <v>0</v>
      </c>
      <c r="DX140" s="113"/>
      <c r="DY140" s="113"/>
      <c r="DZ140" s="113">
        <v>0</v>
      </c>
      <c r="EA140" s="113">
        <v>0</v>
      </c>
      <c r="EB140" s="113">
        <v>0</v>
      </c>
      <c r="EC140" s="113">
        <v>0</v>
      </c>
      <c r="ED140" s="113">
        <v>0</v>
      </c>
      <c r="EE140" s="113">
        <v>0</v>
      </c>
      <c r="EF140" s="113"/>
      <c r="EG140" s="113"/>
      <c r="EH140" s="113"/>
      <c r="EI140" s="113"/>
      <c r="EJ140" s="113"/>
      <c r="EK140" s="113"/>
      <c r="EL140" s="114">
        <f t="shared" si="395"/>
        <v>0</v>
      </c>
      <c r="EM140" s="114">
        <f t="shared" si="396"/>
        <v>0</v>
      </c>
      <c r="EN140" s="114">
        <f t="shared" si="397"/>
        <v>0</v>
      </c>
      <c r="EO140" s="114">
        <f t="shared" si="398"/>
        <v>0</v>
      </c>
      <c r="EP140" s="114">
        <f t="shared" si="417"/>
        <v>0</v>
      </c>
      <c r="EQ140" s="114">
        <f t="shared" si="399"/>
        <v>0</v>
      </c>
      <c r="ER140" s="114">
        <f t="shared" si="400"/>
        <v>0</v>
      </c>
      <c r="ES140" s="116">
        <f t="shared" si="401"/>
        <v>0</v>
      </c>
      <c r="ET140" s="126">
        <f t="shared" ca="1" si="402"/>
        <v>0</v>
      </c>
      <c r="EU140" s="115">
        <f t="shared" ca="1" si="424"/>
        <v>0</v>
      </c>
      <c r="EV140" s="118" t="str">
        <f t="shared" si="418"/>
        <v>Uncapped</v>
      </c>
      <c r="EW140" s="115">
        <f t="shared" ca="1" si="425"/>
        <v>0</v>
      </c>
      <c r="EX140" s="112">
        <f t="shared" ca="1" si="426"/>
        <v>0</v>
      </c>
      <c r="EY140" s="114">
        <f t="shared" ca="1" si="403"/>
        <v>0</v>
      </c>
      <c r="EZ140" s="115">
        <v>0</v>
      </c>
      <c r="FA140" s="115"/>
      <c r="FB140" s="115"/>
      <c r="FC140" s="115">
        <v>0</v>
      </c>
      <c r="FD140" s="115">
        <f t="shared" si="404"/>
        <v>0</v>
      </c>
      <c r="FE140" s="114">
        <f t="shared" si="405"/>
        <v>0</v>
      </c>
      <c r="FF140" s="115">
        <v>0</v>
      </c>
      <c r="FG140" s="115">
        <v>0</v>
      </c>
      <c r="FH140" s="115">
        <v>0</v>
      </c>
      <c r="FI140" s="115">
        <v>0</v>
      </c>
      <c r="FJ140" s="115">
        <f t="shared" si="406"/>
        <v>0</v>
      </c>
      <c r="FK140" s="114">
        <f t="shared" si="407"/>
        <v>0</v>
      </c>
      <c r="FL140" s="113"/>
      <c r="FM140" s="111"/>
      <c r="FN140" s="111"/>
      <c r="FO140" s="111"/>
      <c r="FP140" s="115">
        <f t="shared" si="443"/>
        <v>0</v>
      </c>
      <c r="FQ140" s="115"/>
      <c r="FR140" s="115"/>
      <c r="FS140" s="115"/>
      <c r="FT140" s="114">
        <f t="shared" si="435"/>
        <v>0</v>
      </c>
      <c r="FU140" s="366">
        <f t="shared" ca="1" si="436"/>
        <v>0</v>
      </c>
      <c r="FV140" s="121">
        <f t="shared" ca="1" si="437"/>
        <v>0</v>
      </c>
      <c r="FW140" s="114">
        <f t="shared" si="444"/>
        <v>0</v>
      </c>
      <c r="FX140" s="114">
        <f t="shared" si="444"/>
        <v>0</v>
      </c>
      <c r="FY140" s="114">
        <f t="shared" si="444"/>
        <v>0</v>
      </c>
      <c r="FZ140" s="114">
        <f t="shared" si="444"/>
        <v>0</v>
      </c>
      <c r="GA140" s="114">
        <f t="shared" si="372"/>
        <v>0</v>
      </c>
      <c r="GB140" s="114">
        <f t="shared" si="445"/>
        <v>0</v>
      </c>
      <c r="GC140" s="114">
        <f t="shared" si="445"/>
        <v>0</v>
      </c>
      <c r="GD140" s="114">
        <f t="shared" si="445"/>
        <v>0</v>
      </c>
      <c r="GE140" s="114">
        <f t="shared" si="445"/>
        <v>0</v>
      </c>
      <c r="GF140" s="114">
        <f t="shared" si="441"/>
        <v>0</v>
      </c>
      <c r="GG140" s="114">
        <f t="shared" si="441"/>
        <v>0</v>
      </c>
      <c r="GH140" s="114">
        <f t="shared" si="441"/>
        <v>0</v>
      </c>
      <c r="GI140" s="114">
        <f t="shared" si="441"/>
        <v>0</v>
      </c>
      <c r="GJ140" s="115">
        <f t="shared" si="408"/>
        <v>0</v>
      </c>
      <c r="GK140" s="114">
        <f t="shared" si="438"/>
        <v>0</v>
      </c>
      <c r="GL140" s="114">
        <f t="shared" si="427"/>
        <v>0</v>
      </c>
      <c r="GM140" s="114">
        <f t="shared" si="428"/>
        <v>0</v>
      </c>
      <c r="GN140" s="114">
        <f t="shared" si="429"/>
        <v>0</v>
      </c>
      <c r="GO140" s="114">
        <f t="shared" si="430"/>
        <v>0</v>
      </c>
      <c r="GP140" s="114">
        <f t="shared" si="409"/>
        <v>0</v>
      </c>
      <c r="GQ140" s="114">
        <f t="shared" si="439"/>
        <v>0</v>
      </c>
      <c r="GR140" s="193"/>
      <c r="GS140" s="122">
        <f t="shared" si="431"/>
        <v>236523649.93501258</v>
      </c>
      <c r="GT140" s="122">
        <f t="shared" si="432"/>
        <v>328025410.92390704</v>
      </c>
      <c r="GU140" s="123">
        <f t="shared" si="440"/>
        <v>0.72105282718441477</v>
      </c>
      <c r="GV140" s="124">
        <f t="shared" ca="1" si="433"/>
        <v>0</v>
      </c>
      <c r="GW140" s="124">
        <v>0</v>
      </c>
      <c r="GX140" s="32">
        <f t="shared" ca="1" si="434"/>
        <v>0</v>
      </c>
      <c r="GY140" s="100"/>
    </row>
    <row r="141" spans="3:207" s="408" customFormat="1" hidden="1">
      <c r="C141" s="402"/>
      <c r="D141" s="402"/>
      <c r="E141" s="403"/>
      <c r="F141" s="403" t="s">
        <v>720</v>
      </c>
      <c r="G141" s="403" t="s">
        <v>226</v>
      </c>
      <c r="H141" s="105" t="s">
        <v>574</v>
      </c>
      <c r="I141" s="403" t="s">
        <v>607</v>
      </c>
      <c r="J141" s="403" t="s">
        <v>212</v>
      </c>
      <c r="K141" s="403" t="s">
        <v>544</v>
      </c>
      <c r="L141" s="403"/>
      <c r="M141" s="403"/>
      <c r="N141" s="404"/>
      <c r="O141" s="108">
        <v>39860</v>
      </c>
      <c r="P141" s="108">
        <v>39860</v>
      </c>
      <c r="Q141" s="323">
        <f t="shared" si="410"/>
        <v>0</v>
      </c>
      <c r="R141" s="109">
        <f>IF((P141-VLOOKUP(Q141,month!$A$1:$C$13,3,0))&lt;0,Q141,Q141+1)</f>
        <v>0</v>
      </c>
      <c r="S141" s="108"/>
      <c r="T141" s="110" t="str">
        <f t="shared" si="442"/>
        <v/>
      </c>
      <c r="U141" s="404"/>
      <c r="V141" s="404"/>
      <c r="W141" s="405"/>
      <c r="X141" s="405"/>
      <c r="Y141" s="492"/>
      <c r="Z141" s="406" t="s">
        <v>545</v>
      </c>
      <c r="AA141" s="394">
        <v>1000</v>
      </c>
      <c r="AB141" s="394">
        <v>1000</v>
      </c>
      <c r="AC141" s="394">
        <v>1000</v>
      </c>
      <c r="AD141" s="394">
        <v>1000</v>
      </c>
      <c r="AE141" s="394">
        <v>1000</v>
      </c>
      <c r="AF141" s="394">
        <v>1000</v>
      </c>
      <c r="AG141" s="394">
        <v>1000</v>
      </c>
      <c r="AH141" s="394">
        <v>1000</v>
      </c>
      <c r="AI141" s="394">
        <v>1000</v>
      </c>
      <c r="AJ141" s="394">
        <v>1000</v>
      </c>
      <c r="AK141" s="394">
        <v>1000</v>
      </c>
      <c r="AL141" s="394">
        <v>1000</v>
      </c>
      <c r="AM141" s="388">
        <f t="shared" si="373"/>
        <v>12000</v>
      </c>
      <c r="AN141" s="388">
        <f t="shared" si="411"/>
        <v>12000</v>
      </c>
      <c r="AO141" s="389">
        <f t="shared" si="446"/>
        <v>1000</v>
      </c>
      <c r="AP141" s="502" t="s">
        <v>739</v>
      </c>
      <c r="AQ141" s="159">
        <v>0.4</v>
      </c>
      <c r="AR141" s="103" t="s">
        <v>211</v>
      </c>
      <c r="AS141" s="119" t="s">
        <v>210</v>
      </c>
      <c r="AT141" s="111">
        <v>3303532.5981613281</v>
      </c>
      <c r="AU141" s="111">
        <v>3658876.8275554618</v>
      </c>
      <c r="AV141" s="111">
        <v>3539622.6234550145</v>
      </c>
      <c r="AW141" s="111">
        <v>3541548.5655471394</v>
      </c>
      <c r="AX141" s="113">
        <v>3446903.51</v>
      </c>
      <c r="AY141" s="113">
        <v>3218966.0412500044</v>
      </c>
      <c r="AZ141" s="113">
        <v>2940994.7070000023</v>
      </c>
      <c r="BA141" s="113"/>
      <c r="BB141" s="113"/>
      <c r="BC141" s="113"/>
      <c r="BD141" s="113"/>
      <c r="BE141" s="113"/>
      <c r="BF141" s="114">
        <f t="shared" si="374"/>
        <v>3446903.51</v>
      </c>
      <c r="BG141" s="114">
        <f t="shared" si="375"/>
        <v>3218966.0412500044</v>
      </c>
      <c r="BH141" s="114">
        <f t="shared" si="376"/>
        <v>2940994.7070000023</v>
      </c>
      <c r="BI141" s="114">
        <f t="shared" si="377"/>
        <v>0</v>
      </c>
      <c r="BJ141" s="114">
        <f t="shared" si="412"/>
        <v>9606864.2582500055</v>
      </c>
      <c r="BK141" s="115">
        <f t="shared" si="447"/>
        <v>14043580.614718944</v>
      </c>
      <c r="BL141" s="115">
        <f t="shared" si="378"/>
        <v>14043580.614718944</v>
      </c>
      <c r="BM141" s="116">
        <f t="shared" si="379"/>
        <v>0.68410000000000004</v>
      </c>
      <c r="BN141" s="126">
        <f t="shared" ca="1" si="448"/>
        <v>0</v>
      </c>
      <c r="BO141" s="117">
        <f t="shared" ca="1" si="449"/>
        <v>0</v>
      </c>
      <c r="BP141" s="118" t="str">
        <f t="shared" si="450"/>
        <v>Uncapped</v>
      </c>
      <c r="BQ141" s="115">
        <f t="shared" ca="1" si="451"/>
        <v>0</v>
      </c>
      <c r="BR141" s="174" t="s">
        <v>740</v>
      </c>
      <c r="BS141" s="175">
        <v>0.4</v>
      </c>
      <c r="BT141" s="174" t="s">
        <v>211</v>
      </c>
      <c r="BU141" s="174" t="s">
        <v>210</v>
      </c>
      <c r="BV141" s="113">
        <v>5205901.7546552001</v>
      </c>
      <c r="BW141" s="113">
        <v>6041740.1313270004</v>
      </c>
      <c r="BX141" s="113">
        <v>5756053.1908810986</v>
      </c>
      <c r="BY141" s="113">
        <v>6160067.2421446964</v>
      </c>
      <c r="BZ141" s="113">
        <v>5515068.8665199988</v>
      </c>
      <c r="CA141" s="113">
        <v>5778683</v>
      </c>
      <c r="CB141" s="113">
        <f>3919994.43121+1172274.56879</f>
        <v>5092269</v>
      </c>
      <c r="CC141" s="113">
        <f t="shared" si="352"/>
        <v>6160067.2421446964</v>
      </c>
      <c r="CD141" s="113"/>
      <c r="CE141" s="113"/>
      <c r="CF141" s="113"/>
      <c r="CG141" s="113"/>
      <c r="CH141" s="114">
        <f t="shared" si="380"/>
        <v>5515068.8665199988</v>
      </c>
      <c r="CI141" s="114">
        <f t="shared" si="381"/>
        <v>5778683</v>
      </c>
      <c r="CJ141" s="120">
        <f t="shared" si="382"/>
        <v>5092269</v>
      </c>
      <c r="CK141" s="114">
        <f t="shared" si="383"/>
        <v>6160067.2421446964</v>
      </c>
      <c r="CL141" s="114">
        <f t="shared" si="413"/>
        <v>22546088.108664695</v>
      </c>
      <c r="CM141" s="114">
        <f t="shared" si="384"/>
        <v>23163762.319007996</v>
      </c>
      <c r="CN141" s="114">
        <f t="shared" si="385"/>
        <v>23163762.319007996</v>
      </c>
      <c r="CO141" s="116">
        <f t="shared" si="386"/>
        <v>0.97330000000000005</v>
      </c>
      <c r="CP141" s="126">
        <f t="shared" ca="1" si="387"/>
        <v>0</v>
      </c>
      <c r="CQ141" s="115">
        <f t="shared" ca="1" si="419"/>
        <v>0</v>
      </c>
      <c r="CR141" s="118" t="str">
        <f t="shared" si="414"/>
        <v>Uncapped</v>
      </c>
      <c r="CS141" s="115">
        <f t="shared" ca="1" si="420"/>
        <v>0</v>
      </c>
      <c r="CT141" s="113" t="s">
        <v>733</v>
      </c>
      <c r="CU141" s="119">
        <v>0.2</v>
      </c>
      <c r="CV141" s="113" t="s">
        <v>217</v>
      </c>
      <c r="CW141" s="113" t="s">
        <v>210</v>
      </c>
      <c r="CX141" s="113">
        <v>4332720.3217541184</v>
      </c>
      <c r="CY141" s="113">
        <v>4778527.2500066841</v>
      </c>
      <c r="CZ141" s="113">
        <v>4616888.1107896138</v>
      </c>
      <c r="DA141" s="113">
        <v>4787499.8855306264</v>
      </c>
      <c r="DB141" s="113">
        <v>4282731.8</v>
      </c>
      <c r="DC141" s="113">
        <v>4427269.8909500409</v>
      </c>
      <c r="DD141" s="113">
        <v>3879830.89</v>
      </c>
      <c r="DE141" s="113"/>
      <c r="DF141" s="113"/>
      <c r="DG141" s="113"/>
      <c r="DH141" s="113"/>
      <c r="DI141" s="113"/>
      <c r="DJ141" s="114">
        <f t="shared" si="388"/>
        <v>4282731.8</v>
      </c>
      <c r="DK141" s="114">
        <f t="shared" si="389"/>
        <v>4427269.8909500409</v>
      </c>
      <c r="DL141" s="114">
        <f t="shared" si="390"/>
        <v>3879830.89</v>
      </c>
      <c r="DM141" s="114">
        <f t="shared" si="391"/>
        <v>0</v>
      </c>
      <c r="DN141" s="114">
        <f t="shared" si="415"/>
        <v>12589832.58095004</v>
      </c>
      <c r="DO141" s="114">
        <f t="shared" si="392"/>
        <v>18515635.568081044</v>
      </c>
      <c r="DP141" s="114">
        <f t="shared" si="393"/>
        <v>18515635.568081044</v>
      </c>
      <c r="DQ141" s="116">
        <f t="shared" si="394"/>
        <v>0.68</v>
      </c>
      <c r="DR141" s="126">
        <f t="shared" ca="1" si="421"/>
        <v>0</v>
      </c>
      <c r="DS141" s="115">
        <f t="shared" ca="1" si="422"/>
        <v>0</v>
      </c>
      <c r="DT141" s="118" t="str">
        <f t="shared" si="416"/>
        <v>Uncapped</v>
      </c>
      <c r="DU141" s="115">
        <f t="shared" ca="1" si="423"/>
        <v>0</v>
      </c>
      <c r="DV141" s="113"/>
      <c r="DW141" s="119">
        <v>0</v>
      </c>
      <c r="DX141" s="113"/>
      <c r="DY141" s="113"/>
      <c r="DZ141" s="113">
        <v>0</v>
      </c>
      <c r="EA141" s="113">
        <v>0</v>
      </c>
      <c r="EB141" s="113">
        <v>0</v>
      </c>
      <c r="EC141" s="113">
        <v>0</v>
      </c>
      <c r="ED141" s="113">
        <v>0</v>
      </c>
      <c r="EE141" s="113">
        <v>0</v>
      </c>
      <c r="EF141" s="113"/>
      <c r="EG141" s="113"/>
      <c r="EH141" s="113"/>
      <c r="EI141" s="113"/>
      <c r="EJ141" s="113"/>
      <c r="EK141" s="113"/>
      <c r="EL141" s="114">
        <f t="shared" si="395"/>
        <v>0</v>
      </c>
      <c r="EM141" s="114">
        <f t="shared" si="396"/>
        <v>0</v>
      </c>
      <c r="EN141" s="114">
        <f t="shared" si="397"/>
        <v>0</v>
      </c>
      <c r="EO141" s="114">
        <f t="shared" si="398"/>
        <v>0</v>
      </c>
      <c r="EP141" s="114">
        <f t="shared" si="417"/>
        <v>0</v>
      </c>
      <c r="EQ141" s="114">
        <f t="shared" si="399"/>
        <v>0</v>
      </c>
      <c r="ER141" s="114">
        <f t="shared" si="400"/>
        <v>0</v>
      </c>
      <c r="ES141" s="116">
        <f t="shared" si="401"/>
        <v>0</v>
      </c>
      <c r="ET141" s="126">
        <f t="shared" ca="1" si="402"/>
        <v>0</v>
      </c>
      <c r="EU141" s="115">
        <f t="shared" ca="1" si="424"/>
        <v>0</v>
      </c>
      <c r="EV141" s="118" t="str">
        <f t="shared" si="418"/>
        <v>Uncapped</v>
      </c>
      <c r="EW141" s="115">
        <f t="shared" ca="1" si="425"/>
        <v>0</v>
      </c>
      <c r="EX141" s="112">
        <f t="shared" ca="1" si="426"/>
        <v>0</v>
      </c>
      <c r="EY141" s="114">
        <f t="shared" ca="1" si="403"/>
        <v>0</v>
      </c>
      <c r="EZ141" s="115">
        <v>0</v>
      </c>
      <c r="FA141" s="115"/>
      <c r="FB141" s="115"/>
      <c r="FC141" s="115">
        <v>0</v>
      </c>
      <c r="FD141" s="115">
        <f t="shared" si="404"/>
        <v>0</v>
      </c>
      <c r="FE141" s="114">
        <f t="shared" si="405"/>
        <v>0</v>
      </c>
      <c r="FF141" s="115">
        <v>0</v>
      </c>
      <c r="FG141" s="115">
        <v>0</v>
      </c>
      <c r="FH141" s="115">
        <v>0</v>
      </c>
      <c r="FI141" s="115">
        <v>0</v>
      </c>
      <c r="FJ141" s="115">
        <f t="shared" si="406"/>
        <v>0</v>
      </c>
      <c r="FK141" s="114">
        <f t="shared" si="407"/>
        <v>0</v>
      </c>
      <c r="FL141" s="113"/>
      <c r="FM141" s="111"/>
      <c r="FN141" s="111"/>
      <c r="FO141" s="111"/>
      <c r="FP141" s="115">
        <f t="shared" si="443"/>
        <v>0</v>
      </c>
      <c r="FQ141" s="115"/>
      <c r="FR141" s="115"/>
      <c r="FS141" s="115"/>
      <c r="FT141" s="114">
        <f t="shared" si="435"/>
        <v>0</v>
      </c>
      <c r="FU141" s="366">
        <f t="shared" ca="1" si="436"/>
        <v>0</v>
      </c>
      <c r="FV141" s="121">
        <f t="shared" ca="1" si="437"/>
        <v>0</v>
      </c>
      <c r="FW141" s="114">
        <f t="shared" si="444"/>
        <v>0</v>
      </c>
      <c r="FX141" s="114">
        <f t="shared" si="444"/>
        <v>0</v>
      </c>
      <c r="FY141" s="114">
        <f t="shared" si="444"/>
        <v>0</v>
      </c>
      <c r="FZ141" s="114">
        <f t="shared" si="444"/>
        <v>0</v>
      </c>
      <c r="GA141" s="114">
        <f t="shared" si="372"/>
        <v>0</v>
      </c>
      <c r="GB141" s="114">
        <f t="shared" si="445"/>
        <v>0</v>
      </c>
      <c r="GC141" s="114">
        <f t="shared" si="445"/>
        <v>0</v>
      </c>
      <c r="GD141" s="114">
        <f t="shared" si="445"/>
        <v>0</v>
      </c>
      <c r="GE141" s="114">
        <f t="shared" si="445"/>
        <v>0</v>
      </c>
      <c r="GF141" s="114">
        <f t="shared" si="441"/>
        <v>0</v>
      </c>
      <c r="GG141" s="114">
        <f t="shared" si="441"/>
        <v>0</v>
      </c>
      <c r="GH141" s="114">
        <f t="shared" si="441"/>
        <v>0</v>
      </c>
      <c r="GI141" s="114">
        <f t="shared" si="441"/>
        <v>0</v>
      </c>
      <c r="GJ141" s="115">
        <f t="shared" si="408"/>
        <v>0</v>
      </c>
      <c r="GK141" s="114">
        <f t="shared" si="438"/>
        <v>0</v>
      </c>
      <c r="GL141" s="114">
        <f t="shared" si="427"/>
        <v>0</v>
      </c>
      <c r="GM141" s="114">
        <f t="shared" si="428"/>
        <v>0</v>
      </c>
      <c r="GN141" s="114">
        <f t="shared" si="429"/>
        <v>0</v>
      </c>
      <c r="GO141" s="114">
        <f t="shared" si="430"/>
        <v>0</v>
      </c>
      <c r="GP141" s="114">
        <f t="shared" si="409"/>
        <v>0</v>
      </c>
      <c r="GQ141" s="114">
        <f t="shared" si="439"/>
        <v>0</v>
      </c>
      <c r="GR141" s="193"/>
      <c r="GS141" s="122">
        <f t="shared" si="431"/>
        <v>44742784.947864741</v>
      </c>
      <c r="GT141" s="122">
        <f t="shared" si="432"/>
        <v>55722978.50180798</v>
      </c>
      <c r="GU141" s="123">
        <f t="shared" si="440"/>
        <v>0.80295034743006466</v>
      </c>
      <c r="GV141" s="124">
        <f t="shared" ca="1" si="433"/>
        <v>0</v>
      </c>
      <c r="GW141" s="124">
        <v>0</v>
      </c>
      <c r="GX141" s="32">
        <f t="shared" ca="1" si="434"/>
        <v>0</v>
      </c>
      <c r="GY141" s="100"/>
    </row>
    <row r="142" spans="3:207" s="408" customFormat="1" hidden="1">
      <c r="C142" s="402"/>
      <c r="D142" s="402"/>
      <c r="E142" s="403"/>
      <c r="F142" s="403" t="s">
        <v>720</v>
      </c>
      <c r="G142" s="403" t="s">
        <v>226</v>
      </c>
      <c r="H142" s="105" t="s">
        <v>575</v>
      </c>
      <c r="I142" s="403" t="s">
        <v>608</v>
      </c>
      <c r="J142" s="403" t="s">
        <v>212</v>
      </c>
      <c r="K142" s="403" t="s">
        <v>544</v>
      </c>
      <c r="L142" s="403"/>
      <c r="M142" s="403"/>
      <c r="N142" s="404"/>
      <c r="O142" s="108">
        <v>39919</v>
      </c>
      <c r="P142" s="108">
        <v>39919</v>
      </c>
      <c r="Q142" s="323">
        <f t="shared" si="410"/>
        <v>0</v>
      </c>
      <c r="R142" s="109">
        <f>IF((P142-VLOOKUP(Q142,month!$A$1:$C$13,3,0))&lt;0,Q142,Q142+1)</f>
        <v>0</v>
      </c>
      <c r="S142" s="108"/>
      <c r="T142" s="110" t="str">
        <f t="shared" si="442"/>
        <v/>
      </c>
      <c r="U142" s="404"/>
      <c r="V142" s="404"/>
      <c r="W142" s="405"/>
      <c r="X142" s="405"/>
      <c r="Y142" s="492"/>
      <c r="Z142" s="406" t="s">
        <v>545</v>
      </c>
      <c r="AA142" s="394">
        <v>1000</v>
      </c>
      <c r="AB142" s="394">
        <v>1000</v>
      </c>
      <c r="AC142" s="394">
        <v>1000</v>
      </c>
      <c r="AD142" s="394">
        <v>1000</v>
      </c>
      <c r="AE142" s="394">
        <v>1000</v>
      </c>
      <c r="AF142" s="394">
        <v>1000</v>
      </c>
      <c r="AG142" s="394">
        <v>1000</v>
      </c>
      <c r="AH142" s="394">
        <v>1000</v>
      </c>
      <c r="AI142" s="394">
        <v>1000</v>
      </c>
      <c r="AJ142" s="394">
        <v>1000</v>
      </c>
      <c r="AK142" s="394">
        <v>1000</v>
      </c>
      <c r="AL142" s="394">
        <v>1000</v>
      </c>
      <c r="AM142" s="388">
        <f t="shared" si="373"/>
        <v>12000</v>
      </c>
      <c r="AN142" s="388">
        <f t="shared" si="411"/>
        <v>12000</v>
      </c>
      <c r="AO142" s="389">
        <f t="shared" si="446"/>
        <v>1000</v>
      </c>
      <c r="AP142" s="502" t="s">
        <v>750</v>
      </c>
      <c r="AQ142" s="159">
        <v>0.5</v>
      </c>
      <c r="AR142" s="103" t="s">
        <v>211</v>
      </c>
      <c r="AS142" s="119" t="s">
        <v>210</v>
      </c>
      <c r="AT142" s="111">
        <v>619023.70180270565</v>
      </c>
      <c r="AU142" s="111">
        <v>689370.67089741363</v>
      </c>
      <c r="AV142" s="111">
        <v>657617.80913764494</v>
      </c>
      <c r="AW142" s="111">
        <v>770191.79826823843</v>
      </c>
      <c r="AX142" s="113">
        <v>773116.82</v>
      </c>
      <c r="AY142" s="113">
        <v>760063.59</v>
      </c>
      <c r="AZ142" s="113">
        <v>705215.07</v>
      </c>
      <c r="BA142" s="113"/>
      <c r="BB142" s="113"/>
      <c r="BC142" s="113"/>
      <c r="BD142" s="113"/>
      <c r="BE142" s="113"/>
      <c r="BF142" s="114">
        <f t="shared" si="374"/>
        <v>773116.82</v>
      </c>
      <c r="BG142" s="114">
        <f t="shared" si="375"/>
        <v>760063.59</v>
      </c>
      <c r="BH142" s="114">
        <f t="shared" si="376"/>
        <v>705215.07</v>
      </c>
      <c r="BI142" s="114">
        <f t="shared" si="377"/>
        <v>0</v>
      </c>
      <c r="BJ142" s="114">
        <f t="shared" si="412"/>
        <v>2238395.48</v>
      </c>
      <c r="BK142" s="115">
        <f t="shared" si="447"/>
        <v>2736203.9801060027</v>
      </c>
      <c r="BL142" s="115">
        <f t="shared" si="378"/>
        <v>2736203.9801060027</v>
      </c>
      <c r="BM142" s="116">
        <f t="shared" si="379"/>
        <v>0.81810000000000005</v>
      </c>
      <c r="BN142" s="126">
        <f t="shared" ca="1" si="448"/>
        <v>0</v>
      </c>
      <c r="BO142" s="117">
        <f t="shared" ca="1" si="449"/>
        <v>0</v>
      </c>
      <c r="BP142" s="118" t="str">
        <f t="shared" si="450"/>
        <v>Uncapped</v>
      </c>
      <c r="BQ142" s="115">
        <f t="shared" ca="1" si="451"/>
        <v>0</v>
      </c>
      <c r="BR142" s="174" t="s">
        <v>762</v>
      </c>
      <c r="BS142" s="175">
        <v>0.3</v>
      </c>
      <c r="BT142" s="174" t="s">
        <v>211</v>
      </c>
      <c r="BU142" s="174" t="s">
        <v>210</v>
      </c>
      <c r="BV142" s="113">
        <v>2060801.742359617</v>
      </c>
      <c r="BW142" s="113">
        <v>2402466.5250502843</v>
      </c>
      <c r="BX142" s="113">
        <v>2442175.5793229761</v>
      </c>
      <c r="BY142" s="113">
        <v>2380941.3983696885</v>
      </c>
      <c r="BZ142" s="113">
        <v>2137162.0499999998</v>
      </c>
      <c r="CA142" s="113">
        <v>2025228.7860000017</v>
      </c>
      <c r="CB142" s="113">
        <v>2007691</v>
      </c>
      <c r="CC142" s="113">
        <f t="shared" si="352"/>
        <v>2380941.3983696885</v>
      </c>
      <c r="CD142" s="113"/>
      <c r="CE142" s="113"/>
      <c r="CF142" s="113"/>
      <c r="CG142" s="113"/>
      <c r="CH142" s="114">
        <f t="shared" si="380"/>
        <v>2137162.0499999998</v>
      </c>
      <c r="CI142" s="114">
        <f t="shared" si="381"/>
        <v>2025228.7860000017</v>
      </c>
      <c r="CJ142" s="120">
        <f t="shared" si="382"/>
        <v>2007691</v>
      </c>
      <c r="CK142" s="114">
        <f t="shared" si="383"/>
        <v>2380941.3983696885</v>
      </c>
      <c r="CL142" s="114">
        <f t="shared" si="413"/>
        <v>8551023.2343696896</v>
      </c>
      <c r="CM142" s="114">
        <f t="shared" si="384"/>
        <v>9286385.2451025657</v>
      </c>
      <c r="CN142" s="114">
        <f t="shared" si="385"/>
        <v>9286385.2451025657</v>
      </c>
      <c r="CO142" s="116">
        <f t="shared" si="386"/>
        <v>0.92079999999999995</v>
      </c>
      <c r="CP142" s="126">
        <f t="shared" ca="1" si="387"/>
        <v>0</v>
      </c>
      <c r="CQ142" s="115">
        <f t="shared" ca="1" si="419"/>
        <v>0</v>
      </c>
      <c r="CR142" s="118" t="str">
        <f t="shared" si="414"/>
        <v>Uncapped</v>
      </c>
      <c r="CS142" s="115">
        <f t="shared" ca="1" si="420"/>
        <v>0</v>
      </c>
      <c r="CT142" s="113" t="s">
        <v>729</v>
      </c>
      <c r="CU142" s="119">
        <v>0.2</v>
      </c>
      <c r="CV142" s="113" t="s">
        <v>217</v>
      </c>
      <c r="CW142" s="113" t="s">
        <v>210</v>
      </c>
      <c r="CX142" s="113">
        <v>13631298.3753272</v>
      </c>
      <c r="CY142" s="113">
        <v>15463517.626933601</v>
      </c>
      <c r="CZ142" s="113">
        <v>15159650.061351301</v>
      </c>
      <c r="DA142" s="113">
        <v>16523055.704212198</v>
      </c>
      <c r="DB142" s="113">
        <v>13485327.436090879</v>
      </c>
      <c r="DC142" s="113">
        <v>13198691</v>
      </c>
      <c r="DD142" s="113">
        <v>13923765.347779993</v>
      </c>
      <c r="DE142" s="113"/>
      <c r="DF142" s="113"/>
      <c r="DG142" s="113"/>
      <c r="DH142" s="113"/>
      <c r="DI142" s="113"/>
      <c r="DJ142" s="114">
        <f t="shared" si="388"/>
        <v>13485327.436090879</v>
      </c>
      <c r="DK142" s="114">
        <f t="shared" si="389"/>
        <v>13198691</v>
      </c>
      <c r="DL142" s="114">
        <f t="shared" si="390"/>
        <v>13923765.347779993</v>
      </c>
      <c r="DM142" s="114">
        <f t="shared" si="391"/>
        <v>0</v>
      </c>
      <c r="DN142" s="114">
        <f t="shared" si="415"/>
        <v>40607783.783870876</v>
      </c>
      <c r="DO142" s="114">
        <f t="shared" si="392"/>
        <v>60777521.7678243</v>
      </c>
      <c r="DP142" s="114">
        <f t="shared" si="393"/>
        <v>60777521.7678243</v>
      </c>
      <c r="DQ142" s="116">
        <f t="shared" si="394"/>
        <v>0.66810000000000003</v>
      </c>
      <c r="DR142" s="126">
        <f t="shared" ca="1" si="421"/>
        <v>0</v>
      </c>
      <c r="DS142" s="115">
        <f t="shared" ca="1" si="422"/>
        <v>0</v>
      </c>
      <c r="DT142" s="118" t="str">
        <f t="shared" si="416"/>
        <v>Uncapped</v>
      </c>
      <c r="DU142" s="115">
        <f t="shared" ca="1" si="423"/>
        <v>0</v>
      </c>
      <c r="DV142" s="113"/>
      <c r="DW142" s="119">
        <v>0</v>
      </c>
      <c r="DX142" s="113"/>
      <c r="DY142" s="113"/>
      <c r="DZ142" s="113">
        <v>0</v>
      </c>
      <c r="EA142" s="113">
        <v>0</v>
      </c>
      <c r="EB142" s="113">
        <v>0</v>
      </c>
      <c r="EC142" s="113">
        <v>0</v>
      </c>
      <c r="ED142" s="113">
        <v>0</v>
      </c>
      <c r="EE142" s="113">
        <v>0</v>
      </c>
      <c r="EF142" s="113"/>
      <c r="EG142" s="113"/>
      <c r="EH142" s="113"/>
      <c r="EI142" s="113"/>
      <c r="EJ142" s="113"/>
      <c r="EK142" s="113"/>
      <c r="EL142" s="114">
        <f t="shared" si="395"/>
        <v>0</v>
      </c>
      <c r="EM142" s="114">
        <f t="shared" si="396"/>
        <v>0</v>
      </c>
      <c r="EN142" s="114">
        <f t="shared" si="397"/>
        <v>0</v>
      </c>
      <c r="EO142" s="114">
        <f t="shared" si="398"/>
        <v>0</v>
      </c>
      <c r="EP142" s="114">
        <f t="shared" si="417"/>
        <v>0</v>
      </c>
      <c r="EQ142" s="114">
        <f t="shared" si="399"/>
        <v>0</v>
      </c>
      <c r="ER142" s="114">
        <f t="shared" si="400"/>
        <v>0</v>
      </c>
      <c r="ES142" s="116">
        <f t="shared" si="401"/>
        <v>0</v>
      </c>
      <c r="ET142" s="126">
        <f t="shared" ca="1" si="402"/>
        <v>0</v>
      </c>
      <c r="EU142" s="115">
        <f t="shared" ca="1" si="424"/>
        <v>0</v>
      </c>
      <c r="EV142" s="118" t="str">
        <f t="shared" si="418"/>
        <v>Uncapped</v>
      </c>
      <c r="EW142" s="115">
        <f t="shared" ca="1" si="425"/>
        <v>0</v>
      </c>
      <c r="EX142" s="112">
        <f t="shared" ca="1" si="426"/>
        <v>0</v>
      </c>
      <c r="EY142" s="114">
        <f t="shared" ca="1" si="403"/>
        <v>0</v>
      </c>
      <c r="EZ142" s="115">
        <v>96400</v>
      </c>
      <c r="FA142" s="115"/>
      <c r="FB142" s="115"/>
      <c r="FC142" s="115">
        <v>0</v>
      </c>
      <c r="FD142" s="115">
        <f t="shared" si="404"/>
        <v>96400</v>
      </c>
      <c r="FE142" s="114">
        <f t="shared" si="405"/>
        <v>0</v>
      </c>
      <c r="FF142" s="115">
        <v>0</v>
      </c>
      <c r="FG142" s="115">
        <v>0</v>
      </c>
      <c r="FH142" s="115">
        <v>0</v>
      </c>
      <c r="FI142" s="115">
        <v>0</v>
      </c>
      <c r="FJ142" s="115">
        <f t="shared" si="406"/>
        <v>0</v>
      </c>
      <c r="FK142" s="114">
        <f t="shared" si="407"/>
        <v>0</v>
      </c>
      <c r="FL142" s="113"/>
      <c r="FM142" s="111"/>
      <c r="FN142" s="111"/>
      <c r="FO142" s="111"/>
      <c r="FP142" s="115">
        <f t="shared" si="443"/>
        <v>0</v>
      </c>
      <c r="FQ142" s="115"/>
      <c r="FR142" s="115"/>
      <c r="FS142" s="115"/>
      <c r="FT142" s="114">
        <f t="shared" si="435"/>
        <v>0</v>
      </c>
      <c r="FU142" s="366">
        <f t="shared" ca="1" si="436"/>
        <v>96400</v>
      </c>
      <c r="FV142" s="121">
        <f t="shared" ca="1" si="437"/>
        <v>96400</v>
      </c>
      <c r="FW142" s="114">
        <f t="shared" si="444"/>
        <v>0</v>
      </c>
      <c r="FX142" s="114">
        <f t="shared" si="444"/>
        <v>0</v>
      </c>
      <c r="FY142" s="114">
        <f t="shared" si="444"/>
        <v>0</v>
      </c>
      <c r="FZ142" s="114">
        <f t="shared" si="444"/>
        <v>0</v>
      </c>
      <c r="GA142" s="114">
        <f t="shared" si="372"/>
        <v>0</v>
      </c>
      <c r="GB142" s="114">
        <f t="shared" si="445"/>
        <v>96400</v>
      </c>
      <c r="GC142" s="114">
        <f t="shared" si="445"/>
        <v>0</v>
      </c>
      <c r="GD142" s="114">
        <f t="shared" si="445"/>
        <v>0</v>
      </c>
      <c r="GE142" s="114">
        <f t="shared" si="445"/>
        <v>0</v>
      </c>
      <c r="GF142" s="114">
        <f t="shared" si="441"/>
        <v>96400</v>
      </c>
      <c r="GG142" s="114">
        <f t="shared" si="441"/>
        <v>0</v>
      </c>
      <c r="GH142" s="114">
        <f t="shared" si="441"/>
        <v>0</v>
      </c>
      <c r="GI142" s="114">
        <f t="shared" si="441"/>
        <v>0</v>
      </c>
      <c r="GJ142" s="115">
        <f t="shared" si="408"/>
        <v>96400</v>
      </c>
      <c r="GK142" s="114">
        <f t="shared" si="438"/>
        <v>96400</v>
      </c>
      <c r="GL142" s="114">
        <f t="shared" si="427"/>
        <v>0</v>
      </c>
      <c r="GM142" s="114">
        <f t="shared" si="428"/>
        <v>0</v>
      </c>
      <c r="GN142" s="114">
        <f t="shared" si="429"/>
        <v>0</v>
      </c>
      <c r="GO142" s="114">
        <f t="shared" si="430"/>
        <v>0</v>
      </c>
      <c r="GP142" s="114">
        <f t="shared" si="409"/>
        <v>0</v>
      </c>
      <c r="GQ142" s="114">
        <f t="shared" si="439"/>
        <v>0</v>
      </c>
      <c r="GR142" s="193"/>
      <c r="GS142" s="122">
        <f t="shared" si="431"/>
        <v>51397202.498240568</v>
      </c>
      <c r="GT142" s="122">
        <f t="shared" si="432"/>
        <v>72800110.993032873</v>
      </c>
      <c r="GU142" s="123">
        <f t="shared" si="440"/>
        <v>0.70600445242671939</v>
      </c>
      <c r="GV142" s="124">
        <f t="shared" ca="1" si="433"/>
        <v>0</v>
      </c>
      <c r="GW142" s="124">
        <v>0</v>
      </c>
      <c r="GX142" s="32">
        <f t="shared" ca="1" si="434"/>
        <v>0</v>
      </c>
      <c r="GY142" s="100"/>
    </row>
    <row r="143" spans="3:207" s="408" customFormat="1" hidden="1">
      <c r="C143" s="402"/>
      <c r="D143" s="402"/>
      <c r="E143" s="403"/>
      <c r="F143" s="403" t="s">
        <v>720</v>
      </c>
      <c r="G143" s="403" t="s">
        <v>226</v>
      </c>
      <c r="H143" s="105" t="s">
        <v>576</v>
      </c>
      <c r="I143" s="403" t="s">
        <v>609</v>
      </c>
      <c r="J143" s="403" t="s">
        <v>212</v>
      </c>
      <c r="K143" s="403" t="s">
        <v>544</v>
      </c>
      <c r="L143" s="403"/>
      <c r="M143" s="403"/>
      <c r="N143" s="404"/>
      <c r="O143" s="108">
        <v>40148</v>
      </c>
      <c r="P143" s="108">
        <v>40148</v>
      </c>
      <c r="Q143" s="323">
        <f t="shared" si="410"/>
        <v>0</v>
      </c>
      <c r="R143" s="109">
        <f>IF((P143-VLOOKUP(Q143,month!$A$1:$C$13,3,0))&lt;0,Q143,Q143+1)</f>
        <v>0</v>
      </c>
      <c r="S143" s="108"/>
      <c r="T143" s="110" t="str">
        <f t="shared" si="442"/>
        <v/>
      </c>
      <c r="U143" s="404"/>
      <c r="V143" s="404"/>
      <c r="W143" s="405"/>
      <c r="X143" s="405"/>
      <c r="Y143" s="492"/>
      <c r="Z143" s="406" t="s">
        <v>545</v>
      </c>
      <c r="AA143" s="394">
        <v>1000</v>
      </c>
      <c r="AB143" s="394">
        <v>1000</v>
      </c>
      <c r="AC143" s="394">
        <v>1000</v>
      </c>
      <c r="AD143" s="394">
        <v>1000</v>
      </c>
      <c r="AE143" s="394">
        <v>1000</v>
      </c>
      <c r="AF143" s="394">
        <v>1000</v>
      </c>
      <c r="AG143" s="394">
        <v>1000</v>
      </c>
      <c r="AH143" s="394">
        <v>1000</v>
      </c>
      <c r="AI143" s="394">
        <v>1000</v>
      </c>
      <c r="AJ143" s="394">
        <v>1000</v>
      </c>
      <c r="AK143" s="394">
        <v>1000</v>
      </c>
      <c r="AL143" s="394">
        <v>1000</v>
      </c>
      <c r="AM143" s="388">
        <f t="shared" si="373"/>
        <v>12000</v>
      </c>
      <c r="AN143" s="388">
        <f t="shared" si="411"/>
        <v>12000</v>
      </c>
      <c r="AO143" s="389">
        <f t="shared" si="446"/>
        <v>1000</v>
      </c>
      <c r="AP143" s="502" t="s">
        <v>750</v>
      </c>
      <c r="AQ143" s="159">
        <v>0.5</v>
      </c>
      <c r="AR143" s="103" t="s">
        <v>211</v>
      </c>
      <c r="AS143" s="119" t="s">
        <v>210</v>
      </c>
      <c r="AT143" s="111">
        <v>619023.70180270565</v>
      </c>
      <c r="AU143" s="111">
        <v>689370.67089741363</v>
      </c>
      <c r="AV143" s="111">
        <v>657617.80913764494</v>
      </c>
      <c r="AW143" s="111">
        <v>770191.79826823843</v>
      </c>
      <c r="AX143" s="113">
        <v>773116.82</v>
      </c>
      <c r="AY143" s="113">
        <v>760063.59</v>
      </c>
      <c r="AZ143" s="113">
        <v>705215.07</v>
      </c>
      <c r="BA143" s="113"/>
      <c r="BB143" s="113"/>
      <c r="BC143" s="113"/>
      <c r="BD143" s="113"/>
      <c r="BE143" s="113"/>
      <c r="BF143" s="114">
        <f t="shared" si="374"/>
        <v>773116.82</v>
      </c>
      <c r="BG143" s="114">
        <f t="shared" si="375"/>
        <v>760063.59</v>
      </c>
      <c r="BH143" s="114">
        <f t="shared" si="376"/>
        <v>705215.07</v>
      </c>
      <c r="BI143" s="114">
        <f t="shared" si="377"/>
        <v>0</v>
      </c>
      <c r="BJ143" s="114">
        <f t="shared" si="412"/>
        <v>2238395.48</v>
      </c>
      <c r="BK143" s="115">
        <f t="shared" si="447"/>
        <v>2736203.9801060027</v>
      </c>
      <c r="BL143" s="115">
        <f t="shared" si="378"/>
        <v>2736203.9801060027</v>
      </c>
      <c r="BM143" s="116">
        <f t="shared" si="379"/>
        <v>0.81810000000000005</v>
      </c>
      <c r="BN143" s="126">
        <f t="shared" ca="1" si="448"/>
        <v>0</v>
      </c>
      <c r="BO143" s="117">
        <f t="shared" ca="1" si="449"/>
        <v>0</v>
      </c>
      <c r="BP143" s="118" t="str">
        <f t="shared" si="450"/>
        <v>Uncapped</v>
      </c>
      <c r="BQ143" s="115">
        <f t="shared" ca="1" si="451"/>
        <v>0</v>
      </c>
      <c r="BR143" s="174" t="s">
        <v>762</v>
      </c>
      <c r="BS143" s="175">
        <v>0.3</v>
      </c>
      <c r="BT143" s="174" t="s">
        <v>211</v>
      </c>
      <c r="BU143" s="174" t="s">
        <v>210</v>
      </c>
      <c r="BV143" s="113">
        <v>2060801.742359617</v>
      </c>
      <c r="BW143" s="113">
        <v>2402466.5250502843</v>
      </c>
      <c r="BX143" s="113">
        <v>2442175.5793229761</v>
      </c>
      <c r="BY143" s="113">
        <v>2380941.3983696885</v>
      </c>
      <c r="BZ143" s="113">
        <v>2137162.0499999998</v>
      </c>
      <c r="CA143" s="113">
        <v>2025228.7860000017</v>
      </c>
      <c r="CB143" s="113">
        <v>2007691</v>
      </c>
      <c r="CC143" s="113">
        <f t="shared" si="352"/>
        <v>2380941.3983696885</v>
      </c>
      <c r="CD143" s="113"/>
      <c r="CE143" s="113"/>
      <c r="CF143" s="113"/>
      <c r="CG143" s="113"/>
      <c r="CH143" s="114">
        <f t="shared" si="380"/>
        <v>2137162.0499999998</v>
      </c>
      <c r="CI143" s="114">
        <f t="shared" si="381"/>
        <v>2025228.7860000017</v>
      </c>
      <c r="CJ143" s="120">
        <f t="shared" si="382"/>
        <v>2007691</v>
      </c>
      <c r="CK143" s="114">
        <f t="shared" si="383"/>
        <v>2380941.3983696885</v>
      </c>
      <c r="CL143" s="114">
        <f t="shared" si="413"/>
        <v>8551023.2343696896</v>
      </c>
      <c r="CM143" s="114">
        <f t="shared" si="384"/>
        <v>9286385.2451025657</v>
      </c>
      <c r="CN143" s="114">
        <f t="shared" si="385"/>
        <v>9286385.2451025657</v>
      </c>
      <c r="CO143" s="116">
        <f t="shared" si="386"/>
        <v>0.92079999999999995</v>
      </c>
      <c r="CP143" s="126">
        <f t="shared" ca="1" si="387"/>
        <v>0</v>
      </c>
      <c r="CQ143" s="115">
        <f t="shared" ca="1" si="419"/>
        <v>0</v>
      </c>
      <c r="CR143" s="118" t="str">
        <f t="shared" si="414"/>
        <v>Uncapped</v>
      </c>
      <c r="CS143" s="115">
        <f t="shared" ca="1" si="420"/>
        <v>0</v>
      </c>
      <c r="CT143" s="113" t="s">
        <v>729</v>
      </c>
      <c r="CU143" s="119">
        <v>0.2</v>
      </c>
      <c r="CV143" s="113" t="s">
        <v>217</v>
      </c>
      <c r="CW143" s="113" t="s">
        <v>210</v>
      </c>
      <c r="CX143" s="113">
        <v>13631298.3753272</v>
      </c>
      <c r="CY143" s="113">
        <v>15463517.626933601</v>
      </c>
      <c r="CZ143" s="113">
        <v>15159650.061351301</v>
      </c>
      <c r="DA143" s="113">
        <v>16523055.704212198</v>
      </c>
      <c r="DB143" s="113">
        <v>13485327.436090879</v>
      </c>
      <c r="DC143" s="113">
        <v>13198691</v>
      </c>
      <c r="DD143" s="113">
        <v>13923765.347779993</v>
      </c>
      <c r="DE143" s="113"/>
      <c r="DF143" s="113"/>
      <c r="DG143" s="113"/>
      <c r="DH143" s="113"/>
      <c r="DI143" s="113"/>
      <c r="DJ143" s="114">
        <f t="shared" si="388"/>
        <v>13485327.436090879</v>
      </c>
      <c r="DK143" s="114">
        <f t="shared" si="389"/>
        <v>13198691</v>
      </c>
      <c r="DL143" s="114">
        <f t="shared" si="390"/>
        <v>13923765.347779993</v>
      </c>
      <c r="DM143" s="114">
        <f t="shared" si="391"/>
        <v>0</v>
      </c>
      <c r="DN143" s="114">
        <f t="shared" si="415"/>
        <v>40607783.783870876</v>
      </c>
      <c r="DO143" s="114">
        <f t="shared" si="392"/>
        <v>60777521.7678243</v>
      </c>
      <c r="DP143" s="114">
        <f t="shared" si="393"/>
        <v>60777521.7678243</v>
      </c>
      <c r="DQ143" s="116">
        <f t="shared" si="394"/>
        <v>0.66810000000000003</v>
      </c>
      <c r="DR143" s="126">
        <f t="shared" ca="1" si="421"/>
        <v>0</v>
      </c>
      <c r="DS143" s="115">
        <f t="shared" ca="1" si="422"/>
        <v>0</v>
      </c>
      <c r="DT143" s="118" t="str">
        <f t="shared" si="416"/>
        <v>Uncapped</v>
      </c>
      <c r="DU143" s="115">
        <f t="shared" ca="1" si="423"/>
        <v>0</v>
      </c>
      <c r="DV143" s="113"/>
      <c r="DW143" s="119">
        <v>0</v>
      </c>
      <c r="DX143" s="113"/>
      <c r="DY143" s="113"/>
      <c r="DZ143" s="113">
        <v>0</v>
      </c>
      <c r="EA143" s="113">
        <v>0</v>
      </c>
      <c r="EB143" s="113">
        <v>0</v>
      </c>
      <c r="EC143" s="113">
        <v>0</v>
      </c>
      <c r="ED143" s="113">
        <v>0</v>
      </c>
      <c r="EE143" s="113">
        <v>0</v>
      </c>
      <c r="EF143" s="113"/>
      <c r="EG143" s="113"/>
      <c r="EH143" s="113"/>
      <c r="EI143" s="113"/>
      <c r="EJ143" s="113"/>
      <c r="EK143" s="113"/>
      <c r="EL143" s="114">
        <f t="shared" si="395"/>
        <v>0</v>
      </c>
      <c r="EM143" s="114">
        <f t="shared" si="396"/>
        <v>0</v>
      </c>
      <c r="EN143" s="114">
        <f t="shared" si="397"/>
        <v>0</v>
      </c>
      <c r="EO143" s="114">
        <f t="shared" si="398"/>
        <v>0</v>
      </c>
      <c r="EP143" s="114">
        <f t="shared" si="417"/>
        <v>0</v>
      </c>
      <c r="EQ143" s="114">
        <f t="shared" si="399"/>
        <v>0</v>
      </c>
      <c r="ER143" s="114">
        <f t="shared" si="400"/>
        <v>0</v>
      </c>
      <c r="ES143" s="116">
        <f t="shared" si="401"/>
        <v>0</v>
      </c>
      <c r="ET143" s="126">
        <f t="shared" ca="1" si="402"/>
        <v>0</v>
      </c>
      <c r="EU143" s="115">
        <f t="shared" ca="1" si="424"/>
        <v>0</v>
      </c>
      <c r="EV143" s="118" t="str">
        <f t="shared" si="418"/>
        <v>Uncapped</v>
      </c>
      <c r="EW143" s="115">
        <f t="shared" ca="1" si="425"/>
        <v>0</v>
      </c>
      <c r="EX143" s="112">
        <f t="shared" ca="1" si="426"/>
        <v>0</v>
      </c>
      <c r="EY143" s="114">
        <f t="shared" ca="1" si="403"/>
        <v>0</v>
      </c>
      <c r="EZ143" s="115">
        <v>0</v>
      </c>
      <c r="FA143" s="115"/>
      <c r="FB143" s="115"/>
      <c r="FC143" s="115">
        <v>0</v>
      </c>
      <c r="FD143" s="115">
        <f t="shared" si="404"/>
        <v>0</v>
      </c>
      <c r="FE143" s="114">
        <f t="shared" si="405"/>
        <v>0</v>
      </c>
      <c r="FF143" s="115">
        <v>0</v>
      </c>
      <c r="FG143" s="115">
        <v>0</v>
      </c>
      <c r="FH143" s="115">
        <v>0</v>
      </c>
      <c r="FI143" s="115">
        <v>0</v>
      </c>
      <c r="FJ143" s="115">
        <f t="shared" si="406"/>
        <v>0</v>
      </c>
      <c r="FK143" s="114">
        <f t="shared" si="407"/>
        <v>0</v>
      </c>
      <c r="FL143" s="113"/>
      <c r="FM143" s="111"/>
      <c r="FN143" s="111"/>
      <c r="FO143" s="111"/>
      <c r="FP143" s="115">
        <f t="shared" si="443"/>
        <v>0</v>
      </c>
      <c r="FQ143" s="115"/>
      <c r="FR143" s="115"/>
      <c r="FS143" s="115"/>
      <c r="FT143" s="114">
        <f t="shared" si="435"/>
        <v>0</v>
      </c>
      <c r="FU143" s="366">
        <f t="shared" ca="1" si="436"/>
        <v>0</v>
      </c>
      <c r="FV143" s="121">
        <f t="shared" ca="1" si="437"/>
        <v>0</v>
      </c>
      <c r="FW143" s="114">
        <f t="shared" si="444"/>
        <v>0</v>
      </c>
      <c r="FX143" s="114">
        <f t="shared" si="444"/>
        <v>0</v>
      </c>
      <c r="FY143" s="114">
        <f t="shared" si="444"/>
        <v>0</v>
      </c>
      <c r="FZ143" s="114">
        <f t="shared" si="444"/>
        <v>0</v>
      </c>
      <c r="GA143" s="114">
        <f t="shared" si="372"/>
        <v>0</v>
      </c>
      <c r="GB143" s="114">
        <f t="shared" si="445"/>
        <v>0</v>
      </c>
      <c r="GC143" s="114">
        <f t="shared" si="445"/>
        <v>0</v>
      </c>
      <c r="GD143" s="114">
        <f t="shared" si="445"/>
        <v>0</v>
      </c>
      <c r="GE143" s="114">
        <f t="shared" si="445"/>
        <v>0</v>
      </c>
      <c r="GF143" s="114">
        <f t="shared" si="441"/>
        <v>0</v>
      </c>
      <c r="GG143" s="114">
        <f t="shared" si="441"/>
        <v>0</v>
      </c>
      <c r="GH143" s="114">
        <f t="shared" si="441"/>
        <v>0</v>
      </c>
      <c r="GI143" s="114">
        <f t="shared" si="441"/>
        <v>0</v>
      </c>
      <c r="GJ143" s="115">
        <f t="shared" si="408"/>
        <v>0</v>
      </c>
      <c r="GK143" s="114">
        <f t="shared" si="438"/>
        <v>0</v>
      </c>
      <c r="GL143" s="114">
        <f t="shared" si="427"/>
        <v>0</v>
      </c>
      <c r="GM143" s="114">
        <f t="shared" si="428"/>
        <v>0</v>
      </c>
      <c r="GN143" s="114">
        <f t="shared" si="429"/>
        <v>0</v>
      </c>
      <c r="GO143" s="114">
        <f t="shared" si="430"/>
        <v>0</v>
      </c>
      <c r="GP143" s="114">
        <f t="shared" si="409"/>
        <v>0</v>
      </c>
      <c r="GQ143" s="114">
        <f t="shared" si="439"/>
        <v>0</v>
      </c>
      <c r="GR143" s="193"/>
      <c r="GS143" s="122">
        <f t="shared" si="431"/>
        <v>51397202.498240568</v>
      </c>
      <c r="GT143" s="122">
        <f t="shared" si="432"/>
        <v>72800110.993032873</v>
      </c>
      <c r="GU143" s="123">
        <f t="shared" si="440"/>
        <v>0.70600445242671939</v>
      </c>
      <c r="GV143" s="124">
        <f t="shared" ca="1" si="433"/>
        <v>0</v>
      </c>
      <c r="GW143" s="124">
        <v>0</v>
      </c>
      <c r="GX143" s="32">
        <f t="shared" ca="1" si="434"/>
        <v>0</v>
      </c>
      <c r="GY143" s="100"/>
    </row>
    <row r="144" spans="3:207" s="408" customFormat="1" hidden="1">
      <c r="C144" s="402"/>
      <c r="D144" s="402"/>
      <c r="E144" s="403"/>
      <c r="F144" s="403" t="s">
        <v>720</v>
      </c>
      <c r="G144" s="403" t="s">
        <v>226</v>
      </c>
      <c r="H144" s="105" t="s">
        <v>577</v>
      </c>
      <c r="I144" s="403" t="s">
        <v>610</v>
      </c>
      <c r="J144" s="403" t="s">
        <v>615</v>
      </c>
      <c r="K144" s="403" t="s">
        <v>544</v>
      </c>
      <c r="L144" s="403"/>
      <c r="M144" s="403"/>
      <c r="N144" s="404"/>
      <c r="O144" s="108">
        <v>40532</v>
      </c>
      <c r="P144" s="108">
        <v>40532</v>
      </c>
      <c r="Q144" s="323">
        <f t="shared" si="410"/>
        <v>0</v>
      </c>
      <c r="R144" s="109">
        <f>IF((P144-VLOOKUP(Q144,month!$A$1:$C$13,3,0))&lt;0,Q144,Q144+1)</f>
        <v>0</v>
      </c>
      <c r="S144" s="108"/>
      <c r="T144" s="110" t="str">
        <f t="shared" si="442"/>
        <v/>
      </c>
      <c r="U144" s="404"/>
      <c r="V144" s="404"/>
      <c r="W144" s="405"/>
      <c r="X144" s="405"/>
      <c r="Y144" s="492"/>
      <c r="Z144" s="406" t="s">
        <v>545</v>
      </c>
      <c r="AA144" s="394">
        <v>1000</v>
      </c>
      <c r="AB144" s="394">
        <v>1000</v>
      </c>
      <c r="AC144" s="394">
        <v>1000</v>
      </c>
      <c r="AD144" s="394">
        <v>1000</v>
      </c>
      <c r="AE144" s="394">
        <v>1000</v>
      </c>
      <c r="AF144" s="394">
        <v>1000</v>
      </c>
      <c r="AG144" s="394">
        <v>1000</v>
      </c>
      <c r="AH144" s="394">
        <v>1000</v>
      </c>
      <c r="AI144" s="394">
        <v>1000</v>
      </c>
      <c r="AJ144" s="394">
        <v>1000</v>
      </c>
      <c r="AK144" s="394">
        <v>1000</v>
      </c>
      <c r="AL144" s="394">
        <v>1000</v>
      </c>
      <c r="AM144" s="388">
        <f t="shared" si="373"/>
        <v>12000</v>
      </c>
      <c r="AN144" s="388">
        <f t="shared" si="411"/>
        <v>12000</v>
      </c>
      <c r="AO144" s="389">
        <f t="shared" si="446"/>
        <v>1000</v>
      </c>
      <c r="AP144" s="502" t="s">
        <v>750</v>
      </c>
      <c r="AQ144" s="159">
        <v>0.5</v>
      </c>
      <c r="AR144" s="103" t="s">
        <v>211</v>
      </c>
      <c r="AS144" s="119" t="s">
        <v>210</v>
      </c>
      <c r="AT144" s="111">
        <v>619023.70180270565</v>
      </c>
      <c r="AU144" s="111">
        <v>689370.67089741363</v>
      </c>
      <c r="AV144" s="111">
        <v>657617.80913764494</v>
      </c>
      <c r="AW144" s="111">
        <v>770191.79826823843</v>
      </c>
      <c r="AX144" s="113">
        <v>773116.82</v>
      </c>
      <c r="AY144" s="113">
        <v>760063.59</v>
      </c>
      <c r="AZ144" s="113">
        <v>705215.07</v>
      </c>
      <c r="BA144" s="113"/>
      <c r="BB144" s="113"/>
      <c r="BC144" s="113"/>
      <c r="BD144" s="113"/>
      <c r="BE144" s="113"/>
      <c r="BF144" s="114">
        <f t="shared" si="374"/>
        <v>773116.82</v>
      </c>
      <c r="BG144" s="114">
        <f t="shared" si="375"/>
        <v>760063.59</v>
      </c>
      <c r="BH144" s="114">
        <f t="shared" si="376"/>
        <v>705215.07</v>
      </c>
      <c r="BI144" s="114">
        <f t="shared" si="377"/>
        <v>0</v>
      </c>
      <c r="BJ144" s="114">
        <f t="shared" si="412"/>
        <v>2238395.48</v>
      </c>
      <c r="BK144" s="115">
        <f t="shared" si="447"/>
        <v>2736203.9801060027</v>
      </c>
      <c r="BL144" s="115">
        <f t="shared" si="378"/>
        <v>2736203.9801060027</v>
      </c>
      <c r="BM144" s="116">
        <f t="shared" si="379"/>
        <v>0.81810000000000005</v>
      </c>
      <c r="BN144" s="126">
        <f t="shared" ca="1" si="448"/>
        <v>0</v>
      </c>
      <c r="BO144" s="117">
        <f t="shared" ca="1" si="449"/>
        <v>0</v>
      </c>
      <c r="BP144" s="118" t="str">
        <f t="shared" si="450"/>
        <v>Uncapped</v>
      </c>
      <c r="BQ144" s="115">
        <f t="shared" ca="1" si="451"/>
        <v>0</v>
      </c>
      <c r="BR144" s="174" t="s">
        <v>762</v>
      </c>
      <c r="BS144" s="175">
        <v>0.3</v>
      </c>
      <c r="BT144" s="174" t="s">
        <v>211</v>
      </c>
      <c r="BU144" s="174" t="s">
        <v>210</v>
      </c>
      <c r="BV144" s="113">
        <v>2060801.742359617</v>
      </c>
      <c r="BW144" s="113">
        <v>2402466.5250502843</v>
      </c>
      <c r="BX144" s="113">
        <v>2442175.5793229761</v>
      </c>
      <c r="BY144" s="113">
        <v>2380941.3983696885</v>
      </c>
      <c r="BZ144" s="113">
        <v>2137162.0499999998</v>
      </c>
      <c r="CA144" s="113">
        <v>2025228.7860000017</v>
      </c>
      <c r="CB144" s="113">
        <v>2007691</v>
      </c>
      <c r="CC144" s="113">
        <f t="shared" si="352"/>
        <v>2380941.3983696885</v>
      </c>
      <c r="CD144" s="113"/>
      <c r="CE144" s="113"/>
      <c r="CF144" s="113"/>
      <c r="CG144" s="113"/>
      <c r="CH144" s="114">
        <f t="shared" si="380"/>
        <v>2137162.0499999998</v>
      </c>
      <c r="CI144" s="114">
        <f t="shared" si="381"/>
        <v>2025228.7860000017</v>
      </c>
      <c r="CJ144" s="120">
        <f t="shared" si="382"/>
        <v>2007691</v>
      </c>
      <c r="CK144" s="114">
        <f t="shared" si="383"/>
        <v>2380941.3983696885</v>
      </c>
      <c r="CL144" s="114">
        <f t="shared" si="413"/>
        <v>8551023.2343696896</v>
      </c>
      <c r="CM144" s="114">
        <f t="shared" si="384"/>
        <v>9286385.2451025657</v>
      </c>
      <c r="CN144" s="114">
        <f t="shared" si="385"/>
        <v>9286385.2451025657</v>
      </c>
      <c r="CO144" s="116">
        <f t="shared" si="386"/>
        <v>0.92079999999999995</v>
      </c>
      <c r="CP144" s="126">
        <f t="shared" ca="1" si="387"/>
        <v>0</v>
      </c>
      <c r="CQ144" s="115">
        <f t="shared" ca="1" si="419"/>
        <v>0</v>
      </c>
      <c r="CR144" s="118" t="str">
        <f t="shared" si="414"/>
        <v>Uncapped</v>
      </c>
      <c r="CS144" s="115">
        <f t="shared" ca="1" si="420"/>
        <v>0</v>
      </c>
      <c r="CT144" s="113" t="s">
        <v>729</v>
      </c>
      <c r="CU144" s="119">
        <v>0.2</v>
      </c>
      <c r="CV144" s="113" t="s">
        <v>217</v>
      </c>
      <c r="CW144" s="113" t="s">
        <v>210</v>
      </c>
      <c r="CX144" s="113">
        <v>13631298.3753272</v>
      </c>
      <c r="CY144" s="113">
        <v>15463517.626933601</v>
      </c>
      <c r="CZ144" s="113">
        <v>15159650.061351301</v>
      </c>
      <c r="DA144" s="113">
        <v>16523055.704212198</v>
      </c>
      <c r="DB144" s="113">
        <v>13485327.436090879</v>
      </c>
      <c r="DC144" s="113">
        <v>13198691</v>
      </c>
      <c r="DD144" s="113">
        <v>13923765.347779993</v>
      </c>
      <c r="DE144" s="113"/>
      <c r="DF144" s="113"/>
      <c r="DG144" s="113"/>
      <c r="DH144" s="113"/>
      <c r="DI144" s="113"/>
      <c r="DJ144" s="114">
        <f t="shared" si="388"/>
        <v>13485327.436090879</v>
      </c>
      <c r="DK144" s="114">
        <f t="shared" si="389"/>
        <v>13198691</v>
      </c>
      <c r="DL144" s="114">
        <f t="shared" si="390"/>
        <v>13923765.347779993</v>
      </c>
      <c r="DM144" s="114">
        <f t="shared" si="391"/>
        <v>0</v>
      </c>
      <c r="DN144" s="114">
        <f t="shared" si="415"/>
        <v>40607783.783870876</v>
      </c>
      <c r="DO144" s="114">
        <f t="shared" si="392"/>
        <v>60777521.7678243</v>
      </c>
      <c r="DP144" s="114">
        <f t="shared" si="393"/>
        <v>60777521.7678243</v>
      </c>
      <c r="DQ144" s="116">
        <f t="shared" si="394"/>
        <v>0.66810000000000003</v>
      </c>
      <c r="DR144" s="126">
        <f t="shared" ca="1" si="421"/>
        <v>0</v>
      </c>
      <c r="DS144" s="115">
        <f t="shared" ca="1" si="422"/>
        <v>0</v>
      </c>
      <c r="DT144" s="118" t="str">
        <f t="shared" si="416"/>
        <v>Uncapped</v>
      </c>
      <c r="DU144" s="115">
        <f t="shared" ca="1" si="423"/>
        <v>0</v>
      </c>
      <c r="DV144" s="113"/>
      <c r="DW144" s="119">
        <v>0</v>
      </c>
      <c r="DX144" s="113"/>
      <c r="DY144" s="113"/>
      <c r="DZ144" s="113">
        <v>0</v>
      </c>
      <c r="EA144" s="113">
        <v>0</v>
      </c>
      <c r="EB144" s="113">
        <v>0</v>
      </c>
      <c r="EC144" s="113">
        <v>0</v>
      </c>
      <c r="ED144" s="113">
        <v>0</v>
      </c>
      <c r="EE144" s="113">
        <v>0</v>
      </c>
      <c r="EF144" s="113"/>
      <c r="EG144" s="113"/>
      <c r="EH144" s="113"/>
      <c r="EI144" s="113"/>
      <c r="EJ144" s="113"/>
      <c r="EK144" s="113"/>
      <c r="EL144" s="114">
        <f t="shared" si="395"/>
        <v>0</v>
      </c>
      <c r="EM144" s="114">
        <f t="shared" si="396"/>
        <v>0</v>
      </c>
      <c r="EN144" s="114">
        <f t="shared" si="397"/>
        <v>0</v>
      </c>
      <c r="EO144" s="114">
        <f t="shared" si="398"/>
        <v>0</v>
      </c>
      <c r="EP144" s="114">
        <f t="shared" si="417"/>
        <v>0</v>
      </c>
      <c r="EQ144" s="114">
        <f t="shared" si="399"/>
        <v>0</v>
      </c>
      <c r="ER144" s="114">
        <f t="shared" si="400"/>
        <v>0</v>
      </c>
      <c r="ES144" s="116">
        <f t="shared" si="401"/>
        <v>0</v>
      </c>
      <c r="ET144" s="126">
        <f t="shared" ca="1" si="402"/>
        <v>0</v>
      </c>
      <c r="EU144" s="115">
        <f t="shared" ca="1" si="424"/>
        <v>0</v>
      </c>
      <c r="EV144" s="118" t="str">
        <f t="shared" si="418"/>
        <v>Uncapped</v>
      </c>
      <c r="EW144" s="115">
        <f t="shared" ca="1" si="425"/>
        <v>0</v>
      </c>
      <c r="EX144" s="112">
        <f t="shared" ca="1" si="426"/>
        <v>0</v>
      </c>
      <c r="EY144" s="114">
        <f t="shared" ca="1" si="403"/>
        <v>0</v>
      </c>
      <c r="EZ144" s="115">
        <v>0</v>
      </c>
      <c r="FA144" s="115"/>
      <c r="FB144" s="115"/>
      <c r="FC144" s="115">
        <v>0</v>
      </c>
      <c r="FD144" s="115">
        <f t="shared" si="404"/>
        <v>0</v>
      </c>
      <c r="FE144" s="114">
        <f t="shared" si="405"/>
        <v>0</v>
      </c>
      <c r="FF144" s="115">
        <v>0</v>
      </c>
      <c r="FG144" s="115">
        <v>0</v>
      </c>
      <c r="FH144" s="115">
        <v>0</v>
      </c>
      <c r="FI144" s="115">
        <v>0</v>
      </c>
      <c r="FJ144" s="115">
        <f t="shared" si="406"/>
        <v>0</v>
      </c>
      <c r="FK144" s="114">
        <f t="shared" si="407"/>
        <v>0</v>
      </c>
      <c r="FL144" s="113"/>
      <c r="FM144" s="111"/>
      <c r="FN144" s="111"/>
      <c r="FO144" s="111"/>
      <c r="FP144" s="115">
        <f t="shared" si="443"/>
        <v>0</v>
      </c>
      <c r="FQ144" s="115"/>
      <c r="FR144" s="115"/>
      <c r="FS144" s="115"/>
      <c r="FT144" s="114">
        <f t="shared" si="435"/>
        <v>0</v>
      </c>
      <c r="FU144" s="366">
        <f t="shared" ca="1" si="436"/>
        <v>0</v>
      </c>
      <c r="FV144" s="121">
        <f t="shared" ca="1" si="437"/>
        <v>0</v>
      </c>
      <c r="FW144" s="114">
        <f t="shared" si="444"/>
        <v>0</v>
      </c>
      <c r="FX144" s="114">
        <f t="shared" si="444"/>
        <v>0</v>
      </c>
      <c r="FY144" s="114">
        <f t="shared" si="444"/>
        <v>0</v>
      </c>
      <c r="FZ144" s="114">
        <f t="shared" si="444"/>
        <v>0</v>
      </c>
      <c r="GA144" s="114">
        <f t="shared" si="372"/>
        <v>0</v>
      </c>
      <c r="GB144" s="114">
        <f t="shared" si="445"/>
        <v>0</v>
      </c>
      <c r="GC144" s="114">
        <f t="shared" si="445"/>
        <v>0</v>
      </c>
      <c r="GD144" s="114">
        <f t="shared" si="445"/>
        <v>0</v>
      </c>
      <c r="GE144" s="114">
        <f t="shared" si="445"/>
        <v>0</v>
      </c>
      <c r="GF144" s="114">
        <f t="shared" si="441"/>
        <v>0</v>
      </c>
      <c r="GG144" s="114">
        <f t="shared" si="441"/>
        <v>0</v>
      </c>
      <c r="GH144" s="114">
        <f t="shared" si="441"/>
        <v>0</v>
      </c>
      <c r="GI144" s="114">
        <f t="shared" si="441"/>
        <v>0</v>
      </c>
      <c r="GJ144" s="115">
        <f t="shared" si="408"/>
        <v>0</v>
      </c>
      <c r="GK144" s="114">
        <f t="shared" si="438"/>
        <v>0</v>
      </c>
      <c r="GL144" s="114">
        <f t="shared" si="427"/>
        <v>0</v>
      </c>
      <c r="GM144" s="114">
        <f t="shared" si="428"/>
        <v>0</v>
      </c>
      <c r="GN144" s="114">
        <f t="shared" si="429"/>
        <v>0</v>
      </c>
      <c r="GO144" s="114">
        <f t="shared" si="430"/>
        <v>0</v>
      </c>
      <c r="GP144" s="114">
        <f t="shared" si="409"/>
        <v>0</v>
      </c>
      <c r="GQ144" s="114">
        <f t="shared" si="439"/>
        <v>0</v>
      </c>
      <c r="GR144" s="193"/>
      <c r="GS144" s="122">
        <f t="shared" si="431"/>
        <v>51397202.498240568</v>
      </c>
      <c r="GT144" s="122">
        <f t="shared" si="432"/>
        <v>72800110.993032873</v>
      </c>
      <c r="GU144" s="123">
        <f t="shared" si="440"/>
        <v>0.70600445242671939</v>
      </c>
      <c r="GV144" s="124">
        <f t="shared" ca="1" si="433"/>
        <v>0</v>
      </c>
      <c r="GW144" s="124">
        <v>0</v>
      </c>
      <c r="GX144" s="32">
        <f t="shared" ca="1" si="434"/>
        <v>0</v>
      </c>
      <c r="GY144" s="100"/>
    </row>
    <row r="145" spans="3:207" s="408" customFormat="1" hidden="1">
      <c r="C145" s="402"/>
      <c r="D145" s="402"/>
      <c r="E145" s="403"/>
      <c r="F145" s="403" t="s">
        <v>720</v>
      </c>
      <c r="G145" s="403" t="s">
        <v>226</v>
      </c>
      <c r="H145" s="105" t="s">
        <v>578</v>
      </c>
      <c r="I145" s="403" t="s">
        <v>611</v>
      </c>
      <c r="J145" s="403" t="s">
        <v>615</v>
      </c>
      <c r="K145" s="403" t="s">
        <v>544</v>
      </c>
      <c r="L145" s="403"/>
      <c r="M145" s="403"/>
      <c r="N145" s="404"/>
      <c r="O145" s="108">
        <v>40721</v>
      </c>
      <c r="P145" s="108">
        <v>40721</v>
      </c>
      <c r="Q145" s="323">
        <f t="shared" si="410"/>
        <v>0</v>
      </c>
      <c r="R145" s="109">
        <f>IF((P145-VLOOKUP(Q145,month!$A$1:$C$13,3,0))&lt;0,Q145,Q145+1)</f>
        <v>0</v>
      </c>
      <c r="S145" s="108"/>
      <c r="T145" s="110" t="str">
        <f t="shared" si="442"/>
        <v/>
      </c>
      <c r="U145" s="404"/>
      <c r="V145" s="404"/>
      <c r="W145" s="405"/>
      <c r="X145" s="405"/>
      <c r="Y145" s="492"/>
      <c r="Z145" s="406" t="s">
        <v>545</v>
      </c>
      <c r="AA145" s="394">
        <v>1000</v>
      </c>
      <c r="AB145" s="394">
        <v>1000</v>
      </c>
      <c r="AC145" s="394">
        <v>1000</v>
      </c>
      <c r="AD145" s="394">
        <v>1000</v>
      </c>
      <c r="AE145" s="394">
        <v>1000</v>
      </c>
      <c r="AF145" s="394">
        <v>1000</v>
      </c>
      <c r="AG145" s="394">
        <v>1000</v>
      </c>
      <c r="AH145" s="394">
        <v>1000</v>
      </c>
      <c r="AI145" s="394">
        <v>1000</v>
      </c>
      <c r="AJ145" s="394">
        <v>1000</v>
      </c>
      <c r="AK145" s="394">
        <v>1000</v>
      </c>
      <c r="AL145" s="394">
        <v>1000</v>
      </c>
      <c r="AM145" s="388">
        <f t="shared" si="373"/>
        <v>12000</v>
      </c>
      <c r="AN145" s="388">
        <f t="shared" si="411"/>
        <v>12000</v>
      </c>
      <c r="AO145" s="389">
        <f t="shared" si="446"/>
        <v>1000</v>
      </c>
      <c r="AP145" s="502" t="s">
        <v>739</v>
      </c>
      <c r="AQ145" s="159">
        <v>0.5</v>
      </c>
      <c r="AR145" s="103" t="s">
        <v>211</v>
      </c>
      <c r="AS145" s="119" t="s">
        <v>210</v>
      </c>
      <c r="AT145" s="111">
        <v>1052583.3912734503</v>
      </c>
      <c r="AU145" s="111">
        <v>1153018.3228203235</v>
      </c>
      <c r="AV145" s="111">
        <v>1130473.4868267623</v>
      </c>
      <c r="AW145" s="111">
        <v>1353924.7990794657</v>
      </c>
      <c r="AX145" s="113">
        <f>739668.69+113070.6</f>
        <v>852739.28999999992</v>
      </c>
      <c r="AY145" s="113">
        <v>1363310.415</v>
      </c>
      <c r="AZ145" s="113">
        <v>595284.12</v>
      </c>
      <c r="BA145" s="113"/>
      <c r="BB145" s="113"/>
      <c r="BC145" s="113"/>
      <c r="BD145" s="113"/>
      <c r="BE145" s="113"/>
      <c r="BF145" s="114">
        <f t="shared" si="374"/>
        <v>852739.28999999992</v>
      </c>
      <c r="BG145" s="114">
        <f t="shared" si="375"/>
        <v>1363310.415</v>
      </c>
      <c r="BH145" s="114">
        <f t="shared" si="376"/>
        <v>595284.12</v>
      </c>
      <c r="BI145" s="114">
        <f t="shared" si="377"/>
        <v>0</v>
      </c>
      <c r="BJ145" s="114">
        <f t="shared" si="412"/>
        <v>2811333.8250000002</v>
      </c>
      <c r="BK145" s="115">
        <f t="shared" si="447"/>
        <v>4690000.0000000019</v>
      </c>
      <c r="BL145" s="115">
        <f t="shared" si="378"/>
        <v>4690000.0000000019</v>
      </c>
      <c r="BM145" s="116">
        <f t="shared" si="379"/>
        <v>0.59940000000000004</v>
      </c>
      <c r="BN145" s="126">
        <f t="shared" ca="1" si="448"/>
        <v>0</v>
      </c>
      <c r="BO145" s="117">
        <f t="shared" ca="1" si="449"/>
        <v>0</v>
      </c>
      <c r="BP145" s="118" t="str">
        <f t="shared" si="450"/>
        <v>Uncapped</v>
      </c>
      <c r="BQ145" s="115">
        <f t="shared" ca="1" si="451"/>
        <v>0</v>
      </c>
      <c r="BR145" s="174" t="s">
        <v>761</v>
      </c>
      <c r="BS145" s="175">
        <v>0.3</v>
      </c>
      <c r="BT145" s="174" t="s">
        <v>211</v>
      </c>
      <c r="BU145" s="174" t="s">
        <v>210</v>
      </c>
      <c r="BV145" s="113">
        <v>202268.3059424891</v>
      </c>
      <c r="BW145" s="113">
        <v>234741.88681745128</v>
      </c>
      <c r="BX145" s="113">
        <v>223642.71409438783</v>
      </c>
      <c r="BY145" s="113">
        <v>239347.09314567197</v>
      </c>
      <c r="BZ145" s="113">
        <f>61541.64+33680</f>
        <v>95221.64</v>
      </c>
      <c r="CA145" s="113">
        <f>669807+18642</f>
        <v>688449</v>
      </c>
      <c r="CB145" s="113">
        <f>496089.19+40839</f>
        <v>536928.18999999994</v>
      </c>
      <c r="CC145" s="113">
        <f t="shared" si="352"/>
        <v>239347.09314567197</v>
      </c>
      <c r="CD145" s="113"/>
      <c r="CE145" s="113"/>
      <c r="CF145" s="113"/>
      <c r="CG145" s="113"/>
      <c r="CH145" s="114">
        <f t="shared" si="380"/>
        <v>95221.64</v>
      </c>
      <c r="CI145" s="114">
        <f t="shared" si="381"/>
        <v>688449</v>
      </c>
      <c r="CJ145" s="120">
        <f t="shared" si="382"/>
        <v>536928.18999999994</v>
      </c>
      <c r="CK145" s="114">
        <f t="shared" si="383"/>
        <v>239347.09314567197</v>
      </c>
      <c r="CL145" s="114">
        <f t="shared" si="413"/>
        <v>1559945.9231456721</v>
      </c>
      <c r="CM145" s="114">
        <f t="shared" si="384"/>
        <v>900000.00000000023</v>
      </c>
      <c r="CN145" s="114">
        <f t="shared" si="385"/>
        <v>900000.00000000023</v>
      </c>
      <c r="CO145" s="116">
        <f t="shared" si="386"/>
        <v>1.7333000000000001</v>
      </c>
      <c r="CP145" s="126">
        <f t="shared" ca="1" si="387"/>
        <v>0</v>
      </c>
      <c r="CQ145" s="115">
        <f t="shared" ca="1" si="419"/>
        <v>0</v>
      </c>
      <c r="CR145" s="118" t="str">
        <f t="shared" si="414"/>
        <v>Uncapped</v>
      </c>
      <c r="CS145" s="115">
        <f t="shared" ca="1" si="420"/>
        <v>0</v>
      </c>
      <c r="CT145" s="113" t="s">
        <v>729</v>
      </c>
      <c r="CU145" s="119">
        <v>0.2</v>
      </c>
      <c r="CV145" s="113" t="s">
        <v>217</v>
      </c>
      <c r="CW145" s="113" t="s">
        <v>210</v>
      </c>
      <c r="CX145" s="113">
        <v>13631298.3753272</v>
      </c>
      <c r="CY145" s="113">
        <v>15463517.626933601</v>
      </c>
      <c r="CZ145" s="113">
        <v>15159650.061351301</v>
      </c>
      <c r="DA145" s="113">
        <v>16523055.704212198</v>
      </c>
      <c r="DB145" s="113">
        <v>13485327.436090879</v>
      </c>
      <c r="DC145" s="113">
        <v>13198691</v>
      </c>
      <c r="DD145" s="113">
        <v>13923765.347779993</v>
      </c>
      <c r="DE145" s="113"/>
      <c r="DF145" s="113"/>
      <c r="DG145" s="113"/>
      <c r="DH145" s="113"/>
      <c r="DI145" s="113"/>
      <c r="DJ145" s="114">
        <f t="shared" si="388"/>
        <v>13485327.436090879</v>
      </c>
      <c r="DK145" s="114">
        <f t="shared" si="389"/>
        <v>13198691</v>
      </c>
      <c r="DL145" s="114">
        <f t="shared" si="390"/>
        <v>13923765.347779993</v>
      </c>
      <c r="DM145" s="114">
        <f t="shared" si="391"/>
        <v>0</v>
      </c>
      <c r="DN145" s="114">
        <f t="shared" si="415"/>
        <v>40607783.783870876</v>
      </c>
      <c r="DO145" s="114">
        <f t="shared" si="392"/>
        <v>60777521.7678243</v>
      </c>
      <c r="DP145" s="114">
        <f t="shared" si="393"/>
        <v>60777521.7678243</v>
      </c>
      <c r="DQ145" s="116">
        <f t="shared" si="394"/>
        <v>0.66810000000000003</v>
      </c>
      <c r="DR145" s="126">
        <f t="shared" ca="1" si="421"/>
        <v>0</v>
      </c>
      <c r="DS145" s="115">
        <f t="shared" ca="1" si="422"/>
        <v>0</v>
      </c>
      <c r="DT145" s="118" t="str">
        <f t="shared" si="416"/>
        <v>Uncapped</v>
      </c>
      <c r="DU145" s="115">
        <f t="shared" ca="1" si="423"/>
        <v>0</v>
      </c>
      <c r="DV145" s="113"/>
      <c r="DW145" s="119">
        <v>0</v>
      </c>
      <c r="DX145" s="113"/>
      <c r="DY145" s="113"/>
      <c r="DZ145" s="113">
        <v>0</v>
      </c>
      <c r="EA145" s="113">
        <v>0</v>
      </c>
      <c r="EB145" s="113">
        <v>0</v>
      </c>
      <c r="EC145" s="113">
        <v>0</v>
      </c>
      <c r="ED145" s="113">
        <v>0</v>
      </c>
      <c r="EE145" s="113">
        <v>0</v>
      </c>
      <c r="EF145" s="113"/>
      <c r="EG145" s="113"/>
      <c r="EH145" s="113"/>
      <c r="EI145" s="113"/>
      <c r="EJ145" s="113"/>
      <c r="EK145" s="113"/>
      <c r="EL145" s="114">
        <f t="shared" si="395"/>
        <v>0</v>
      </c>
      <c r="EM145" s="114">
        <f t="shared" si="396"/>
        <v>0</v>
      </c>
      <c r="EN145" s="114">
        <f t="shared" si="397"/>
        <v>0</v>
      </c>
      <c r="EO145" s="114">
        <f t="shared" si="398"/>
        <v>0</v>
      </c>
      <c r="EP145" s="114">
        <f t="shared" si="417"/>
        <v>0</v>
      </c>
      <c r="EQ145" s="114">
        <f t="shared" si="399"/>
        <v>0</v>
      </c>
      <c r="ER145" s="114">
        <f t="shared" si="400"/>
        <v>0</v>
      </c>
      <c r="ES145" s="116">
        <f t="shared" si="401"/>
        <v>0</v>
      </c>
      <c r="ET145" s="126">
        <f t="shared" ca="1" si="402"/>
        <v>0</v>
      </c>
      <c r="EU145" s="115">
        <f t="shared" ca="1" si="424"/>
        <v>0</v>
      </c>
      <c r="EV145" s="118" t="str">
        <f t="shared" si="418"/>
        <v>Uncapped</v>
      </c>
      <c r="EW145" s="115">
        <f t="shared" ca="1" si="425"/>
        <v>0</v>
      </c>
      <c r="EX145" s="112">
        <f t="shared" ca="1" si="426"/>
        <v>0</v>
      </c>
      <c r="EY145" s="114">
        <f t="shared" ca="1" si="403"/>
        <v>0</v>
      </c>
      <c r="EZ145" s="115">
        <v>0</v>
      </c>
      <c r="FA145" s="115"/>
      <c r="FB145" s="115"/>
      <c r="FC145" s="115">
        <v>0</v>
      </c>
      <c r="FD145" s="115">
        <f t="shared" si="404"/>
        <v>0</v>
      </c>
      <c r="FE145" s="114">
        <f t="shared" si="405"/>
        <v>0</v>
      </c>
      <c r="FF145" s="115">
        <v>0</v>
      </c>
      <c r="FG145" s="115">
        <v>0</v>
      </c>
      <c r="FH145" s="115">
        <v>0</v>
      </c>
      <c r="FI145" s="115">
        <v>0</v>
      </c>
      <c r="FJ145" s="115">
        <f t="shared" si="406"/>
        <v>0</v>
      </c>
      <c r="FK145" s="114">
        <f t="shared" si="407"/>
        <v>0</v>
      </c>
      <c r="FL145" s="113"/>
      <c r="FM145" s="111"/>
      <c r="FN145" s="111"/>
      <c r="FO145" s="111"/>
      <c r="FP145" s="115">
        <f t="shared" si="443"/>
        <v>0</v>
      </c>
      <c r="FQ145" s="115"/>
      <c r="FR145" s="115"/>
      <c r="FS145" s="115"/>
      <c r="FT145" s="114">
        <f t="shared" si="435"/>
        <v>0</v>
      </c>
      <c r="FU145" s="366">
        <f t="shared" ca="1" si="436"/>
        <v>0</v>
      </c>
      <c r="FV145" s="121">
        <f t="shared" ca="1" si="437"/>
        <v>0</v>
      </c>
      <c r="FW145" s="114">
        <f t="shared" si="444"/>
        <v>0</v>
      </c>
      <c r="FX145" s="114">
        <f t="shared" si="444"/>
        <v>0</v>
      </c>
      <c r="FY145" s="114">
        <f t="shared" si="444"/>
        <v>0</v>
      </c>
      <c r="FZ145" s="114">
        <f t="shared" si="444"/>
        <v>0</v>
      </c>
      <c r="GA145" s="114">
        <f t="shared" si="372"/>
        <v>0</v>
      </c>
      <c r="GB145" s="114">
        <f t="shared" si="445"/>
        <v>0</v>
      </c>
      <c r="GC145" s="114">
        <f t="shared" si="445"/>
        <v>0</v>
      </c>
      <c r="GD145" s="114">
        <f t="shared" si="445"/>
        <v>0</v>
      </c>
      <c r="GE145" s="114">
        <f t="shared" si="445"/>
        <v>0</v>
      </c>
      <c r="GF145" s="114">
        <f t="shared" si="441"/>
        <v>0</v>
      </c>
      <c r="GG145" s="114">
        <f t="shared" si="441"/>
        <v>0</v>
      </c>
      <c r="GH145" s="114">
        <f t="shared" si="441"/>
        <v>0</v>
      </c>
      <c r="GI145" s="114">
        <f t="shared" si="441"/>
        <v>0</v>
      </c>
      <c r="GJ145" s="115">
        <f t="shared" si="408"/>
        <v>0</v>
      </c>
      <c r="GK145" s="114">
        <f t="shared" si="438"/>
        <v>0</v>
      </c>
      <c r="GL145" s="114">
        <f t="shared" si="427"/>
        <v>0</v>
      </c>
      <c r="GM145" s="114">
        <f t="shared" si="428"/>
        <v>0</v>
      </c>
      <c r="GN145" s="114">
        <f t="shared" si="429"/>
        <v>0</v>
      </c>
      <c r="GO145" s="114">
        <f t="shared" si="430"/>
        <v>0</v>
      </c>
      <c r="GP145" s="114">
        <f t="shared" si="409"/>
        <v>0</v>
      </c>
      <c r="GQ145" s="114">
        <f t="shared" si="439"/>
        <v>0</v>
      </c>
      <c r="GR145" s="193"/>
      <c r="GS145" s="122">
        <f t="shared" si="431"/>
        <v>44979063.532016546</v>
      </c>
      <c r="GT145" s="122">
        <f t="shared" si="432"/>
        <v>66367521.7678243</v>
      </c>
      <c r="GU145" s="123">
        <f t="shared" si="440"/>
        <v>0.67772703174556215</v>
      </c>
      <c r="GV145" s="124">
        <f t="shared" ca="1" si="433"/>
        <v>0</v>
      </c>
      <c r="GW145" s="124">
        <v>0</v>
      </c>
      <c r="GX145" s="32">
        <f t="shared" ca="1" si="434"/>
        <v>0</v>
      </c>
      <c r="GY145" s="100"/>
    </row>
    <row r="146" spans="3:207" s="408" customFormat="1" hidden="1">
      <c r="C146" s="402"/>
      <c r="D146" s="402"/>
      <c r="E146" s="403"/>
      <c r="F146" s="403" t="s">
        <v>720</v>
      </c>
      <c r="G146" s="403" t="s">
        <v>226</v>
      </c>
      <c r="H146" s="105" t="s">
        <v>579</v>
      </c>
      <c r="I146" s="403" t="s">
        <v>612</v>
      </c>
      <c r="J146" s="403" t="s">
        <v>212</v>
      </c>
      <c r="K146" s="403" t="s">
        <v>544</v>
      </c>
      <c r="L146" s="403"/>
      <c r="M146" s="403"/>
      <c r="N146" s="404"/>
      <c r="O146" s="108">
        <v>40725</v>
      </c>
      <c r="P146" s="108">
        <v>40725</v>
      </c>
      <c r="Q146" s="323">
        <f t="shared" si="410"/>
        <v>0</v>
      </c>
      <c r="R146" s="109">
        <f>IF((P146-VLOOKUP(Q146,month!$A$1:$C$13,3,0))&lt;0,Q146,Q146+1)</f>
        <v>0</v>
      </c>
      <c r="S146" s="108"/>
      <c r="T146" s="110" t="str">
        <f t="shared" si="442"/>
        <v/>
      </c>
      <c r="U146" s="404"/>
      <c r="V146" s="404"/>
      <c r="W146" s="405"/>
      <c r="X146" s="405"/>
      <c r="Y146" s="492"/>
      <c r="Z146" s="406" t="s">
        <v>545</v>
      </c>
      <c r="AA146" s="394">
        <v>1000</v>
      </c>
      <c r="AB146" s="394">
        <v>1000</v>
      </c>
      <c r="AC146" s="394">
        <v>1000</v>
      </c>
      <c r="AD146" s="394">
        <v>1000</v>
      </c>
      <c r="AE146" s="394">
        <v>1000</v>
      </c>
      <c r="AF146" s="394">
        <v>1000</v>
      </c>
      <c r="AG146" s="394">
        <v>1000</v>
      </c>
      <c r="AH146" s="394">
        <v>1000</v>
      </c>
      <c r="AI146" s="394">
        <v>1000</v>
      </c>
      <c r="AJ146" s="394">
        <v>1000</v>
      </c>
      <c r="AK146" s="394">
        <v>1000</v>
      </c>
      <c r="AL146" s="394">
        <v>1000</v>
      </c>
      <c r="AM146" s="388">
        <f t="shared" si="373"/>
        <v>12000</v>
      </c>
      <c r="AN146" s="388">
        <f t="shared" si="411"/>
        <v>12000</v>
      </c>
      <c r="AO146" s="389">
        <f t="shared" si="446"/>
        <v>1000</v>
      </c>
      <c r="AP146" s="502" t="s">
        <v>756</v>
      </c>
      <c r="AQ146" s="159">
        <v>0.5</v>
      </c>
      <c r="AR146" s="103" t="s">
        <v>211</v>
      </c>
      <c r="AS146" s="119" t="s">
        <v>210</v>
      </c>
      <c r="AT146" s="111">
        <v>504161.38989628456</v>
      </c>
      <c r="AU146" s="111">
        <v>544456.44005483075</v>
      </c>
      <c r="AV146" s="111">
        <v>537670.17740668193</v>
      </c>
      <c r="AW146" s="111">
        <v>660845.67363906</v>
      </c>
      <c r="AX146" s="113">
        <v>765647.4</v>
      </c>
      <c r="AY146" s="113">
        <v>664854.36929999897</v>
      </c>
      <c r="AZ146" s="113">
        <v>526957.68999999994</v>
      </c>
      <c r="BA146" s="113"/>
      <c r="BB146" s="113"/>
      <c r="BC146" s="113"/>
      <c r="BD146" s="113"/>
      <c r="BE146" s="113"/>
      <c r="BF146" s="114">
        <f t="shared" si="374"/>
        <v>765647.4</v>
      </c>
      <c r="BG146" s="114">
        <f t="shared" si="375"/>
        <v>664854.36929999897</v>
      </c>
      <c r="BH146" s="114">
        <f t="shared" si="376"/>
        <v>526957.68999999994</v>
      </c>
      <c r="BI146" s="114">
        <f t="shared" si="377"/>
        <v>0</v>
      </c>
      <c r="BJ146" s="114">
        <f t="shared" si="412"/>
        <v>1957459.4592999988</v>
      </c>
      <c r="BK146" s="115">
        <f t="shared" si="447"/>
        <v>2247133.6809968576</v>
      </c>
      <c r="BL146" s="115">
        <f t="shared" si="378"/>
        <v>2247133.6809968576</v>
      </c>
      <c r="BM146" s="116">
        <f t="shared" si="379"/>
        <v>0.87109999999999999</v>
      </c>
      <c r="BN146" s="126">
        <f t="shared" ca="1" si="448"/>
        <v>0</v>
      </c>
      <c r="BO146" s="117">
        <f t="shared" ca="1" si="449"/>
        <v>0</v>
      </c>
      <c r="BP146" s="118" t="str">
        <f t="shared" si="450"/>
        <v>Uncapped</v>
      </c>
      <c r="BQ146" s="115">
        <f t="shared" ca="1" si="451"/>
        <v>0</v>
      </c>
      <c r="BR146" s="174" t="s">
        <v>754</v>
      </c>
      <c r="BS146" s="175">
        <v>0.3</v>
      </c>
      <c r="BT146" s="174" t="s">
        <v>211</v>
      </c>
      <c r="BU146" s="174" t="s">
        <v>210</v>
      </c>
      <c r="BV146" s="113">
        <v>2958804.8870903947</v>
      </c>
      <c r="BW146" s="113">
        <v>3378333.3416459896</v>
      </c>
      <c r="BX146" s="113">
        <v>3377554.3984387857</v>
      </c>
      <c r="BY146" s="113">
        <v>3421297.040402459</v>
      </c>
      <c r="BZ146" s="113">
        <v>3757688.29</v>
      </c>
      <c r="CA146" s="113">
        <v>3406260</v>
      </c>
      <c r="CB146" s="113">
        <v>2601907.5471000001</v>
      </c>
      <c r="CC146" s="113">
        <f t="shared" si="352"/>
        <v>3421297.040402459</v>
      </c>
      <c r="CD146" s="113"/>
      <c r="CE146" s="113"/>
      <c r="CF146" s="113"/>
      <c r="CG146" s="113"/>
      <c r="CH146" s="114">
        <f t="shared" si="380"/>
        <v>3757688.29</v>
      </c>
      <c r="CI146" s="114">
        <f t="shared" si="381"/>
        <v>3406260</v>
      </c>
      <c r="CJ146" s="120">
        <f t="shared" si="382"/>
        <v>2601907.5471000001</v>
      </c>
      <c r="CK146" s="114">
        <f t="shared" si="383"/>
        <v>3421297.040402459</v>
      </c>
      <c r="CL146" s="114">
        <f t="shared" si="413"/>
        <v>13187152.877502458</v>
      </c>
      <c r="CM146" s="114">
        <f t="shared" si="384"/>
        <v>13135989.667577628</v>
      </c>
      <c r="CN146" s="114">
        <f t="shared" si="385"/>
        <v>13135989.667577628</v>
      </c>
      <c r="CO146" s="116">
        <f t="shared" si="386"/>
        <v>1.0039</v>
      </c>
      <c r="CP146" s="126">
        <f t="shared" ca="1" si="387"/>
        <v>0</v>
      </c>
      <c r="CQ146" s="115">
        <f t="shared" ca="1" si="419"/>
        <v>0</v>
      </c>
      <c r="CR146" s="118" t="str">
        <f t="shared" si="414"/>
        <v>Uncapped</v>
      </c>
      <c r="CS146" s="115">
        <f t="shared" ca="1" si="420"/>
        <v>0</v>
      </c>
      <c r="CT146" s="113" t="s">
        <v>729</v>
      </c>
      <c r="CU146" s="119">
        <v>0.2</v>
      </c>
      <c r="CV146" s="113" t="s">
        <v>217</v>
      </c>
      <c r="CW146" s="113" t="s">
        <v>210</v>
      </c>
      <c r="CX146" s="113">
        <v>13631298.3753272</v>
      </c>
      <c r="CY146" s="113">
        <v>15463517.626933601</v>
      </c>
      <c r="CZ146" s="113">
        <v>15159650.061351301</v>
      </c>
      <c r="DA146" s="113">
        <v>16523055.704212198</v>
      </c>
      <c r="DB146" s="113">
        <v>13485327.436090879</v>
      </c>
      <c r="DC146" s="113">
        <v>13198691</v>
      </c>
      <c r="DD146" s="113">
        <v>13923765.347779993</v>
      </c>
      <c r="DE146" s="113"/>
      <c r="DF146" s="113"/>
      <c r="DG146" s="113"/>
      <c r="DH146" s="113"/>
      <c r="DI146" s="113"/>
      <c r="DJ146" s="114">
        <f t="shared" si="388"/>
        <v>13485327.436090879</v>
      </c>
      <c r="DK146" s="114">
        <f t="shared" si="389"/>
        <v>13198691</v>
      </c>
      <c r="DL146" s="114">
        <f t="shared" si="390"/>
        <v>13923765.347779993</v>
      </c>
      <c r="DM146" s="114">
        <f t="shared" si="391"/>
        <v>0</v>
      </c>
      <c r="DN146" s="114">
        <f t="shared" si="415"/>
        <v>40607783.783870876</v>
      </c>
      <c r="DO146" s="114">
        <f t="shared" si="392"/>
        <v>60777521.7678243</v>
      </c>
      <c r="DP146" s="114">
        <f t="shared" si="393"/>
        <v>60777521.7678243</v>
      </c>
      <c r="DQ146" s="116">
        <f t="shared" si="394"/>
        <v>0.66810000000000003</v>
      </c>
      <c r="DR146" s="126">
        <f t="shared" ca="1" si="421"/>
        <v>0</v>
      </c>
      <c r="DS146" s="115">
        <f t="shared" ca="1" si="422"/>
        <v>0</v>
      </c>
      <c r="DT146" s="118" t="str">
        <f t="shared" si="416"/>
        <v>Uncapped</v>
      </c>
      <c r="DU146" s="115">
        <f t="shared" ca="1" si="423"/>
        <v>0</v>
      </c>
      <c r="DV146" s="113"/>
      <c r="DW146" s="119">
        <v>0</v>
      </c>
      <c r="DX146" s="113"/>
      <c r="DY146" s="113"/>
      <c r="DZ146" s="113">
        <v>0</v>
      </c>
      <c r="EA146" s="113">
        <v>0</v>
      </c>
      <c r="EB146" s="113">
        <v>0</v>
      </c>
      <c r="EC146" s="113">
        <v>0</v>
      </c>
      <c r="ED146" s="113">
        <v>0</v>
      </c>
      <c r="EE146" s="113">
        <v>0</v>
      </c>
      <c r="EF146" s="113"/>
      <c r="EG146" s="113"/>
      <c r="EH146" s="113"/>
      <c r="EI146" s="113"/>
      <c r="EJ146" s="113"/>
      <c r="EK146" s="113"/>
      <c r="EL146" s="114">
        <f t="shared" si="395"/>
        <v>0</v>
      </c>
      <c r="EM146" s="114">
        <f t="shared" si="396"/>
        <v>0</v>
      </c>
      <c r="EN146" s="114">
        <f t="shared" si="397"/>
        <v>0</v>
      </c>
      <c r="EO146" s="114">
        <f t="shared" si="398"/>
        <v>0</v>
      </c>
      <c r="EP146" s="114">
        <f t="shared" si="417"/>
        <v>0</v>
      </c>
      <c r="EQ146" s="114">
        <f t="shared" si="399"/>
        <v>0</v>
      </c>
      <c r="ER146" s="114">
        <f t="shared" si="400"/>
        <v>0</v>
      </c>
      <c r="ES146" s="116">
        <f t="shared" si="401"/>
        <v>0</v>
      </c>
      <c r="ET146" s="126">
        <f t="shared" ca="1" si="402"/>
        <v>0</v>
      </c>
      <c r="EU146" s="115">
        <f t="shared" ca="1" si="424"/>
        <v>0</v>
      </c>
      <c r="EV146" s="118" t="str">
        <f t="shared" si="418"/>
        <v>Uncapped</v>
      </c>
      <c r="EW146" s="115">
        <f t="shared" ca="1" si="425"/>
        <v>0</v>
      </c>
      <c r="EX146" s="112">
        <f t="shared" ca="1" si="426"/>
        <v>0</v>
      </c>
      <c r="EY146" s="114">
        <f t="shared" ca="1" si="403"/>
        <v>0</v>
      </c>
      <c r="EZ146" s="115">
        <v>62480</v>
      </c>
      <c r="FA146" s="115"/>
      <c r="FB146" s="115"/>
      <c r="FC146" s="115">
        <v>0</v>
      </c>
      <c r="FD146" s="115">
        <f t="shared" si="404"/>
        <v>62480</v>
      </c>
      <c r="FE146" s="114">
        <f t="shared" si="405"/>
        <v>0</v>
      </c>
      <c r="FF146" s="115">
        <v>0</v>
      </c>
      <c r="FG146" s="115">
        <v>0</v>
      </c>
      <c r="FH146" s="115">
        <v>0</v>
      </c>
      <c r="FI146" s="115">
        <v>0</v>
      </c>
      <c r="FJ146" s="115">
        <f t="shared" si="406"/>
        <v>0</v>
      </c>
      <c r="FK146" s="114">
        <f t="shared" si="407"/>
        <v>0</v>
      </c>
      <c r="FL146" s="113"/>
      <c r="FM146" s="111"/>
      <c r="FN146" s="111"/>
      <c r="FO146" s="111"/>
      <c r="FP146" s="115">
        <f t="shared" si="443"/>
        <v>0</v>
      </c>
      <c r="FQ146" s="115"/>
      <c r="FR146" s="115"/>
      <c r="FS146" s="115"/>
      <c r="FT146" s="114">
        <f t="shared" si="435"/>
        <v>0</v>
      </c>
      <c r="FU146" s="366">
        <f t="shared" ca="1" si="436"/>
        <v>62480</v>
      </c>
      <c r="FV146" s="121">
        <f t="shared" ca="1" si="437"/>
        <v>62480</v>
      </c>
      <c r="FW146" s="114">
        <f t="shared" si="444"/>
        <v>0</v>
      </c>
      <c r="FX146" s="114">
        <f t="shared" si="444"/>
        <v>0</v>
      </c>
      <c r="FY146" s="114">
        <f t="shared" si="444"/>
        <v>0</v>
      </c>
      <c r="FZ146" s="114">
        <f t="shared" si="444"/>
        <v>0</v>
      </c>
      <c r="GA146" s="114">
        <f t="shared" si="372"/>
        <v>0</v>
      </c>
      <c r="GB146" s="114">
        <f t="shared" si="445"/>
        <v>62480</v>
      </c>
      <c r="GC146" s="114">
        <f t="shared" si="445"/>
        <v>0</v>
      </c>
      <c r="GD146" s="114">
        <f t="shared" si="445"/>
        <v>0</v>
      </c>
      <c r="GE146" s="114">
        <f t="shared" si="445"/>
        <v>0</v>
      </c>
      <c r="GF146" s="114">
        <f t="shared" si="441"/>
        <v>62480</v>
      </c>
      <c r="GG146" s="114">
        <f t="shared" si="441"/>
        <v>0</v>
      </c>
      <c r="GH146" s="114">
        <f t="shared" si="441"/>
        <v>0</v>
      </c>
      <c r="GI146" s="114">
        <f t="shared" si="441"/>
        <v>0</v>
      </c>
      <c r="GJ146" s="115">
        <f t="shared" si="408"/>
        <v>62480</v>
      </c>
      <c r="GK146" s="114">
        <f t="shared" si="438"/>
        <v>62480</v>
      </c>
      <c r="GL146" s="114">
        <f t="shared" si="427"/>
        <v>0</v>
      </c>
      <c r="GM146" s="114">
        <f t="shared" si="428"/>
        <v>0</v>
      </c>
      <c r="GN146" s="114">
        <f t="shared" si="429"/>
        <v>0</v>
      </c>
      <c r="GO146" s="114">
        <f t="shared" si="430"/>
        <v>0</v>
      </c>
      <c r="GP146" s="114">
        <f t="shared" si="409"/>
        <v>0</v>
      </c>
      <c r="GQ146" s="114">
        <f t="shared" si="439"/>
        <v>0</v>
      </c>
      <c r="GR146" s="193"/>
      <c r="GS146" s="122">
        <f t="shared" si="431"/>
        <v>55752396.120673329</v>
      </c>
      <c r="GT146" s="122">
        <f t="shared" si="432"/>
        <v>76160645.116398782</v>
      </c>
      <c r="GU146" s="123">
        <f t="shared" si="440"/>
        <v>0.73203681554253031</v>
      </c>
      <c r="GV146" s="124">
        <f t="shared" ca="1" si="433"/>
        <v>0</v>
      </c>
      <c r="GW146" s="124">
        <v>0</v>
      </c>
      <c r="GX146" s="32">
        <f t="shared" ca="1" si="434"/>
        <v>0</v>
      </c>
      <c r="GY146" s="100"/>
    </row>
    <row r="147" spans="3:207" s="408" customFormat="1" hidden="1">
      <c r="C147" s="402"/>
      <c r="D147" s="402"/>
      <c r="E147" s="403"/>
      <c r="F147" s="403" t="s">
        <v>720</v>
      </c>
      <c r="G147" s="403" t="s">
        <v>226</v>
      </c>
      <c r="H147" s="105" t="s">
        <v>580</v>
      </c>
      <c r="I147" s="403" t="s">
        <v>613</v>
      </c>
      <c r="J147" s="403" t="s">
        <v>615</v>
      </c>
      <c r="K147" s="403" t="s">
        <v>544</v>
      </c>
      <c r="L147" s="403"/>
      <c r="M147" s="403"/>
      <c r="N147" s="404"/>
      <c r="O147" s="108">
        <v>40970</v>
      </c>
      <c r="P147" s="108">
        <v>40970</v>
      </c>
      <c r="Q147" s="323">
        <f t="shared" si="410"/>
        <v>0</v>
      </c>
      <c r="R147" s="109">
        <f>IF((P147-VLOOKUP(Q147,month!$A$1:$C$13,3,0))&lt;0,Q147,Q147+1)</f>
        <v>0</v>
      </c>
      <c r="S147" s="108"/>
      <c r="T147" s="110" t="str">
        <f t="shared" si="442"/>
        <v/>
      </c>
      <c r="U147" s="404"/>
      <c r="V147" s="404"/>
      <c r="W147" s="405"/>
      <c r="X147" s="405"/>
      <c r="Y147" s="492"/>
      <c r="Z147" s="406" t="s">
        <v>545</v>
      </c>
      <c r="AA147" s="394">
        <v>1000</v>
      </c>
      <c r="AB147" s="394">
        <v>1000</v>
      </c>
      <c r="AC147" s="394">
        <v>1000</v>
      </c>
      <c r="AD147" s="394">
        <v>1000</v>
      </c>
      <c r="AE147" s="394">
        <v>1000</v>
      </c>
      <c r="AF147" s="394">
        <v>1000</v>
      </c>
      <c r="AG147" s="394">
        <v>1000</v>
      </c>
      <c r="AH147" s="394">
        <v>1000</v>
      </c>
      <c r="AI147" s="394">
        <v>1000</v>
      </c>
      <c r="AJ147" s="394">
        <v>1000</v>
      </c>
      <c r="AK147" s="394">
        <v>1000</v>
      </c>
      <c r="AL147" s="394">
        <v>1000</v>
      </c>
      <c r="AM147" s="388">
        <f t="shared" si="373"/>
        <v>12000</v>
      </c>
      <c r="AN147" s="388">
        <f t="shared" si="411"/>
        <v>12000</v>
      </c>
      <c r="AO147" s="389">
        <f t="shared" si="446"/>
        <v>1000</v>
      </c>
      <c r="AP147" s="502" t="s">
        <v>739</v>
      </c>
      <c r="AQ147" s="159">
        <v>0.5</v>
      </c>
      <c r="AR147" s="103" t="s">
        <v>211</v>
      </c>
      <c r="AS147" s="119" t="s">
        <v>210</v>
      </c>
      <c r="AT147" s="111">
        <v>1817911.2699174744</v>
      </c>
      <c r="AU147" s="111">
        <v>1963207.6517371542</v>
      </c>
      <c r="AV147" s="111">
        <v>1938737.6633645268</v>
      </c>
      <c r="AW147" s="111">
        <v>2382885.3654021272</v>
      </c>
      <c r="AX147" s="113">
        <v>583092.06000000006</v>
      </c>
      <c r="AY147" s="113">
        <v>530043.22000000009</v>
      </c>
      <c r="AZ147" s="113">
        <v>1308417.72</v>
      </c>
      <c r="BA147" s="113"/>
      <c r="BB147" s="113"/>
      <c r="BC147" s="113"/>
      <c r="BD147" s="113"/>
      <c r="BE147" s="113"/>
      <c r="BF147" s="114">
        <f t="shared" si="374"/>
        <v>583092.06000000006</v>
      </c>
      <c r="BG147" s="114">
        <f t="shared" si="375"/>
        <v>530043.22000000009</v>
      </c>
      <c r="BH147" s="114">
        <f t="shared" si="376"/>
        <v>1308417.72</v>
      </c>
      <c r="BI147" s="114">
        <f t="shared" si="377"/>
        <v>0</v>
      </c>
      <c r="BJ147" s="114">
        <f t="shared" si="412"/>
        <v>2421553</v>
      </c>
      <c r="BK147" s="115">
        <f t="shared" si="447"/>
        <v>8102741.950421283</v>
      </c>
      <c r="BL147" s="115">
        <f t="shared" si="378"/>
        <v>8102741.950421283</v>
      </c>
      <c r="BM147" s="116">
        <f t="shared" si="379"/>
        <v>0.2989</v>
      </c>
      <c r="BN147" s="126">
        <f t="shared" ca="1" si="448"/>
        <v>0</v>
      </c>
      <c r="BO147" s="117">
        <f t="shared" ca="1" si="449"/>
        <v>0</v>
      </c>
      <c r="BP147" s="118" t="str">
        <f t="shared" si="450"/>
        <v>Uncapped</v>
      </c>
      <c r="BQ147" s="115">
        <f t="shared" ca="1" si="451"/>
        <v>0</v>
      </c>
      <c r="BR147" s="174" t="s">
        <v>761</v>
      </c>
      <c r="BS147" s="175">
        <v>0.3</v>
      </c>
      <c r="BT147" s="174" t="s">
        <v>211</v>
      </c>
      <c r="BU147" s="174" t="s">
        <v>210</v>
      </c>
      <c r="BV147" s="113">
        <v>23000</v>
      </c>
      <c r="BW147" s="113">
        <v>144250</v>
      </c>
      <c r="BX147" s="113">
        <v>201949.99999999997</v>
      </c>
      <c r="BY147" s="113">
        <v>230800</v>
      </c>
      <c r="BZ147" s="113">
        <v>22269.17</v>
      </c>
      <c r="CA147" s="113">
        <v>154523.45499999996</v>
      </c>
      <c r="CB147" s="113">
        <v>158652.35999999999</v>
      </c>
      <c r="CC147" s="113">
        <f t="shared" si="352"/>
        <v>230800</v>
      </c>
      <c r="CD147" s="113"/>
      <c r="CE147" s="113"/>
      <c r="CF147" s="113"/>
      <c r="CG147" s="113"/>
      <c r="CH147" s="114">
        <f t="shared" si="380"/>
        <v>22269.17</v>
      </c>
      <c r="CI147" s="114">
        <f t="shared" si="381"/>
        <v>154523.45499999996</v>
      </c>
      <c r="CJ147" s="120">
        <f t="shared" si="382"/>
        <v>158652.35999999999</v>
      </c>
      <c r="CK147" s="114">
        <f t="shared" si="383"/>
        <v>230800</v>
      </c>
      <c r="CL147" s="114">
        <f t="shared" si="413"/>
        <v>566244.98499999987</v>
      </c>
      <c r="CM147" s="114">
        <f t="shared" si="384"/>
        <v>600000</v>
      </c>
      <c r="CN147" s="114">
        <f t="shared" si="385"/>
        <v>600000</v>
      </c>
      <c r="CO147" s="116">
        <f t="shared" si="386"/>
        <v>0.94369999999999998</v>
      </c>
      <c r="CP147" s="126">
        <f t="shared" ca="1" si="387"/>
        <v>0</v>
      </c>
      <c r="CQ147" s="115">
        <f t="shared" ca="1" si="419"/>
        <v>0</v>
      </c>
      <c r="CR147" s="118" t="str">
        <f t="shared" si="414"/>
        <v>Uncapped</v>
      </c>
      <c r="CS147" s="115">
        <f t="shared" ca="1" si="420"/>
        <v>0</v>
      </c>
      <c r="CT147" s="113" t="s">
        <v>729</v>
      </c>
      <c r="CU147" s="119">
        <v>0.2</v>
      </c>
      <c r="CV147" s="113" t="s">
        <v>217</v>
      </c>
      <c r="CW147" s="113" t="s">
        <v>210</v>
      </c>
      <c r="CX147" s="113">
        <v>13631298.3753272</v>
      </c>
      <c r="CY147" s="113">
        <v>15463517.626933601</v>
      </c>
      <c r="CZ147" s="113">
        <v>15159650.061351301</v>
      </c>
      <c r="DA147" s="113">
        <v>16523055.704212198</v>
      </c>
      <c r="DB147" s="113">
        <v>13485327.436090879</v>
      </c>
      <c r="DC147" s="113">
        <v>13198691</v>
      </c>
      <c r="DD147" s="113">
        <v>13923765.347779993</v>
      </c>
      <c r="DE147" s="113"/>
      <c r="DF147" s="113"/>
      <c r="DG147" s="113"/>
      <c r="DH147" s="113"/>
      <c r="DI147" s="113"/>
      <c r="DJ147" s="114">
        <f t="shared" si="388"/>
        <v>13485327.436090879</v>
      </c>
      <c r="DK147" s="114">
        <f t="shared" si="389"/>
        <v>13198691</v>
      </c>
      <c r="DL147" s="114">
        <f t="shared" si="390"/>
        <v>13923765.347779993</v>
      </c>
      <c r="DM147" s="114">
        <f t="shared" si="391"/>
        <v>0</v>
      </c>
      <c r="DN147" s="114">
        <f t="shared" si="415"/>
        <v>40607783.783870876</v>
      </c>
      <c r="DO147" s="114">
        <f t="shared" si="392"/>
        <v>60777521.7678243</v>
      </c>
      <c r="DP147" s="114">
        <f t="shared" si="393"/>
        <v>60777521.7678243</v>
      </c>
      <c r="DQ147" s="116">
        <f t="shared" si="394"/>
        <v>0.66810000000000003</v>
      </c>
      <c r="DR147" s="126">
        <f t="shared" ca="1" si="421"/>
        <v>0</v>
      </c>
      <c r="DS147" s="115">
        <f t="shared" ca="1" si="422"/>
        <v>0</v>
      </c>
      <c r="DT147" s="118" t="str">
        <f t="shared" si="416"/>
        <v>Uncapped</v>
      </c>
      <c r="DU147" s="115">
        <f t="shared" ca="1" si="423"/>
        <v>0</v>
      </c>
      <c r="DV147" s="113"/>
      <c r="DW147" s="119">
        <v>0</v>
      </c>
      <c r="DX147" s="113"/>
      <c r="DY147" s="113"/>
      <c r="DZ147" s="113">
        <v>0</v>
      </c>
      <c r="EA147" s="113">
        <v>0</v>
      </c>
      <c r="EB147" s="113">
        <v>0</v>
      </c>
      <c r="EC147" s="113">
        <v>0</v>
      </c>
      <c r="ED147" s="113">
        <v>0</v>
      </c>
      <c r="EE147" s="113">
        <v>0</v>
      </c>
      <c r="EF147" s="113"/>
      <c r="EG147" s="113"/>
      <c r="EH147" s="113"/>
      <c r="EI147" s="113"/>
      <c r="EJ147" s="113"/>
      <c r="EK147" s="113"/>
      <c r="EL147" s="114">
        <f t="shared" si="395"/>
        <v>0</v>
      </c>
      <c r="EM147" s="114">
        <f t="shared" si="396"/>
        <v>0</v>
      </c>
      <c r="EN147" s="114">
        <f t="shared" si="397"/>
        <v>0</v>
      </c>
      <c r="EO147" s="114">
        <f t="shared" si="398"/>
        <v>0</v>
      </c>
      <c r="EP147" s="114">
        <f t="shared" si="417"/>
        <v>0</v>
      </c>
      <c r="EQ147" s="114">
        <f t="shared" si="399"/>
        <v>0</v>
      </c>
      <c r="ER147" s="114">
        <f t="shared" si="400"/>
        <v>0</v>
      </c>
      <c r="ES147" s="116">
        <f t="shared" si="401"/>
        <v>0</v>
      </c>
      <c r="ET147" s="126">
        <f t="shared" ca="1" si="402"/>
        <v>0</v>
      </c>
      <c r="EU147" s="115">
        <f t="shared" ca="1" si="424"/>
        <v>0</v>
      </c>
      <c r="EV147" s="118" t="str">
        <f t="shared" si="418"/>
        <v>Uncapped</v>
      </c>
      <c r="EW147" s="115">
        <f t="shared" ca="1" si="425"/>
        <v>0</v>
      </c>
      <c r="EX147" s="112">
        <f t="shared" ca="1" si="426"/>
        <v>0</v>
      </c>
      <c r="EY147" s="114">
        <f t="shared" ca="1" si="403"/>
        <v>0</v>
      </c>
      <c r="EZ147" s="115">
        <v>0</v>
      </c>
      <c r="FA147" s="115">
        <v>225000</v>
      </c>
      <c r="FB147" s="115">
        <v>7599307</v>
      </c>
      <c r="FC147" s="115">
        <v>0</v>
      </c>
      <c r="FD147" s="115">
        <f t="shared" si="404"/>
        <v>7824307</v>
      </c>
      <c r="FE147" s="114">
        <f t="shared" si="405"/>
        <v>0</v>
      </c>
      <c r="FF147" s="115">
        <v>0</v>
      </c>
      <c r="FG147" s="115">
        <v>0</v>
      </c>
      <c r="FH147" s="115">
        <v>0</v>
      </c>
      <c r="FI147" s="115">
        <v>0</v>
      </c>
      <c r="FJ147" s="115">
        <f t="shared" si="406"/>
        <v>0</v>
      </c>
      <c r="FK147" s="114">
        <f t="shared" si="407"/>
        <v>0</v>
      </c>
      <c r="FL147" s="113"/>
      <c r="FM147" s="111"/>
      <c r="FN147" s="111"/>
      <c r="FO147" s="111"/>
      <c r="FP147" s="115">
        <f t="shared" si="443"/>
        <v>0</v>
      </c>
      <c r="FQ147" s="115"/>
      <c r="FR147" s="488"/>
      <c r="FS147" s="115"/>
      <c r="FT147" s="114">
        <f t="shared" si="435"/>
        <v>0</v>
      </c>
      <c r="FU147" s="366">
        <f t="shared" ca="1" si="436"/>
        <v>7824307</v>
      </c>
      <c r="FV147" s="121">
        <f t="shared" ca="1" si="437"/>
        <v>7824307</v>
      </c>
      <c r="FW147" s="114">
        <f t="shared" si="444"/>
        <v>0</v>
      </c>
      <c r="FX147" s="114">
        <f t="shared" si="444"/>
        <v>0</v>
      </c>
      <c r="FY147" s="114">
        <f t="shared" si="444"/>
        <v>0</v>
      </c>
      <c r="FZ147" s="114">
        <f t="shared" si="444"/>
        <v>0</v>
      </c>
      <c r="GA147" s="114">
        <f t="shared" si="372"/>
        <v>0</v>
      </c>
      <c r="GB147" s="114">
        <f t="shared" si="445"/>
        <v>0</v>
      </c>
      <c r="GC147" s="114">
        <f t="shared" si="445"/>
        <v>225000</v>
      </c>
      <c r="GD147" s="114">
        <f t="shared" si="445"/>
        <v>7599307</v>
      </c>
      <c r="GE147" s="114">
        <f t="shared" si="445"/>
        <v>0</v>
      </c>
      <c r="GF147" s="114">
        <f t="shared" si="441"/>
        <v>0</v>
      </c>
      <c r="GG147" s="114">
        <f t="shared" si="441"/>
        <v>225000</v>
      </c>
      <c r="GH147" s="114">
        <f t="shared" si="441"/>
        <v>7599307</v>
      </c>
      <c r="GI147" s="114">
        <f t="shared" si="441"/>
        <v>0</v>
      </c>
      <c r="GJ147" s="115">
        <f t="shared" si="408"/>
        <v>7824307</v>
      </c>
      <c r="GK147" s="114">
        <f t="shared" si="438"/>
        <v>7824307</v>
      </c>
      <c r="GL147" s="114">
        <f t="shared" si="427"/>
        <v>0</v>
      </c>
      <c r="GM147" s="114">
        <f t="shared" si="428"/>
        <v>0</v>
      </c>
      <c r="GN147" s="114">
        <f t="shared" si="429"/>
        <v>0</v>
      </c>
      <c r="GO147" s="114">
        <f t="shared" si="430"/>
        <v>0</v>
      </c>
      <c r="GP147" s="114">
        <f t="shared" si="409"/>
        <v>0</v>
      </c>
      <c r="GQ147" s="114">
        <f t="shared" si="439"/>
        <v>0</v>
      </c>
      <c r="GR147" s="193"/>
      <c r="GS147" s="122">
        <f t="shared" si="431"/>
        <v>43595581.768870875</v>
      </c>
      <c r="GT147" s="122">
        <f t="shared" si="432"/>
        <v>69480263.718245581</v>
      </c>
      <c r="GU147" s="123">
        <f t="shared" si="440"/>
        <v>0.62745273889083752</v>
      </c>
      <c r="GV147" s="124">
        <f t="shared" ca="1" si="433"/>
        <v>0</v>
      </c>
      <c r="GW147" s="124">
        <v>0</v>
      </c>
      <c r="GX147" s="32">
        <f t="shared" ca="1" si="434"/>
        <v>0</v>
      </c>
      <c r="GY147" s="100"/>
    </row>
    <row r="148" spans="3:207" s="408" customFormat="1" hidden="1">
      <c r="C148" s="402"/>
      <c r="D148" s="402"/>
      <c r="E148" s="403"/>
      <c r="F148" s="403" t="s">
        <v>720</v>
      </c>
      <c r="G148" s="403" t="s">
        <v>226</v>
      </c>
      <c r="H148" s="105" t="s">
        <v>581</v>
      </c>
      <c r="I148" s="404" t="s">
        <v>614</v>
      </c>
      <c r="J148" s="403" t="s">
        <v>212</v>
      </c>
      <c r="K148" s="403" t="s">
        <v>544</v>
      </c>
      <c r="L148" s="403"/>
      <c r="M148" s="403"/>
      <c r="N148" s="404"/>
      <c r="O148" s="108">
        <v>41141</v>
      </c>
      <c r="P148" s="108">
        <v>41141</v>
      </c>
      <c r="Q148" s="323">
        <f t="shared" si="410"/>
        <v>0</v>
      </c>
      <c r="R148" s="109">
        <f>IF((P148-VLOOKUP(Q148,month!$A$1:$C$13,3,0))&lt;0,Q148,Q148+1)</f>
        <v>0</v>
      </c>
      <c r="S148" s="108"/>
      <c r="T148" s="110" t="str">
        <f t="shared" si="442"/>
        <v/>
      </c>
      <c r="U148" s="404"/>
      <c r="V148" s="404"/>
      <c r="W148" s="405"/>
      <c r="X148" s="405"/>
      <c r="Y148" s="492"/>
      <c r="Z148" s="406" t="s">
        <v>545</v>
      </c>
      <c r="AA148" s="394">
        <v>1000</v>
      </c>
      <c r="AB148" s="394">
        <v>1000</v>
      </c>
      <c r="AC148" s="394">
        <v>1000</v>
      </c>
      <c r="AD148" s="394">
        <v>1000</v>
      </c>
      <c r="AE148" s="394">
        <v>1000</v>
      </c>
      <c r="AF148" s="394">
        <v>1000</v>
      </c>
      <c r="AG148" s="394">
        <v>1000</v>
      </c>
      <c r="AH148" s="394">
        <v>1000</v>
      </c>
      <c r="AI148" s="394">
        <v>1000</v>
      </c>
      <c r="AJ148" s="394">
        <v>1000</v>
      </c>
      <c r="AK148" s="394">
        <v>1000</v>
      </c>
      <c r="AL148" s="394">
        <v>1000</v>
      </c>
      <c r="AM148" s="388">
        <f t="shared" si="373"/>
        <v>12000</v>
      </c>
      <c r="AN148" s="388">
        <f t="shared" si="411"/>
        <v>12000</v>
      </c>
      <c r="AO148" s="389">
        <f t="shared" si="446"/>
        <v>1000</v>
      </c>
      <c r="AP148" s="502" t="s">
        <v>750</v>
      </c>
      <c r="AQ148" s="159">
        <v>0.5</v>
      </c>
      <c r="AR148" s="103" t="s">
        <v>211</v>
      </c>
      <c r="AS148" s="119" t="s">
        <v>210</v>
      </c>
      <c r="AT148" s="111">
        <v>720887.91968241916</v>
      </c>
      <c r="AU148" s="111">
        <v>784595.67437440774</v>
      </c>
      <c r="AV148" s="111">
        <v>746491.73576980887</v>
      </c>
      <c r="AW148" s="111">
        <v>808196.19358136377</v>
      </c>
      <c r="AX148" s="113">
        <v>1424487.42</v>
      </c>
      <c r="AY148" s="113">
        <v>1196357.4045000002</v>
      </c>
      <c r="AZ148" s="113">
        <v>721705.2470999998</v>
      </c>
      <c r="BA148" s="113"/>
      <c r="BB148" s="113"/>
      <c r="BC148" s="113"/>
      <c r="BD148" s="113"/>
      <c r="BE148" s="113"/>
      <c r="BF148" s="114">
        <f t="shared" si="374"/>
        <v>1424487.42</v>
      </c>
      <c r="BG148" s="114">
        <f t="shared" si="375"/>
        <v>1196357.4045000002</v>
      </c>
      <c r="BH148" s="114">
        <f t="shared" si="376"/>
        <v>721705.2470999998</v>
      </c>
      <c r="BI148" s="114">
        <f t="shared" si="377"/>
        <v>0</v>
      </c>
      <c r="BJ148" s="114">
        <f t="shared" si="412"/>
        <v>3342550.0715999999</v>
      </c>
      <c r="BK148" s="115">
        <f t="shared" si="447"/>
        <v>3060171.5234079994</v>
      </c>
      <c r="BL148" s="115">
        <f t="shared" si="378"/>
        <v>3060171.5234079994</v>
      </c>
      <c r="BM148" s="116">
        <f t="shared" si="379"/>
        <v>1.0923</v>
      </c>
      <c r="BN148" s="126">
        <f t="shared" ca="1" si="448"/>
        <v>0</v>
      </c>
      <c r="BO148" s="117">
        <f t="shared" ca="1" si="449"/>
        <v>0</v>
      </c>
      <c r="BP148" s="118" t="str">
        <f t="shared" si="450"/>
        <v>Uncapped</v>
      </c>
      <c r="BQ148" s="115">
        <f t="shared" ca="1" si="451"/>
        <v>0</v>
      </c>
      <c r="BR148" s="174" t="s">
        <v>762</v>
      </c>
      <c r="BS148" s="175">
        <v>0.3</v>
      </c>
      <c r="BT148" s="174" t="s">
        <v>211</v>
      </c>
      <c r="BU148" s="174" t="s">
        <v>210</v>
      </c>
      <c r="BV148" s="113">
        <v>2237916.9674079753</v>
      </c>
      <c r="BW148" s="113">
        <v>2593737.6672715819</v>
      </c>
      <c r="BX148" s="113">
        <v>2631062.6626689765</v>
      </c>
      <c r="BY148" s="113">
        <v>2613100.8468210953</v>
      </c>
      <c r="BZ148" s="113">
        <v>2333200.87</v>
      </c>
      <c r="CA148" s="113">
        <v>2209902.1916999999</v>
      </c>
      <c r="CB148" s="113">
        <v>1880202.3</v>
      </c>
      <c r="CC148" s="113">
        <f t="shared" si="352"/>
        <v>2613100.8468210953</v>
      </c>
      <c r="CD148" s="113"/>
      <c r="CE148" s="113"/>
      <c r="CF148" s="113"/>
      <c r="CG148" s="113"/>
      <c r="CH148" s="114">
        <f t="shared" si="380"/>
        <v>2333200.87</v>
      </c>
      <c r="CI148" s="114">
        <f t="shared" si="381"/>
        <v>2209902.1916999999</v>
      </c>
      <c r="CJ148" s="120">
        <f t="shared" si="382"/>
        <v>1880202.3</v>
      </c>
      <c r="CK148" s="114">
        <f t="shared" si="383"/>
        <v>2613100.8468210953</v>
      </c>
      <c r="CL148" s="114">
        <f t="shared" si="413"/>
        <v>9036406.2085210942</v>
      </c>
      <c r="CM148" s="114">
        <f t="shared" si="384"/>
        <v>10075818.14416963</v>
      </c>
      <c r="CN148" s="114">
        <f t="shared" si="385"/>
        <v>10075818.14416963</v>
      </c>
      <c r="CO148" s="116">
        <f t="shared" si="386"/>
        <v>0.89680000000000004</v>
      </c>
      <c r="CP148" s="126">
        <f t="shared" ca="1" si="387"/>
        <v>0</v>
      </c>
      <c r="CQ148" s="115">
        <f t="shared" ca="1" si="419"/>
        <v>0</v>
      </c>
      <c r="CR148" s="118" t="str">
        <f t="shared" si="414"/>
        <v>Uncapped</v>
      </c>
      <c r="CS148" s="115">
        <f t="shared" ca="1" si="420"/>
        <v>0</v>
      </c>
      <c r="CT148" s="113" t="s">
        <v>729</v>
      </c>
      <c r="CU148" s="119">
        <v>0.2</v>
      </c>
      <c r="CV148" s="113" t="s">
        <v>217</v>
      </c>
      <c r="CW148" s="113" t="s">
        <v>210</v>
      </c>
      <c r="CX148" s="113">
        <v>13631298.3753272</v>
      </c>
      <c r="CY148" s="113">
        <v>15463517.626933601</v>
      </c>
      <c r="CZ148" s="113">
        <v>15159650.061351301</v>
      </c>
      <c r="DA148" s="113">
        <v>16523055.704212198</v>
      </c>
      <c r="DB148" s="113">
        <v>13485327.436090879</v>
      </c>
      <c r="DC148" s="113">
        <v>13198691</v>
      </c>
      <c r="DD148" s="113">
        <v>13923765.347779993</v>
      </c>
      <c r="DE148" s="113"/>
      <c r="DF148" s="113"/>
      <c r="DG148" s="113"/>
      <c r="DH148" s="113"/>
      <c r="DI148" s="113"/>
      <c r="DJ148" s="114">
        <f t="shared" si="388"/>
        <v>13485327.436090879</v>
      </c>
      <c r="DK148" s="114">
        <f t="shared" si="389"/>
        <v>13198691</v>
      </c>
      <c r="DL148" s="114">
        <f t="shared" si="390"/>
        <v>13923765.347779993</v>
      </c>
      <c r="DM148" s="114">
        <f t="shared" si="391"/>
        <v>0</v>
      </c>
      <c r="DN148" s="114">
        <f t="shared" si="415"/>
        <v>40607783.783870876</v>
      </c>
      <c r="DO148" s="114">
        <f t="shared" si="392"/>
        <v>60777521.7678243</v>
      </c>
      <c r="DP148" s="114">
        <f t="shared" si="393"/>
        <v>60777521.7678243</v>
      </c>
      <c r="DQ148" s="116">
        <f t="shared" si="394"/>
        <v>0.66810000000000003</v>
      </c>
      <c r="DR148" s="126">
        <f t="shared" ca="1" si="421"/>
        <v>0</v>
      </c>
      <c r="DS148" s="115">
        <f t="shared" ca="1" si="422"/>
        <v>0</v>
      </c>
      <c r="DT148" s="118" t="str">
        <f t="shared" si="416"/>
        <v>Uncapped</v>
      </c>
      <c r="DU148" s="115">
        <f t="shared" ca="1" si="423"/>
        <v>0</v>
      </c>
      <c r="DV148" s="113"/>
      <c r="DW148" s="119">
        <v>0</v>
      </c>
      <c r="DX148" s="113"/>
      <c r="DY148" s="113"/>
      <c r="DZ148" s="113">
        <v>0</v>
      </c>
      <c r="EA148" s="113">
        <v>0</v>
      </c>
      <c r="EB148" s="113">
        <v>0</v>
      </c>
      <c r="EC148" s="113">
        <v>0</v>
      </c>
      <c r="ED148" s="113">
        <v>0</v>
      </c>
      <c r="EE148" s="113">
        <v>0</v>
      </c>
      <c r="EF148" s="113"/>
      <c r="EG148" s="113"/>
      <c r="EH148" s="113"/>
      <c r="EI148" s="113"/>
      <c r="EJ148" s="113"/>
      <c r="EK148" s="113"/>
      <c r="EL148" s="114">
        <f t="shared" si="395"/>
        <v>0</v>
      </c>
      <c r="EM148" s="114">
        <f t="shared" si="396"/>
        <v>0</v>
      </c>
      <c r="EN148" s="114">
        <f t="shared" si="397"/>
        <v>0</v>
      </c>
      <c r="EO148" s="114">
        <f t="shared" si="398"/>
        <v>0</v>
      </c>
      <c r="EP148" s="114">
        <f t="shared" si="417"/>
        <v>0</v>
      </c>
      <c r="EQ148" s="114">
        <f t="shared" si="399"/>
        <v>0</v>
      </c>
      <c r="ER148" s="114">
        <f t="shared" si="400"/>
        <v>0</v>
      </c>
      <c r="ES148" s="116">
        <f t="shared" si="401"/>
        <v>0</v>
      </c>
      <c r="ET148" s="126">
        <f t="shared" ca="1" si="402"/>
        <v>0</v>
      </c>
      <c r="EU148" s="115">
        <f t="shared" ca="1" si="424"/>
        <v>0</v>
      </c>
      <c r="EV148" s="118" t="str">
        <f t="shared" si="418"/>
        <v>Uncapped</v>
      </c>
      <c r="EW148" s="115">
        <f t="shared" ca="1" si="425"/>
        <v>0</v>
      </c>
      <c r="EX148" s="112">
        <f t="shared" ca="1" si="426"/>
        <v>0</v>
      </c>
      <c r="EY148" s="114">
        <f t="shared" ca="1" si="403"/>
        <v>0</v>
      </c>
      <c r="EZ148" s="115">
        <v>284890</v>
      </c>
      <c r="FA148" s="115">
        <v>100000</v>
      </c>
      <c r="FB148" s="115">
        <v>34830</v>
      </c>
      <c r="FC148" s="115">
        <v>0</v>
      </c>
      <c r="FD148" s="115">
        <f t="shared" si="404"/>
        <v>419720</v>
      </c>
      <c r="FE148" s="114">
        <f t="shared" si="405"/>
        <v>0</v>
      </c>
      <c r="FF148" s="115">
        <v>0</v>
      </c>
      <c r="FG148" s="115">
        <v>0</v>
      </c>
      <c r="FH148" s="115">
        <v>0</v>
      </c>
      <c r="FI148" s="115">
        <v>0</v>
      </c>
      <c r="FJ148" s="115">
        <f t="shared" si="406"/>
        <v>0</v>
      </c>
      <c r="FK148" s="114">
        <f t="shared" si="407"/>
        <v>0</v>
      </c>
      <c r="FL148" s="113"/>
      <c r="FM148" s="111"/>
      <c r="FN148" s="111"/>
      <c r="FO148" s="111"/>
      <c r="FP148" s="115">
        <f t="shared" si="443"/>
        <v>0</v>
      </c>
      <c r="FQ148" s="115"/>
      <c r="FR148" s="115"/>
      <c r="FS148" s="115"/>
      <c r="FT148" s="114">
        <f t="shared" si="435"/>
        <v>0</v>
      </c>
      <c r="FU148" s="366">
        <f t="shared" ca="1" si="436"/>
        <v>419720</v>
      </c>
      <c r="FV148" s="121">
        <f t="shared" ca="1" si="437"/>
        <v>419720</v>
      </c>
      <c r="FW148" s="114">
        <f t="shared" si="444"/>
        <v>0</v>
      </c>
      <c r="FX148" s="114">
        <f t="shared" si="444"/>
        <v>0</v>
      </c>
      <c r="FY148" s="114">
        <f t="shared" si="444"/>
        <v>0</v>
      </c>
      <c r="FZ148" s="114">
        <f t="shared" si="444"/>
        <v>0</v>
      </c>
      <c r="GA148" s="114">
        <f t="shared" si="372"/>
        <v>0</v>
      </c>
      <c r="GB148" s="114">
        <f t="shared" si="445"/>
        <v>284890</v>
      </c>
      <c r="GC148" s="114">
        <f t="shared" si="445"/>
        <v>100000</v>
      </c>
      <c r="GD148" s="114">
        <f t="shared" si="445"/>
        <v>34830</v>
      </c>
      <c r="GE148" s="114">
        <f t="shared" si="445"/>
        <v>0</v>
      </c>
      <c r="GF148" s="114">
        <f t="shared" si="441"/>
        <v>284890</v>
      </c>
      <c r="GG148" s="114">
        <f t="shared" si="441"/>
        <v>100000</v>
      </c>
      <c r="GH148" s="114">
        <f t="shared" si="441"/>
        <v>34830</v>
      </c>
      <c r="GI148" s="114">
        <f t="shared" si="441"/>
        <v>0</v>
      </c>
      <c r="GJ148" s="115">
        <f t="shared" si="408"/>
        <v>419720</v>
      </c>
      <c r="GK148" s="114">
        <f t="shared" si="438"/>
        <v>419720</v>
      </c>
      <c r="GL148" s="114">
        <f t="shared" si="427"/>
        <v>0</v>
      </c>
      <c r="GM148" s="114">
        <f t="shared" si="428"/>
        <v>0</v>
      </c>
      <c r="GN148" s="114">
        <f t="shared" si="429"/>
        <v>0</v>
      </c>
      <c r="GO148" s="114">
        <f t="shared" si="430"/>
        <v>0</v>
      </c>
      <c r="GP148" s="114">
        <f t="shared" si="409"/>
        <v>0</v>
      </c>
      <c r="GQ148" s="114">
        <f t="shared" si="439"/>
        <v>0</v>
      </c>
      <c r="GR148" s="193"/>
      <c r="GS148" s="122">
        <f t="shared" si="431"/>
        <v>52986740.063991971</v>
      </c>
      <c r="GT148" s="122">
        <f t="shared" si="432"/>
        <v>73913511.435401931</v>
      </c>
      <c r="GU148" s="123">
        <f t="shared" si="440"/>
        <v>0.71687488572776992</v>
      </c>
      <c r="GV148" s="124">
        <f t="shared" ca="1" si="433"/>
        <v>0</v>
      </c>
      <c r="GW148" s="124">
        <v>0</v>
      </c>
      <c r="GX148" s="32">
        <f t="shared" ca="1" si="434"/>
        <v>0</v>
      </c>
      <c r="GY148" s="100"/>
    </row>
    <row r="149" spans="3:207" s="408" customFormat="1" hidden="1">
      <c r="C149" s="402"/>
      <c r="D149" s="402"/>
      <c r="E149" s="403"/>
      <c r="F149" s="403" t="s">
        <v>719</v>
      </c>
      <c r="G149" s="403" t="s">
        <v>226</v>
      </c>
      <c r="H149" s="105" t="s">
        <v>721</v>
      </c>
      <c r="I149" s="404" t="s">
        <v>723</v>
      </c>
      <c r="J149" s="403" t="s">
        <v>643</v>
      </c>
      <c r="K149" s="403" t="s">
        <v>622</v>
      </c>
      <c r="L149" s="403" t="s">
        <v>722</v>
      </c>
      <c r="M149" s="403"/>
      <c r="N149" s="404"/>
      <c r="O149" s="549">
        <v>43586</v>
      </c>
      <c r="P149" s="359">
        <v>43586</v>
      </c>
      <c r="Q149" s="323">
        <f t="shared" si="410"/>
        <v>5</v>
      </c>
      <c r="R149" s="109">
        <f>IF((P149-VLOOKUP(Q149,month!$A$1:$C$13,3,0))&lt;0,Q149,Q149+1)</f>
        <v>5</v>
      </c>
      <c r="S149" s="108"/>
      <c r="T149" s="110" t="str">
        <f t="shared" si="442"/>
        <v/>
      </c>
      <c r="U149" s="483" t="s">
        <v>652</v>
      </c>
      <c r="V149" s="483"/>
      <c r="W149" s="484">
        <v>2</v>
      </c>
      <c r="X149" s="484">
        <v>1</v>
      </c>
      <c r="Y149" s="492"/>
      <c r="Z149" s="406" t="s">
        <v>545</v>
      </c>
      <c r="AA149" s="394">
        <v>1000</v>
      </c>
      <c r="AB149" s="394">
        <v>1000</v>
      </c>
      <c r="AC149" s="394">
        <v>1000</v>
      </c>
      <c r="AD149" s="394">
        <v>1000</v>
      </c>
      <c r="AE149" s="394">
        <v>1000</v>
      </c>
      <c r="AF149" s="394">
        <v>1000</v>
      </c>
      <c r="AG149" s="394">
        <v>1000</v>
      </c>
      <c r="AH149" s="394">
        <v>1000</v>
      </c>
      <c r="AI149" s="394">
        <v>1000</v>
      </c>
      <c r="AJ149" s="394">
        <v>1000</v>
      </c>
      <c r="AK149" s="394">
        <v>1000</v>
      </c>
      <c r="AL149" s="394">
        <v>1000</v>
      </c>
      <c r="AM149" s="388">
        <f>IF($H$2=1,SUM(AA149:AC149),IF($H$2=2,SUM(AA149:AF149),IF($H$2=3,SUM(AA149:AI149),SUM(AA149:AL149))))</f>
        <v>12000</v>
      </c>
      <c r="AN149" s="388">
        <f t="shared" si="411"/>
        <v>12000</v>
      </c>
      <c r="AO149" s="389">
        <f>AE149</f>
        <v>1000</v>
      </c>
      <c r="AP149" s="502" t="s">
        <v>709</v>
      </c>
      <c r="AQ149" s="159">
        <v>0.6</v>
      </c>
      <c r="AR149" s="103" t="s">
        <v>211</v>
      </c>
      <c r="AS149" s="119" t="s">
        <v>210</v>
      </c>
      <c r="AT149" s="111"/>
      <c r="AU149" s="111">
        <v>4246968.8</v>
      </c>
      <c r="AV149" s="111">
        <v>5114284.1421738518</v>
      </c>
      <c r="AW149" s="111">
        <v>5623300.9818061059</v>
      </c>
      <c r="AX149" s="113"/>
      <c r="AY149" s="113">
        <v>2888663.878</v>
      </c>
      <c r="AZ149" s="113">
        <v>5091828.1585499998</v>
      </c>
      <c r="BA149" s="113">
        <f>AW149</f>
        <v>5623300.9818061059</v>
      </c>
      <c r="BB149" s="113"/>
      <c r="BC149" s="113"/>
      <c r="BD149" s="113"/>
      <c r="BE149" s="113"/>
      <c r="BF149" s="114">
        <f>AX149+BB149</f>
        <v>0</v>
      </c>
      <c r="BG149" s="114">
        <f>AY149+BC149</f>
        <v>2888663.878</v>
      </c>
      <c r="BH149" s="114">
        <f>AZ149+BD149</f>
        <v>5091828.1585499998</v>
      </c>
      <c r="BI149" s="114">
        <f>BA149+BE149</f>
        <v>5623300.9818061059</v>
      </c>
      <c r="BJ149" s="114">
        <f t="shared" si="412"/>
        <v>13603793.018356107</v>
      </c>
      <c r="BK149" s="115">
        <f>IF($H$2=1,AT149,IF($H$2=2,SUM(AT149:AU149),IF($H$2=3,SUM(AT149:AV149),SUM(AT149:AW149))))</f>
        <v>14984553.923979957</v>
      </c>
      <c r="BL149" s="115">
        <f>SUM(AT149:AW149)</f>
        <v>14984553.923979957</v>
      </c>
      <c r="BM149" s="116">
        <f>IFERROR(ROUND(BJ149/BK149,4),0)</f>
        <v>0.90790000000000004</v>
      </c>
      <c r="BN149" s="126">
        <f t="shared" ca="1" si="448"/>
        <v>0</v>
      </c>
      <c r="BO149" s="117">
        <f t="shared" ca="1" si="449"/>
        <v>0</v>
      </c>
      <c r="BP149" s="118" t="str">
        <f t="shared" si="450"/>
        <v>Uncapped</v>
      </c>
      <c r="BQ149" s="115">
        <f t="shared" ca="1" si="451"/>
        <v>0</v>
      </c>
      <c r="BR149" s="174" t="s">
        <v>765</v>
      </c>
      <c r="BS149" s="175">
        <v>0.3</v>
      </c>
      <c r="BT149" s="174" t="s">
        <v>217</v>
      </c>
      <c r="BU149" s="174" t="s">
        <v>210</v>
      </c>
      <c r="BV149" s="113"/>
      <c r="BW149" s="113">
        <v>58579608.800000004</v>
      </c>
      <c r="BX149" s="113">
        <v>70210929.79442063</v>
      </c>
      <c r="BY149" s="113">
        <v>77582831.825025976</v>
      </c>
      <c r="BZ149" s="113"/>
      <c r="CA149" s="113">
        <v>48410802</v>
      </c>
      <c r="CB149" s="113">
        <v>66410604.684560001</v>
      </c>
      <c r="CC149" s="113">
        <f t="shared" si="352"/>
        <v>77582831.825025976</v>
      </c>
      <c r="CD149" s="113"/>
      <c r="CE149" s="113"/>
      <c r="CF149" s="113"/>
      <c r="CG149" s="113"/>
      <c r="CH149" s="114">
        <f>BZ149+CD149</f>
        <v>0</v>
      </c>
      <c r="CI149" s="114">
        <f>CA149+CE149</f>
        <v>48410802</v>
      </c>
      <c r="CJ149" s="120">
        <f>CB149+CF149</f>
        <v>66410604.684560001</v>
      </c>
      <c r="CK149" s="114">
        <f>CC149+CG149</f>
        <v>77582831.825025976</v>
      </c>
      <c r="CL149" s="114">
        <f t="shared" si="413"/>
        <v>192404238.50958598</v>
      </c>
      <c r="CM149" s="114">
        <f>IF($H$2=1,BV149,IF($H$2=2,SUM(BV149:BW149),IF($H$2=3,SUM(BV149:BX149),SUM(BV149:BY149))))</f>
        <v>206373370.41944662</v>
      </c>
      <c r="CN149" s="114">
        <f>SUM(BV149:BY149)</f>
        <v>206373370.41944662</v>
      </c>
      <c r="CO149" s="116">
        <f>IFERROR(ROUND(CL149/CM149,4),0)</f>
        <v>0.93230000000000002</v>
      </c>
      <c r="CP149" s="126">
        <f ca="1">IF(OR(BR149="MBO",BR149="10% Realized Price"),CO149,SUMPRODUCT(Lower_Payout*(Curve=BT149)*(Lower_Attain&lt;=CO149)*(Upper_Attain&gt;CO149))+(CO149-SUMPRODUCT(Lower_Attain*(Curve=BT149)*(Lower_Attain&lt;=CO149)*(Upper_Attain&gt;CO149)))*SUMPRODUCT(Slope*(Curve=BT149)*(Lower_Attain&lt;=CO149)*(Upper_Attain&gt;CO149)))</f>
        <v>0</v>
      </c>
      <c r="CQ149" s="115">
        <f t="shared" ca="1" si="419"/>
        <v>0</v>
      </c>
      <c r="CR149" s="118">
        <v>1</v>
      </c>
      <c r="CS149" s="115">
        <f t="shared" si="420"/>
        <v>3600</v>
      </c>
      <c r="CT149" s="113" t="s">
        <v>363</v>
      </c>
      <c r="CU149" s="119">
        <v>0.1</v>
      </c>
      <c r="CV149" s="113"/>
      <c r="CW149" s="113" t="s">
        <v>219</v>
      </c>
      <c r="CX149" s="113">
        <v>0</v>
      </c>
      <c r="CY149" s="113">
        <v>0</v>
      </c>
      <c r="CZ149" s="113">
        <v>0</v>
      </c>
      <c r="DA149" s="113">
        <v>0</v>
      </c>
      <c r="DB149" s="113">
        <v>0</v>
      </c>
      <c r="DC149" s="113">
        <v>0</v>
      </c>
      <c r="DD149" s="113">
        <v>0</v>
      </c>
      <c r="DE149" s="113"/>
      <c r="DF149" s="113"/>
      <c r="DG149" s="113"/>
      <c r="DH149" s="113"/>
      <c r="DI149" s="113"/>
      <c r="DJ149" s="114">
        <f>DB149+DF149</f>
        <v>0</v>
      </c>
      <c r="DK149" s="114">
        <f>DC149+DG149</f>
        <v>0</v>
      </c>
      <c r="DL149" s="114">
        <f>DD149+DH149</f>
        <v>0</v>
      </c>
      <c r="DM149" s="114">
        <f>DE149+DI149</f>
        <v>0</v>
      </c>
      <c r="DN149" s="114">
        <f t="shared" si="415"/>
        <v>0</v>
      </c>
      <c r="DO149" s="114">
        <f>IF($H$2=1,CX149,IF($H$2=2,SUM(CX149:CY149),IF($H$2=3,SUM(CX149:CZ149),SUM(CX149:DA149))))</f>
        <v>0</v>
      </c>
      <c r="DP149" s="114">
        <f>SUM(CX149:DA149)</f>
        <v>0</v>
      </c>
      <c r="DQ149" s="116">
        <f>IFERROR(ROUND(DN149/DO149,4),0)</f>
        <v>0</v>
      </c>
      <c r="DR149" s="126">
        <f t="shared" si="421"/>
        <v>0</v>
      </c>
      <c r="DS149" s="115">
        <f t="shared" si="422"/>
        <v>0</v>
      </c>
      <c r="DT149" s="118">
        <v>1</v>
      </c>
      <c r="DU149" s="115">
        <f t="shared" si="423"/>
        <v>1200</v>
      </c>
      <c r="DV149" s="113"/>
      <c r="DW149" s="119">
        <v>0</v>
      </c>
      <c r="DX149" s="113"/>
      <c r="DY149" s="113"/>
      <c r="DZ149" s="113">
        <v>0</v>
      </c>
      <c r="EA149" s="113">
        <v>0</v>
      </c>
      <c r="EB149" s="113">
        <v>0</v>
      </c>
      <c r="EC149" s="113">
        <v>0</v>
      </c>
      <c r="ED149" s="113">
        <v>0</v>
      </c>
      <c r="EE149" s="113">
        <v>0</v>
      </c>
      <c r="EF149" s="113"/>
      <c r="EG149" s="113"/>
      <c r="EH149" s="113"/>
      <c r="EI149" s="113"/>
      <c r="EJ149" s="113"/>
      <c r="EK149" s="113"/>
      <c r="EL149" s="114">
        <f>ED149+EH149</f>
        <v>0</v>
      </c>
      <c r="EM149" s="114">
        <f>EE149+EI149</f>
        <v>0</v>
      </c>
      <c r="EN149" s="114">
        <f>EF149+EJ149</f>
        <v>0</v>
      </c>
      <c r="EO149" s="114">
        <f>EG149+EK149</f>
        <v>0</v>
      </c>
      <c r="EP149" s="114">
        <f t="shared" si="417"/>
        <v>0</v>
      </c>
      <c r="EQ149" s="114">
        <f>IF($H$2=1,DZ149,IF($H$2=2,SUM(DZ149:EA149),IF($H$2=3,SUM(DZ149:EB149),SUM(DZ149:EC149))))</f>
        <v>0</v>
      </c>
      <c r="ER149" s="114">
        <f>SUM(DZ149:EC149)</f>
        <v>0</v>
      </c>
      <c r="ES149" s="116">
        <f>IFERROR(ROUND(EP149/EQ149,4),0)</f>
        <v>0</v>
      </c>
      <c r="ET149" s="126">
        <f ca="1">IF(OR(DV149="MBO",DV149="10% Realized Price"),ES149,SUMPRODUCT(Lower_Payout*(Curve=DX149)*(Lower_Attain&lt;=ES149)*(Upper_Attain&gt;ES149))+(ES149-SUMPRODUCT(Lower_Attain*(Curve=DX149)*(Lower_Attain&lt;=ES149)*(Upper_Attain&gt;ES149)))*SUMPRODUCT(Slope*(Curve=DX149)*(Lower_Attain&lt;=ES149)*(Upper_Attain&gt;ES149)))</f>
        <v>0</v>
      </c>
      <c r="EU149" s="115">
        <f t="shared" ca="1" si="424"/>
        <v>0</v>
      </c>
      <c r="EV149" s="118" t="str">
        <f t="shared" si="418"/>
        <v>Uncapped</v>
      </c>
      <c r="EW149" s="115">
        <f t="shared" ca="1" si="425"/>
        <v>0</v>
      </c>
      <c r="EX149" s="112">
        <f t="shared" ca="1" si="426"/>
        <v>0</v>
      </c>
      <c r="EY149" s="114">
        <f ca="1">MAX(EX149,GP149)</f>
        <v>3000</v>
      </c>
      <c r="EZ149" s="115"/>
      <c r="FA149" s="115"/>
      <c r="FB149" s="115"/>
      <c r="FC149" s="115">
        <v>0</v>
      </c>
      <c r="FD149" s="115">
        <f>IF($H$2=1,EZ149,IF($H$2=2,SUM(EZ149:FA149),IF($H$2=3,SUM(EZ149:FB149),SUM(EZ149:FC149))))</f>
        <v>0</v>
      </c>
      <c r="FE149" s="114">
        <f t="shared" si="405"/>
        <v>0</v>
      </c>
      <c r="FF149" s="115">
        <v>0</v>
      </c>
      <c r="FG149" s="115">
        <v>0</v>
      </c>
      <c r="FH149" s="115">
        <v>0</v>
      </c>
      <c r="FI149" s="115">
        <v>0</v>
      </c>
      <c r="FJ149" s="115">
        <f>IF($H$2=1,FF149,IF($H$2=2,SUM(FF149:FG149),IF($H$2=3,SUM(FF149:FH149),SUM(FF149:FI149))))</f>
        <v>0</v>
      </c>
      <c r="FK149" s="114">
        <f t="shared" si="407"/>
        <v>0</v>
      </c>
      <c r="FL149" s="113"/>
      <c r="FM149" s="111"/>
      <c r="FN149" s="111"/>
      <c r="FO149" s="111"/>
      <c r="FP149" s="115">
        <f>SUM(FL149:FO149)</f>
        <v>0</v>
      </c>
      <c r="FQ149" s="115"/>
      <c r="FR149" s="115"/>
      <c r="FS149" s="115"/>
      <c r="FT149" s="114">
        <f t="shared" si="435"/>
        <v>0</v>
      </c>
      <c r="FU149" s="366">
        <f t="shared" ca="1" si="436"/>
        <v>3000</v>
      </c>
      <c r="FV149" s="121">
        <f t="shared" ca="1" si="437"/>
        <v>3000</v>
      </c>
      <c r="FW149" s="114">
        <f>FF149</f>
        <v>0</v>
      </c>
      <c r="FX149" s="114">
        <f>FG149</f>
        <v>0</v>
      </c>
      <c r="FY149" s="114">
        <f>FH149</f>
        <v>0</v>
      </c>
      <c r="FZ149" s="114">
        <f>FI149</f>
        <v>0</v>
      </c>
      <c r="GA149" s="114">
        <f>SUM(FW149:FZ149)</f>
        <v>0</v>
      </c>
      <c r="GB149" s="114">
        <f>EZ149</f>
        <v>0</v>
      </c>
      <c r="GC149" s="114">
        <f>FA149</f>
        <v>0</v>
      </c>
      <c r="GD149" s="114">
        <f>FB149</f>
        <v>0</v>
      </c>
      <c r="GE149" s="114">
        <f>FC149</f>
        <v>0</v>
      </c>
      <c r="GF149" s="114">
        <f>GB149+FW149</f>
        <v>0</v>
      </c>
      <c r="GG149" s="114">
        <f>GC149+FX149</f>
        <v>0</v>
      </c>
      <c r="GH149" s="114">
        <f>GD149+FY149</f>
        <v>0</v>
      </c>
      <c r="GI149" s="114">
        <f>GE149+FZ149</f>
        <v>0</v>
      </c>
      <c r="GJ149" s="115">
        <f>IF($H$2=1,GF149,IF($H$2=2,SUM(GF149:GG149),IF($H$2=3,SUM(GF149:GH149),SUM(GF149:GI149))))</f>
        <v>0</v>
      </c>
      <c r="GK149" s="114">
        <f>SUM(GF149:GI149)</f>
        <v>0</v>
      </c>
      <c r="GL149" s="114">
        <f t="shared" si="427"/>
        <v>0</v>
      </c>
      <c r="GM149" s="114">
        <f t="shared" si="428"/>
        <v>2000</v>
      </c>
      <c r="GN149" s="114">
        <f t="shared" si="429"/>
        <v>1000</v>
      </c>
      <c r="GO149" s="114">
        <f t="shared" si="430"/>
        <v>0</v>
      </c>
      <c r="GP149" s="114">
        <f>IF($H$2=1,GL149,IF($H$2=2,SUM(GL149:GM149),IF($H$2=3,SUM(GL149:GN149),IF($H$2=4,SUM(GL149:GO149)))))</f>
        <v>3000</v>
      </c>
      <c r="GQ149" s="114">
        <f>SUM(GL149:GO149)</f>
        <v>3000</v>
      </c>
      <c r="GR149" s="193"/>
      <c r="GS149" s="122">
        <f t="shared" si="431"/>
        <v>206008031.52794209</v>
      </c>
      <c r="GT149" s="122">
        <f t="shared" si="432"/>
        <v>221357924.34342659</v>
      </c>
      <c r="GU149" s="123">
        <f>IFERROR(GS149/GT149,"")</f>
        <v>0.9306557790464739</v>
      </c>
      <c r="GV149" s="124">
        <f t="shared" ca="1" si="433"/>
        <v>0</v>
      </c>
      <c r="GW149" s="124">
        <v>0</v>
      </c>
      <c r="GX149" s="32">
        <f t="shared" ca="1" si="434"/>
        <v>0</v>
      </c>
      <c r="GY149" s="100"/>
    </row>
    <row r="150" spans="3:207" s="408" customFormat="1" hidden="1">
      <c r="C150" s="402"/>
      <c r="D150" s="402"/>
      <c r="E150" s="403"/>
      <c r="F150" s="403" t="s">
        <v>719</v>
      </c>
      <c r="G150" s="403" t="s">
        <v>226</v>
      </c>
      <c r="H150" s="105" t="s">
        <v>623</v>
      </c>
      <c r="I150" s="404" t="s">
        <v>632</v>
      </c>
      <c r="J150" s="403" t="s">
        <v>643</v>
      </c>
      <c r="K150" s="403" t="s">
        <v>622</v>
      </c>
      <c r="L150" s="403"/>
      <c r="M150" s="403"/>
      <c r="N150" s="404"/>
      <c r="O150" s="108">
        <v>39814</v>
      </c>
      <c r="P150" s="108">
        <v>39814</v>
      </c>
      <c r="Q150" s="323">
        <f t="shared" si="410"/>
        <v>0</v>
      </c>
      <c r="R150" s="109">
        <f>IF((P150-VLOOKUP(Q150,month!$A$1:$C$13,3,0))&lt;0,Q150,Q150+1)</f>
        <v>0</v>
      </c>
      <c r="S150" s="108"/>
      <c r="T150" s="110" t="str">
        <f t="shared" si="442"/>
        <v/>
      </c>
      <c r="U150" s="404"/>
      <c r="V150" s="404"/>
      <c r="W150" s="405"/>
      <c r="X150" s="405"/>
      <c r="Y150" s="492"/>
      <c r="Z150" s="406" t="s">
        <v>545</v>
      </c>
      <c r="AA150" s="394">
        <v>1000</v>
      </c>
      <c r="AB150" s="394">
        <v>1000</v>
      </c>
      <c r="AC150" s="394">
        <v>1000</v>
      </c>
      <c r="AD150" s="394">
        <v>1000</v>
      </c>
      <c r="AE150" s="394">
        <v>1000</v>
      </c>
      <c r="AF150" s="394">
        <v>1000</v>
      </c>
      <c r="AG150" s="394">
        <v>1000</v>
      </c>
      <c r="AH150" s="394">
        <v>1000</v>
      </c>
      <c r="AI150" s="394">
        <v>1000</v>
      </c>
      <c r="AJ150" s="394">
        <v>1000</v>
      </c>
      <c r="AK150" s="394">
        <v>1000</v>
      </c>
      <c r="AL150" s="394">
        <v>1000</v>
      </c>
      <c r="AM150" s="388">
        <f t="shared" si="373"/>
        <v>12000</v>
      </c>
      <c r="AN150" s="388">
        <f t="shared" si="411"/>
        <v>12000</v>
      </c>
      <c r="AO150" s="389">
        <f t="shared" ref="AO150:AO152" si="452">AI150</f>
        <v>1000</v>
      </c>
      <c r="AP150" s="502" t="s">
        <v>709</v>
      </c>
      <c r="AQ150" s="159">
        <v>0.6</v>
      </c>
      <c r="AR150" s="103" t="s">
        <v>211</v>
      </c>
      <c r="AS150" s="119" t="s">
        <v>210</v>
      </c>
      <c r="AT150" s="111">
        <v>3480165.9575206251</v>
      </c>
      <c r="AU150" s="111">
        <v>3625172.8724173177</v>
      </c>
      <c r="AV150" s="111">
        <v>3480165.9575206251</v>
      </c>
      <c r="AW150" s="111">
        <v>3915186.7022107034</v>
      </c>
      <c r="AX150" s="113">
        <v>3550995.5598000018</v>
      </c>
      <c r="AY150" s="113">
        <v>3620878.0209000017</v>
      </c>
      <c r="AZ150" s="113">
        <v>3659935.5917999982</v>
      </c>
      <c r="BA150" s="113"/>
      <c r="BB150" s="113"/>
      <c r="BC150" s="113"/>
      <c r="BD150" s="113"/>
      <c r="BE150" s="113"/>
      <c r="BF150" s="114">
        <f t="shared" si="374"/>
        <v>3550995.5598000018</v>
      </c>
      <c r="BG150" s="114">
        <f t="shared" si="375"/>
        <v>3620878.0209000017</v>
      </c>
      <c r="BH150" s="114">
        <f t="shared" si="376"/>
        <v>3659935.5917999982</v>
      </c>
      <c r="BI150" s="114">
        <f t="shared" si="377"/>
        <v>0</v>
      </c>
      <c r="BJ150" s="114">
        <f t="shared" si="412"/>
        <v>10831809.172500001</v>
      </c>
      <c r="BK150" s="115">
        <f t="shared" si="447"/>
        <v>14500691.489669271</v>
      </c>
      <c r="BL150" s="115">
        <f t="shared" si="378"/>
        <v>14500691.489669271</v>
      </c>
      <c r="BM150" s="116">
        <f t="shared" si="379"/>
        <v>0.747</v>
      </c>
      <c r="BN150" s="126">
        <f t="shared" ca="1" si="448"/>
        <v>0</v>
      </c>
      <c r="BO150" s="117">
        <f t="shared" ca="1" si="449"/>
        <v>0</v>
      </c>
      <c r="BP150" s="118" t="str">
        <f t="shared" si="450"/>
        <v>Uncapped</v>
      </c>
      <c r="BQ150" s="115">
        <f t="shared" ca="1" si="451"/>
        <v>0</v>
      </c>
      <c r="BR150" s="174" t="s">
        <v>766</v>
      </c>
      <c r="BS150" s="175">
        <v>0.3</v>
      </c>
      <c r="BT150" s="174" t="s">
        <v>217</v>
      </c>
      <c r="BU150" s="174" t="s">
        <v>210</v>
      </c>
      <c r="BV150" s="113">
        <v>5046797.7308448758</v>
      </c>
      <c r="BW150" s="113">
        <v>5308711.4169250429</v>
      </c>
      <c r="BX150" s="113">
        <v>5114284.1421738518</v>
      </c>
      <c r="BY150" s="113">
        <v>5623300.9818061059</v>
      </c>
      <c r="BZ150" s="113">
        <v>4988539.1888999986</v>
      </c>
      <c r="CA150" s="113">
        <v>5062317.3278799905</v>
      </c>
      <c r="CB150" s="113">
        <v>5091828.1585499998</v>
      </c>
      <c r="CC150" s="113">
        <f t="shared" si="352"/>
        <v>5623300.9818061059</v>
      </c>
      <c r="CD150" s="113"/>
      <c r="CE150" s="113"/>
      <c r="CF150" s="113"/>
      <c r="CG150" s="113"/>
      <c r="CH150" s="114">
        <f t="shared" si="380"/>
        <v>4988539.1888999986</v>
      </c>
      <c r="CI150" s="114">
        <f t="shared" si="381"/>
        <v>5062317.3278799905</v>
      </c>
      <c r="CJ150" s="120">
        <f t="shared" si="382"/>
        <v>5091828.1585499998</v>
      </c>
      <c r="CK150" s="114">
        <f t="shared" si="383"/>
        <v>5623300.9818061059</v>
      </c>
      <c r="CL150" s="114">
        <f t="shared" si="413"/>
        <v>20765985.657136094</v>
      </c>
      <c r="CM150" s="114">
        <f t="shared" si="384"/>
        <v>21093094.271749876</v>
      </c>
      <c r="CN150" s="114">
        <f t="shared" si="385"/>
        <v>21093094.271749876</v>
      </c>
      <c r="CO150" s="116">
        <f t="shared" si="386"/>
        <v>0.98450000000000004</v>
      </c>
      <c r="CP150" s="126">
        <f t="shared" ca="1" si="387"/>
        <v>0</v>
      </c>
      <c r="CQ150" s="115">
        <f t="shared" ca="1" si="419"/>
        <v>0</v>
      </c>
      <c r="CR150" s="118" t="str">
        <f t="shared" si="414"/>
        <v>Uncapped</v>
      </c>
      <c r="CS150" s="115">
        <f t="shared" ca="1" si="420"/>
        <v>0</v>
      </c>
      <c r="CT150" s="113" t="s">
        <v>363</v>
      </c>
      <c r="CU150" s="119">
        <v>0.1</v>
      </c>
      <c r="CV150" s="113"/>
      <c r="CW150" s="113" t="s">
        <v>219</v>
      </c>
      <c r="CX150" s="113">
        <v>0</v>
      </c>
      <c r="CY150" s="113">
        <v>0</v>
      </c>
      <c r="CZ150" s="113">
        <v>0</v>
      </c>
      <c r="DA150" s="113">
        <v>0</v>
      </c>
      <c r="DB150" s="113">
        <v>0</v>
      </c>
      <c r="DC150" s="113">
        <v>0</v>
      </c>
      <c r="DD150" s="113">
        <v>0</v>
      </c>
      <c r="DE150" s="113"/>
      <c r="DF150" s="113"/>
      <c r="DG150" s="113"/>
      <c r="DH150" s="113"/>
      <c r="DI150" s="113"/>
      <c r="DJ150" s="114">
        <f t="shared" si="388"/>
        <v>0</v>
      </c>
      <c r="DK150" s="114">
        <f t="shared" si="389"/>
        <v>0</v>
      </c>
      <c r="DL150" s="114">
        <f t="shared" si="390"/>
        <v>0</v>
      </c>
      <c r="DM150" s="114">
        <f t="shared" si="391"/>
        <v>0</v>
      </c>
      <c r="DN150" s="114">
        <f t="shared" si="415"/>
        <v>0</v>
      </c>
      <c r="DO150" s="114">
        <f t="shared" si="392"/>
        <v>0</v>
      </c>
      <c r="DP150" s="114">
        <f t="shared" si="393"/>
        <v>0</v>
      </c>
      <c r="DQ150" s="116">
        <f t="shared" si="394"/>
        <v>0</v>
      </c>
      <c r="DR150" s="126">
        <f t="shared" si="421"/>
        <v>0</v>
      </c>
      <c r="DS150" s="115">
        <f t="shared" si="422"/>
        <v>0</v>
      </c>
      <c r="DT150" s="118" t="str">
        <f t="shared" si="416"/>
        <v>Uncapped</v>
      </c>
      <c r="DU150" s="115">
        <f t="shared" si="423"/>
        <v>0</v>
      </c>
      <c r="DV150" s="113"/>
      <c r="DW150" s="119">
        <v>0</v>
      </c>
      <c r="DX150" s="113"/>
      <c r="DY150" s="113"/>
      <c r="DZ150" s="113">
        <v>0</v>
      </c>
      <c r="EA150" s="113">
        <v>0</v>
      </c>
      <c r="EB150" s="113">
        <v>0</v>
      </c>
      <c r="EC150" s="113">
        <v>0</v>
      </c>
      <c r="ED150" s="113">
        <v>0</v>
      </c>
      <c r="EE150" s="113">
        <v>0</v>
      </c>
      <c r="EF150" s="113"/>
      <c r="EG150" s="113"/>
      <c r="EH150" s="113"/>
      <c r="EI150" s="113"/>
      <c r="EJ150" s="113"/>
      <c r="EK150" s="113"/>
      <c r="EL150" s="114">
        <f t="shared" si="395"/>
        <v>0</v>
      </c>
      <c r="EM150" s="114">
        <f t="shared" si="396"/>
        <v>0</v>
      </c>
      <c r="EN150" s="114">
        <f t="shared" si="397"/>
        <v>0</v>
      </c>
      <c r="EO150" s="114">
        <f t="shared" si="398"/>
        <v>0</v>
      </c>
      <c r="EP150" s="114">
        <f t="shared" si="417"/>
        <v>0</v>
      </c>
      <c r="EQ150" s="114">
        <f t="shared" si="399"/>
        <v>0</v>
      </c>
      <c r="ER150" s="114">
        <f t="shared" si="400"/>
        <v>0</v>
      </c>
      <c r="ES150" s="116">
        <f t="shared" si="401"/>
        <v>0</v>
      </c>
      <c r="ET150" s="126">
        <f t="shared" ca="1" si="402"/>
        <v>0</v>
      </c>
      <c r="EU150" s="115">
        <f t="shared" ca="1" si="424"/>
        <v>0</v>
      </c>
      <c r="EV150" s="118" t="str">
        <f t="shared" si="418"/>
        <v>Uncapped</v>
      </c>
      <c r="EW150" s="115">
        <f t="shared" ca="1" si="425"/>
        <v>0</v>
      </c>
      <c r="EX150" s="112">
        <f t="shared" ca="1" si="426"/>
        <v>0</v>
      </c>
      <c r="EY150" s="114">
        <f t="shared" ca="1" si="403"/>
        <v>0</v>
      </c>
      <c r="EZ150" s="115">
        <v>0</v>
      </c>
      <c r="FA150" s="115"/>
      <c r="FB150" s="115"/>
      <c r="FC150" s="115">
        <v>0</v>
      </c>
      <c r="FD150" s="115">
        <f t="shared" si="404"/>
        <v>0</v>
      </c>
      <c r="FE150" s="114">
        <f t="shared" si="405"/>
        <v>0</v>
      </c>
      <c r="FF150" s="115">
        <v>0</v>
      </c>
      <c r="FG150" s="115">
        <v>0</v>
      </c>
      <c r="FH150" s="115">
        <v>0</v>
      </c>
      <c r="FI150" s="115">
        <v>0</v>
      </c>
      <c r="FJ150" s="115">
        <f t="shared" si="406"/>
        <v>0</v>
      </c>
      <c r="FK150" s="114">
        <f t="shared" si="407"/>
        <v>0</v>
      </c>
      <c r="FL150" s="113"/>
      <c r="FM150" s="111"/>
      <c r="FN150" s="111"/>
      <c r="FO150" s="111"/>
      <c r="FP150" s="115">
        <f t="shared" si="443"/>
        <v>0</v>
      </c>
      <c r="FQ150" s="115"/>
      <c r="FR150" s="115"/>
      <c r="FS150" s="115"/>
      <c r="FT150" s="114">
        <f t="shared" si="435"/>
        <v>0</v>
      </c>
      <c r="FU150" s="366">
        <f t="shared" ca="1" si="436"/>
        <v>0</v>
      </c>
      <c r="FV150" s="121">
        <f t="shared" ca="1" si="437"/>
        <v>0</v>
      </c>
      <c r="FW150" s="114">
        <f t="shared" si="444"/>
        <v>0</v>
      </c>
      <c r="FX150" s="114">
        <f t="shared" si="444"/>
        <v>0</v>
      </c>
      <c r="FY150" s="114">
        <f t="shared" si="444"/>
        <v>0</v>
      </c>
      <c r="FZ150" s="114">
        <f t="shared" si="444"/>
        <v>0</v>
      </c>
      <c r="GA150" s="114">
        <f t="shared" si="372"/>
        <v>0</v>
      </c>
      <c r="GB150" s="114">
        <f t="shared" si="445"/>
        <v>0</v>
      </c>
      <c r="GC150" s="114">
        <f t="shared" si="445"/>
        <v>0</v>
      </c>
      <c r="GD150" s="114">
        <f t="shared" si="445"/>
        <v>0</v>
      </c>
      <c r="GE150" s="114">
        <f t="shared" si="445"/>
        <v>0</v>
      </c>
      <c r="GF150" s="114">
        <f t="shared" si="441"/>
        <v>0</v>
      </c>
      <c r="GG150" s="114">
        <f t="shared" si="441"/>
        <v>0</v>
      </c>
      <c r="GH150" s="114">
        <f t="shared" si="441"/>
        <v>0</v>
      </c>
      <c r="GI150" s="114">
        <f t="shared" si="441"/>
        <v>0</v>
      </c>
      <c r="GJ150" s="115">
        <f t="shared" si="408"/>
        <v>0</v>
      </c>
      <c r="GK150" s="114">
        <f t="shared" si="438"/>
        <v>0</v>
      </c>
      <c r="GL150" s="114">
        <f t="shared" si="427"/>
        <v>0</v>
      </c>
      <c r="GM150" s="114">
        <f t="shared" si="428"/>
        <v>0</v>
      </c>
      <c r="GN150" s="114">
        <f t="shared" si="429"/>
        <v>0</v>
      </c>
      <c r="GO150" s="114">
        <f t="shared" si="430"/>
        <v>0</v>
      </c>
      <c r="GP150" s="114">
        <f t="shared" si="409"/>
        <v>0</v>
      </c>
      <c r="GQ150" s="114">
        <f t="shared" si="439"/>
        <v>0</v>
      </c>
      <c r="GR150" s="193"/>
      <c r="GS150" s="122">
        <f t="shared" si="431"/>
        <v>31597794.829636097</v>
      </c>
      <c r="GT150" s="122">
        <f t="shared" si="432"/>
        <v>35593785.761419147</v>
      </c>
      <c r="GU150" s="123">
        <f t="shared" si="440"/>
        <v>0.88773346677513609</v>
      </c>
      <c r="GV150" s="124">
        <f t="shared" ca="1" si="433"/>
        <v>0</v>
      </c>
      <c r="GW150" s="124">
        <v>0</v>
      </c>
      <c r="GX150" s="32">
        <f t="shared" ca="1" si="434"/>
        <v>0</v>
      </c>
      <c r="GY150" s="100"/>
    </row>
    <row r="151" spans="3:207" s="408" customFormat="1" hidden="1">
      <c r="C151" s="402"/>
      <c r="D151" s="402"/>
      <c r="E151" s="403"/>
      <c r="F151" s="403" t="s">
        <v>719</v>
      </c>
      <c r="G151" s="403" t="s">
        <v>226</v>
      </c>
      <c r="H151" s="105" t="s">
        <v>624</v>
      </c>
      <c r="I151" s="404" t="s">
        <v>633</v>
      </c>
      <c r="J151" s="403" t="s">
        <v>640</v>
      </c>
      <c r="K151" s="403" t="s">
        <v>621</v>
      </c>
      <c r="L151" s="403" t="s">
        <v>642</v>
      </c>
      <c r="M151" s="403"/>
      <c r="N151" s="404"/>
      <c r="O151" s="108">
        <v>41701</v>
      </c>
      <c r="P151" s="108">
        <v>41701</v>
      </c>
      <c r="Q151" s="323">
        <f t="shared" si="410"/>
        <v>0</v>
      </c>
      <c r="R151" s="109">
        <f>IF((P151-VLOOKUP(Q151,month!$A$1:$C$13,3,0))&lt;0,Q151,Q151+1)</f>
        <v>0</v>
      </c>
      <c r="S151" s="108"/>
      <c r="T151" s="110" t="str">
        <f t="shared" si="442"/>
        <v/>
      </c>
      <c r="U151" s="404"/>
      <c r="V151" s="404"/>
      <c r="W151" s="405"/>
      <c r="X151" s="405"/>
      <c r="Y151" s="492"/>
      <c r="Z151" s="406" t="s">
        <v>545</v>
      </c>
      <c r="AA151" s="394">
        <v>1000</v>
      </c>
      <c r="AB151" s="394">
        <v>1000</v>
      </c>
      <c r="AC151" s="394">
        <v>1000</v>
      </c>
      <c r="AD151" s="394">
        <v>1000</v>
      </c>
      <c r="AE151" s="394">
        <v>1000</v>
      </c>
      <c r="AF151" s="394">
        <v>1000</v>
      </c>
      <c r="AG151" s="394">
        <v>1000</v>
      </c>
      <c r="AH151" s="394">
        <v>1000</v>
      </c>
      <c r="AI151" s="394">
        <v>1000</v>
      </c>
      <c r="AJ151" s="394">
        <v>1000</v>
      </c>
      <c r="AK151" s="394">
        <v>1000</v>
      </c>
      <c r="AL151" s="394">
        <v>1000</v>
      </c>
      <c r="AM151" s="388">
        <f t="shared" si="373"/>
        <v>12000</v>
      </c>
      <c r="AN151" s="388">
        <f t="shared" si="411"/>
        <v>12000</v>
      </c>
      <c r="AO151" s="389">
        <f t="shared" si="452"/>
        <v>1000</v>
      </c>
      <c r="AP151" s="502" t="s">
        <v>759</v>
      </c>
      <c r="AQ151" s="159">
        <v>0.6</v>
      </c>
      <c r="AR151" s="103" t="s">
        <v>211</v>
      </c>
      <c r="AS151" s="119" t="s">
        <v>210</v>
      </c>
      <c r="AT151" s="111">
        <v>5046797.7308448758</v>
      </c>
      <c r="AU151" s="111">
        <v>5308711.4169250429</v>
      </c>
      <c r="AV151" s="111">
        <v>5114284.1421738518</v>
      </c>
      <c r="AW151" s="111">
        <v>5623300.9818061059</v>
      </c>
      <c r="AX151" s="113">
        <v>4988539.1888999986</v>
      </c>
      <c r="AY151" s="113">
        <v>5062317.3278799905</v>
      </c>
      <c r="AZ151" s="113">
        <v>5091828.1585499998</v>
      </c>
      <c r="BA151" s="113"/>
      <c r="BB151" s="113"/>
      <c r="BC151" s="113"/>
      <c r="BD151" s="113"/>
      <c r="BE151" s="113"/>
      <c r="BF151" s="114">
        <f t="shared" si="374"/>
        <v>4988539.1888999986</v>
      </c>
      <c r="BG151" s="114">
        <f t="shared" si="375"/>
        <v>5062317.3278799905</v>
      </c>
      <c r="BH151" s="114">
        <f t="shared" si="376"/>
        <v>5091828.1585499998</v>
      </c>
      <c r="BI151" s="114">
        <f t="shared" si="377"/>
        <v>0</v>
      </c>
      <c r="BJ151" s="114">
        <f t="shared" si="412"/>
        <v>15142684.675329989</v>
      </c>
      <c r="BK151" s="115">
        <f t="shared" si="447"/>
        <v>21093094.271749876</v>
      </c>
      <c r="BL151" s="115">
        <f t="shared" si="378"/>
        <v>21093094.271749876</v>
      </c>
      <c r="BM151" s="116">
        <f t="shared" si="379"/>
        <v>0.71789999999999998</v>
      </c>
      <c r="BN151" s="126">
        <f t="shared" ca="1" si="448"/>
        <v>0</v>
      </c>
      <c r="BO151" s="117">
        <f t="shared" ca="1" si="449"/>
        <v>0</v>
      </c>
      <c r="BP151" s="118" t="str">
        <f t="shared" si="450"/>
        <v>Uncapped</v>
      </c>
      <c r="BQ151" s="115">
        <f t="shared" ca="1" si="451"/>
        <v>0</v>
      </c>
      <c r="BR151" s="174" t="s">
        <v>764</v>
      </c>
      <c r="BS151" s="175">
        <v>0.2</v>
      </c>
      <c r="BT151" s="174" t="s">
        <v>217</v>
      </c>
      <c r="BU151" s="174" t="s">
        <v>210</v>
      </c>
      <c r="BV151" s="113">
        <v>61881722.047854595</v>
      </c>
      <c r="BW151" s="113">
        <v>72180793.063260496</v>
      </c>
      <c r="BX151" s="113">
        <v>70210929.79442063</v>
      </c>
      <c r="BY151" s="113">
        <v>77582831.825025976</v>
      </c>
      <c r="BZ151" s="113">
        <v>63657388.730680585</v>
      </c>
      <c r="CA151" s="113">
        <v>65995192.891159974</v>
      </c>
      <c r="CB151" s="113">
        <v>66410604.684560001</v>
      </c>
      <c r="CC151" s="113">
        <f t="shared" si="352"/>
        <v>77582831.825025976</v>
      </c>
      <c r="CD151" s="113"/>
      <c r="CE151" s="113"/>
      <c r="CF151" s="113"/>
      <c r="CG151" s="113"/>
      <c r="CH151" s="114">
        <f t="shared" si="380"/>
        <v>63657388.730680585</v>
      </c>
      <c r="CI151" s="114">
        <f t="shared" si="381"/>
        <v>65995192.891159974</v>
      </c>
      <c r="CJ151" s="120">
        <f t="shared" si="382"/>
        <v>66410604.684560001</v>
      </c>
      <c r="CK151" s="114">
        <f t="shared" si="383"/>
        <v>77582831.825025976</v>
      </c>
      <c r="CL151" s="114">
        <f t="shared" si="413"/>
        <v>273646018.13142657</v>
      </c>
      <c r="CM151" s="114">
        <f t="shared" si="384"/>
        <v>281856276.73056173</v>
      </c>
      <c r="CN151" s="114">
        <f t="shared" si="385"/>
        <v>281856276.73056173</v>
      </c>
      <c r="CO151" s="116">
        <f t="shared" si="386"/>
        <v>0.97089999999999999</v>
      </c>
      <c r="CP151" s="126">
        <f t="shared" ca="1" si="387"/>
        <v>0</v>
      </c>
      <c r="CQ151" s="115">
        <f t="shared" ca="1" si="419"/>
        <v>0</v>
      </c>
      <c r="CR151" s="118" t="str">
        <f t="shared" si="414"/>
        <v>Uncapped</v>
      </c>
      <c r="CS151" s="115">
        <f t="shared" ca="1" si="420"/>
        <v>0</v>
      </c>
      <c r="CT151" s="113" t="s">
        <v>363</v>
      </c>
      <c r="CU151" s="119">
        <v>0.2</v>
      </c>
      <c r="CV151" s="113"/>
      <c r="CW151" s="113" t="s">
        <v>219</v>
      </c>
      <c r="CX151" s="113">
        <v>0</v>
      </c>
      <c r="CY151" s="113">
        <v>0</v>
      </c>
      <c r="CZ151" s="113">
        <v>0</v>
      </c>
      <c r="DA151" s="113">
        <v>0</v>
      </c>
      <c r="DB151" s="113">
        <v>0</v>
      </c>
      <c r="DC151" s="113">
        <v>0</v>
      </c>
      <c r="DD151" s="113">
        <v>0</v>
      </c>
      <c r="DE151" s="113"/>
      <c r="DF151" s="113"/>
      <c r="DG151" s="113"/>
      <c r="DH151" s="113"/>
      <c r="DI151" s="113"/>
      <c r="DJ151" s="114">
        <f t="shared" si="388"/>
        <v>0</v>
      </c>
      <c r="DK151" s="114">
        <f t="shared" si="389"/>
        <v>0</v>
      </c>
      <c r="DL151" s="114">
        <f t="shared" si="390"/>
        <v>0</v>
      </c>
      <c r="DM151" s="114">
        <f t="shared" si="391"/>
        <v>0</v>
      </c>
      <c r="DN151" s="114">
        <f t="shared" si="415"/>
        <v>0</v>
      </c>
      <c r="DO151" s="114">
        <f t="shared" si="392"/>
        <v>0</v>
      </c>
      <c r="DP151" s="114">
        <f t="shared" si="393"/>
        <v>0</v>
      </c>
      <c r="DQ151" s="116">
        <f t="shared" si="394"/>
        <v>0</v>
      </c>
      <c r="DR151" s="126">
        <f t="shared" si="421"/>
        <v>0</v>
      </c>
      <c r="DS151" s="115">
        <f t="shared" si="422"/>
        <v>0</v>
      </c>
      <c r="DT151" s="118" t="str">
        <f t="shared" si="416"/>
        <v>Uncapped</v>
      </c>
      <c r="DU151" s="115">
        <f t="shared" si="423"/>
        <v>0</v>
      </c>
      <c r="DV151" s="113"/>
      <c r="DW151" s="119">
        <v>0</v>
      </c>
      <c r="DX151" s="113"/>
      <c r="DY151" s="113"/>
      <c r="DZ151" s="113">
        <v>0</v>
      </c>
      <c r="EA151" s="113">
        <v>0</v>
      </c>
      <c r="EB151" s="113">
        <v>0</v>
      </c>
      <c r="EC151" s="113">
        <v>0</v>
      </c>
      <c r="ED151" s="113">
        <v>0</v>
      </c>
      <c r="EE151" s="113">
        <v>0</v>
      </c>
      <c r="EF151" s="113"/>
      <c r="EG151" s="113"/>
      <c r="EH151" s="113"/>
      <c r="EI151" s="113"/>
      <c r="EJ151" s="113"/>
      <c r="EK151" s="113"/>
      <c r="EL151" s="114">
        <f t="shared" si="395"/>
        <v>0</v>
      </c>
      <c r="EM151" s="114">
        <f t="shared" si="396"/>
        <v>0</v>
      </c>
      <c r="EN151" s="114">
        <f t="shared" si="397"/>
        <v>0</v>
      </c>
      <c r="EO151" s="114">
        <f t="shared" si="398"/>
        <v>0</v>
      </c>
      <c r="EP151" s="114">
        <f t="shared" si="417"/>
        <v>0</v>
      </c>
      <c r="EQ151" s="114">
        <f t="shared" si="399"/>
        <v>0</v>
      </c>
      <c r="ER151" s="114">
        <f t="shared" si="400"/>
        <v>0</v>
      </c>
      <c r="ES151" s="116">
        <f t="shared" si="401"/>
        <v>0</v>
      </c>
      <c r="ET151" s="126">
        <f t="shared" ca="1" si="402"/>
        <v>0</v>
      </c>
      <c r="EU151" s="115">
        <f t="shared" ca="1" si="424"/>
        <v>0</v>
      </c>
      <c r="EV151" s="118" t="str">
        <f t="shared" si="418"/>
        <v>Uncapped</v>
      </c>
      <c r="EW151" s="115">
        <f t="shared" ca="1" si="425"/>
        <v>0</v>
      </c>
      <c r="EX151" s="112">
        <f t="shared" ca="1" si="426"/>
        <v>0</v>
      </c>
      <c r="EY151" s="114">
        <f t="shared" ca="1" si="403"/>
        <v>0</v>
      </c>
      <c r="EZ151" s="115">
        <v>0</v>
      </c>
      <c r="FA151" s="115"/>
      <c r="FB151" s="115"/>
      <c r="FC151" s="115">
        <v>0</v>
      </c>
      <c r="FD151" s="115">
        <f t="shared" si="404"/>
        <v>0</v>
      </c>
      <c r="FE151" s="114">
        <f t="shared" ref="FE151:FE179" si="453">SUMIFS(151:151,$5:$5,"SPIFF payout $ (Local CCY)",$4:$4,CONCATENATE("Q",$H$2))</f>
        <v>0</v>
      </c>
      <c r="FF151" s="115">
        <v>0</v>
      </c>
      <c r="FG151" s="115">
        <v>0</v>
      </c>
      <c r="FH151" s="115">
        <v>0</v>
      </c>
      <c r="FI151" s="115">
        <v>0</v>
      </c>
      <c r="FJ151" s="115">
        <f t="shared" si="406"/>
        <v>0</v>
      </c>
      <c r="FK151" s="114">
        <f t="shared" ref="FK151:FK179" si="454">SUMIFS(151:151,$5:$5,"Other payout $ (Local CCY)",$4:$4,CONCATENATE("Q",$H$2))</f>
        <v>0</v>
      </c>
      <c r="FL151" s="113"/>
      <c r="FM151" s="111"/>
      <c r="FN151" s="111"/>
      <c r="FO151" s="111"/>
      <c r="FP151" s="115">
        <f t="shared" si="443"/>
        <v>0</v>
      </c>
      <c r="FQ151" s="115"/>
      <c r="FR151" s="115"/>
      <c r="FS151" s="115"/>
      <c r="FT151" s="114">
        <f t="shared" si="435"/>
        <v>0</v>
      </c>
      <c r="FU151" s="366">
        <f t="shared" ca="1" si="436"/>
        <v>0</v>
      </c>
      <c r="FV151" s="121">
        <f t="shared" ca="1" si="437"/>
        <v>0</v>
      </c>
      <c r="FW151" s="114">
        <f t="shared" si="444"/>
        <v>0</v>
      </c>
      <c r="FX151" s="114">
        <f t="shared" si="444"/>
        <v>0</v>
      </c>
      <c r="FY151" s="114">
        <f t="shared" si="444"/>
        <v>0</v>
      </c>
      <c r="FZ151" s="114">
        <f t="shared" si="444"/>
        <v>0</v>
      </c>
      <c r="GA151" s="114">
        <f t="shared" si="372"/>
        <v>0</v>
      </c>
      <c r="GB151" s="114">
        <f t="shared" si="445"/>
        <v>0</v>
      </c>
      <c r="GC151" s="114">
        <f t="shared" si="445"/>
        <v>0</v>
      </c>
      <c r="GD151" s="114">
        <f t="shared" si="445"/>
        <v>0</v>
      </c>
      <c r="GE151" s="114">
        <f t="shared" si="445"/>
        <v>0</v>
      </c>
      <c r="GF151" s="114">
        <f t="shared" si="441"/>
        <v>0</v>
      </c>
      <c r="GG151" s="114">
        <f t="shared" si="441"/>
        <v>0</v>
      </c>
      <c r="GH151" s="114">
        <f t="shared" si="441"/>
        <v>0</v>
      </c>
      <c r="GI151" s="114">
        <f t="shared" si="441"/>
        <v>0</v>
      </c>
      <c r="GJ151" s="115">
        <f t="shared" si="408"/>
        <v>0</v>
      </c>
      <c r="GK151" s="114">
        <f t="shared" si="438"/>
        <v>0</v>
      </c>
      <c r="GL151" s="114">
        <f t="shared" si="427"/>
        <v>0</v>
      </c>
      <c r="GM151" s="114">
        <f t="shared" si="428"/>
        <v>0</v>
      </c>
      <c r="GN151" s="114">
        <f t="shared" si="429"/>
        <v>0</v>
      </c>
      <c r="GO151" s="114">
        <f t="shared" si="430"/>
        <v>0</v>
      </c>
      <c r="GP151" s="114">
        <f t="shared" si="409"/>
        <v>0</v>
      </c>
      <c r="GQ151" s="114">
        <f t="shared" si="439"/>
        <v>0</v>
      </c>
      <c r="GR151" s="193"/>
      <c r="GS151" s="122">
        <f t="shared" si="431"/>
        <v>288788702.80675656</v>
      </c>
      <c r="GT151" s="122">
        <f t="shared" si="432"/>
        <v>302949371.00231159</v>
      </c>
      <c r="GU151" s="123">
        <f t="shared" si="440"/>
        <v>0.95325731111867207</v>
      </c>
      <c r="GV151" s="124">
        <f t="shared" ca="1" si="433"/>
        <v>0</v>
      </c>
      <c r="GW151" s="124">
        <v>0</v>
      </c>
      <c r="GX151" s="32">
        <f t="shared" ca="1" si="434"/>
        <v>0</v>
      </c>
      <c r="GY151" s="100"/>
    </row>
    <row r="152" spans="3:207" s="408" customFormat="1" hidden="1">
      <c r="C152" s="402"/>
      <c r="D152" s="402"/>
      <c r="E152" s="403"/>
      <c r="F152" s="403" t="s">
        <v>719</v>
      </c>
      <c r="G152" s="403" t="s">
        <v>226</v>
      </c>
      <c r="H152" s="105" t="s">
        <v>625</v>
      </c>
      <c r="I152" s="404" t="s">
        <v>634</v>
      </c>
      <c r="J152" s="403" t="s">
        <v>212</v>
      </c>
      <c r="K152" s="403" t="s">
        <v>621</v>
      </c>
      <c r="L152" s="403"/>
      <c r="M152" s="403"/>
      <c r="N152" s="404"/>
      <c r="O152" s="108">
        <v>41141</v>
      </c>
      <c r="P152" s="108">
        <v>41141</v>
      </c>
      <c r="Q152" s="323">
        <f t="shared" si="410"/>
        <v>0</v>
      </c>
      <c r="R152" s="109">
        <f>IF((P152-VLOOKUP(Q152,month!$A$1:$C$13,3,0))&lt;0,Q152,Q152+1)</f>
        <v>0</v>
      </c>
      <c r="S152" s="108"/>
      <c r="T152" s="110" t="str">
        <f t="shared" si="442"/>
        <v/>
      </c>
      <c r="U152" s="404"/>
      <c r="V152" s="404"/>
      <c r="W152" s="405"/>
      <c r="X152" s="405"/>
      <c r="Y152" s="492"/>
      <c r="Z152" s="406" t="s">
        <v>545</v>
      </c>
      <c r="AA152" s="394">
        <v>1000</v>
      </c>
      <c r="AB152" s="394">
        <v>1000</v>
      </c>
      <c r="AC152" s="394">
        <v>1000</v>
      </c>
      <c r="AD152" s="394">
        <v>1000</v>
      </c>
      <c r="AE152" s="394">
        <v>1000</v>
      </c>
      <c r="AF152" s="394">
        <v>1000</v>
      </c>
      <c r="AG152" s="394">
        <v>1000</v>
      </c>
      <c r="AH152" s="394">
        <v>1000</v>
      </c>
      <c r="AI152" s="394">
        <v>1000</v>
      </c>
      <c r="AJ152" s="394">
        <v>1000</v>
      </c>
      <c r="AK152" s="394">
        <v>1000</v>
      </c>
      <c r="AL152" s="394">
        <v>1000</v>
      </c>
      <c r="AM152" s="388">
        <f t="shared" si="373"/>
        <v>12000</v>
      </c>
      <c r="AN152" s="388">
        <f t="shared" si="411"/>
        <v>12000</v>
      </c>
      <c r="AO152" s="389">
        <f t="shared" si="452"/>
        <v>1000</v>
      </c>
      <c r="AP152" s="502" t="s">
        <v>708</v>
      </c>
      <c r="AQ152" s="159">
        <v>0.6</v>
      </c>
      <c r="AR152" s="103" t="s">
        <v>211</v>
      </c>
      <c r="AS152" s="119" t="s">
        <v>210</v>
      </c>
      <c r="AT152" s="111">
        <v>579075.97512571386</v>
      </c>
      <c r="AU152" s="111">
        <v>603204.14075595187</v>
      </c>
      <c r="AV152" s="111">
        <v>579075.97512571386</v>
      </c>
      <c r="AW152" s="111">
        <v>651460.47201642813</v>
      </c>
      <c r="AX152" s="113">
        <v>600086.78999999922</v>
      </c>
      <c r="AY152" s="113">
        <v>605206.20599999989</v>
      </c>
      <c r="AZ152" s="113">
        <v>579095.10000000009</v>
      </c>
      <c r="BA152" s="113"/>
      <c r="BB152" s="113"/>
      <c r="BC152" s="113"/>
      <c r="BD152" s="113"/>
      <c r="BE152" s="113"/>
      <c r="BF152" s="114">
        <f t="shared" si="374"/>
        <v>600086.78999999922</v>
      </c>
      <c r="BG152" s="114">
        <f t="shared" si="375"/>
        <v>605206.20599999989</v>
      </c>
      <c r="BH152" s="114">
        <f t="shared" si="376"/>
        <v>579095.10000000009</v>
      </c>
      <c r="BI152" s="114">
        <f t="shared" si="377"/>
        <v>0</v>
      </c>
      <c r="BJ152" s="114">
        <f t="shared" si="412"/>
        <v>1784388.0959999992</v>
      </c>
      <c r="BK152" s="115">
        <f t="shared" si="447"/>
        <v>2412816.5630238075</v>
      </c>
      <c r="BL152" s="115">
        <f t="shared" si="378"/>
        <v>2412816.5630238075</v>
      </c>
      <c r="BM152" s="116">
        <f t="shared" si="379"/>
        <v>0.73950000000000005</v>
      </c>
      <c r="BN152" s="126">
        <f t="shared" ca="1" si="448"/>
        <v>0</v>
      </c>
      <c r="BO152" s="117">
        <f t="shared" ca="1" si="449"/>
        <v>0</v>
      </c>
      <c r="BP152" s="118" t="str">
        <f t="shared" si="450"/>
        <v>Uncapped</v>
      </c>
      <c r="BQ152" s="115">
        <f t="shared" ca="1" si="451"/>
        <v>0</v>
      </c>
      <c r="BR152" s="174" t="s">
        <v>709</v>
      </c>
      <c r="BS152" s="175">
        <v>0.2</v>
      </c>
      <c r="BT152" s="174" t="s">
        <v>217</v>
      </c>
      <c r="BU152" s="174" t="s">
        <v>210</v>
      </c>
      <c r="BV152" s="113">
        <v>2614183.8922245866</v>
      </c>
      <c r="BW152" s="113">
        <v>2723108.2210672777</v>
      </c>
      <c r="BX152" s="113">
        <v>2614183.8922245866</v>
      </c>
      <c r="BY152" s="113">
        <v>2940956.87875266</v>
      </c>
      <c r="BZ152" s="113">
        <v>2689117.4880000018</v>
      </c>
      <c r="CA152" s="113">
        <v>2709593.2359000021</v>
      </c>
      <c r="CB152" s="113">
        <v>2721919.4478000002</v>
      </c>
      <c r="CC152" s="113">
        <f t="shared" si="352"/>
        <v>2940956.87875266</v>
      </c>
      <c r="CD152" s="113"/>
      <c r="CE152" s="113"/>
      <c r="CF152" s="113"/>
      <c r="CG152" s="113"/>
      <c r="CH152" s="114">
        <f t="shared" si="380"/>
        <v>2689117.4880000018</v>
      </c>
      <c r="CI152" s="114">
        <f t="shared" si="381"/>
        <v>2709593.2359000021</v>
      </c>
      <c r="CJ152" s="120">
        <f t="shared" si="382"/>
        <v>2721919.4478000002</v>
      </c>
      <c r="CK152" s="114">
        <f t="shared" si="383"/>
        <v>2940956.87875266</v>
      </c>
      <c r="CL152" s="114">
        <f t="shared" si="413"/>
        <v>11061587.050452664</v>
      </c>
      <c r="CM152" s="114">
        <f t="shared" si="384"/>
        <v>10892432.884269111</v>
      </c>
      <c r="CN152" s="114">
        <f t="shared" si="385"/>
        <v>10892432.884269111</v>
      </c>
      <c r="CO152" s="116">
        <f t="shared" si="386"/>
        <v>1.0155000000000001</v>
      </c>
      <c r="CP152" s="126">
        <f t="shared" ca="1" si="387"/>
        <v>0</v>
      </c>
      <c r="CQ152" s="115">
        <f t="shared" ca="1" si="419"/>
        <v>0</v>
      </c>
      <c r="CR152" s="118" t="str">
        <f t="shared" si="414"/>
        <v>Uncapped</v>
      </c>
      <c r="CS152" s="115">
        <f t="shared" ca="1" si="420"/>
        <v>0</v>
      </c>
      <c r="CT152" s="113" t="s">
        <v>732</v>
      </c>
      <c r="CU152" s="119">
        <v>0.1</v>
      </c>
      <c r="CV152" s="113" t="s">
        <v>217</v>
      </c>
      <c r="CW152" s="113" t="s">
        <v>210</v>
      </c>
      <c r="CX152" s="113">
        <v>5046797.7308448758</v>
      </c>
      <c r="CY152" s="113">
        <v>5308711.4169250429</v>
      </c>
      <c r="CZ152" s="113">
        <v>5114284.1421738518</v>
      </c>
      <c r="DA152" s="113">
        <v>5623300.9818061059</v>
      </c>
      <c r="DB152" s="113">
        <v>4988539.1888999986</v>
      </c>
      <c r="DC152" s="113">
        <v>5062317.3278799905</v>
      </c>
      <c r="DD152" s="113">
        <v>5091828.1585499998</v>
      </c>
      <c r="DE152" s="113"/>
      <c r="DF152" s="113"/>
      <c r="DG152" s="113"/>
      <c r="DH152" s="113"/>
      <c r="DI152" s="113"/>
      <c r="DJ152" s="114">
        <f t="shared" si="388"/>
        <v>4988539.1888999986</v>
      </c>
      <c r="DK152" s="114">
        <f t="shared" si="389"/>
        <v>5062317.3278799905</v>
      </c>
      <c r="DL152" s="114">
        <f t="shared" si="390"/>
        <v>5091828.1585499998</v>
      </c>
      <c r="DM152" s="114">
        <f t="shared" si="391"/>
        <v>0</v>
      </c>
      <c r="DN152" s="114">
        <f t="shared" si="415"/>
        <v>15142684.675329989</v>
      </c>
      <c r="DO152" s="114">
        <f t="shared" si="392"/>
        <v>21093094.271749876</v>
      </c>
      <c r="DP152" s="114">
        <f t="shared" si="393"/>
        <v>21093094.271749876</v>
      </c>
      <c r="DQ152" s="116">
        <f t="shared" si="394"/>
        <v>0.71789999999999998</v>
      </c>
      <c r="DR152" s="126">
        <f t="shared" ca="1" si="421"/>
        <v>0</v>
      </c>
      <c r="DS152" s="115">
        <f t="shared" ca="1" si="422"/>
        <v>0</v>
      </c>
      <c r="DT152" s="118" t="str">
        <f t="shared" si="416"/>
        <v>Uncapped</v>
      </c>
      <c r="DU152" s="115">
        <f t="shared" ca="1" si="423"/>
        <v>0</v>
      </c>
      <c r="DV152" s="113" t="s">
        <v>363</v>
      </c>
      <c r="DW152" s="119">
        <v>0.1</v>
      </c>
      <c r="DX152" s="113"/>
      <c r="DY152" s="113" t="s">
        <v>219</v>
      </c>
      <c r="DZ152" s="113">
        <v>0</v>
      </c>
      <c r="EA152" s="113">
        <v>0</v>
      </c>
      <c r="EB152" s="113">
        <v>0</v>
      </c>
      <c r="EC152" s="113">
        <v>0</v>
      </c>
      <c r="ED152" s="113">
        <v>0</v>
      </c>
      <c r="EE152" s="113">
        <v>0</v>
      </c>
      <c r="EF152" s="113"/>
      <c r="EG152" s="113"/>
      <c r="EH152" s="113"/>
      <c r="EI152" s="113"/>
      <c r="EJ152" s="113"/>
      <c r="EK152" s="113"/>
      <c r="EL152" s="114">
        <f t="shared" si="395"/>
        <v>0</v>
      </c>
      <c r="EM152" s="114">
        <f t="shared" si="396"/>
        <v>0</v>
      </c>
      <c r="EN152" s="114">
        <f t="shared" si="397"/>
        <v>0</v>
      </c>
      <c r="EO152" s="114">
        <f t="shared" si="398"/>
        <v>0</v>
      </c>
      <c r="EP152" s="114">
        <f t="shared" si="417"/>
        <v>0</v>
      </c>
      <c r="EQ152" s="114">
        <f t="shared" si="399"/>
        <v>0</v>
      </c>
      <c r="ER152" s="114">
        <f t="shared" si="400"/>
        <v>0</v>
      </c>
      <c r="ES152" s="116">
        <f t="shared" si="401"/>
        <v>0</v>
      </c>
      <c r="ET152" s="126">
        <f t="shared" si="402"/>
        <v>0</v>
      </c>
      <c r="EU152" s="115">
        <f t="shared" si="424"/>
        <v>0</v>
      </c>
      <c r="EV152" s="118" t="str">
        <f t="shared" si="418"/>
        <v>Uncapped</v>
      </c>
      <c r="EW152" s="115">
        <f t="shared" si="425"/>
        <v>0</v>
      </c>
      <c r="EX152" s="112">
        <f t="shared" ca="1" si="426"/>
        <v>0</v>
      </c>
      <c r="EY152" s="114">
        <f t="shared" ca="1" si="403"/>
        <v>0</v>
      </c>
      <c r="EZ152" s="115">
        <v>0</v>
      </c>
      <c r="FA152" s="115"/>
      <c r="FB152" s="115"/>
      <c r="FC152" s="115">
        <v>0</v>
      </c>
      <c r="FD152" s="115">
        <f t="shared" si="404"/>
        <v>0</v>
      </c>
      <c r="FE152" s="114">
        <f t="shared" si="453"/>
        <v>0</v>
      </c>
      <c r="FF152" s="115">
        <v>0</v>
      </c>
      <c r="FG152" s="115">
        <v>0</v>
      </c>
      <c r="FH152" s="115">
        <v>0</v>
      </c>
      <c r="FI152" s="115">
        <v>0</v>
      </c>
      <c r="FJ152" s="115">
        <f t="shared" si="406"/>
        <v>0</v>
      </c>
      <c r="FK152" s="114">
        <f t="shared" si="454"/>
        <v>0</v>
      </c>
      <c r="FL152" s="113"/>
      <c r="FM152" s="111"/>
      <c r="FN152" s="111"/>
      <c r="FO152" s="111"/>
      <c r="FP152" s="115">
        <f t="shared" si="443"/>
        <v>0</v>
      </c>
      <c r="FQ152" s="115"/>
      <c r="FR152" s="115"/>
      <c r="FS152" s="115"/>
      <c r="FT152" s="114">
        <f t="shared" si="435"/>
        <v>0</v>
      </c>
      <c r="FU152" s="366">
        <f t="shared" ca="1" si="436"/>
        <v>0</v>
      </c>
      <c r="FV152" s="121">
        <f t="shared" ca="1" si="437"/>
        <v>0</v>
      </c>
      <c r="FW152" s="114">
        <f t="shared" si="444"/>
        <v>0</v>
      </c>
      <c r="FX152" s="114">
        <f t="shared" si="444"/>
        <v>0</v>
      </c>
      <c r="FY152" s="114">
        <f t="shared" si="444"/>
        <v>0</v>
      </c>
      <c r="FZ152" s="114">
        <f t="shared" si="444"/>
        <v>0</v>
      </c>
      <c r="GA152" s="114">
        <f t="shared" si="372"/>
        <v>0</v>
      </c>
      <c r="GB152" s="114">
        <f t="shared" si="445"/>
        <v>0</v>
      </c>
      <c r="GC152" s="114">
        <f t="shared" si="445"/>
        <v>0</v>
      </c>
      <c r="GD152" s="114">
        <f t="shared" si="445"/>
        <v>0</v>
      </c>
      <c r="GE152" s="114">
        <f t="shared" si="445"/>
        <v>0</v>
      </c>
      <c r="GF152" s="114">
        <f t="shared" si="441"/>
        <v>0</v>
      </c>
      <c r="GG152" s="114">
        <f t="shared" si="441"/>
        <v>0</v>
      </c>
      <c r="GH152" s="114">
        <f t="shared" si="441"/>
        <v>0</v>
      </c>
      <c r="GI152" s="114">
        <f t="shared" si="441"/>
        <v>0</v>
      </c>
      <c r="GJ152" s="115">
        <f t="shared" si="408"/>
        <v>0</v>
      </c>
      <c r="GK152" s="114">
        <f t="shared" si="438"/>
        <v>0</v>
      </c>
      <c r="GL152" s="114">
        <f t="shared" si="427"/>
        <v>0</v>
      </c>
      <c r="GM152" s="114">
        <f t="shared" si="428"/>
        <v>0</v>
      </c>
      <c r="GN152" s="114">
        <f t="shared" si="429"/>
        <v>0</v>
      </c>
      <c r="GO152" s="114">
        <f t="shared" si="430"/>
        <v>0</v>
      </c>
      <c r="GP152" s="114">
        <f t="shared" si="409"/>
        <v>0</v>
      </c>
      <c r="GQ152" s="114">
        <f t="shared" si="439"/>
        <v>0</v>
      </c>
      <c r="GR152" s="193"/>
      <c r="GS152" s="122">
        <f t="shared" si="431"/>
        <v>27988659.821782652</v>
      </c>
      <c r="GT152" s="122">
        <f t="shared" si="432"/>
        <v>34398343.719042793</v>
      </c>
      <c r="GU152" s="123">
        <f t="shared" si="440"/>
        <v>0.81366300803280356</v>
      </c>
      <c r="GV152" s="124">
        <f t="shared" ca="1" si="433"/>
        <v>0</v>
      </c>
      <c r="GW152" s="124">
        <v>0</v>
      </c>
      <c r="GX152" s="32">
        <f t="shared" ca="1" si="434"/>
        <v>0</v>
      </c>
      <c r="GY152" s="100"/>
    </row>
    <row r="153" spans="3:207" s="408" customFormat="1" hidden="1">
      <c r="C153" s="402"/>
      <c r="D153" s="402"/>
      <c r="E153" s="403"/>
      <c r="F153" s="403" t="s">
        <v>719</v>
      </c>
      <c r="G153" s="403" t="s">
        <v>226</v>
      </c>
      <c r="H153" s="105" t="s">
        <v>660</v>
      </c>
      <c r="I153" s="404" t="s">
        <v>659</v>
      </c>
      <c r="J153" s="403" t="s">
        <v>212</v>
      </c>
      <c r="K153" s="403" t="s">
        <v>621</v>
      </c>
      <c r="L153" s="403"/>
      <c r="M153" s="403"/>
      <c r="N153" s="404"/>
      <c r="O153" s="108">
        <v>43160</v>
      </c>
      <c r="P153" s="108">
        <v>43617</v>
      </c>
      <c r="Q153" s="323">
        <f t="shared" si="410"/>
        <v>6</v>
      </c>
      <c r="R153" s="109">
        <f>IF((P153-VLOOKUP(Q153,month!$A$1:$C$13,3,0))&lt;0,Q153,Q153+1)</f>
        <v>6</v>
      </c>
      <c r="S153" s="108"/>
      <c r="T153" s="110" t="str">
        <f t="shared" si="442"/>
        <v/>
      </c>
      <c r="U153" s="483" t="s">
        <v>661</v>
      </c>
      <c r="V153" s="483"/>
      <c r="W153" s="484">
        <v>1</v>
      </c>
      <c r="X153" s="484">
        <v>2</v>
      </c>
      <c r="Y153" s="492"/>
      <c r="Z153" s="406" t="s">
        <v>545</v>
      </c>
      <c r="AA153" s="394">
        <v>1000</v>
      </c>
      <c r="AB153" s="394">
        <v>1000</v>
      </c>
      <c r="AC153" s="394">
        <v>1000</v>
      </c>
      <c r="AD153" s="394">
        <v>1000</v>
      </c>
      <c r="AE153" s="394">
        <v>1000</v>
      </c>
      <c r="AF153" s="394">
        <v>1000</v>
      </c>
      <c r="AG153" s="394">
        <v>1000</v>
      </c>
      <c r="AH153" s="394">
        <v>1000</v>
      </c>
      <c r="AI153" s="394">
        <v>1000</v>
      </c>
      <c r="AJ153" s="394">
        <v>1000</v>
      </c>
      <c r="AK153" s="394">
        <v>1000</v>
      </c>
      <c r="AL153" s="394">
        <v>1000</v>
      </c>
      <c r="AM153" s="388">
        <f t="shared" si="373"/>
        <v>12000</v>
      </c>
      <c r="AN153" s="388">
        <f t="shared" si="411"/>
        <v>12000</v>
      </c>
      <c r="AO153" s="389">
        <f>AF153</f>
        <v>1000</v>
      </c>
      <c r="AP153" s="502" t="s">
        <v>716</v>
      </c>
      <c r="AQ153" s="159">
        <v>0.5</v>
      </c>
      <c r="AR153" s="103" t="s">
        <v>211</v>
      </c>
      <c r="AS153" s="119" t="s">
        <v>210</v>
      </c>
      <c r="AT153" s="111"/>
      <c r="AU153" s="111">
        <v>451032.32567501999</v>
      </c>
      <c r="AV153" s="111">
        <v>902064.65135003999</v>
      </c>
      <c r="AW153" s="111">
        <v>974229.82345804339</v>
      </c>
      <c r="AX153" s="113"/>
      <c r="AY153" s="113">
        <v>292601.6802</v>
      </c>
      <c r="AZ153" s="113">
        <v>938016.14399999799</v>
      </c>
      <c r="BA153" s="113"/>
      <c r="BB153" s="113"/>
      <c r="BC153" s="113"/>
      <c r="BD153" s="113"/>
      <c r="BE153" s="113"/>
      <c r="BF153" s="114">
        <f>AX153+BB153</f>
        <v>0</v>
      </c>
      <c r="BG153" s="114">
        <f>AY153+BC153</f>
        <v>292601.6802</v>
      </c>
      <c r="BH153" s="114">
        <f>AZ153+BD153</f>
        <v>938016.14399999799</v>
      </c>
      <c r="BI153" s="114">
        <f>BA153+BE153</f>
        <v>0</v>
      </c>
      <c r="BJ153" s="114">
        <f t="shared" si="412"/>
        <v>1230617.8241999981</v>
      </c>
      <c r="BK153" s="115">
        <f>IF($H$2=1,AT153,IF($H$2=2,SUM(AT153:AU153),IF($H$2=3,SUM(AT153:AV153),SUM(AT153:AW153))))</f>
        <v>2327326.8004831034</v>
      </c>
      <c r="BL153" s="115">
        <f>SUM(AT153:AW153)</f>
        <v>2327326.8004831034</v>
      </c>
      <c r="BM153" s="116">
        <f>IFERROR(ROUND(BJ153/BK153,4),0)</f>
        <v>0.52880000000000005</v>
      </c>
      <c r="BN153" s="126">
        <f t="shared" ca="1" si="448"/>
        <v>0</v>
      </c>
      <c r="BO153" s="117">
        <f t="shared" ca="1" si="449"/>
        <v>0</v>
      </c>
      <c r="BP153" s="118" t="str">
        <f t="shared" si="450"/>
        <v>Uncapped</v>
      </c>
      <c r="BQ153" s="115">
        <f t="shared" ca="1" si="451"/>
        <v>0</v>
      </c>
      <c r="BR153" s="174" t="s">
        <v>758</v>
      </c>
      <c r="BS153" s="175">
        <v>0.4</v>
      </c>
      <c r="BT153" s="174" t="s">
        <v>217</v>
      </c>
      <c r="BU153" s="174" t="s">
        <v>210</v>
      </c>
      <c r="BV153" s="113"/>
      <c r="BW153" s="113">
        <v>2654355.70846252</v>
      </c>
      <c r="BX153" s="113">
        <v>5114284.1421738518</v>
      </c>
      <c r="BY153" s="113">
        <v>5623300.9818061059</v>
      </c>
      <c r="BZ153" s="113">
        <v>0</v>
      </c>
      <c r="CA153" s="113">
        <v>2531158.6639399952</v>
      </c>
      <c r="CB153" s="113">
        <v>5091828.1585499998</v>
      </c>
      <c r="CC153" s="113">
        <f t="shared" si="352"/>
        <v>5623300.9818061059</v>
      </c>
      <c r="CD153" s="113"/>
      <c r="CE153" s="113"/>
      <c r="CF153" s="113"/>
      <c r="CG153" s="113"/>
      <c r="CH153" s="114">
        <f>BZ153+CD153</f>
        <v>0</v>
      </c>
      <c r="CI153" s="114">
        <f>CA153+CE153</f>
        <v>2531158.6639399952</v>
      </c>
      <c r="CJ153" s="120">
        <f>CB153+CF153</f>
        <v>5091828.1585499998</v>
      </c>
      <c r="CK153" s="114">
        <f>CC153+CG153</f>
        <v>5623300.9818061059</v>
      </c>
      <c r="CL153" s="114">
        <f t="shared" si="413"/>
        <v>13246287.804296102</v>
      </c>
      <c r="CM153" s="114">
        <f>IF($H$2=1,BV153,IF($H$2=2,SUM(BV153:BW153),IF($H$2=3,SUM(BV153:BX153),SUM(BV153:BY153))))</f>
        <v>13391940.832442477</v>
      </c>
      <c r="CN153" s="114">
        <f>SUM(BV153:BY153)</f>
        <v>13391940.832442477</v>
      </c>
      <c r="CO153" s="116">
        <f>IFERROR(ROUND(CL153/CM153,4),0)</f>
        <v>0.98909999999999998</v>
      </c>
      <c r="CP153" s="126">
        <f ca="1">IF(OR(BR153="MBO",BR153="10% Realized Price"),CO153,SUMPRODUCT(Lower_Payout*(Curve=BT153)*(Lower_Attain&lt;=CO153)*(Upper_Attain&gt;CO153))+(CO153-SUMPRODUCT(Lower_Attain*(Curve=BT153)*(Lower_Attain&lt;=CO153)*(Upper_Attain&gt;CO153)))*SUMPRODUCT(Slope*(Curve=BT153)*(Lower_Attain&lt;=CO153)*(Upper_Attain&gt;CO153)))</f>
        <v>0</v>
      </c>
      <c r="CQ153" s="115">
        <f t="shared" ca="1" si="419"/>
        <v>0</v>
      </c>
      <c r="CR153" s="118" t="str">
        <f t="shared" si="414"/>
        <v>Uncapped</v>
      </c>
      <c r="CS153" s="115">
        <f t="shared" ca="1" si="420"/>
        <v>0</v>
      </c>
      <c r="CT153" s="113" t="s">
        <v>363</v>
      </c>
      <c r="CU153" s="119">
        <v>0.1</v>
      </c>
      <c r="CV153" s="113"/>
      <c r="CW153" s="113" t="s">
        <v>219</v>
      </c>
      <c r="CX153" s="113"/>
      <c r="CY153" s="113"/>
      <c r="CZ153" s="113">
        <v>0</v>
      </c>
      <c r="DA153" s="113">
        <v>0</v>
      </c>
      <c r="DB153" s="113">
        <v>0</v>
      </c>
      <c r="DC153" s="113"/>
      <c r="DD153" s="113">
        <v>0</v>
      </c>
      <c r="DE153" s="113"/>
      <c r="DF153" s="113"/>
      <c r="DG153" s="113"/>
      <c r="DH153" s="113"/>
      <c r="DI153" s="113"/>
      <c r="DJ153" s="114">
        <f>DB153+DF153</f>
        <v>0</v>
      </c>
      <c r="DK153" s="114">
        <f>DC153+DG153</f>
        <v>0</v>
      </c>
      <c r="DL153" s="114">
        <f>DD153+DH153</f>
        <v>0</v>
      </c>
      <c r="DM153" s="114">
        <f>DE153+DI153</f>
        <v>0</v>
      </c>
      <c r="DN153" s="114">
        <f t="shared" si="415"/>
        <v>0</v>
      </c>
      <c r="DO153" s="114">
        <f>IF($H$2=1,CX153,IF($H$2=2,SUM(CX153:CY153),IF($H$2=3,SUM(CX153:CZ153),SUM(CX153:DA153))))</f>
        <v>0</v>
      </c>
      <c r="DP153" s="114">
        <f>SUM(CX153:DA153)</f>
        <v>0</v>
      </c>
      <c r="DQ153" s="116">
        <f>IFERROR(ROUND(DN153/DO153,4),0)</f>
        <v>0</v>
      </c>
      <c r="DR153" s="126">
        <f t="shared" si="421"/>
        <v>0</v>
      </c>
      <c r="DS153" s="115">
        <f t="shared" si="422"/>
        <v>0</v>
      </c>
      <c r="DT153" s="118" t="str">
        <f t="shared" si="416"/>
        <v>Uncapped</v>
      </c>
      <c r="DU153" s="115">
        <f t="shared" si="423"/>
        <v>0</v>
      </c>
      <c r="DV153" s="113"/>
      <c r="DW153" s="119">
        <v>0</v>
      </c>
      <c r="DX153" s="113"/>
      <c r="DY153" s="113"/>
      <c r="DZ153" s="113"/>
      <c r="EA153" s="113"/>
      <c r="EB153" s="113"/>
      <c r="EC153" s="113"/>
      <c r="ED153" s="113"/>
      <c r="EE153" s="113"/>
      <c r="EF153" s="113"/>
      <c r="EG153" s="113"/>
      <c r="EH153" s="113"/>
      <c r="EI153" s="113"/>
      <c r="EJ153" s="113"/>
      <c r="EK153" s="113"/>
      <c r="EL153" s="114">
        <f>ED153+EH153</f>
        <v>0</v>
      </c>
      <c r="EM153" s="114">
        <f>EE153+EI153</f>
        <v>0</v>
      </c>
      <c r="EN153" s="114">
        <f>EF153+EJ153</f>
        <v>0</v>
      </c>
      <c r="EO153" s="114">
        <f>EG153+EK153</f>
        <v>0</v>
      </c>
      <c r="EP153" s="114">
        <f t="shared" si="417"/>
        <v>0</v>
      </c>
      <c r="EQ153" s="114">
        <f>IF($H$2=1,DZ153,IF($H$2=2,SUM(DZ153:EA153),IF($H$2=3,SUM(DZ153:EB153),SUM(DZ153:EC153))))</f>
        <v>0</v>
      </c>
      <c r="ER153" s="114">
        <f>SUM(DZ153:EC153)</f>
        <v>0</v>
      </c>
      <c r="ES153" s="116">
        <f>IFERROR(ROUND(EP153/EQ153,4),0)</f>
        <v>0</v>
      </c>
      <c r="ET153" s="126">
        <f ca="1">IF(OR(DV153="MBO",DV153="10% Realized Price"),ES153,SUMPRODUCT(Lower_Payout*(Curve=DX153)*(Lower_Attain&lt;=ES153)*(Upper_Attain&gt;ES153))+(ES153-SUMPRODUCT(Lower_Attain*(Curve=DX153)*(Lower_Attain&lt;=ES153)*(Upper_Attain&gt;ES153)))*SUMPRODUCT(Slope*(Curve=DX153)*(Lower_Attain&lt;=ES153)*(Upper_Attain&gt;ES153)))</f>
        <v>0</v>
      </c>
      <c r="EU153" s="115">
        <f t="shared" ca="1" si="424"/>
        <v>0</v>
      </c>
      <c r="EV153" s="118" t="str">
        <f t="shared" si="418"/>
        <v>Uncapped</v>
      </c>
      <c r="EW153" s="115">
        <f t="shared" ca="1" si="425"/>
        <v>0</v>
      </c>
      <c r="EX153" s="112">
        <f t="shared" ca="1" si="426"/>
        <v>0</v>
      </c>
      <c r="EY153" s="114">
        <f ca="1">MAX(EX153,GP153)</f>
        <v>3000</v>
      </c>
      <c r="EZ153" s="115"/>
      <c r="FA153" s="115"/>
      <c r="FB153" s="115">
        <v>4488</v>
      </c>
      <c r="FC153" s="115">
        <v>0</v>
      </c>
      <c r="FD153" s="115">
        <f>IF($H$2=1,EZ153,IF($H$2=2,SUM(EZ153:FA153),IF($H$2=3,SUM(EZ153:FB153),SUM(EZ153:FC153))))</f>
        <v>4488</v>
      </c>
      <c r="FE153" s="114">
        <f t="shared" si="453"/>
        <v>0</v>
      </c>
      <c r="FF153" s="115">
        <v>0</v>
      </c>
      <c r="FG153" s="115">
        <v>0</v>
      </c>
      <c r="FH153" s="115">
        <v>0</v>
      </c>
      <c r="FI153" s="115">
        <v>0</v>
      </c>
      <c r="FJ153" s="115">
        <f t="shared" si="406"/>
        <v>0</v>
      </c>
      <c r="FK153" s="114">
        <f t="shared" si="454"/>
        <v>0</v>
      </c>
      <c r="FL153" s="113"/>
      <c r="FM153" s="111"/>
      <c r="FN153" s="111"/>
      <c r="FO153" s="111"/>
      <c r="FP153" s="115">
        <f>SUM(FL153:FO153)</f>
        <v>0</v>
      </c>
      <c r="FQ153" s="115"/>
      <c r="FR153" s="115"/>
      <c r="FS153" s="115"/>
      <c r="FT153" s="114">
        <f t="shared" si="435"/>
        <v>0</v>
      </c>
      <c r="FU153" s="366">
        <f t="shared" ca="1" si="436"/>
        <v>7488</v>
      </c>
      <c r="FV153" s="121">
        <f t="shared" ca="1" si="437"/>
        <v>7488</v>
      </c>
      <c r="FW153" s="114">
        <f>FF153</f>
        <v>0</v>
      </c>
      <c r="FX153" s="114">
        <f>FG153</f>
        <v>0</v>
      </c>
      <c r="FY153" s="114">
        <f>FH153</f>
        <v>0</v>
      </c>
      <c r="FZ153" s="114">
        <f>FI153</f>
        <v>0</v>
      </c>
      <c r="GA153" s="114">
        <f>SUM(FW153:FZ153)</f>
        <v>0</v>
      </c>
      <c r="GB153" s="114">
        <f>EZ153</f>
        <v>0</v>
      </c>
      <c r="GC153" s="114">
        <f>FA153</f>
        <v>0</v>
      </c>
      <c r="GD153" s="114">
        <f>FB153</f>
        <v>4488</v>
      </c>
      <c r="GE153" s="114">
        <f>FC153</f>
        <v>0</v>
      </c>
      <c r="GF153" s="114">
        <f>GB153+FW153</f>
        <v>0</v>
      </c>
      <c r="GG153" s="114">
        <f>GC153+FX153</f>
        <v>0</v>
      </c>
      <c r="GH153" s="114">
        <f>GD153+FY153</f>
        <v>4488</v>
      </c>
      <c r="GI153" s="114">
        <f>GE153+FZ153</f>
        <v>0</v>
      </c>
      <c r="GJ153" s="115">
        <f t="shared" si="408"/>
        <v>4488</v>
      </c>
      <c r="GK153" s="114">
        <f>SUM(GF153:GI153)</f>
        <v>4488</v>
      </c>
      <c r="GL153" s="114">
        <f t="shared" si="427"/>
        <v>0</v>
      </c>
      <c r="GM153" s="114">
        <f t="shared" si="428"/>
        <v>1000</v>
      </c>
      <c r="GN153" s="114">
        <f t="shared" si="429"/>
        <v>2000</v>
      </c>
      <c r="GO153" s="114">
        <f t="shared" si="430"/>
        <v>0</v>
      </c>
      <c r="GP153" s="114">
        <f t="shared" si="409"/>
        <v>3000</v>
      </c>
      <c r="GQ153" s="114">
        <f>SUM(GL153:GO153)</f>
        <v>3000</v>
      </c>
      <c r="GR153" s="193"/>
      <c r="GS153" s="122">
        <f t="shared" si="431"/>
        <v>14476905.628496101</v>
      </c>
      <c r="GT153" s="122">
        <f t="shared" si="432"/>
        <v>15719267.632925581</v>
      </c>
      <c r="GU153" s="123">
        <f>IFERROR(GS153/GT153,"")</f>
        <v>0.92096565606992853</v>
      </c>
      <c r="GV153" s="124">
        <f t="shared" ca="1" si="433"/>
        <v>0</v>
      </c>
      <c r="GW153" s="124">
        <v>0</v>
      </c>
      <c r="GX153" s="32">
        <f t="shared" ca="1" si="434"/>
        <v>0</v>
      </c>
      <c r="GY153" s="100"/>
    </row>
    <row r="154" spans="3:207" s="408" customFormat="1" hidden="1">
      <c r="C154" s="402"/>
      <c r="D154" s="402"/>
      <c r="E154" s="403"/>
      <c r="F154" s="403" t="s">
        <v>719</v>
      </c>
      <c r="G154" s="403" t="s">
        <v>226</v>
      </c>
      <c r="H154" s="105" t="s">
        <v>626</v>
      </c>
      <c r="I154" s="404" t="s">
        <v>635</v>
      </c>
      <c r="J154" s="403" t="s">
        <v>615</v>
      </c>
      <c r="K154" s="403" t="s">
        <v>621</v>
      </c>
      <c r="L154" s="403"/>
      <c r="M154" s="403"/>
      <c r="N154" s="404"/>
      <c r="O154" s="108">
        <v>43282</v>
      </c>
      <c r="P154" s="108">
        <v>43282</v>
      </c>
      <c r="Q154" s="323">
        <f t="shared" ref="Q154:Q159" si="455">IF(P154&gt;$Q$2,MONTH(P154),0)</f>
        <v>0</v>
      </c>
      <c r="R154" s="109">
        <f>IF((P154-VLOOKUP(Q154,month!$A$1:$C$13,3,0))&lt;0,Q154,Q154+1)</f>
        <v>0</v>
      </c>
      <c r="S154" s="108"/>
      <c r="T154" s="110" t="str">
        <f t="shared" si="442"/>
        <v/>
      </c>
      <c r="U154" s="404"/>
      <c r="V154" s="404"/>
      <c r="W154" s="405"/>
      <c r="X154" s="405"/>
      <c r="Y154" s="492"/>
      <c r="Z154" s="406" t="s">
        <v>545</v>
      </c>
      <c r="AA154" s="394">
        <v>1000</v>
      </c>
      <c r="AB154" s="394">
        <v>1000</v>
      </c>
      <c r="AC154" s="394">
        <v>1000</v>
      </c>
      <c r="AD154" s="394">
        <v>1000</v>
      </c>
      <c r="AE154" s="394">
        <v>1000</v>
      </c>
      <c r="AF154" s="394">
        <v>1000</v>
      </c>
      <c r="AG154" s="394">
        <v>1000</v>
      </c>
      <c r="AH154" s="394">
        <v>1000</v>
      </c>
      <c r="AI154" s="394">
        <v>1000</v>
      </c>
      <c r="AJ154" s="394">
        <v>1000</v>
      </c>
      <c r="AK154" s="394">
        <v>1000</v>
      </c>
      <c r="AL154" s="394">
        <v>1000</v>
      </c>
      <c r="AM154" s="388">
        <f t="shared" ref="AM154:AM165" si="456">IF($H$2=1,SUM(AA154:AC154),IF($H$2=2,SUM(AA154:AF154),IF($H$2=3,SUM(AA154:AI154),SUM(AA154:AL154))))</f>
        <v>12000</v>
      </c>
      <c r="AN154" s="388">
        <f t="shared" ref="AN154:AN159" si="457">SUM(AA154:AL154)+INDEX(AA154:AL154,,MATCH($H$3,$AA$5:$AL$5,0))*(12-COUNTA(AA154:AL154))</f>
        <v>12000</v>
      </c>
      <c r="AO154" s="389">
        <f t="shared" ref="AO154:AO156" si="458">AI154</f>
        <v>1000</v>
      </c>
      <c r="AP154" s="502" t="s">
        <v>708</v>
      </c>
      <c r="AQ154" s="159">
        <v>0.5</v>
      </c>
      <c r="AR154" s="103" t="s">
        <v>211</v>
      </c>
      <c r="AS154" s="119" t="s">
        <v>210</v>
      </c>
      <c r="AT154" s="111">
        <v>1470529.8505747488</v>
      </c>
      <c r="AU154" s="111">
        <v>1531801.92768203</v>
      </c>
      <c r="AV154" s="111">
        <v>1470529.8505747488</v>
      </c>
      <c r="AW154" s="111">
        <v>1654346.0818965926</v>
      </c>
      <c r="AX154" s="113">
        <v>1508883.7860000008</v>
      </c>
      <c r="AY154" s="113">
        <v>1552251.2229000023</v>
      </c>
      <c r="AZ154" s="113">
        <v>1526509.1609999998</v>
      </c>
      <c r="BA154" s="113"/>
      <c r="BB154" s="113"/>
      <c r="BC154" s="113"/>
      <c r="BD154" s="113"/>
      <c r="BE154" s="113"/>
      <c r="BF154" s="114">
        <f t="shared" si="374"/>
        <v>1508883.7860000008</v>
      </c>
      <c r="BG154" s="114">
        <f t="shared" si="375"/>
        <v>1552251.2229000023</v>
      </c>
      <c r="BH154" s="114">
        <f t="shared" si="376"/>
        <v>1526509.1609999998</v>
      </c>
      <c r="BI154" s="114">
        <f t="shared" si="377"/>
        <v>0</v>
      </c>
      <c r="BJ154" s="114">
        <f t="shared" ref="BJ154:BJ159" si="459">IF($BB$3="After AR Adjustment",IF($H$2=1,BF154,IF($H$2=2,SUM(BF154:BG154),IF($H$2=3,SUM(BF154:BH154),SUM(BF154:BI154)))),IF($H$2=1,AX154,IF($H$2=2,SUM(AX154:AY154),IF($H$2=3,SUM(AX154:AZ154),SUM(AX154:BA154)))))</f>
        <v>4587644.1699000029</v>
      </c>
      <c r="BK154" s="115">
        <f t="shared" si="447"/>
        <v>6127207.7107281201</v>
      </c>
      <c r="BL154" s="115">
        <f t="shared" si="378"/>
        <v>6127207.7107281201</v>
      </c>
      <c r="BM154" s="116">
        <f t="shared" si="379"/>
        <v>0.74870000000000003</v>
      </c>
      <c r="BN154" s="126">
        <f t="shared" ca="1" si="448"/>
        <v>0</v>
      </c>
      <c r="BO154" s="117">
        <f t="shared" ca="1" si="449"/>
        <v>0</v>
      </c>
      <c r="BP154" s="118" t="str">
        <f t="shared" si="450"/>
        <v>Uncapped</v>
      </c>
      <c r="BQ154" s="115">
        <f t="shared" ca="1" si="451"/>
        <v>0</v>
      </c>
      <c r="BR154" s="174" t="s">
        <v>709</v>
      </c>
      <c r="BS154" s="175">
        <v>0.2</v>
      </c>
      <c r="BT154" s="174" t="s">
        <v>217</v>
      </c>
      <c r="BU154" s="174" t="s">
        <v>210</v>
      </c>
      <c r="BV154" s="113">
        <v>2614183.8922245866</v>
      </c>
      <c r="BW154" s="113">
        <v>2723108.2210672777</v>
      </c>
      <c r="BX154" s="113">
        <v>2614183.8922245866</v>
      </c>
      <c r="BY154" s="113">
        <v>2940956.87875266</v>
      </c>
      <c r="BZ154" s="113">
        <v>2689117.4880000018</v>
      </c>
      <c r="CA154" s="113">
        <v>2709593.2359000021</v>
      </c>
      <c r="CB154" s="113">
        <v>2721919.4478000002</v>
      </c>
      <c r="CC154" s="113">
        <f t="shared" si="352"/>
        <v>2940956.87875266</v>
      </c>
      <c r="CD154" s="113"/>
      <c r="CE154" s="113"/>
      <c r="CF154" s="113"/>
      <c r="CG154" s="113"/>
      <c r="CH154" s="114">
        <f t="shared" si="380"/>
        <v>2689117.4880000018</v>
      </c>
      <c r="CI154" s="114">
        <f t="shared" si="381"/>
        <v>2709593.2359000021</v>
      </c>
      <c r="CJ154" s="120">
        <f t="shared" si="382"/>
        <v>2721919.4478000002</v>
      </c>
      <c r="CK154" s="114">
        <f t="shared" si="383"/>
        <v>2940956.87875266</v>
      </c>
      <c r="CL154" s="114">
        <f t="shared" ref="CL154:CL159" si="460">IF($BB$3="After AR Adjustment",IF($H$2=1,CH154,IF($H$2=2,SUM(CH154:CI154),IF($H$2=3,SUM(CH154:CJ154),SUM(CH154:CK154)))),IF($H$2=1,BZ154,IF($H$2=2,SUM(BZ154:CA154),IF($H$2=3,SUM(BZ154:CB154),SUM(BZ154:CC154)))))</f>
        <v>11061587.050452664</v>
      </c>
      <c r="CM154" s="114">
        <f t="shared" ref="CM154:CM165" si="461">IF($H$2=1,BV154,IF($H$2=2,SUM(BV154:BW154),IF($H$2=3,SUM(BV154:BX154),SUM(BV154:BY154))))</f>
        <v>10892432.884269111</v>
      </c>
      <c r="CN154" s="114">
        <f t="shared" si="385"/>
        <v>10892432.884269111</v>
      </c>
      <c r="CO154" s="116">
        <f t="shared" si="386"/>
        <v>1.0155000000000001</v>
      </c>
      <c r="CP154" s="126">
        <f t="shared" ca="1" si="387"/>
        <v>0</v>
      </c>
      <c r="CQ154" s="115">
        <f t="shared" ref="CQ154:CQ159" ca="1" si="462">AM154*BS154*CP154</f>
        <v>0</v>
      </c>
      <c r="CR154" s="118" t="str">
        <f t="shared" ref="CR154:CR159" si="463">IF($T154="Y","100%",IF($H$2=4,"Uncapped",IF(N154="Y","100%",IF($G154="AA","50%",IF($G154="SA","90%",IF($G154="APJ Regional-AA","50%",IF($G154="APJ Regional-SA","90%",75%)))))))</f>
        <v>Uncapped</v>
      </c>
      <c r="CS154" s="115">
        <f t="shared" ref="CS154:CS159" ca="1" si="464">IF(CR154="Uncapped",CQ154,IFERROR(AM154*BS154*CR154,0))</f>
        <v>0</v>
      </c>
      <c r="CT154" s="113" t="s">
        <v>732</v>
      </c>
      <c r="CU154" s="119">
        <v>0.2</v>
      </c>
      <c r="CV154" s="113" t="s">
        <v>217</v>
      </c>
      <c r="CW154" s="113" t="s">
        <v>210</v>
      </c>
      <c r="CX154" s="113">
        <v>5046797.7308448758</v>
      </c>
      <c r="CY154" s="113">
        <v>5308711.4169250429</v>
      </c>
      <c r="CZ154" s="113">
        <v>5114284.1421738518</v>
      </c>
      <c r="DA154" s="113">
        <v>5623300.9818061059</v>
      </c>
      <c r="DB154" s="113">
        <v>4988539.1888999986</v>
      </c>
      <c r="DC154" s="113">
        <v>5062317.3278799905</v>
      </c>
      <c r="DD154" s="113">
        <v>5091828.1585499998</v>
      </c>
      <c r="DE154" s="113"/>
      <c r="DF154" s="113"/>
      <c r="DG154" s="113"/>
      <c r="DH154" s="113"/>
      <c r="DI154" s="113"/>
      <c r="DJ154" s="114">
        <f t="shared" si="388"/>
        <v>4988539.1888999986</v>
      </c>
      <c r="DK154" s="114">
        <f t="shared" si="389"/>
        <v>5062317.3278799905</v>
      </c>
      <c r="DL154" s="114">
        <f t="shared" si="390"/>
        <v>5091828.1585499998</v>
      </c>
      <c r="DM154" s="114">
        <f t="shared" si="391"/>
        <v>0</v>
      </c>
      <c r="DN154" s="114">
        <f t="shared" ref="DN154:DN159" si="465">IF($BB$3="After AR Adjustment",IF($H$2=1,DJ154,IF($H$2=2,SUM(DJ154:DK154),IF($H$2=3,SUM(DJ154:DL154),SUM(DJ154:DM154)))),IF($H$2=1,DB154,IF($H$2=2,SUM(DB154:DC154),IF($H$2=3,SUM(DB154:DD154),SUM(DB154:DE154)))))</f>
        <v>15142684.675329989</v>
      </c>
      <c r="DO154" s="114">
        <f t="shared" ref="DO154:DO165" si="466">IF($H$2=1,CX154,IF($H$2=2,SUM(CX154:CY154),IF($H$2=3,SUM(CX154:CZ154),SUM(CX154:DA154))))</f>
        <v>21093094.271749876</v>
      </c>
      <c r="DP154" s="114">
        <f t="shared" si="393"/>
        <v>21093094.271749876</v>
      </c>
      <c r="DQ154" s="116">
        <f t="shared" si="394"/>
        <v>0.71789999999999998</v>
      </c>
      <c r="DR154" s="126">
        <f t="shared" ref="DR154:DR159" ca="1" si="467">IF(OR(CT154="MBO",CT154="10% Realized Price"),DQ154,SUMPRODUCT(Lower_Payout*(Curve=CV154)*(Lower_Attain&lt;=DQ154)*(Upper_Attain&gt;DQ154))+(DQ154-SUMPRODUCT(Lower_Attain*(Curve=CV154)*(Lower_Attain&lt;=DQ154)*(Upper_Attain&gt;DQ154)))*SUMPRODUCT(Slope*(Curve=CV154)*(Lower_Attain&lt;=DQ154)*(Upper_Attain&gt;DQ154)))</f>
        <v>0</v>
      </c>
      <c r="DS154" s="115">
        <f t="shared" ref="DS154:DS159" ca="1" si="468">AM154*CU154*DR154</f>
        <v>0</v>
      </c>
      <c r="DT154" s="118" t="str">
        <f t="shared" ref="DT154:DT159" si="469">IF($T154="Y","100%",IF($H$2=4,"Uncapped",IF(N154="Y","100%",IF($G154="AA","50%",IF($G154="SA","90%",IF($G154="APJ Regional-AA","50%",IF($G154="APJ Regional-SA","90%",75%)))))))</f>
        <v>Uncapped</v>
      </c>
      <c r="DU154" s="115">
        <f t="shared" ref="DU154:DU159" ca="1" si="470">IF(DT154="Uncapped",DS154,IFERROR(AM154*CU154*DT154,0))</f>
        <v>0</v>
      </c>
      <c r="DV154" s="113" t="s">
        <v>363</v>
      </c>
      <c r="DW154" s="119">
        <v>0.1</v>
      </c>
      <c r="DX154" s="113"/>
      <c r="DY154" s="113" t="s">
        <v>219</v>
      </c>
      <c r="DZ154" s="113">
        <v>0</v>
      </c>
      <c r="EA154" s="113">
        <v>0</v>
      </c>
      <c r="EB154" s="113">
        <v>0</v>
      </c>
      <c r="EC154" s="113">
        <v>0</v>
      </c>
      <c r="ED154" s="113">
        <v>0</v>
      </c>
      <c r="EE154" s="113">
        <v>0</v>
      </c>
      <c r="EF154" s="113"/>
      <c r="EG154" s="113"/>
      <c r="EH154" s="113"/>
      <c r="EI154" s="113"/>
      <c r="EJ154" s="113"/>
      <c r="EK154" s="113"/>
      <c r="EL154" s="114">
        <f t="shared" si="395"/>
        <v>0</v>
      </c>
      <c r="EM154" s="114">
        <f t="shared" si="396"/>
        <v>0</v>
      </c>
      <c r="EN154" s="114">
        <f t="shared" si="397"/>
        <v>0</v>
      </c>
      <c r="EO154" s="114">
        <f t="shared" si="398"/>
        <v>0</v>
      </c>
      <c r="EP154" s="114">
        <f t="shared" ref="EP154:EP159" si="471">IF($BB$3="After AR Adjustment",IF($H$2=1,EL154,IF($H$2=2,SUM(EL154:EM154),IF($H$2=3,SUM(EL154:EN154),SUM(EL154:EO154)))),IF($H$2=1,ED154,IF($H$2=2,SUM(ED154:EE154),IF($H$2=3,SUM(ED154:EF154),SUM(ED154:EG154)))))</f>
        <v>0</v>
      </c>
      <c r="EQ154" s="114">
        <f t="shared" ref="EQ154:EQ165" si="472">IF($H$2=1,DZ154,IF($H$2=2,SUM(DZ154:EA154),IF($H$2=3,SUM(DZ154:EB154),SUM(DZ154:EC154))))</f>
        <v>0</v>
      </c>
      <c r="ER154" s="114">
        <f t="shared" si="400"/>
        <v>0</v>
      </c>
      <c r="ES154" s="116">
        <f t="shared" si="401"/>
        <v>0</v>
      </c>
      <c r="ET154" s="126">
        <f t="shared" si="402"/>
        <v>0</v>
      </c>
      <c r="EU154" s="115">
        <f t="shared" ref="EU154:EU159" si="473">AM154*DW154*ET154</f>
        <v>0</v>
      </c>
      <c r="EV154" s="118" t="str">
        <f t="shared" ref="EV154:EV159" si="474">IF($T154="Y","100%",IF(DX154="T2","200%",IF($H$2=4,"Uncapped",IF($G154="AA","50%",IF($G154="SA","90%",IF($G154="APJ Regional-AA","50%",IF($G154="APJ Regional-SA","90%",75%)))))))</f>
        <v>Uncapped</v>
      </c>
      <c r="EW154" s="115">
        <f t="shared" ref="EW154:EW159" si="475">IF(EV154="Uncapped",EU154,IFERROR(AM154*DW154*EV154,0))</f>
        <v>0</v>
      </c>
      <c r="EX154" s="112">
        <f t="shared" ref="EX154:EX159" ca="1" si="476">MIN(BO154,BQ154)+MIN(CQ154,CS154)+MIN(DS154,DU154)+MIN(EU154,EW154)</f>
        <v>0</v>
      </c>
      <c r="EY154" s="114">
        <f t="shared" ca="1" si="403"/>
        <v>0</v>
      </c>
      <c r="EZ154" s="115">
        <v>0</v>
      </c>
      <c r="FA154" s="115"/>
      <c r="FB154" s="115"/>
      <c r="FC154" s="115">
        <v>0</v>
      </c>
      <c r="FD154" s="115">
        <f t="shared" ref="FD154:FD178" si="477">IF($H$2=1,EZ154,IF($H$2=2,SUM(EZ154:FA154),IF($H$2=3,SUM(EZ154:FB154),SUM(EZ154:FC154))))</f>
        <v>0</v>
      </c>
      <c r="FE154" s="114">
        <f t="shared" si="453"/>
        <v>0</v>
      </c>
      <c r="FF154" s="115">
        <v>0</v>
      </c>
      <c r="FG154" s="115">
        <v>0</v>
      </c>
      <c r="FH154" s="115">
        <v>0</v>
      </c>
      <c r="FI154" s="115">
        <v>0</v>
      </c>
      <c r="FJ154" s="115">
        <f t="shared" ref="FJ154:FJ165" si="478">IF($H$2=1,FF154,IF($H$2=2,SUM(FF154:FG154),IF($H$2=3,SUM(FF154:FH154),SUM(FF154:FI154))))</f>
        <v>0</v>
      </c>
      <c r="FK154" s="114">
        <f t="shared" si="454"/>
        <v>0</v>
      </c>
      <c r="FL154" s="113"/>
      <c r="FM154" s="111"/>
      <c r="FN154" s="111"/>
      <c r="FO154" s="111"/>
      <c r="FP154" s="115">
        <f t="shared" si="443"/>
        <v>0</v>
      </c>
      <c r="FQ154" s="115"/>
      <c r="FR154" s="115"/>
      <c r="FS154" s="115"/>
      <c r="FT154" s="114">
        <f t="shared" si="435"/>
        <v>0</v>
      </c>
      <c r="FU154" s="366">
        <f t="shared" ca="1" si="436"/>
        <v>0</v>
      </c>
      <c r="FV154" s="121">
        <f t="shared" ca="1" si="437"/>
        <v>0</v>
      </c>
      <c r="FW154" s="114">
        <f t="shared" si="444"/>
        <v>0</v>
      </c>
      <c r="FX154" s="114">
        <f t="shared" si="444"/>
        <v>0</v>
      </c>
      <c r="FY154" s="114">
        <f t="shared" si="444"/>
        <v>0</v>
      </c>
      <c r="FZ154" s="114">
        <f t="shared" si="444"/>
        <v>0</v>
      </c>
      <c r="GA154" s="114">
        <f t="shared" si="372"/>
        <v>0</v>
      </c>
      <c r="GB154" s="114">
        <f t="shared" si="445"/>
        <v>0</v>
      </c>
      <c r="GC154" s="114">
        <f t="shared" si="445"/>
        <v>0</v>
      </c>
      <c r="GD154" s="114">
        <f t="shared" si="445"/>
        <v>0</v>
      </c>
      <c r="GE154" s="114">
        <f t="shared" si="445"/>
        <v>0</v>
      </c>
      <c r="GF154" s="114">
        <f t="shared" si="441"/>
        <v>0</v>
      </c>
      <c r="GG154" s="114">
        <f t="shared" si="441"/>
        <v>0</v>
      </c>
      <c r="GH154" s="114">
        <f t="shared" si="441"/>
        <v>0</v>
      </c>
      <c r="GI154" s="114">
        <f t="shared" si="441"/>
        <v>0</v>
      </c>
      <c r="GJ154" s="115">
        <f t="shared" ref="GJ154:GJ165" si="479">IF($H$2=1,GF154,IF($H$2=2,SUM(GF154:GG154),IF($H$2=3,SUM(GF154:GH154),SUM(GF154:GI154))))</f>
        <v>0</v>
      </c>
      <c r="GK154" s="114">
        <f t="shared" si="438"/>
        <v>0</v>
      </c>
      <c r="GL154" s="114">
        <f t="shared" ref="GL154:GL159" si="480">IF(U154="Y",V154*AO154,0)</f>
        <v>0</v>
      </c>
      <c r="GM154" s="114">
        <f t="shared" ref="GM154:GM159" si="481">IF(U154="Y",W154*AO154,0)</f>
        <v>0</v>
      </c>
      <c r="GN154" s="114">
        <f t="shared" ref="GN154:GN159" si="482">IF(U154="Y",X154*AO154,0)</f>
        <v>0</v>
      </c>
      <c r="GO154" s="114">
        <f t="shared" ref="GO154:GO159" si="483">IF(U154="Y",Y154*AO154,0)</f>
        <v>0</v>
      </c>
      <c r="GP154" s="114">
        <f t="shared" ref="GP154:GP165" si="484">IF($H$2=1,GL154,IF($H$2=2,SUM(GL154:GM154),IF($H$2=3,SUM(GL154:GN154),IF($H$2=4,SUM(GL154:GO154)))))</f>
        <v>0</v>
      </c>
      <c r="GQ154" s="114">
        <f t="shared" si="439"/>
        <v>0</v>
      </c>
      <c r="GR154" s="193"/>
      <c r="GS154" s="122">
        <f t="shared" ref="GS154:GS159" si="485">IFERROR(BJ154+CL154+DN154+EP154,0)</f>
        <v>30791915.895682655</v>
      </c>
      <c r="GT154" s="122">
        <f t="shared" ref="GT154:GT159" si="486">IFERROR(BK154+CM154+DO154+EQ154,0)</f>
        <v>38112734.866747111</v>
      </c>
      <c r="GU154" s="123">
        <f t="shared" si="440"/>
        <v>0.80791672398582504</v>
      </c>
      <c r="GV154" s="124">
        <f t="shared" ref="GV154:GV159" ca="1" si="487">BO154+CQ154+DS154+EU154</f>
        <v>0</v>
      </c>
      <c r="GW154" s="124">
        <v>0</v>
      </c>
      <c r="GX154" s="32">
        <f t="shared" ref="GX154:GX159" ca="1" si="488">IFERROR(GV154/AM154,0)</f>
        <v>0</v>
      </c>
      <c r="GY154" s="100"/>
    </row>
    <row r="155" spans="3:207" s="408" customFormat="1" hidden="1">
      <c r="C155" s="402"/>
      <c r="D155" s="402"/>
      <c r="E155" s="403"/>
      <c r="F155" s="403" t="s">
        <v>719</v>
      </c>
      <c r="G155" s="403" t="s">
        <v>226</v>
      </c>
      <c r="H155" s="105" t="s">
        <v>627</v>
      </c>
      <c r="I155" s="404" t="s">
        <v>636</v>
      </c>
      <c r="J155" s="403" t="s">
        <v>212</v>
      </c>
      <c r="K155" s="403" t="s">
        <v>621</v>
      </c>
      <c r="L155" s="403"/>
      <c r="M155" s="403"/>
      <c r="N155" s="404"/>
      <c r="O155" s="108">
        <v>43313</v>
      </c>
      <c r="P155" s="108">
        <v>43313</v>
      </c>
      <c r="Q155" s="323">
        <f t="shared" si="455"/>
        <v>0</v>
      </c>
      <c r="R155" s="109">
        <f>IF((P155-VLOOKUP(Q155,month!$A$1:$C$13,3,0))&lt;0,Q155,Q155+1)</f>
        <v>0</v>
      </c>
      <c r="S155" s="108"/>
      <c r="T155" s="110" t="str">
        <f t="shared" si="442"/>
        <v/>
      </c>
      <c r="U155" s="404"/>
      <c r="V155" s="404"/>
      <c r="W155" s="405"/>
      <c r="X155" s="405"/>
      <c r="Y155" s="492"/>
      <c r="Z155" s="406" t="s">
        <v>545</v>
      </c>
      <c r="AA155" s="394">
        <v>1000</v>
      </c>
      <c r="AB155" s="394">
        <v>1000</v>
      </c>
      <c r="AC155" s="394">
        <v>1000</v>
      </c>
      <c r="AD155" s="394">
        <v>1000</v>
      </c>
      <c r="AE155" s="394">
        <v>1000</v>
      </c>
      <c r="AF155" s="394">
        <v>1000</v>
      </c>
      <c r="AG155" s="394">
        <v>1000</v>
      </c>
      <c r="AH155" s="394">
        <v>1000</v>
      </c>
      <c r="AI155" s="394">
        <v>1000</v>
      </c>
      <c r="AJ155" s="394">
        <v>1000</v>
      </c>
      <c r="AK155" s="394">
        <v>1000</v>
      </c>
      <c r="AL155" s="394">
        <v>1000</v>
      </c>
      <c r="AM155" s="388">
        <f t="shared" si="456"/>
        <v>12000</v>
      </c>
      <c r="AN155" s="388">
        <f t="shared" si="457"/>
        <v>12000</v>
      </c>
      <c r="AO155" s="389">
        <f t="shared" si="458"/>
        <v>1000</v>
      </c>
      <c r="AP155" s="502" t="s">
        <v>708</v>
      </c>
      <c r="AQ155" s="159">
        <v>0.6</v>
      </c>
      <c r="AR155" s="103" t="s">
        <v>211</v>
      </c>
      <c r="AS155" s="119" t="s">
        <v>210</v>
      </c>
      <c r="AT155" s="111">
        <v>432767.19573539321</v>
      </c>
      <c r="AU155" s="111">
        <v>450799.16222436796</v>
      </c>
      <c r="AV155" s="111">
        <v>432767.19573539321</v>
      </c>
      <c r="AW155" s="111">
        <v>486863.09520231746</v>
      </c>
      <c r="AX155" s="113">
        <v>409367.28599999956</v>
      </c>
      <c r="AY155" s="113">
        <v>308495.42100000026</v>
      </c>
      <c r="AZ155" s="113">
        <v>363442.13100000017</v>
      </c>
      <c r="BA155" s="113"/>
      <c r="BB155" s="113"/>
      <c r="BC155" s="113"/>
      <c r="BD155" s="113"/>
      <c r="BE155" s="113"/>
      <c r="BF155" s="114">
        <f t="shared" si="374"/>
        <v>409367.28599999956</v>
      </c>
      <c r="BG155" s="114">
        <f t="shared" si="375"/>
        <v>308495.42100000026</v>
      </c>
      <c r="BH155" s="114">
        <f t="shared" si="376"/>
        <v>363442.13100000017</v>
      </c>
      <c r="BI155" s="114">
        <f t="shared" si="377"/>
        <v>0</v>
      </c>
      <c r="BJ155" s="114">
        <f t="shared" si="459"/>
        <v>1081304.838</v>
      </c>
      <c r="BK155" s="115">
        <f t="shared" si="447"/>
        <v>1803196.6488974718</v>
      </c>
      <c r="BL155" s="115">
        <f t="shared" si="378"/>
        <v>1803196.6488974718</v>
      </c>
      <c r="BM155" s="116">
        <f t="shared" si="379"/>
        <v>0.59970000000000001</v>
      </c>
      <c r="BN155" s="126">
        <f t="shared" ca="1" si="448"/>
        <v>0</v>
      </c>
      <c r="BO155" s="117">
        <f t="shared" ca="1" si="449"/>
        <v>0</v>
      </c>
      <c r="BP155" s="118" t="str">
        <f t="shared" si="450"/>
        <v>Uncapped</v>
      </c>
      <c r="BQ155" s="115">
        <f t="shared" ca="1" si="451"/>
        <v>0</v>
      </c>
      <c r="BR155" s="174" t="s">
        <v>709</v>
      </c>
      <c r="BS155" s="175">
        <v>0.2</v>
      </c>
      <c r="BT155" s="174" t="s">
        <v>217</v>
      </c>
      <c r="BU155" s="174" t="s">
        <v>210</v>
      </c>
      <c r="BV155" s="113">
        <v>1581777.9554044395</v>
      </c>
      <c r="BW155" s="113">
        <v>1647685.370212958</v>
      </c>
      <c r="BX155" s="113">
        <v>1581777.9554044395</v>
      </c>
      <c r="BY155" s="113">
        <v>1779500.1998299947</v>
      </c>
      <c r="BZ155" s="113">
        <v>1522860.7446000022</v>
      </c>
      <c r="CA155" s="113">
        <v>1425223.8162</v>
      </c>
      <c r="CB155" s="113">
        <v>1427879.0610000012</v>
      </c>
      <c r="CC155" s="113">
        <f t="shared" si="352"/>
        <v>1779500.1998299947</v>
      </c>
      <c r="CD155" s="113"/>
      <c r="CE155" s="113"/>
      <c r="CF155" s="113"/>
      <c r="CG155" s="113"/>
      <c r="CH155" s="114">
        <f t="shared" si="380"/>
        <v>1522860.7446000022</v>
      </c>
      <c r="CI155" s="114">
        <f t="shared" si="381"/>
        <v>1425223.8162</v>
      </c>
      <c r="CJ155" s="120">
        <f t="shared" si="382"/>
        <v>1427879.0610000012</v>
      </c>
      <c r="CK155" s="114">
        <f t="shared" si="383"/>
        <v>1779500.1998299947</v>
      </c>
      <c r="CL155" s="114">
        <f t="shared" si="460"/>
        <v>6155463.8216299983</v>
      </c>
      <c r="CM155" s="114">
        <f t="shared" si="461"/>
        <v>6590741.4808518318</v>
      </c>
      <c r="CN155" s="114">
        <f t="shared" si="385"/>
        <v>6590741.4808518318</v>
      </c>
      <c r="CO155" s="116">
        <f t="shared" si="386"/>
        <v>0.93400000000000005</v>
      </c>
      <c r="CP155" s="126">
        <f t="shared" ca="1" si="387"/>
        <v>0</v>
      </c>
      <c r="CQ155" s="115">
        <f t="shared" ca="1" si="462"/>
        <v>0</v>
      </c>
      <c r="CR155" s="118" t="str">
        <f t="shared" si="463"/>
        <v>Uncapped</v>
      </c>
      <c r="CS155" s="115">
        <f t="shared" ca="1" si="464"/>
        <v>0</v>
      </c>
      <c r="CT155" s="113" t="s">
        <v>732</v>
      </c>
      <c r="CU155" s="119">
        <v>0.1</v>
      </c>
      <c r="CV155" s="113" t="s">
        <v>217</v>
      </c>
      <c r="CW155" s="113" t="s">
        <v>210</v>
      </c>
      <c r="CX155" s="113">
        <v>5046797.7308448758</v>
      </c>
      <c r="CY155" s="113">
        <v>5308711.4169250429</v>
      </c>
      <c r="CZ155" s="113">
        <v>5114284.1421738518</v>
      </c>
      <c r="DA155" s="113">
        <v>5623300.9818061059</v>
      </c>
      <c r="DB155" s="113">
        <v>4988539.1888999986</v>
      </c>
      <c r="DC155" s="113">
        <v>5062317.3278799905</v>
      </c>
      <c r="DD155" s="113">
        <v>5091828.1585499998</v>
      </c>
      <c r="DE155" s="113"/>
      <c r="DF155" s="113"/>
      <c r="DG155" s="113"/>
      <c r="DH155" s="113"/>
      <c r="DI155" s="113"/>
      <c r="DJ155" s="114">
        <f t="shared" si="388"/>
        <v>4988539.1888999986</v>
      </c>
      <c r="DK155" s="114">
        <f t="shared" si="389"/>
        <v>5062317.3278799905</v>
      </c>
      <c r="DL155" s="114">
        <f t="shared" si="390"/>
        <v>5091828.1585499998</v>
      </c>
      <c r="DM155" s="114">
        <f t="shared" si="391"/>
        <v>0</v>
      </c>
      <c r="DN155" s="114">
        <f t="shared" si="465"/>
        <v>15142684.675329989</v>
      </c>
      <c r="DO155" s="114">
        <f t="shared" si="466"/>
        <v>21093094.271749876</v>
      </c>
      <c r="DP155" s="114">
        <f t="shared" si="393"/>
        <v>21093094.271749876</v>
      </c>
      <c r="DQ155" s="116">
        <f t="shared" si="394"/>
        <v>0.71789999999999998</v>
      </c>
      <c r="DR155" s="126">
        <f t="shared" ca="1" si="467"/>
        <v>0</v>
      </c>
      <c r="DS155" s="115">
        <f t="shared" ca="1" si="468"/>
        <v>0</v>
      </c>
      <c r="DT155" s="118" t="str">
        <f t="shared" si="469"/>
        <v>Uncapped</v>
      </c>
      <c r="DU155" s="115">
        <f t="shared" ca="1" si="470"/>
        <v>0</v>
      </c>
      <c r="DV155" s="113" t="s">
        <v>363</v>
      </c>
      <c r="DW155" s="119">
        <v>0.1</v>
      </c>
      <c r="DX155" s="113"/>
      <c r="DY155" s="113" t="s">
        <v>219</v>
      </c>
      <c r="DZ155" s="113">
        <v>0</v>
      </c>
      <c r="EA155" s="113">
        <v>0</v>
      </c>
      <c r="EB155" s="113">
        <v>0</v>
      </c>
      <c r="EC155" s="113">
        <v>0</v>
      </c>
      <c r="ED155" s="113">
        <v>0</v>
      </c>
      <c r="EE155" s="113">
        <v>0</v>
      </c>
      <c r="EF155" s="113"/>
      <c r="EG155" s="113"/>
      <c r="EH155" s="113"/>
      <c r="EI155" s="113"/>
      <c r="EJ155" s="113"/>
      <c r="EK155" s="113"/>
      <c r="EL155" s="114">
        <f t="shared" si="395"/>
        <v>0</v>
      </c>
      <c r="EM155" s="114">
        <f t="shared" si="396"/>
        <v>0</v>
      </c>
      <c r="EN155" s="114">
        <f t="shared" si="397"/>
        <v>0</v>
      </c>
      <c r="EO155" s="114">
        <f t="shared" si="398"/>
        <v>0</v>
      </c>
      <c r="EP155" s="114">
        <f t="shared" si="471"/>
        <v>0</v>
      </c>
      <c r="EQ155" s="114">
        <f t="shared" si="472"/>
        <v>0</v>
      </c>
      <c r="ER155" s="114">
        <f t="shared" si="400"/>
        <v>0</v>
      </c>
      <c r="ES155" s="116">
        <f t="shared" si="401"/>
        <v>0</v>
      </c>
      <c r="ET155" s="126">
        <f t="shared" si="402"/>
        <v>0</v>
      </c>
      <c r="EU155" s="115">
        <f t="shared" si="473"/>
        <v>0</v>
      </c>
      <c r="EV155" s="118" t="str">
        <f t="shared" si="474"/>
        <v>Uncapped</v>
      </c>
      <c r="EW155" s="115">
        <f t="shared" si="475"/>
        <v>0</v>
      </c>
      <c r="EX155" s="112">
        <f t="shared" ca="1" si="476"/>
        <v>0</v>
      </c>
      <c r="EY155" s="114">
        <f t="shared" ca="1" si="403"/>
        <v>0</v>
      </c>
      <c r="EZ155" s="115">
        <v>0</v>
      </c>
      <c r="FA155" s="115"/>
      <c r="FB155" s="115"/>
      <c r="FC155" s="115">
        <v>0</v>
      </c>
      <c r="FD155" s="115">
        <f t="shared" si="477"/>
        <v>0</v>
      </c>
      <c r="FE155" s="114">
        <f t="shared" si="453"/>
        <v>0</v>
      </c>
      <c r="FF155" s="115">
        <v>0</v>
      </c>
      <c r="FG155" s="115">
        <v>0</v>
      </c>
      <c r="FH155" s="115">
        <v>0</v>
      </c>
      <c r="FI155" s="115">
        <v>0</v>
      </c>
      <c r="FJ155" s="115">
        <f t="shared" si="478"/>
        <v>0</v>
      </c>
      <c r="FK155" s="114">
        <f t="shared" si="454"/>
        <v>0</v>
      </c>
      <c r="FL155" s="113"/>
      <c r="FM155" s="111"/>
      <c r="FN155" s="111"/>
      <c r="FO155" s="111"/>
      <c r="FP155" s="115">
        <f t="shared" si="443"/>
        <v>0</v>
      </c>
      <c r="FQ155" s="115"/>
      <c r="FR155" s="115"/>
      <c r="FS155" s="115"/>
      <c r="FT155" s="114">
        <f t="shared" si="435"/>
        <v>0</v>
      </c>
      <c r="FU155" s="366">
        <f t="shared" ca="1" si="436"/>
        <v>0</v>
      </c>
      <c r="FV155" s="121">
        <f t="shared" ca="1" si="437"/>
        <v>0</v>
      </c>
      <c r="FW155" s="114">
        <f t="shared" si="444"/>
        <v>0</v>
      </c>
      <c r="FX155" s="114">
        <f t="shared" si="444"/>
        <v>0</v>
      </c>
      <c r="FY155" s="114">
        <f t="shared" si="444"/>
        <v>0</v>
      </c>
      <c r="FZ155" s="114">
        <f t="shared" si="444"/>
        <v>0</v>
      </c>
      <c r="GA155" s="114">
        <f t="shared" si="372"/>
        <v>0</v>
      </c>
      <c r="GB155" s="114">
        <f t="shared" si="445"/>
        <v>0</v>
      </c>
      <c r="GC155" s="114">
        <f t="shared" si="445"/>
        <v>0</v>
      </c>
      <c r="GD155" s="114">
        <f t="shared" si="445"/>
        <v>0</v>
      </c>
      <c r="GE155" s="114">
        <f t="shared" si="445"/>
        <v>0</v>
      </c>
      <c r="GF155" s="114">
        <f t="shared" si="441"/>
        <v>0</v>
      </c>
      <c r="GG155" s="114">
        <f t="shared" si="441"/>
        <v>0</v>
      </c>
      <c r="GH155" s="114">
        <f t="shared" si="441"/>
        <v>0</v>
      </c>
      <c r="GI155" s="114">
        <f t="shared" si="441"/>
        <v>0</v>
      </c>
      <c r="GJ155" s="115">
        <f t="shared" si="479"/>
        <v>0</v>
      </c>
      <c r="GK155" s="114">
        <f t="shared" si="438"/>
        <v>0</v>
      </c>
      <c r="GL155" s="114">
        <f t="shared" si="480"/>
        <v>0</v>
      </c>
      <c r="GM155" s="114">
        <f t="shared" si="481"/>
        <v>0</v>
      </c>
      <c r="GN155" s="114">
        <f t="shared" si="482"/>
        <v>0</v>
      </c>
      <c r="GO155" s="114">
        <f t="shared" si="483"/>
        <v>0</v>
      </c>
      <c r="GP155" s="114">
        <f t="shared" si="484"/>
        <v>0</v>
      </c>
      <c r="GQ155" s="114">
        <f t="shared" si="439"/>
        <v>0</v>
      </c>
      <c r="GR155" s="193"/>
      <c r="GS155" s="122">
        <f t="shared" si="485"/>
        <v>22379453.334959988</v>
      </c>
      <c r="GT155" s="122">
        <f t="shared" si="486"/>
        <v>29487032.401499182</v>
      </c>
      <c r="GU155" s="123">
        <f t="shared" si="440"/>
        <v>0.75895915974990313</v>
      </c>
      <c r="GV155" s="124">
        <f t="shared" ca="1" si="487"/>
        <v>0</v>
      </c>
      <c r="GW155" s="124">
        <v>0</v>
      </c>
      <c r="GX155" s="32">
        <f t="shared" ca="1" si="488"/>
        <v>0</v>
      </c>
      <c r="GY155" s="100"/>
    </row>
    <row r="156" spans="3:207" s="408" customFormat="1" hidden="1">
      <c r="C156" s="402"/>
      <c r="D156" s="402"/>
      <c r="E156" s="403"/>
      <c r="F156" s="403" t="s">
        <v>719</v>
      </c>
      <c r="G156" s="403" t="s">
        <v>226</v>
      </c>
      <c r="H156" s="105" t="s">
        <v>628</v>
      </c>
      <c r="I156" s="404" t="s">
        <v>637</v>
      </c>
      <c r="J156" s="403" t="s">
        <v>207</v>
      </c>
      <c r="K156" s="403" t="s">
        <v>621</v>
      </c>
      <c r="L156" s="403" t="s">
        <v>641</v>
      </c>
      <c r="M156" s="403"/>
      <c r="N156" s="404"/>
      <c r="O156" s="108">
        <v>43344</v>
      </c>
      <c r="P156" s="108">
        <v>43344</v>
      </c>
      <c r="Q156" s="323">
        <f t="shared" si="455"/>
        <v>0</v>
      </c>
      <c r="R156" s="109">
        <f>IF((P156-VLOOKUP(Q156,month!$A$1:$C$13,3,0))&lt;0,Q156,Q156+1)</f>
        <v>0</v>
      </c>
      <c r="S156" s="108"/>
      <c r="T156" s="110" t="str">
        <f t="shared" si="442"/>
        <v/>
      </c>
      <c r="U156" s="404"/>
      <c r="V156" s="404"/>
      <c r="W156" s="405"/>
      <c r="X156" s="405"/>
      <c r="Y156" s="492"/>
      <c r="Z156" s="406" t="s">
        <v>545</v>
      </c>
      <c r="AA156" s="394">
        <v>1000</v>
      </c>
      <c r="AB156" s="394">
        <v>1000</v>
      </c>
      <c r="AC156" s="394">
        <v>1000</v>
      </c>
      <c r="AD156" s="394">
        <v>1000</v>
      </c>
      <c r="AE156" s="394">
        <v>1000</v>
      </c>
      <c r="AF156" s="394">
        <v>1000</v>
      </c>
      <c r="AG156" s="394">
        <v>1000</v>
      </c>
      <c r="AH156" s="394">
        <v>1000</v>
      </c>
      <c r="AI156" s="394">
        <v>1000</v>
      </c>
      <c r="AJ156" s="394">
        <v>1000</v>
      </c>
      <c r="AK156" s="394">
        <v>1000</v>
      </c>
      <c r="AL156" s="394">
        <v>1000</v>
      </c>
      <c r="AM156" s="388">
        <f t="shared" si="456"/>
        <v>12000</v>
      </c>
      <c r="AN156" s="388">
        <f t="shared" si="457"/>
        <v>12000</v>
      </c>
      <c r="AO156" s="389">
        <f t="shared" si="458"/>
        <v>1000</v>
      </c>
      <c r="AP156" s="502" t="s">
        <v>707</v>
      </c>
      <c r="AQ156" s="159">
        <v>0.3</v>
      </c>
      <c r="AR156" s="103" t="s">
        <v>211</v>
      </c>
      <c r="AS156" s="119" t="s">
        <v>210</v>
      </c>
      <c r="AT156" s="111">
        <v>1298804</v>
      </c>
      <c r="AU156" s="111">
        <v>1365673</v>
      </c>
      <c r="AV156" s="111">
        <v>1314235</v>
      </c>
      <c r="AW156" s="111">
        <v>1445402</v>
      </c>
      <c r="AX156" s="113">
        <v>1697083.1902699992</v>
      </c>
      <c r="AY156" s="113">
        <v>1318726.9044999997</v>
      </c>
      <c r="AZ156" s="113">
        <v>652836.23176000011</v>
      </c>
      <c r="BA156" s="113"/>
      <c r="BB156" s="113"/>
      <c r="BC156" s="113"/>
      <c r="BD156" s="113"/>
      <c r="BE156" s="113"/>
      <c r="BF156" s="114">
        <f t="shared" si="374"/>
        <v>1697083.1902699992</v>
      </c>
      <c r="BG156" s="114">
        <f t="shared" si="375"/>
        <v>1318726.9044999997</v>
      </c>
      <c r="BH156" s="114">
        <f t="shared" si="376"/>
        <v>652836.23176000011</v>
      </c>
      <c r="BI156" s="114">
        <f t="shared" si="377"/>
        <v>0</v>
      </c>
      <c r="BJ156" s="114">
        <f t="shared" si="459"/>
        <v>3668646.3265299993</v>
      </c>
      <c r="BK156" s="115">
        <f t="shared" si="447"/>
        <v>5424114</v>
      </c>
      <c r="BL156" s="115">
        <f t="shared" si="378"/>
        <v>5424114</v>
      </c>
      <c r="BM156" s="116">
        <f t="shared" si="379"/>
        <v>0.6764</v>
      </c>
      <c r="BN156" s="126">
        <f t="shared" ca="1" si="448"/>
        <v>0</v>
      </c>
      <c r="BO156" s="117">
        <f t="shared" ca="1" si="449"/>
        <v>0</v>
      </c>
      <c r="BP156" s="118" t="str">
        <f t="shared" si="450"/>
        <v>Uncapped</v>
      </c>
      <c r="BQ156" s="115">
        <f t="shared" ca="1" si="451"/>
        <v>0</v>
      </c>
      <c r="BR156" s="174" t="s">
        <v>711</v>
      </c>
      <c r="BS156" s="175">
        <v>0.6</v>
      </c>
      <c r="BT156" s="174" t="s">
        <v>217</v>
      </c>
      <c r="BU156" s="174" t="s">
        <v>210</v>
      </c>
      <c r="BV156" s="113">
        <v>5046797.7308448758</v>
      </c>
      <c r="BW156" s="113">
        <v>5308711.4169250429</v>
      </c>
      <c r="BX156" s="113">
        <v>5114284.1421738518</v>
      </c>
      <c r="BY156" s="113">
        <v>5623300.9818061059</v>
      </c>
      <c r="BZ156" s="113">
        <v>4988539.1888999986</v>
      </c>
      <c r="CA156" s="113">
        <v>5062317.3278799905</v>
      </c>
      <c r="CB156" s="113">
        <v>5091828.1585499998</v>
      </c>
      <c r="CC156" s="113">
        <f t="shared" si="352"/>
        <v>5623300.9818061059</v>
      </c>
      <c r="CD156" s="113"/>
      <c r="CE156" s="113"/>
      <c r="CF156" s="113"/>
      <c r="CG156" s="113"/>
      <c r="CH156" s="114">
        <f t="shared" si="380"/>
        <v>4988539.1888999986</v>
      </c>
      <c r="CI156" s="114">
        <f t="shared" si="381"/>
        <v>5062317.3278799905</v>
      </c>
      <c r="CJ156" s="120">
        <f t="shared" si="382"/>
        <v>5091828.1585499998</v>
      </c>
      <c r="CK156" s="114">
        <f t="shared" si="383"/>
        <v>5623300.9818061059</v>
      </c>
      <c r="CL156" s="114">
        <f t="shared" si="460"/>
        <v>20765985.657136094</v>
      </c>
      <c r="CM156" s="114">
        <f t="shared" si="461"/>
        <v>21093094.271749876</v>
      </c>
      <c r="CN156" s="114">
        <f t="shared" si="385"/>
        <v>21093094.271749876</v>
      </c>
      <c r="CO156" s="116">
        <f t="shared" si="386"/>
        <v>0.98450000000000004</v>
      </c>
      <c r="CP156" s="126">
        <f t="shared" ca="1" si="387"/>
        <v>0</v>
      </c>
      <c r="CQ156" s="115">
        <f t="shared" ca="1" si="462"/>
        <v>0</v>
      </c>
      <c r="CR156" s="118" t="str">
        <f t="shared" si="463"/>
        <v>Uncapped</v>
      </c>
      <c r="CS156" s="115">
        <f t="shared" ca="1" si="464"/>
        <v>0</v>
      </c>
      <c r="CT156" s="113" t="s">
        <v>363</v>
      </c>
      <c r="CU156" s="119">
        <v>0.1</v>
      </c>
      <c r="CV156" s="113"/>
      <c r="CW156" s="113" t="s">
        <v>219</v>
      </c>
      <c r="CX156" s="113">
        <v>0</v>
      </c>
      <c r="CY156" s="113">
        <v>0</v>
      </c>
      <c r="CZ156" s="113">
        <v>0</v>
      </c>
      <c r="DA156" s="113">
        <v>0</v>
      </c>
      <c r="DB156" s="113">
        <v>0</v>
      </c>
      <c r="DC156" s="113">
        <v>0</v>
      </c>
      <c r="DD156" s="113">
        <v>0</v>
      </c>
      <c r="DE156" s="113"/>
      <c r="DF156" s="113"/>
      <c r="DG156" s="113"/>
      <c r="DH156" s="113"/>
      <c r="DI156" s="113"/>
      <c r="DJ156" s="114">
        <f t="shared" si="388"/>
        <v>0</v>
      </c>
      <c r="DK156" s="114">
        <f t="shared" si="389"/>
        <v>0</v>
      </c>
      <c r="DL156" s="114">
        <f t="shared" si="390"/>
        <v>0</v>
      </c>
      <c r="DM156" s="114">
        <f t="shared" si="391"/>
        <v>0</v>
      </c>
      <c r="DN156" s="114">
        <f t="shared" si="465"/>
        <v>0</v>
      </c>
      <c r="DO156" s="114">
        <f t="shared" si="466"/>
        <v>0</v>
      </c>
      <c r="DP156" s="114">
        <f t="shared" si="393"/>
        <v>0</v>
      </c>
      <c r="DQ156" s="116">
        <f t="shared" si="394"/>
        <v>0</v>
      </c>
      <c r="DR156" s="126">
        <f t="shared" si="467"/>
        <v>0</v>
      </c>
      <c r="DS156" s="115">
        <f t="shared" si="468"/>
        <v>0</v>
      </c>
      <c r="DT156" s="118" t="str">
        <f t="shared" si="469"/>
        <v>Uncapped</v>
      </c>
      <c r="DU156" s="115">
        <f t="shared" si="470"/>
        <v>0</v>
      </c>
      <c r="DV156" s="113"/>
      <c r="DW156" s="119">
        <v>0</v>
      </c>
      <c r="DX156" s="113"/>
      <c r="DY156" s="113"/>
      <c r="DZ156" s="113">
        <v>0</v>
      </c>
      <c r="EA156" s="113">
        <v>0</v>
      </c>
      <c r="EB156" s="113">
        <v>0</v>
      </c>
      <c r="EC156" s="113">
        <v>0</v>
      </c>
      <c r="ED156" s="113">
        <v>0</v>
      </c>
      <c r="EE156" s="113">
        <v>0</v>
      </c>
      <c r="EF156" s="113"/>
      <c r="EG156" s="113"/>
      <c r="EH156" s="113"/>
      <c r="EI156" s="113"/>
      <c r="EJ156" s="113"/>
      <c r="EK156" s="113"/>
      <c r="EL156" s="114">
        <f t="shared" si="395"/>
        <v>0</v>
      </c>
      <c r="EM156" s="114">
        <f t="shared" si="396"/>
        <v>0</v>
      </c>
      <c r="EN156" s="114">
        <f t="shared" si="397"/>
        <v>0</v>
      </c>
      <c r="EO156" s="114">
        <f t="shared" si="398"/>
        <v>0</v>
      </c>
      <c r="EP156" s="114">
        <f t="shared" si="471"/>
        <v>0</v>
      </c>
      <c r="EQ156" s="114">
        <f t="shared" si="472"/>
        <v>0</v>
      </c>
      <c r="ER156" s="114">
        <f t="shared" si="400"/>
        <v>0</v>
      </c>
      <c r="ES156" s="116">
        <f t="shared" si="401"/>
        <v>0</v>
      </c>
      <c r="ET156" s="126">
        <f t="shared" ca="1" si="402"/>
        <v>0</v>
      </c>
      <c r="EU156" s="115">
        <f t="shared" ca="1" si="473"/>
        <v>0</v>
      </c>
      <c r="EV156" s="118" t="str">
        <f t="shared" si="474"/>
        <v>Uncapped</v>
      </c>
      <c r="EW156" s="115">
        <f t="shared" ca="1" si="475"/>
        <v>0</v>
      </c>
      <c r="EX156" s="112">
        <f t="shared" ca="1" si="476"/>
        <v>0</v>
      </c>
      <c r="EY156" s="114">
        <f t="shared" ca="1" si="403"/>
        <v>0</v>
      </c>
      <c r="EZ156" s="115">
        <v>0</v>
      </c>
      <c r="FA156" s="115"/>
      <c r="FB156" s="115"/>
      <c r="FC156" s="115">
        <v>0</v>
      </c>
      <c r="FD156" s="115">
        <f t="shared" si="477"/>
        <v>0</v>
      </c>
      <c r="FE156" s="114">
        <f t="shared" si="453"/>
        <v>0</v>
      </c>
      <c r="FF156" s="115">
        <v>0</v>
      </c>
      <c r="FG156" s="115">
        <v>0</v>
      </c>
      <c r="FH156" s="115">
        <v>0</v>
      </c>
      <c r="FI156" s="115">
        <v>0</v>
      </c>
      <c r="FJ156" s="115">
        <f t="shared" si="478"/>
        <v>0</v>
      </c>
      <c r="FK156" s="114">
        <f t="shared" si="454"/>
        <v>0</v>
      </c>
      <c r="FL156" s="113"/>
      <c r="FM156" s="111"/>
      <c r="FN156" s="111"/>
      <c r="FO156" s="111"/>
      <c r="FP156" s="115">
        <f t="shared" si="443"/>
        <v>0</v>
      </c>
      <c r="FQ156" s="115"/>
      <c r="FR156" s="115"/>
      <c r="FS156" s="115"/>
      <c r="FT156" s="114">
        <f t="shared" si="435"/>
        <v>0</v>
      </c>
      <c r="FU156" s="366">
        <f t="shared" ca="1" si="436"/>
        <v>0</v>
      </c>
      <c r="FV156" s="121">
        <f t="shared" ca="1" si="437"/>
        <v>0</v>
      </c>
      <c r="FW156" s="114">
        <f t="shared" si="444"/>
        <v>0</v>
      </c>
      <c r="FX156" s="114">
        <f t="shared" si="444"/>
        <v>0</v>
      </c>
      <c r="FY156" s="114">
        <f t="shared" si="444"/>
        <v>0</v>
      </c>
      <c r="FZ156" s="114">
        <f t="shared" si="444"/>
        <v>0</v>
      </c>
      <c r="GA156" s="114">
        <f t="shared" si="372"/>
        <v>0</v>
      </c>
      <c r="GB156" s="114">
        <f t="shared" si="445"/>
        <v>0</v>
      </c>
      <c r="GC156" s="114">
        <f t="shared" si="445"/>
        <v>0</v>
      </c>
      <c r="GD156" s="114">
        <f t="shared" si="445"/>
        <v>0</v>
      </c>
      <c r="GE156" s="114">
        <f t="shared" si="445"/>
        <v>0</v>
      </c>
      <c r="GF156" s="114">
        <f t="shared" si="441"/>
        <v>0</v>
      </c>
      <c r="GG156" s="114">
        <f t="shared" si="441"/>
        <v>0</v>
      </c>
      <c r="GH156" s="114">
        <f t="shared" si="441"/>
        <v>0</v>
      </c>
      <c r="GI156" s="114">
        <f t="shared" si="441"/>
        <v>0</v>
      </c>
      <c r="GJ156" s="115">
        <f t="shared" si="479"/>
        <v>0</v>
      </c>
      <c r="GK156" s="114">
        <f t="shared" si="438"/>
        <v>0</v>
      </c>
      <c r="GL156" s="114">
        <f t="shared" si="480"/>
        <v>0</v>
      </c>
      <c r="GM156" s="114">
        <f t="shared" si="481"/>
        <v>0</v>
      </c>
      <c r="GN156" s="114">
        <f t="shared" si="482"/>
        <v>0</v>
      </c>
      <c r="GO156" s="114">
        <f t="shared" si="483"/>
        <v>0</v>
      </c>
      <c r="GP156" s="114">
        <f t="shared" si="484"/>
        <v>0</v>
      </c>
      <c r="GQ156" s="114">
        <f t="shared" si="439"/>
        <v>0</v>
      </c>
      <c r="GR156" s="193"/>
      <c r="GS156" s="122">
        <f t="shared" si="485"/>
        <v>24434631.983666092</v>
      </c>
      <c r="GT156" s="122">
        <f t="shared" si="486"/>
        <v>26517208.271749876</v>
      </c>
      <c r="GU156" s="123">
        <f t="shared" si="440"/>
        <v>0.92146321487762128</v>
      </c>
      <c r="GV156" s="124">
        <f t="shared" ca="1" si="487"/>
        <v>0</v>
      </c>
      <c r="GW156" s="124">
        <v>0</v>
      </c>
      <c r="GX156" s="32">
        <f t="shared" ca="1" si="488"/>
        <v>0</v>
      </c>
      <c r="GY156" s="100"/>
    </row>
    <row r="157" spans="3:207" s="408" customFormat="1" hidden="1">
      <c r="C157" s="402"/>
      <c r="D157" s="402"/>
      <c r="E157" s="403"/>
      <c r="F157" s="403" t="s">
        <v>719</v>
      </c>
      <c r="G157" s="403" t="s">
        <v>226</v>
      </c>
      <c r="H157" s="105" t="s">
        <v>629</v>
      </c>
      <c r="I157" s="404" t="s">
        <v>638</v>
      </c>
      <c r="J157" s="403" t="s">
        <v>643</v>
      </c>
      <c r="K157" s="403" t="s">
        <v>621</v>
      </c>
      <c r="L157" s="403"/>
      <c r="M157" s="403"/>
      <c r="N157" s="404"/>
      <c r="O157" s="108">
        <v>43405</v>
      </c>
      <c r="P157" s="108">
        <v>43405</v>
      </c>
      <c r="Q157" s="323">
        <f t="shared" si="455"/>
        <v>0</v>
      </c>
      <c r="R157" s="109">
        <f>IF((P157-VLOOKUP(Q157,month!$A$1:$C$13,3,0))&lt;0,Q157,Q157+1)</f>
        <v>0</v>
      </c>
      <c r="S157" s="108"/>
      <c r="T157" s="110" t="str">
        <f t="shared" si="442"/>
        <v/>
      </c>
      <c r="U157" s="483" t="s">
        <v>214</v>
      </c>
      <c r="V157" s="483">
        <v>1</v>
      </c>
      <c r="W157" s="405"/>
      <c r="X157" s="405"/>
      <c r="Y157" s="492"/>
      <c r="Z157" s="406" t="s">
        <v>545</v>
      </c>
      <c r="AA157" s="394">
        <v>1000</v>
      </c>
      <c r="AB157" s="394">
        <v>1000</v>
      </c>
      <c r="AC157" s="394">
        <v>1000</v>
      </c>
      <c r="AD157" s="394">
        <v>1000</v>
      </c>
      <c r="AE157" s="394">
        <v>1000</v>
      </c>
      <c r="AF157" s="394">
        <v>1000</v>
      </c>
      <c r="AG157" s="394">
        <v>1000</v>
      </c>
      <c r="AH157" s="394">
        <v>1000</v>
      </c>
      <c r="AI157" s="394">
        <v>1000</v>
      </c>
      <c r="AJ157" s="394">
        <v>1000</v>
      </c>
      <c r="AK157" s="394">
        <v>1000</v>
      </c>
      <c r="AL157" s="394">
        <v>1000</v>
      </c>
      <c r="AM157" s="388">
        <f t="shared" si="456"/>
        <v>12000</v>
      </c>
      <c r="AN157" s="388">
        <f t="shared" si="457"/>
        <v>12000</v>
      </c>
      <c r="AO157" s="389">
        <f>AA157</f>
        <v>1000</v>
      </c>
      <c r="AP157" s="502" t="s">
        <v>708</v>
      </c>
      <c r="AQ157" s="159">
        <v>0.6</v>
      </c>
      <c r="AR157" s="103" t="s">
        <v>211</v>
      </c>
      <c r="AS157" s="119" t="s">
        <v>210</v>
      </c>
      <c r="AT157" s="111">
        <v>564578.06652412401</v>
      </c>
      <c r="AU157" s="111">
        <v>588102.15262929595</v>
      </c>
      <c r="AV157" s="111">
        <v>564578.06652412401</v>
      </c>
      <c r="AW157" s="111">
        <v>635150.32483963959</v>
      </c>
      <c r="AX157" s="113">
        <v>580146.91200000176</v>
      </c>
      <c r="AY157" s="113">
        <v>552135.80699999991</v>
      </c>
      <c r="AZ157" s="113">
        <v>616315.18680000037</v>
      </c>
      <c r="BA157" s="113"/>
      <c r="BB157" s="113"/>
      <c r="BC157" s="113"/>
      <c r="BD157" s="113"/>
      <c r="BE157" s="113"/>
      <c r="BF157" s="114">
        <f t="shared" si="374"/>
        <v>580146.91200000176</v>
      </c>
      <c r="BG157" s="114">
        <f t="shared" si="375"/>
        <v>552135.80699999991</v>
      </c>
      <c r="BH157" s="114">
        <f t="shared" si="376"/>
        <v>616315.18680000037</v>
      </c>
      <c r="BI157" s="114">
        <f t="shared" si="377"/>
        <v>0</v>
      </c>
      <c r="BJ157" s="114">
        <f t="shared" si="459"/>
        <v>1748597.9058000022</v>
      </c>
      <c r="BK157" s="115">
        <f t="shared" si="447"/>
        <v>2352408.6105171838</v>
      </c>
      <c r="BL157" s="115">
        <f t="shared" si="378"/>
        <v>2352408.6105171838</v>
      </c>
      <c r="BM157" s="116">
        <f t="shared" si="379"/>
        <v>0.74329999999999996</v>
      </c>
      <c r="BN157" s="126">
        <f t="shared" ca="1" si="448"/>
        <v>0</v>
      </c>
      <c r="BO157" s="117">
        <f t="shared" ca="1" si="449"/>
        <v>0</v>
      </c>
      <c r="BP157" s="118" t="str">
        <f t="shared" si="450"/>
        <v>Uncapped</v>
      </c>
      <c r="BQ157" s="115">
        <f t="shared" ca="1" si="451"/>
        <v>0</v>
      </c>
      <c r="BR157" s="174" t="s">
        <v>709</v>
      </c>
      <c r="BS157" s="175">
        <v>0.2</v>
      </c>
      <c r="BT157" s="174" t="s">
        <v>217</v>
      </c>
      <c r="BU157" s="174" t="s">
        <v>210</v>
      </c>
      <c r="BV157" s="113">
        <v>2614183.8922245866</v>
      </c>
      <c r="BW157" s="113">
        <v>2723108.2210672777</v>
      </c>
      <c r="BX157" s="113">
        <v>2614183.8922245866</v>
      </c>
      <c r="BY157" s="113">
        <v>2940956.87875266</v>
      </c>
      <c r="BZ157" s="113">
        <v>2689117.4880000018</v>
      </c>
      <c r="CA157" s="113">
        <v>2709593.2359000021</v>
      </c>
      <c r="CB157" s="113">
        <v>2721919.4478000002</v>
      </c>
      <c r="CC157" s="113">
        <f t="shared" si="352"/>
        <v>2940956.87875266</v>
      </c>
      <c r="CD157" s="113"/>
      <c r="CE157" s="113"/>
      <c r="CF157" s="113"/>
      <c r="CG157" s="113"/>
      <c r="CH157" s="114">
        <f t="shared" si="380"/>
        <v>2689117.4880000018</v>
      </c>
      <c r="CI157" s="114">
        <f t="shared" si="381"/>
        <v>2709593.2359000021</v>
      </c>
      <c r="CJ157" s="120">
        <f t="shared" si="382"/>
        <v>2721919.4478000002</v>
      </c>
      <c r="CK157" s="114">
        <f t="shared" si="383"/>
        <v>2940956.87875266</v>
      </c>
      <c r="CL157" s="114">
        <f t="shared" si="460"/>
        <v>11061587.050452664</v>
      </c>
      <c r="CM157" s="114">
        <f t="shared" si="461"/>
        <v>10892432.884269111</v>
      </c>
      <c r="CN157" s="114">
        <f t="shared" si="385"/>
        <v>10892432.884269111</v>
      </c>
      <c r="CO157" s="116">
        <f t="shared" si="386"/>
        <v>1.0155000000000001</v>
      </c>
      <c r="CP157" s="126">
        <f t="shared" ca="1" si="387"/>
        <v>0</v>
      </c>
      <c r="CQ157" s="115">
        <f t="shared" ca="1" si="462"/>
        <v>0</v>
      </c>
      <c r="CR157" s="118" t="str">
        <f t="shared" si="463"/>
        <v>Uncapped</v>
      </c>
      <c r="CS157" s="115">
        <f t="shared" ca="1" si="464"/>
        <v>0</v>
      </c>
      <c r="CT157" s="113" t="s">
        <v>732</v>
      </c>
      <c r="CU157" s="119">
        <v>0.1</v>
      </c>
      <c r="CV157" s="113" t="s">
        <v>217</v>
      </c>
      <c r="CW157" s="113" t="s">
        <v>210</v>
      </c>
      <c r="CX157" s="113">
        <v>5046797.7308448758</v>
      </c>
      <c r="CY157" s="113">
        <v>5308711.4169250429</v>
      </c>
      <c r="CZ157" s="113">
        <v>5114284.1421738518</v>
      </c>
      <c r="DA157" s="113">
        <v>5623300.9818061059</v>
      </c>
      <c r="DB157" s="113">
        <v>4988539.1888999986</v>
      </c>
      <c r="DC157" s="113">
        <v>5062317.3278799905</v>
      </c>
      <c r="DD157" s="113">
        <v>5091828.1585499998</v>
      </c>
      <c r="DE157" s="113"/>
      <c r="DF157" s="113"/>
      <c r="DG157" s="113"/>
      <c r="DH157" s="113"/>
      <c r="DI157" s="113"/>
      <c r="DJ157" s="114">
        <f t="shared" si="388"/>
        <v>4988539.1888999986</v>
      </c>
      <c r="DK157" s="114">
        <f t="shared" si="389"/>
        <v>5062317.3278799905</v>
      </c>
      <c r="DL157" s="114">
        <f t="shared" si="390"/>
        <v>5091828.1585499998</v>
      </c>
      <c r="DM157" s="114">
        <f t="shared" si="391"/>
        <v>0</v>
      </c>
      <c r="DN157" s="114">
        <f t="shared" si="465"/>
        <v>15142684.675329989</v>
      </c>
      <c r="DO157" s="114">
        <f t="shared" si="466"/>
        <v>21093094.271749876</v>
      </c>
      <c r="DP157" s="114">
        <f t="shared" si="393"/>
        <v>21093094.271749876</v>
      </c>
      <c r="DQ157" s="116">
        <f t="shared" si="394"/>
        <v>0.71789999999999998</v>
      </c>
      <c r="DR157" s="126">
        <f t="shared" ca="1" si="467"/>
        <v>0</v>
      </c>
      <c r="DS157" s="115">
        <f t="shared" ca="1" si="468"/>
        <v>0</v>
      </c>
      <c r="DT157" s="118" t="str">
        <f t="shared" si="469"/>
        <v>Uncapped</v>
      </c>
      <c r="DU157" s="115">
        <f t="shared" ca="1" si="470"/>
        <v>0</v>
      </c>
      <c r="DV157" s="113" t="s">
        <v>363</v>
      </c>
      <c r="DW157" s="119">
        <v>0.1</v>
      </c>
      <c r="DX157" s="113"/>
      <c r="DY157" s="113" t="s">
        <v>219</v>
      </c>
      <c r="DZ157" s="113">
        <v>0</v>
      </c>
      <c r="EA157" s="113">
        <v>0</v>
      </c>
      <c r="EB157" s="113">
        <v>0</v>
      </c>
      <c r="EC157" s="113">
        <v>0</v>
      </c>
      <c r="ED157" s="113">
        <v>0</v>
      </c>
      <c r="EE157" s="113">
        <v>0</v>
      </c>
      <c r="EF157" s="113"/>
      <c r="EG157" s="113"/>
      <c r="EH157" s="113"/>
      <c r="EI157" s="113"/>
      <c r="EJ157" s="113"/>
      <c r="EK157" s="113"/>
      <c r="EL157" s="114">
        <f t="shared" si="395"/>
        <v>0</v>
      </c>
      <c r="EM157" s="114">
        <f t="shared" si="396"/>
        <v>0</v>
      </c>
      <c r="EN157" s="114">
        <f t="shared" si="397"/>
        <v>0</v>
      </c>
      <c r="EO157" s="114">
        <f t="shared" si="398"/>
        <v>0</v>
      </c>
      <c r="EP157" s="114">
        <f t="shared" si="471"/>
        <v>0</v>
      </c>
      <c r="EQ157" s="114">
        <f t="shared" si="472"/>
        <v>0</v>
      </c>
      <c r="ER157" s="114">
        <f t="shared" si="400"/>
        <v>0</v>
      </c>
      <c r="ES157" s="116">
        <f t="shared" si="401"/>
        <v>0</v>
      </c>
      <c r="ET157" s="126">
        <f t="shared" si="402"/>
        <v>0</v>
      </c>
      <c r="EU157" s="115">
        <f t="shared" si="473"/>
        <v>0</v>
      </c>
      <c r="EV157" s="118" t="str">
        <f t="shared" si="474"/>
        <v>Uncapped</v>
      </c>
      <c r="EW157" s="115">
        <f t="shared" si="475"/>
        <v>0</v>
      </c>
      <c r="EX157" s="112">
        <f t="shared" ca="1" si="476"/>
        <v>0</v>
      </c>
      <c r="EY157" s="114">
        <f t="shared" ca="1" si="403"/>
        <v>1000</v>
      </c>
      <c r="EZ157" s="115">
        <v>0</v>
      </c>
      <c r="FA157" s="115"/>
      <c r="FB157" s="115"/>
      <c r="FC157" s="115">
        <v>0</v>
      </c>
      <c r="FD157" s="115">
        <f t="shared" si="477"/>
        <v>0</v>
      </c>
      <c r="FE157" s="114">
        <f t="shared" si="453"/>
        <v>0</v>
      </c>
      <c r="FF157" s="115">
        <v>0</v>
      </c>
      <c r="FG157" s="115">
        <v>0</v>
      </c>
      <c r="FH157" s="115">
        <v>0</v>
      </c>
      <c r="FI157" s="115">
        <v>0</v>
      </c>
      <c r="FJ157" s="115">
        <f t="shared" si="478"/>
        <v>0</v>
      </c>
      <c r="FK157" s="114">
        <f t="shared" si="454"/>
        <v>0</v>
      </c>
      <c r="FL157" s="113"/>
      <c r="FM157" s="111"/>
      <c r="FN157" s="111"/>
      <c r="FO157" s="111"/>
      <c r="FP157" s="115">
        <f t="shared" si="443"/>
        <v>0</v>
      </c>
      <c r="FQ157" s="115"/>
      <c r="FR157" s="115"/>
      <c r="FS157" s="115"/>
      <c r="FT157" s="114">
        <f t="shared" si="435"/>
        <v>0</v>
      </c>
      <c r="FU157" s="366">
        <f t="shared" ca="1" si="436"/>
        <v>1000</v>
      </c>
      <c r="FV157" s="121">
        <f t="shared" ca="1" si="437"/>
        <v>1000</v>
      </c>
      <c r="FW157" s="114">
        <f t="shared" si="444"/>
        <v>0</v>
      </c>
      <c r="FX157" s="114">
        <f t="shared" si="444"/>
        <v>0</v>
      </c>
      <c r="FY157" s="114">
        <f t="shared" si="444"/>
        <v>0</v>
      </c>
      <c r="FZ157" s="114">
        <f t="shared" si="444"/>
        <v>0</v>
      </c>
      <c r="GA157" s="114">
        <f t="shared" si="372"/>
        <v>0</v>
      </c>
      <c r="GB157" s="114">
        <f t="shared" si="445"/>
        <v>0</v>
      </c>
      <c r="GC157" s="114">
        <f t="shared" si="445"/>
        <v>0</v>
      </c>
      <c r="GD157" s="114">
        <f t="shared" si="445"/>
        <v>0</v>
      </c>
      <c r="GE157" s="114">
        <f t="shared" si="445"/>
        <v>0</v>
      </c>
      <c r="GF157" s="114">
        <f t="shared" si="441"/>
        <v>0</v>
      </c>
      <c r="GG157" s="114">
        <f t="shared" si="441"/>
        <v>0</v>
      </c>
      <c r="GH157" s="114">
        <f t="shared" si="441"/>
        <v>0</v>
      </c>
      <c r="GI157" s="114">
        <f t="shared" si="441"/>
        <v>0</v>
      </c>
      <c r="GJ157" s="115">
        <f t="shared" si="479"/>
        <v>0</v>
      </c>
      <c r="GK157" s="114">
        <f t="shared" si="438"/>
        <v>0</v>
      </c>
      <c r="GL157" s="114">
        <f t="shared" si="480"/>
        <v>1000</v>
      </c>
      <c r="GM157" s="114">
        <f t="shared" si="481"/>
        <v>0</v>
      </c>
      <c r="GN157" s="114">
        <f t="shared" si="482"/>
        <v>0</v>
      </c>
      <c r="GO157" s="114">
        <f t="shared" si="483"/>
        <v>0</v>
      </c>
      <c r="GP157" s="114">
        <f t="shared" si="484"/>
        <v>1000</v>
      </c>
      <c r="GQ157" s="114">
        <f t="shared" si="439"/>
        <v>1000</v>
      </c>
      <c r="GR157" s="193"/>
      <c r="GS157" s="122">
        <f t="shared" si="485"/>
        <v>27952869.631582655</v>
      </c>
      <c r="GT157" s="122">
        <f t="shared" si="486"/>
        <v>34337935.766536169</v>
      </c>
      <c r="GU157" s="123">
        <f t="shared" si="440"/>
        <v>0.81405212653533932</v>
      </c>
      <c r="GV157" s="124">
        <f t="shared" ca="1" si="487"/>
        <v>0</v>
      </c>
      <c r="GW157" s="124">
        <v>0</v>
      </c>
      <c r="GX157" s="32">
        <f t="shared" ca="1" si="488"/>
        <v>0</v>
      </c>
      <c r="GY157" s="100"/>
    </row>
    <row r="158" spans="3:207" s="408" customFormat="1" hidden="1">
      <c r="C158" s="402"/>
      <c r="D158" s="402"/>
      <c r="E158" s="403"/>
      <c r="F158" s="403" t="s">
        <v>719</v>
      </c>
      <c r="G158" s="403" t="s">
        <v>226</v>
      </c>
      <c r="H158" s="105" t="s">
        <v>630</v>
      </c>
      <c r="I158" s="404" t="s">
        <v>651</v>
      </c>
      <c r="J158" s="403" t="s">
        <v>615</v>
      </c>
      <c r="K158" s="403" t="s">
        <v>621</v>
      </c>
      <c r="L158" s="403"/>
      <c r="M158" s="403"/>
      <c r="N158" s="404"/>
      <c r="O158" s="549">
        <v>43556</v>
      </c>
      <c r="P158" s="359">
        <v>43556</v>
      </c>
      <c r="Q158" s="323">
        <f t="shared" si="455"/>
        <v>4</v>
      </c>
      <c r="R158" s="109">
        <f>IF((P158-VLOOKUP(Q158,month!$A$1:$C$13,3,0))&lt;0,Q158,Q158+1)</f>
        <v>4</v>
      </c>
      <c r="S158" s="108"/>
      <c r="T158" s="110" t="str">
        <f t="shared" si="442"/>
        <v/>
      </c>
      <c r="U158" s="483" t="s">
        <v>214</v>
      </c>
      <c r="V158" s="483"/>
      <c r="W158" s="320">
        <v>3</v>
      </c>
      <c r="X158" s="405"/>
      <c r="Y158" s="492"/>
      <c r="Z158" s="406" t="s">
        <v>545</v>
      </c>
      <c r="AA158" s="394">
        <v>1000</v>
      </c>
      <c r="AB158" s="394">
        <v>1000</v>
      </c>
      <c r="AC158" s="394">
        <v>1000</v>
      </c>
      <c r="AD158" s="394">
        <v>1000</v>
      </c>
      <c r="AE158" s="394">
        <v>1000</v>
      </c>
      <c r="AF158" s="394">
        <v>1000</v>
      </c>
      <c r="AG158" s="394">
        <v>1000</v>
      </c>
      <c r="AH158" s="394">
        <v>1000</v>
      </c>
      <c r="AI158" s="394">
        <v>1000</v>
      </c>
      <c r="AJ158" s="394">
        <v>1000</v>
      </c>
      <c r="AK158" s="394">
        <v>1000</v>
      </c>
      <c r="AL158" s="394">
        <v>1000</v>
      </c>
      <c r="AM158" s="388">
        <f t="shared" si="456"/>
        <v>12000</v>
      </c>
      <c r="AN158" s="388">
        <f t="shared" si="457"/>
        <v>12000</v>
      </c>
      <c r="AO158" s="389">
        <f>AD158</f>
        <v>1000</v>
      </c>
      <c r="AP158" s="502" t="s">
        <v>709</v>
      </c>
      <c r="AQ158" s="159">
        <v>0.6</v>
      </c>
      <c r="AR158" s="103" t="s">
        <v>211</v>
      </c>
      <c r="AS158" s="119" t="s">
        <v>210</v>
      </c>
      <c r="AT158" s="111">
        <v>1581777.9554044395</v>
      </c>
      <c r="AU158" s="111">
        <v>1647685.370212958</v>
      </c>
      <c r="AV158" s="111">
        <v>1581777.9554044395</v>
      </c>
      <c r="AW158" s="111">
        <v>1779500.1998299947</v>
      </c>
      <c r="AX158" s="113">
        <v>1522860.7446000022</v>
      </c>
      <c r="AY158" s="113">
        <v>1425223.8162</v>
      </c>
      <c r="AZ158" s="113">
        <v>1427879.0610000012</v>
      </c>
      <c r="BA158" s="113">
        <f>AW158</f>
        <v>1779500.1998299947</v>
      </c>
      <c r="BB158" s="113"/>
      <c r="BC158" s="113"/>
      <c r="BD158" s="113"/>
      <c r="BE158" s="113"/>
      <c r="BF158" s="114">
        <f t="shared" si="374"/>
        <v>1522860.7446000022</v>
      </c>
      <c r="BG158" s="114">
        <f t="shared" si="375"/>
        <v>1425223.8162</v>
      </c>
      <c r="BH158" s="114">
        <f t="shared" si="376"/>
        <v>1427879.0610000012</v>
      </c>
      <c r="BI158" s="114">
        <f t="shared" si="377"/>
        <v>1779500.1998299947</v>
      </c>
      <c r="BJ158" s="114">
        <f t="shared" si="459"/>
        <v>6155463.8216299983</v>
      </c>
      <c r="BK158" s="115">
        <f t="shared" si="447"/>
        <v>6590741.4808518318</v>
      </c>
      <c r="BL158" s="115">
        <f t="shared" si="378"/>
        <v>6590741.4808518318</v>
      </c>
      <c r="BM158" s="116">
        <f t="shared" si="379"/>
        <v>0.93400000000000005</v>
      </c>
      <c r="BN158" s="126">
        <f t="shared" ca="1" si="448"/>
        <v>0</v>
      </c>
      <c r="BO158" s="117">
        <f t="shared" ca="1" si="449"/>
        <v>0</v>
      </c>
      <c r="BP158" s="118" t="str">
        <f t="shared" si="450"/>
        <v>Uncapped</v>
      </c>
      <c r="BQ158" s="115">
        <f t="shared" ca="1" si="451"/>
        <v>0</v>
      </c>
      <c r="BR158" s="174" t="s">
        <v>758</v>
      </c>
      <c r="BS158" s="175">
        <v>0.3</v>
      </c>
      <c r="BT158" s="174" t="s">
        <v>217</v>
      </c>
      <c r="BU158" s="174" t="s">
        <v>210</v>
      </c>
      <c r="BV158" s="113">
        <v>5046797.7308448758</v>
      </c>
      <c r="BW158" s="113">
        <v>5308711.4169250429</v>
      </c>
      <c r="BX158" s="113">
        <v>5114284.1421738518</v>
      </c>
      <c r="BY158" s="113">
        <v>5623300.9818061059</v>
      </c>
      <c r="BZ158" s="113">
        <v>4988539.1888999986</v>
      </c>
      <c r="CA158" s="113">
        <v>5062317.3278799905</v>
      </c>
      <c r="CB158" s="113">
        <v>5091828.1585499998</v>
      </c>
      <c r="CC158" s="113">
        <f t="shared" si="352"/>
        <v>5623300.9818061059</v>
      </c>
      <c r="CD158" s="113"/>
      <c r="CE158" s="113"/>
      <c r="CF158" s="113"/>
      <c r="CG158" s="113"/>
      <c r="CH158" s="114">
        <f t="shared" si="380"/>
        <v>4988539.1888999986</v>
      </c>
      <c r="CI158" s="114">
        <f t="shared" si="381"/>
        <v>5062317.3278799905</v>
      </c>
      <c r="CJ158" s="120">
        <f t="shared" si="382"/>
        <v>5091828.1585499998</v>
      </c>
      <c r="CK158" s="114">
        <f t="shared" si="383"/>
        <v>5623300.9818061059</v>
      </c>
      <c r="CL158" s="114">
        <f t="shared" si="460"/>
        <v>20765985.657136094</v>
      </c>
      <c r="CM158" s="114">
        <f t="shared" si="461"/>
        <v>21093094.271749876</v>
      </c>
      <c r="CN158" s="114">
        <f t="shared" si="385"/>
        <v>21093094.271749876</v>
      </c>
      <c r="CO158" s="116">
        <f t="shared" si="386"/>
        <v>0.98450000000000004</v>
      </c>
      <c r="CP158" s="126">
        <f t="shared" ca="1" si="387"/>
        <v>0</v>
      </c>
      <c r="CQ158" s="115">
        <f t="shared" ca="1" si="462"/>
        <v>0</v>
      </c>
      <c r="CR158" s="118">
        <v>1</v>
      </c>
      <c r="CS158" s="115">
        <f t="shared" si="464"/>
        <v>3600</v>
      </c>
      <c r="CT158" s="113" t="s">
        <v>363</v>
      </c>
      <c r="CU158" s="119">
        <v>0.1</v>
      </c>
      <c r="CV158" s="113"/>
      <c r="CW158" s="113" t="s">
        <v>219</v>
      </c>
      <c r="CX158" s="113">
        <v>0</v>
      </c>
      <c r="CY158" s="113">
        <v>0</v>
      </c>
      <c r="CZ158" s="113">
        <v>0</v>
      </c>
      <c r="DA158" s="113">
        <v>0</v>
      </c>
      <c r="DB158" s="113">
        <v>0</v>
      </c>
      <c r="DC158" s="113">
        <v>0</v>
      </c>
      <c r="DD158" s="113">
        <v>0</v>
      </c>
      <c r="DE158" s="113"/>
      <c r="DF158" s="113"/>
      <c r="DG158" s="113"/>
      <c r="DH158" s="113"/>
      <c r="DI158" s="113"/>
      <c r="DJ158" s="114">
        <f t="shared" si="388"/>
        <v>0</v>
      </c>
      <c r="DK158" s="114">
        <f t="shared" si="389"/>
        <v>0</v>
      </c>
      <c r="DL158" s="114">
        <f t="shared" si="390"/>
        <v>0</v>
      </c>
      <c r="DM158" s="114">
        <f t="shared" si="391"/>
        <v>0</v>
      </c>
      <c r="DN158" s="114">
        <f t="shared" si="465"/>
        <v>0</v>
      </c>
      <c r="DO158" s="114">
        <f t="shared" si="466"/>
        <v>0</v>
      </c>
      <c r="DP158" s="114">
        <f t="shared" si="393"/>
        <v>0</v>
      </c>
      <c r="DQ158" s="116">
        <f t="shared" si="394"/>
        <v>0</v>
      </c>
      <c r="DR158" s="126">
        <f t="shared" si="467"/>
        <v>0</v>
      </c>
      <c r="DS158" s="115">
        <f t="shared" si="468"/>
        <v>0</v>
      </c>
      <c r="DT158" s="118">
        <v>1</v>
      </c>
      <c r="DU158" s="115">
        <f t="shared" si="470"/>
        <v>1200</v>
      </c>
      <c r="DV158" s="113"/>
      <c r="DW158" s="119">
        <v>0</v>
      </c>
      <c r="DX158" s="113"/>
      <c r="DY158" s="113"/>
      <c r="DZ158" s="113">
        <v>0</v>
      </c>
      <c r="EA158" s="113">
        <v>0</v>
      </c>
      <c r="EB158" s="113">
        <v>0</v>
      </c>
      <c r="EC158" s="113">
        <v>0</v>
      </c>
      <c r="ED158" s="113">
        <v>0</v>
      </c>
      <c r="EE158" s="113">
        <v>0</v>
      </c>
      <c r="EF158" s="113"/>
      <c r="EG158" s="113"/>
      <c r="EH158" s="113"/>
      <c r="EI158" s="113"/>
      <c r="EJ158" s="113"/>
      <c r="EK158" s="113"/>
      <c r="EL158" s="114">
        <f t="shared" si="395"/>
        <v>0</v>
      </c>
      <c r="EM158" s="114">
        <f t="shared" si="396"/>
        <v>0</v>
      </c>
      <c r="EN158" s="114">
        <f t="shared" si="397"/>
        <v>0</v>
      </c>
      <c r="EO158" s="114">
        <f t="shared" si="398"/>
        <v>0</v>
      </c>
      <c r="EP158" s="114">
        <f t="shared" si="471"/>
        <v>0</v>
      </c>
      <c r="EQ158" s="114">
        <f t="shared" si="472"/>
        <v>0</v>
      </c>
      <c r="ER158" s="114">
        <f t="shared" si="400"/>
        <v>0</v>
      </c>
      <c r="ES158" s="116">
        <f t="shared" si="401"/>
        <v>0</v>
      </c>
      <c r="ET158" s="126">
        <f t="shared" ca="1" si="402"/>
        <v>0</v>
      </c>
      <c r="EU158" s="115">
        <f t="shared" ca="1" si="473"/>
        <v>0</v>
      </c>
      <c r="EV158" s="118" t="str">
        <f t="shared" si="474"/>
        <v>Uncapped</v>
      </c>
      <c r="EW158" s="115">
        <f t="shared" ca="1" si="475"/>
        <v>0</v>
      </c>
      <c r="EX158" s="112">
        <f t="shared" ca="1" si="476"/>
        <v>0</v>
      </c>
      <c r="EY158" s="114">
        <f t="shared" ca="1" si="403"/>
        <v>3000</v>
      </c>
      <c r="EZ158" s="115">
        <v>0</v>
      </c>
      <c r="FA158" s="115"/>
      <c r="FB158" s="115"/>
      <c r="FC158" s="115">
        <v>0</v>
      </c>
      <c r="FD158" s="115">
        <f t="shared" si="477"/>
        <v>0</v>
      </c>
      <c r="FE158" s="114">
        <f t="shared" si="453"/>
        <v>0</v>
      </c>
      <c r="FF158" s="115">
        <v>0</v>
      </c>
      <c r="FG158" s="115">
        <v>0</v>
      </c>
      <c r="FH158" s="115">
        <v>0</v>
      </c>
      <c r="FI158" s="115">
        <v>0</v>
      </c>
      <c r="FJ158" s="115">
        <f t="shared" si="478"/>
        <v>0</v>
      </c>
      <c r="FK158" s="114">
        <f t="shared" si="454"/>
        <v>0</v>
      </c>
      <c r="FL158" s="113"/>
      <c r="FM158" s="111"/>
      <c r="FN158" s="111"/>
      <c r="FO158" s="111"/>
      <c r="FP158" s="115">
        <f t="shared" si="443"/>
        <v>0</v>
      </c>
      <c r="FQ158" s="115"/>
      <c r="FR158" s="115"/>
      <c r="FS158" s="115"/>
      <c r="FT158" s="114">
        <f t="shared" si="435"/>
        <v>0</v>
      </c>
      <c r="FU158" s="366">
        <f t="shared" ca="1" si="436"/>
        <v>3000</v>
      </c>
      <c r="FV158" s="121">
        <f t="shared" ca="1" si="437"/>
        <v>3000</v>
      </c>
      <c r="FW158" s="114">
        <f t="shared" si="444"/>
        <v>0</v>
      </c>
      <c r="FX158" s="114">
        <f t="shared" si="444"/>
        <v>0</v>
      </c>
      <c r="FY158" s="114">
        <f t="shared" si="444"/>
        <v>0</v>
      </c>
      <c r="FZ158" s="114">
        <f t="shared" si="444"/>
        <v>0</v>
      </c>
      <c r="GA158" s="114">
        <f t="shared" si="372"/>
        <v>0</v>
      </c>
      <c r="GB158" s="114">
        <f t="shared" si="445"/>
        <v>0</v>
      </c>
      <c r="GC158" s="114">
        <f t="shared" si="445"/>
        <v>0</v>
      </c>
      <c r="GD158" s="114">
        <f t="shared" si="445"/>
        <v>0</v>
      </c>
      <c r="GE158" s="114">
        <f t="shared" si="445"/>
        <v>0</v>
      </c>
      <c r="GF158" s="114">
        <f t="shared" si="441"/>
        <v>0</v>
      </c>
      <c r="GG158" s="114">
        <f t="shared" si="441"/>
        <v>0</v>
      </c>
      <c r="GH158" s="114">
        <f t="shared" si="441"/>
        <v>0</v>
      </c>
      <c r="GI158" s="114">
        <f t="shared" si="441"/>
        <v>0</v>
      </c>
      <c r="GJ158" s="115">
        <f t="shared" si="479"/>
        <v>0</v>
      </c>
      <c r="GK158" s="114">
        <f t="shared" si="438"/>
        <v>0</v>
      </c>
      <c r="GL158" s="114">
        <f t="shared" si="480"/>
        <v>0</v>
      </c>
      <c r="GM158" s="114">
        <f t="shared" si="481"/>
        <v>3000</v>
      </c>
      <c r="GN158" s="114">
        <f t="shared" si="482"/>
        <v>0</v>
      </c>
      <c r="GO158" s="114">
        <f t="shared" si="483"/>
        <v>0</v>
      </c>
      <c r="GP158" s="114">
        <f t="shared" si="484"/>
        <v>3000</v>
      </c>
      <c r="GQ158" s="114">
        <f t="shared" si="439"/>
        <v>3000</v>
      </c>
      <c r="GR158" s="193"/>
      <c r="GS158" s="122">
        <f t="shared" si="485"/>
        <v>26921449.478766091</v>
      </c>
      <c r="GT158" s="122">
        <f t="shared" si="486"/>
        <v>27683835.752601709</v>
      </c>
      <c r="GU158" s="123">
        <f t="shared" si="440"/>
        <v>0.97246095950544098</v>
      </c>
      <c r="GV158" s="124">
        <f t="shared" ca="1" si="487"/>
        <v>0</v>
      </c>
      <c r="GW158" s="124">
        <v>0</v>
      </c>
      <c r="GX158" s="32">
        <f t="shared" ca="1" si="488"/>
        <v>0</v>
      </c>
      <c r="GY158" s="100"/>
    </row>
    <row r="159" spans="3:207" s="408" customFormat="1" hidden="1">
      <c r="C159" s="402"/>
      <c r="D159" s="402"/>
      <c r="E159" s="403"/>
      <c r="F159" s="403" t="s">
        <v>719</v>
      </c>
      <c r="G159" s="403" t="s">
        <v>226</v>
      </c>
      <c r="H159" s="105" t="s">
        <v>631</v>
      </c>
      <c r="I159" s="404" t="s">
        <v>639</v>
      </c>
      <c r="J159" s="403" t="s">
        <v>616</v>
      </c>
      <c r="K159" s="403" t="s">
        <v>621</v>
      </c>
      <c r="L159" s="403" t="s">
        <v>220</v>
      </c>
      <c r="M159" s="403"/>
      <c r="N159" s="404"/>
      <c r="O159" s="108">
        <v>40280</v>
      </c>
      <c r="P159" s="108">
        <v>40280</v>
      </c>
      <c r="Q159" s="323">
        <f t="shared" si="455"/>
        <v>0</v>
      </c>
      <c r="R159" s="109">
        <f>IF((P159-VLOOKUP(Q159,month!$A$1:$C$13,3,0))&lt;0,Q159,Q159+1)</f>
        <v>0</v>
      </c>
      <c r="S159" s="108"/>
      <c r="T159" s="110" t="str">
        <f t="shared" si="442"/>
        <v/>
      </c>
      <c r="U159" s="404"/>
      <c r="V159" s="404"/>
      <c r="W159" s="405"/>
      <c r="X159" s="405"/>
      <c r="Y159" s="492"/>
      <c r="Z159" s="406" t="s">
        <v>545</v>
      </c>
      <c r="AA159" s="394">
        <v>1000</v>
      </c>
      <c r="AB159" s="394">
        <v>1000</v>
      </c>
      <c r="AC159" s="394">
        <v>1000</v>
      </c>
      <c r="AD159" s="394">
        <v>1000</v>
      </c>
      <c r="AE159" s="394">
        <v>1000</v>
      </c>
      <c r="AF159" s="394">
        <v>1000</v>
      </c>
      <c r="AG159" s="394">
        <v>1000</v>
      </c>
      <c r="AH159" s="394">
        <v>1000</v>
      </c>
      <c r="AI159" s="394">
        <v>1000</v>
      </c>
      <c r="AJ159" s="394">
        <v>1000</v>
      </c>
      <c r="AK159" s="394">
        <v>1000</v>
      </c>
      <c r="AL159" s="394">
        <v>1000</v>
      </c>
      <c r="AM159" s="388">
        <f t="shared" si="456"/>
        <v>12000</v>
      </c>
      <c r="AN159" s="388">
        <f t="shared" si="457"/>
        <v>12000</v>
      </c>
      <c r="AO159" s="389">
        <f>AI159</f>
        <v>1000</v>
      </c>
      <c r="AP159" s="502" t="s">
        <v>706</v>
      </c>
      <c r="AQ159" s="159">
        <v>0.6</v>
      </c>
      <c r="AR159" s="103" t="s">
        <v>211</v>
      </c>
      <c r="AS159" s="119" t="s">
        <v>210</v>
      </c>
      <c r="AT159" s="111">
        <v>3919011</v>
      </c>
      <c r="AU159" s="111">
        <v>4120782</v>
      </c>
      <c r="AV159" s="111">
        <v>3965574</v>
      </c>
      <c r="AW159" s="111">
        <v>4361355</v>
      </c>
      <c r="AX159" s="113">
        <v>3217168.6993499994</v>
      </c>
      <c r="AY159" s="113">
        <v>3453404.5822399999</v>
      </c>
      <c r="AZ159" s="113">
        <v>4060022.8646199997</v>
      </c>
      <c r="BA159" s="113"/>
      <c r="BB159" s="113"/>
      <c r="BC159" s="113"/>
      <c r="BD159" s="113"/>
      <c r="BE159" s="113"/>
      <c r="BF159" s="114">
        <f t="shared" si="374"/>
        <v>3217168.6993499994</v>
      </c>
      <c r="BG159" s="114">
        <f t="shared" si="375"/>
        <v>3453404.5822399999</v>
      </c>
      <c r="BH159" s="114">
        <f t="shared" si="376"/>
        <v>4060022.8646199997</v>
      </c>
      <c r="BI159" s="114">
        <f t="shared" si="377"/>
        <v>0</v>
      </c>
      <c r="BJ159" s="114">
        <f t="shared" si="459"/>
        <v>10730596.14621</v>
      </c>
      <c r="BK159" s="115">
        <f t="shared" si="447"/>
        <v>16366722</v>
      </c>
      <c r="BL159" s="115">
        <f t="shared" si="378"/>
        <v>16366722</v>
      </c>
      <c r="BM159" s="116">
        <f t="shared" si="379"/>
        <v>0.65559999999999996</v>
      </c>
      <c r="BN159" s="126">
        <f t="shared" ca="1" si="448"/>
        <v>0</v>
      </c>
      <c r="BO159" s="117">
        <f t="shared" ca="1" si="449"/>
        <v>0</v>
      </c>
      <c r="BP159" s="118" t="str">
        <f t="shared" si="450"/>
        <v>Uncapped</v>
      </c>
      <c r="BQ159" s="115">
        <f t="shared" ca="1" si="451"/>
        <v>0</v>
      </c>
      <c r="BR159" s="174" t="s">
        <v>710</v>
      </c>
      <c r="BS159" s="175">
        <v>0.2</v>
      </c>
      <c r="BT159" s="174" t="s">
        <v>217</v>
      </c>
      <c r="BU159" s="174" t="s">
        <v>210</v>
      </c>
      <c r="BV159" s="113">
        <v>1581777.9554044395</v>
      </c>
      <c r="BW159" s="113">
        <v>1647685.370212958</v>
      </c>
      <c r="BX159" s="113">
        <v>1581777.9554044395</v>
      </c>
      <c r="BY159" s="113">
        <v>1779500.1998299947</v>
      </c>
      <c r="BZ159" s="113">
        <v>1522860.7446000022</v>
      </c>
      <c r="CA159" s="113">
        <v>1425223.8162</v>
      </c>
      <c r="CB159" s="113">
        <v>1427879.0610000012</v>
      </c>
      <c r="CC159" s="113">
        <f t="shared" si="352"/>
        <v>1779500.1998299947</v>
      </c>
      <c r="CD159" s="113"/>
      <c r="CE159" s="113"/>
      <c r="CF159" s="113"/>
      <c r="CG159" s="113"/>
      <c r="CH159" s="114">
        <f t="shared" si="380"/>
        <v>1522860.7446000022</v>
      </c>
      <c r="CI159" s="114">
        <f t="shared" si="381"/>
        <v>1425223.8162</v>
      </c>
      <c r="CJ159" s="120">
        <f t="shared" si="382"/>
        <v>1427879.0610000012</v>
      </c>
      <c r="CK159" s="114">
        <f t="shared" si="383"/>
        <v>1779500.1998299947</v>
      </c>
      <c r="CL159" s="114">
        <f t="shared" si="460"/>
        <v>6155463.8216299983</v>
      </c>
      <c r="CM159" s="114">
        <f t="shared" si="461"/>
        <v>6590741.4808518318</v>
      </c>
      <c r="CN159" s="114">
        <f t="shared" si="385"/>
        <v>6590741.4808518318</v>
      </c>
      <c r="CO159" s="116">
        <f t="shared" si="386"/>
        <v>0.93400000000000005</v>
      </c>
      <c r="CP159" s="126">
        <f t="shared" ca="1" si="387"/>
        <v>0</v>
      </c>
      <c r="CQ159" s="115">
        <f t="shared" ca="1" si="462"/>
        <v>0</v>
      </c>
      <c r="CR159" s="118" t="str">
        <f t="shared" si="463"/>
        <v>Uncapped</v>
      </c>
      <c r="CS159" s="115">
        <f t="shared" ca="1" si="464"/>
        <v>0</v>
      </c>
      <c r="CT159" s="113" t="s">
        <v>732</v>
      </c>
      <c r="CU159" s="119">
        <v>0.1</v>
      </c>
      <c r="CV159" s="113" t="s">
        <v>217</v>
      </c>
      <c r="CW159" s="113" t="s">
        <v>210</v>
      </c>
      <c r="CX159" s="113">
        <v>5046797.7308448758</v>
      </c>
      <c r="CY159" s="113">
        <v>5308711.4169250429</v>
      </c>
      <c r="CZ159" s="113">
        <v>5114284.1421738518</v>
      </c>
      <c r="DA159" s="113">
        <v>5623300.9818061059</v>
      </c>
      <c r="DB159" s="113">
        <v>4988539.1888999986</v>
      </c>
      <c r="DC159" s="113">
        <v>5062317.3278799905</v>
      </c>
      <c r="DD159" s="113">
        <v>5091828.1585499998</v>
      </c>
      <c r="DE159" s="113"/>
      <c r="DF159" s="113"/>
      <c r="DG159" s="113"/>
      <c r="DH159" s="113"/>
      <c r="DI159" s="113"/>
      <c r="DJ159" s="114">
        <f t="shared" si="388"/>
        <v>4988539.1888999986</v>
      </c>
      <c r="DK159" s="114">
        <f t="shared" si="389"/>
        <v>5062317.3278799905</v>
      </c>
      <c r="DL159" s="114">
        <f t="shared" si="390"/>
        <v>5091828.1585499998</v>
      </c>
      <c r="DM159" s="114">
        <f t="shared" si="391"/>
        <v>0</v>
      </c>
      <c r="DN159" s="114">
        <f t="shared" si="465"/>
        <v>15142684.675329989</v>
      </c>
      <c r="DO159" s="114">
        <f t="shared" si="466"/>
        <v>21093094.271749876</v>
      </c>
      <c r="DP159" s="114">
        <f t="shared" si="393"/>
        <v>21093094.271749876</v>
      </c>
      <c r="DQ159" s="116">
        <f t="shared" si="394"/>
        <v>0.71789999999999998</v>
      </c>
      <c r="DR159" s="126">
        <f t="shared" ca="1" si="467"/>
        <v>0</v>
      </c>
      <c r="DS159" s="115">
        <f t="shared" ca="1" si="468"/>
        <v>0</v>
      </c>
      <c r="DT159" s="118" t="str">
        <f t="shared" si="469"/>
        <v>Uncapped</v>
      </c>
      <c r="DU159" s="115">
        <f t="shared" ca="1" si="470"/>
        <v>0</v>
      </c>
      <c r="DV159" s="113" t="s">
        <v>363</v>
      </c>
      <c r="DW159" s="119">
        <v>0.1</v>
      </c>
      <c r="DX159" s="113"/>
      <c r="DY159" s="113" t="s">
        <v>219</v>
      </c>
      <c r="DZ159" s="113">
        <v>0</v>
      </c>
      <c r="EA159" s="113">
        <v>0</v>
      </c>
      <c r="EB159" s="113">
        <v>0</v>
      </c>
      <c r="EC159" s="113">
        <v>0</v>
      </c>
      <c r="ED159" s="113">
        <v>0</v>
      </c>
      <c r="EE159" s="113">
        <v>0</v>
      </c>
      <c r="EF159" s="113"/>
      <c r="EG159" s="113"/>
      <c r="EH159" s="113"/>
      <c r="EI159" s="113"/>
      <c r="EJ159" s="113"/>
      <c r="EK159" s="113"/>
      <c r="EL159" s="114">
        <f t="shared" si="395"/>
        <v>0</v>
      </c>
      <c r="EM159" s="114">
        <f t="shared" si="396"/>
        <v>0</v>
      </c>
      <c r="EN159" s="114">
        <f t="shared" si="397"/>
        <v>0</v>
      </c>
      <c r="EO159" s="114">
        <f t="shared" si="398"/>
        <v>0</v>
      </c>
      <c r="EP159" s="114">
        <f t="shared" si="471"/>
        <v>0</v>
      </c>
      <c r="EQ159" s="114">
        <f t="shared" si="472"/>
        <v>0</v>
      </c>
      <c r="ER159" s="114">
        <f t="shared" si="400"/>
        <v>0</v>
      </c>
      <c r="ES159" s="116">
        <f t="shared" si="401"/>
        <v>0</v>
      </c>
      <c r="ET159" s="126">
        <f t="shared" si="402"/>
        <v>0</v>
      </c>
      <c r="EU159" s="115">
        <f t="shared" si="473"/>
        <v>0</v>
      </c>
      <c r="EV159" s="118" t="str">
        <f t="shared" si="474"/>
        <v>Uncapped</v>
      </c>
      <c r="EW159" s="115">
        <f t="shared" si="475"/>
        <v>0</v>
      </c>
      <c r="EX159" s="112">
        <f t="shared" ca="1" si="476"/>
        <v>0</v>
      </c>
      <c r="EY159" s="114">
        <f t="shared" ca="1" si="403"/>
        <v>0</v>
      </c>
      <c r="EZ159" s="115">
        <v>0</v>
      </c>
      <c r="FA159" s="115"/>
      <c r="FB159" s="115"/>
      <c r="FC159" s="115">
        <v>0</v>
      </c>
      <c r="FD159" s="115">
        <f t="shared" si="477"/>
        <v>0</v>
      </c>
      <c r="FE159" s="114">
        <f t="shared" si="453"/>
        <v>0</v>
      </c>
      <c r="FF159" s="115">
        <v>0</v>
      </c>
      <c r="FG159" s="115">
        <v>0</v>
      </c>
      <c r="FH159" s="115">
        <v>0</v>
      </c>
      <c r="FI159" s="115">
        <v>0</v>
      </c>
      <c r="FJ159" s="115">
        <f t="shared" si="478"/>
        <v>0</v>
      </c>
      <c r="FK159" s="114">
        <f t="shared" si="454"/>
        <v>0</v>
      </c>
      <c r="FL159" s="113"/>
      <c r="FM159" s="111"/>
      <c r="FN159" s="111"/>
      <c r="FO159" s="111"/>
      <c r="FP159" s="115">
        <f t="shared" si="443"/>
        <v>0</v>
      </c>
      <c r="FQ159" s="115"/>
      <c r="FR159" s="115"/>
      <c r="FS159" s="115"/>
      <c r="FT159" s="114">
        <f t="shared" si="435"/>
        <v>0</v>
      </c>
      <c r="FU159" s="366">
        <f t="shared" ca="1" si="436"/>
        <v>0</v>
      </c>
      <c r="FV159" s="121">
        <f t="shared" ca="1" si="437"/>
        <v>0</v>
      </c>
      <c r="FW159" s="114">
        <f t="shared" si="444"/>
        <v>0</v>
      </c>
      <c r="FX159" s="114">
        <f t="shared" si="444"/>
        <v>0</v>
      </c>
      <c r="FY159" s="114">
        <f t="shared" si="444"/>
        <v>0</v>
      </c>
      <c r="FZ159" s="114">
        <f t="shared" si="444"/>
        <v>0</v>
      </c>
      <c r="GA159" s="114">
        <f t="shared" si="372"/>
        <v>0</v>
      </c>
      <c r="GB159" s="114">
        <f t="shared" si="445"/>
        <v>0</v>
      </c>
      <c r="GC159" s="114">
        <f t="shared" si="445"/>
        <v>0</v>
      </c>
      <c r="GD159" s="114">
        <f t="shared" si="445"/>
        <v>0</v>
      </c>
      <c r="GE159" s="114">
        <f t="shared" si="445"/>
        <v>0</v>
      </c>
      <c r="GF159" s="114">
        <f t="shared" si="441"/>
        <v>0</v>
      </c>
      <c r="GG159" s="114">
        <f t="shared" si="441"/>
        <v>0</v>
      </c>
      <c r="GH159" s="114">
        <f t="shared" si="441"/>
        <v>0</v>
      </c>
      <c r="GI159" s="114">
        <f t="shared" si="441"/>
        <v>0</v>
      </c>
      <c r="GJ159" s="115">
        <f t="shared" si="479"/>
        <v>0</v>
      </c>
      <c r="GK159" s="114">
        <f t="shared" si="438"/>
        <v>0</v>
      </c>
      <c r="GL159" s="114">
        <f t="shared" si="480"/>
        <v>0</v>
      </c>
      <c r="GM159" s="114">
        <f t="shared" si="481"/>
        <v>0</v>
      </c>
      <c r="GN159" s="114">
        <f t="shared" si="482"/>
        <v>0</v>
      </c>
      <c r="GO159" s="114">
        <f t="shared" si="483"/>
        <v>0</v>
      </c>
      <c r="GP159" s="114">
        <f t="shared" si="484"/>
        <v>0</v>
      </c>
      <c r="GQ159" s="114">
        <f t="shared" si="439"/>
        <v>0</v>
      </c>
      <c r="GR159" s="193"/>
      <c r="GS159" s="122">
        <f t="shared" si="485"/>
        <v>32028744.643169984</v>
      </c>
      <c r="GT159" s="122">
        <f t="shared" si="486"/>
        <v>44050557.752601713</v>
      </c>
      <c r="GU159" s="123">
        <f t="shared" si="440"/>
        <v>0.72709055860429606</v>
      </c>
      <c r="GV159" s="124">
        <f t="shared" ca="1" si="487"/>
        <v>0</v>
      </c>
      <c r="GW159" s="124">
        <v>0</v>
      </c>
      <c r="GX159" s="32">
        <f t="shared" ca="1" si="488"/>
        <v>0</v>
      </c>
      <c r="GY159" s="100"/>
    </row>
    <row r="160" spans="3:207" s="408" customFormat="1" hidden="1">
      <c r="C160" s="402"/>
      <c r="D160" s="402"/>
      <c r="E160" s="403"/>
      <c r="F160" s="403" t="s">
        <v>208</v>
      </c>
      <c r="G160" s="403" t="s">
        <v>226</v>
      </c>
      <c r="H160" s="405" t="s">
        <v>770</v>
      </c>
      <c r="I160" s="404" t="s">
        <v>786</v>
      </c>
      <c r="J160" s="403"/>
      <c r="K160" s="403" t="s">
        <v>208</v>
      </c>
      <c r="L160" s="403"/>
      <c r="M160" s="403"/>
      <c r="N160" s="404"/>
      <c r="O160" s="553">
        <v>43661</v>
      </c>
      <c r="P160" s="108">
        <v>43661</v>
      </c>
      <c r="Q160" s="176">
        <f t="shared" ref="Q160:Q165" si="489">IF(P160&gt;$Q$2,MONTH(P160),0)</f>
        <v>7</v>
      </c>
      <c r="R160" s="176">
        <f>IF((P160-VLOOKUP(Q160,month!$A$1:$C$13,3,0))&lt;0,Q160,Q160+1)</f>
        <v>7</v>
      </c>
      <c r="S160" s="176"/>
      <c r="T160" s="110" t="str">
        <f t="shared" si="442"/>
        <v/>
      </c>
      <c r="U160" s="483" t="s">
        <v>214</v>
      </c>
      <c r="V160" s="404"/>
      <c r="W160" s="405"/>
      <c r="X160" s="484">
        <v>2</v>
      </c>
      <c r="Y160" s="493">
        <v>1</v>
      </c>
      <c r="Z160" s="406" t="s">
        <v>545</v>
      </c>
      <c r="AA160" s="394">
        <v>1000</v>
      </c>
      <c r="AB160" s="394">
        <v>1000</v>
      </c>
      <c r="AC160" s="394">
        <v>1000</v>
      </c>
      <c r="AD160" s="394">
        <v>1000</v>
      </c>
      <c r="AE160" s="394">
        <v>1000</v>
      </c>
      <c r="AF160" s="394">
        <v>1000</v>
      </c>
      <c r="AG160" s="394">
        <v>1000</v>
      </c>
      <c r="AH160" s="394">
        <v>1000</v>
      </c>
      <c r="AI160" s="394">
        <v>1000</v>
      </c>
      <c r="AJ160" s="394">
        <v>1000</v>
      </c>
      <c r="AK160" s="394">
        <v>1000</v>
      </c>
      <c r="AL160" s="394">
        <v>1000</v>
      </c>
      <c r="AM160" s="388">
        <f>IF($H$2=1,SUM(AA160:AC160),IF($H$2=2,SUM(AA160:AF160),IF($H$2=3,SUM(AA160:AI160),SUM(AA160:AL160))))</f>
        <v>12000</v>
      </c>
      <c r="AN160" s="388">
        <f>SUM(AA160:AL160)+INDEX(AA160:AL160,,MATCH($H$3,$AA$5:$AL$5,0))*(12-COUNTA(AA160:AL160))</f>
        <v>12000</v>
      </c>
      <c r="AO160" s="389">
        <f>AH160</f>
        <v>1000</v>
      </c>
      <c r="AP160" s="502" t="s">
        <v>776</v>
      </c>
      <c r="AQ160" s="159">
        <v>0.6</v>
      </c>
      <c r="AR160" s="103" t="s">
        <v>211</v>
      </c>
      <c r="AS160" s="119" t="s">
        <v>210</v>
      </c>
      <c r="AT160" s="111"/>
      <c r="AU160" s="111"/>
      <c r="AV160" s="111">
        <v>1618400</v>
      </c>
      <c r="AW160" s="111">
        <v>2203400</v>
      </c>
      <c r="AX160" s="113">
        <v>0</v>
      </c>
      <c r="AY160" s="113">
        <v>0</v>
      </c>
      <c r="AZ160" s="113">
        <v>1214704.7703000009</v>
      </c>
      <c r="BA160" s="113">
        <f t="shared" ref="BA160:BA163" si="490">AW160</f>
        <v>2203400</v>
      </c>
      <c r="BB160" s="113"/>
      <c r="BC160" s="113"/>
      <c r="BD160" s="113"/>
      <c r="BE160" s="113"/>
      <c r="BF160" s="114">
        <f t="shared" ref="BF160" si="491">AX160+BB160</f>
        <v>0</v>
      </c>
      <c r="BG160" s="114">
        <f t="shared" ref="BG160" si="492">AY160+BC160</f>
        <v>0</v>
      </c>
      <c r="BH160" s="114">
        <f t="shared" ref="BH160" si="493">AZ160+BD160</f>
        <v>1214704.7703000009</v>
      </c>
      <c r="BI160" s="114">
        <f t="shared" ref="BI160" si="494">BA160+BE160</f>
        <v>2203400</v>
      </c>
      <c r="BJ160" s="114">
        <f t="shared" ref="BJ160" si="495">IF($BB$3="After AR Adjustment",IF($H$2=1,BF160,IF($H$2=2,SUM(BF160:BG160),IF($H$2=3,SUM(BF160:BH160),SUM(BF160:BI160)))),IF($H$2=1,AX160,IF($H$2=2,SUM(AX160:AY160),IF($H$2=3,SUM(AX160:AZ160),SUM(AX160:BA160)))))</f>
        <v>3418104.7703000009</v>
      </c>
      <c r="BK160" s="115">
        <f t="shared" ref="BK160" si="496">IF($H$2=1,AT160,IF($H$2=2,SUM(AT160:AU160),IF($H$2=3,SUM(AT160:AV160),SUM(AT160:AW160))))</f>
        <v>3821800</v>
      </c>
      <c r="BL160" s="115">
        <f t="shared" ref="BL160" si="497">SUM(AT160:AW160)</f>
        <v>3821800</v>
      </c>
      <c r="BM160" s="116">
        <f t="shared" ref="BM160" si="498">IFERROR(ROUND(BJ160/BK160,4),0)</f>
        <v>0.89439999999999997</v>
      </c>
      <c r="BN160" s="126">
        <f t="shared" ref="BN160" ca="1" si="499">IF(OR(AP160="MBO",AP160="10% Realized Price"),BM160,SUMPRODUCT(Lower_Payout*(Curve=AR160)*(Lower_Attain&lt;=BM160)*(Upper_Attain&gt;BM160))+(BM160-SUMPRODUCT(Lower_Attain*(Curve=AR160)*(Lower_Attain&lt;=BM160)*(Upper_Attain&gt;BM160)))*SUMPRODUCT(Slope*(Curve=AR160)*(Lower_Attain&lt;=BM160)*(Upper_Attain&gt;BM160)))</f>
        <v>0</v>
      </c>
      <c r="BO160" s="117">
        <f t="shared" ref="BO160" ca="1" si="500">IFERROR(AM160*AQ160*BN160,0)</f>
        <v>0</v>
      </c>
      <c r="BP160" s="118" t="str">
        <f t="shared" si="450"/>
        <v>Uncapped</v>
      </c>
      <c r="BQ160" s="115">
        <f t="shared" ref="BQ160" ca="1" si="501">IF(BP160="Uncapped",BO160,IFERROR(AM160*AQ160*BP160,0))</f>
        <v>0</v>
      </c>
      <c r="BR160" s="174" t="s">
        <v>208</v>
      </c>
      <c r="BS160" s="175">
        <v>0.2</v>
      </c>
      <c r="BT160" s="174" t="s">
        <v>211</v>
      </c>
      <c r="BU160" s="174" t="s">
        <v>210</v>
      </c>
      <c r="BV160" s="113"/>
      <c r="BW160" s="113"/>
      <c r="BX160" s="113">
        <v>18095039.659279998</v>
      </c>
      <c r="BY160" s="113">
        <v>27098464.121500004</v>
      </c>
      <c r="BZ160" s="113">
        <v>0</v>
      </c>
      <c r="CA160" s="113">
        <v>0</v>
      </c>
      <c r="CB160" s="113">
        <v>16532446</v>
      </c>
      <c r="CC160" s="113">
        <f t="shared" si="352"/>
        <v>27098464.121500004</v>
      </c>
      <c r="CD160" s="113"/>
      <c r="CE160" s="113"/>
      <c r="CF160" s="113"/>
      <c r="CG160" s="113"/>
      <c r="CH160" s="114">
        <f t="shared" ref="CH160" si="502">BZ160+CD160</f>
        <v>0</v>
      </c>
      <c r="CI160" s="114">
        <f t="shared" ref="CI160" si="503">CA160+CE160</f>
        <v>0</v>
      </c>
      <c r="CJ160" s="120">
        <f t="shared" ref="CJ160" si="504">CB160+CF160</f>
        <v>16532446</v>
      </c>
      <c r="CK160" s="114">
        <f t="shared" ref="CK160" si="505">CC160+CG160</f>
        <v>27098464.121500004</v>
      </c>
      <c r="CL160" s="114">
        <f t="shared" ref="CL160" si="506">IF($BB$3="After AR Adjustment",IF($H$2=1,CH160,IF($H$2=2,SUM(CH160:CI160),IF($H$2=3,SUM(CH160:CJ160),SUM(CH160:CK160)))),IF($H$2=1,BZ160,IF($H$2=2,SUM(BZ160:CA160),IF($H$2=3,SUM(BZ160:CB160),SUM(BZ160:CC160)))))</f>
        <v>43630910.1215</v>
      </c>
      <c r="CM160" s="114">
        <f t="shared" ref="CM160" si="507">IF($H$2=1,BV160,IF($H$2=2,SUM(BV160:BW160),IF($H$2=3,SUM(BV160:BX160),SUM(BV160:BY160))))</f>
        <v>45193503.780780002</v>
      </c>
      <c r="CN160" s="114">
        <f t="shared" ref="CN160" si="508">SUM(BV160:BY160)</f>
        <v>45193503.780780002</v>
      </c>
      <c r="CO160" s="116">
        <f t="shared" ref="CO160" si="509">IFERROR(ROUND(CL160/CM160,4),0)</f>
        <v>0.96540000000000004</v>
      </c>
      <c r="CP160" s="126">
        <f t="shared" ref="CP160" ca="1" si="510">IF(OR(BR160="MBO",BR160="10% Realized Price"),CO160,SUMPRODUCT(Lower_Payout*(Curve=BT160)*(Lower_Attain&lt;=CO160)*(Upper_Attain&gt;CO160))+(CO160-SUMPRODUCT(Lower_Attain*(Curve=BT160)*(Lower_Attain&lt;=CO160)*(Upper_Attain&gt;CO160)))*SUMPRODUCT(Slope*(Curve=BT160)*(Lower_Attain&lt;=CO160)*(Upper_Attain&gt;CO160)))</f>
        <v>0</v>
      </c>
      <c r="CQ160" s="115">
        <f t="shared" ref="CQ160" ca="1" si="511">AM160*BS160*CP160</f>
        <v>0</v>
      </c>
      <c r="CR160" s="118">
        <v>1</v>
      </c>
      <c r="CS160" s="115">
        <f t="shared" ref="CS160" si="512">IF(CR160="Uncapped",CQ160,IFERROR(AM160*BS160*CR160,0))</f>
        <v>2400</v>
      </c>
      <c r="CT160" s="113" t="s">
        <v>221</v>
      </c>
      <c r="CU160" s="119">
        <v>0.2</v>
      </c>
      <c r="CV160" s="113" t="s">
        <v>217</v>
      </c>
      <c r="CW160" s="113" t="s">
        <v>210</v>
      </c>
      <c r="CX160" s="113"/>
      <c r="CY160" s="113"/>
      <c r="CZ160" s="113">
        <v>55343226.011536479</v>
      </c>
      <c r="DA160" s="113">
        <v>76323964.015026003</v>
      </c>
      <c r="DB160" s="113">
        <v>0</v>
      </c>
      <c r="DC160" s="113">
        <v>0</v>
      </c>
      <c r="DD160" s="113">
        <v>51080102</v>
      </c>
      <c r="DE160" s="113">
        <f t="shared" ref="DE160:DE165" si="513">DA160</f>
        <v>76323964.015026003</v>
      </c>
      <c r="DF160" s="113"/>
      <c r="DG160" s="113"/>
      <c r="DH160" s="113"/>
      <c r="DI160" s="113"/>
      <c r="DJ160" s="114">
        <f t="shared" ref="DJ160" si="514">DB160+DF160</f>
        <v>0</v>
      </c>
      <c r="DK160" s="114">
        <f t="shared" ref="DK160" si="515">DC160+DG160</f>
        <v>0</v>
      </c>
      <c r="DL160" s="114">
        <f t="shared" ref="DL160" si="516">DD160+DH160</f>
        <v>51080102</v>
      </c>
      <c r="DM160" s="114">
        <f t="shared" ref="DM160" si="517">DE160+DI160</f>
        <v>76323964.015026003</v>
      </c>
      <c r="DN160" s="114">
        <f t="shared" ref="DN160" si="518">IF($BB$3="After AR Adjustment",IF($H$2=1,DJ160,IF($H$2=2,SUM(DJ160:DK160),IF($H$2=3,SUM(DJ160:DL160),SUM(DJ160:DM160)))),IF($H$2=1,DB160,IF($H$2=2,SUM(DB160:DC160),IF($H$2=3,SUM(DB160:DD160),SUM(DB160:DE160)))))</f>
        <v>127404066.015026</v>
      </c>
      <c r="DO160" s="114">
        <f t="shared" ref="DO160" si="519">IF($H$2=1,CX160,IF($H$2=2,SUM(CX160:CY160),IF($H$2=3,SUM(CX160:CZ160),SUM(CX160:DA160))))</f>
        <v>131667190.02656248</v>
      </c>
      <c r="DP160" s="114">
        <f t="shared" ref="DP160" si="520">SUM(CX160:DA160)</f>
        <v>131667190.02656248</v>
      </c>
      <c r="DQ160" s="116">
        <f t="shared" ref="DQ160" si="521">IFERROR(ROUND(DN160/DO160,4),0)</f>
        <v>0.96760000000000002</v>
      </c>
      <c r="DR160" s="126">
        <f t="shared" ref="DR160" ca="1" si="522">IF(OR(CT160="MBO",CT160="10% Realized Price"),DQ160,SUMPRODUCT(Lower_Payout*(Curve=CV160)*(Lower_Attain&lt;=DQ160)*(Upper_Attain&gt;DQ160))+(DQ160-SUMPRODUCT(Lower_Attain*(Curve=CV160)*(Lower_Attain&lt;=DQ160)*(Upper_Attain&gt;DQ160)))*SUMPRODUCT(Slope*(Curve=CV160)*(Lower_Attain&lt;=DQ160)*(Upper_Attain&gt;DQ160)))</f>
        <v>0</v>
      </c>
      <c r="DS160" s="115">
        <f t="shared" ref="DS160" ca="1" si="523">AM160*CU160*DR160</f>
        <v>0</v>
      </c>
      <c r="DT160" s="118">
        <v>1</v>
      </c>
      <c r="DU160" s="115">
        <f t="shared" ref="DU160" si="524">IF(DT160="Uncapped",DS160,IFERROR(AM160*CU160*DT160,0))</f>
        <v>2400</v>
      </c>
      <c r="DV160" s="113"/>
      <c r="DW160" s="119"/>
      <c r="DX160" s="113"/>
      <c r="DY160" s="113"/>
      <c r="DZ160" s="113"/>
      <c r="EA160" s="113"/>
      <c r="EB160" s="113"/>
      <c r="EC160" s="113"/>
      <c r="ED160" s="113"/>
      <c r="EE160" s="113"/>
      <c r="EF160" s="113"/>
      <c r="EG160" s="113"/>
      <c r="EH160" s="113"/>
      <c r="EI160" s="113"/>
      <c r="EJ160" s="113"/>
      <c r="EK160" s="113"/>
      <c r="EL160" s="114">
        <f t="shared" ref="EL160" si="525">ED160+EH160</f>
        <v>0</v>
      </c>
      <c r="EM160" s="114">
        <f t="shared" ref="EM160" si="526">EE160+EI160</f>
        <v>0</v>
      </c>
      <c r="EN160" s="114">
        <f t="shared" ref="EN160" si="527">EF160+EJ160</f>
        <v>0</v>
      </c>
      <c r="EO160" s="114">
        <f t="shared" ref="EO160" si="528">EG160+EK160</f>
        <v>0</v>
      </c>
      <c r="EP160" s="114">
        <f t="shared" ref="EP160" si="529">IF($BB$3="After AR Adjustment",IF($H$2=1,EL160,IF($H$2=2,SUM(EL160:EM160),IF($H$2=3,SUM(EL160:EN160),SUM(EL160:EO160)))),IF($H$2=1,ED160,IF($H$2=2,SUM(ED160:EE160),IF($H$2=3,SUM(ED160:EF160),SUM(ED160:EG160)))))</f>
        <v>0</v>
      </c>
      <c r="EQ160" s="114">
        <f t="shared" ref="EQ160" si="530">IF($H$2=1,DZ160,IF($H$2=2,SUM(DZ160:EA160),IF($H$2=3,SUM(DZ160:EB160),SUM(DZ160:EC160))))</f>
        <v>0</v>
      </c>
      <c r="ER160" s="114">
        <f t="shared" ref="ER160" si="531">SUM(DZ160:EC160)</f>
        <v>0</v>
      </c>
      <c r="ES160" s="116">
        <f t="shared" ref="ES160" si="532">IFERROR(ROUND(EP160/EQ160,4),0)</f>
        <v>0</v>
      </c>
      <c r="ET160" s="126">
        <f t="shared" ref="ET160" ca="1" si="533">IF(OR(DV160="MBO",DV160="10% Realized Price"),ES160,SUMPRODUCT(Lower_Payout*(Curve=DX160)*(Lower_Attain&lt;=ES160)*(Upper_Attain&gt;ES160))+(ES160-SUMPRODUCT(Lower_Attain*(Curve=DX160)*(Lower_Attain&lt;=ES160)*(Upper_Attain&gt;ES160)))*SUMPRODUCT(Slope*(Curve=DX160)*(Lower_Attain&lt;=ES160)*(Upper_Attain&gt;ES160)))</f>
        <v>0</v>
      </c>
      <c r="EU160" s="115">
        <f t="shared" ref="EU160" ca="1" si="534">AM160*DW160*ET160</f>
        <v>0</v>
      </c>
      <c r="EV160" s="118" t="str">
        <f t="shared" ref="EV160" si="535">IF($T160="Y","100%",IF(DX160="T2","200%",IF($H$2=4,"Uncapped",IF($G160="AA","50%",IF($G160="SA","90%",IF($G160="APJ Regional-AA","50%",IF($G160="APJ Regional-SA","90%",75%)))))))</f>
        <v>Uncapped</v>
      </c>
      <c r="EW160" s="115">
        <f t="shared" ref="EW160" ca="1" si="536">IF(EV160="Uncapped",EU160,IFERROR(AM160*DW160*EV160,0))</f>
        <v>0</v>
      </c>
      <c r="EX160" s="112">
        <f t="shared" ref="EX160" ca="1" si="537">MIN(BO160,BQ160)+MIN(CQ160,CS160)+MIN(DS160,DU160)+MIN(EU160,EW160)</f>
        <v>0</v>
      </c>
      <c r="EY160" s="114">
        <f t="shared" ref="EY160" ca="1" si="538">MAX(EX160,GP160)</f>
        <v>3000</v>
      </c>
      <c r="EZ160" s="115">
        <v>0</v>
      </c>
      <c r="FA160" s="115"/>
      <c r="FB160" s="115"/>
      <c r="FC160" s="115">
        <v>0</v>
      </c>
      <c r="FD160" s="115">
        <f t="shared" ref="FD160" si="539">IF($H$2=1,EZ160,IF($H$2=2,SUM(EZ160:FA160),IF($H$2=3,SUM(EZ160:FB160),SUM(EZ160:FC160))))</f>
        <v>0</v>
      </c>
      <c r="FE160" s="114">
        <f t="shared" si="453"/>
        <v>0</v>
      </c>
      <c r="FF160" s="115"/>
      <c r="FG160" s="115"/>
      <c r="FH160" s="115"/>
      <c r="FI160" s="115"/>
      <c r="FJ160" s="115">
        <f t="shared" ref="FJ160" si="540">IF($H$2=1,FF160,IF($H$2=2,SUM(FF160:FG160),IF($H$2=3,SUM(FF160:FH160),SUM(FF160:FI160))))</f>
        <v>0</v>
      </c>
      <c r="FK160" s="114">
        <f t="shared" si="454"/>
        <v>0</v>
      </c>
      <c r="FL160" s="113"/>
      <c r="FM160" s="111"/>
      <c r="FN160" s="111"/>
      <c r="FO160" s="111"/>
      <c r="FP160" s="115">
        <f t="shared" si="443"/>
        <v>0</v>
      </c>
      <c r="FQ160" s="115"/>
      <c r="FR160" s="115"/>
      <c r="FS160" s="115"/>
      <c r="FT160" s="114">
        <f t="shared" si="435"/>
        <v>0</v>
      </c>
      <c r="FU160" s="366">
        <f t="shared" ca="1" si="436"/>
        <v>3000</v>
      </c>
      <c r="FV160" s="121">
        <f t="shared" ca="1" si="437"/>
        <v>3000</v>
      </c>
      <c r="FW160" s="114">
        <f t="shared" ref="FW160" si="541">FF160</f>
        <v>0</v>
      </c>
      <c r="FX160" s="114">
        <f t="shared" ref="FX160" si="542">FG160</f>
        <v>0</v>
      </c>
      <c r="FY160" s="114">
        <f t="shared" ref="FY160" si="543">FH160</f>
        <v>0</v>
      </c>
      <c r="FZ160" s="114">
        <f t="shared" ref="FZ160" si="544">FI160</f>
        <v>0</v>
      </c>
      <c r="GA160" s="114">
        <f t="shared" ref="GA160" si="545">SUM(FW160:FZ160)</f>
        <v>0</v>
      </c>
      <c r="GB160" s="114">
        <f t="shared" ref="GB160" si="546">EZ160</f>
        <v>0</v>
      </c>
      <c r="GC160" s="114">
        <f t="shared" ref="GC160" si="547">FA160</f>
        <v>0</v>
      </c>
      <c r="GD160" s="114">
        <f t="shared" ref="GD160" si="548">FB160</f>
        <v>0</v>
      </c>
      <c r="GE160" s="114">
        <f t="shared" ref="GE160" si="549">FC160</f>
        <v>0</v>
      </c>
      <c r="GF160" s="114">
        <f t="shared" ref="GF160" si="550">GB160+FW160</f>
        <v>0</v>
      </c>
      <c r="GG160" s="114">
        <f t="shared" ref="GG160" si="551">GC160+FX160</f>
        <v>0</v>
      </c>
      <c r="GH160" s="114">
        <f t="shared" ref="GH160" si="552">GD160+FY160</f>
        <v>0</v>
      </c>
      <c r="GI160" s="114">
        <f t="shared" ref="GI160" si="553">GE160+FZ160</f>
        <v>0</v>
      </c>
      <c r="GJ160" s="115">
        <f t="shared" ref="GJ160" si="554">IF($H$2=1,GF160,IF($H$2=2,SUM(GF160:GG160),IF($H$2=3,SUM(GF160:GH160),SUM(GF160:GI160))))</f>
        <v>0</v>
      </c>
      <c r="GK160" s="114">
        <f t="shared" ref="GK160" si="555">SUM(GF160:GI160)</f>
        <v>0</v>
      </c>
      <c r="GL160" s="114">
        <f t="shared" ref="GL160" si="556">IF(U160="Y",V160*AO160,0)</f>
        <v>0</v>
      </c>
      <c r="GM160" s="114">
        <f t="shared" ref="GM160" si="557">IF(U160="Y",W160*AO160,0)</f>
        <v>0</v>
      </c>
      <c r="GN160" s="114">
        <f t="shared" ref="GN160" si="558">IF(U160="Y",X160*AO160,0)</f>
        <v>2000</v>
      </c>
      <c r="GO160" s="114">
        <f t="shared" ref="GO160" si="559">IF(U160="Y",Y160*AO160,0)</f>
        <v>1000</v>
      </c>
      <c r="GP160" s="114">
        <f t="shared" ref="GP160" si="560">IF($H$2=1,GL160,IF($H$2=2,SUM(GL160:GM160),IF($H$2=3,SUM(GL160:GN160),IF($H$2=4,SUM(GL160:GO160)))))</f>
        <v>3000</v>
      </c>
      <c r="GQ160" s="114">
        <f t="shared" ref="GQ160" si="561">SUM(GL160:GO160)</f>
        <v>3000</v>
      </c>
      <c r="GR160" s="193"/>
      <c r="GS160" s="122">
        <f t="shared" ref="GS160:GS165" si="562">IFERROR(BJ160+CL160+DN160+EP160,0)</f>
        <v>174453080.90682602</v>
      </c>
      <c r="GT160" s="122">
        <f t="shared" ref="GT160:GT165" si="563">IFERROR(BK160+CM160+DO160+EQ160,0)</f>
        <v>180682493.80734247</v>
      </c>
      <c r="GU160" s="123">
        <f t="shared" ref="GU160:GU165" si="564">IFERROR(GS160/GT160,"")</f>
        <v>0.96552287513167312</v>
      </c>
      <c r="GV160" s="124">
        <f t="shared" ref="GV160" ca="1" si="565">BO160+CQ160+DS160+EU160</f>
        <v>0</v>
      </c>
      <c r="GW160" s="124">
        <v>0</v>
      </c>
      <c r="GX160" s="32">
        <f t="shared" ref="GX160" ca="1" si="566">IFERROR(GV160/AM160,0)</f>
        <v>0</v>
      </c>
      <c r="GY160" s="100"/>
    </row>
    <row r="161" spans="1:207" s="408" customFormat="1" hidden="1">
      <c r="C161" s="402"/>
      <c r="D161" s="402"/>
      <c r="E161" s="403"/>
      <c r="F161" s="403" t="s">
        <v>208</v>
      </c>
      <c r="G161" s="403" t="s">
        <v>226</v>
      </c>
      <c r="H161" s="405" t="s">
        <v>771</v>
      </c>
      <c r="I161" s="404" t="s">
        <v>787</v>
      </c>
      <c r="J161" s="403"/>
      <c r="K161" s="403" t="s">
        <v>208</v>
      </c>
      <c r="L161" s="403"/>
      <c r="M161" s="403"/>
      <c r="N161" s="404"/>
      <c r="O161" s="553">
        <v>43709</v>
      </c>
      <c r="P161" s="108">
        <v>43709</v>
      </c>
      <c r="Q161" s="176">
        <f t="shared" si="489"/>
        <v>9</v>
      </c>
      <c r="R161" s="176">
        <f>IF((P161-VLOOKUP(Q161,month!$A$1:$C$13,3,0))&lt;0,Q161,Q161+1)</f>
        <v>9</v>
      </c>
      <c r="S161" s="176"/>
      <c r="T161" s="110" t="str">
        <f t="shared" si="442"/>
        <v/>
      </c>
      <c r="U161" s="483" t="s">
        <v>214</v>
      </c>
      <c r="V161" s="404"/>
      <c r="W161" s="405"/>
      <c r="X161" s="484">
        <v>1</v>
      </c>
      <c r="Y161" s="493">
        <v>2</v>
      </c>
      <c r="Z161" s="406" t="s">
        <v>545</v>
      </c>
      <c r="AA161" s="394">
        <v>1000</v>
      </c>
      <c r="AB161" s="394">
        <v>1000</v>
      </c>
      <c r="AC161" s="394">
        <v>1000</v>
      </c>
      <c r="AD161" s="394">
        <v>1000</v>
      </c>
      <c r="AE161" s="394">
        <v>1000</v>
      </c>
      <c r="AF161" s="394">
        <v>1000</v>
      </c>
      <c r="AG161" s="394">
        <v>1000</v>
      </c>
      <c r="AH161" s="394">
        <v>1000</v>
      </c>
      <c r="AI161" s="394">
        <v>1000</v>
      </c>
      <c r="AJ161" s="394">
        <v>1000</v>
      </c>
      <c r="AK161" s="394">
        <v>1000</v>
      </c>
      <c r="AL161" s="394">
        <v>1000</v>
      </c>
      <c r="AM161" s="388">
        <f t="shared" si="456"/>
        <v>12000</v>
      </c>
      <c r="AN161" s="388">
        <f t="shared" ref="AN161:AN165" si="567">SUM(AA161:AL161)+INDEX(AA161:AL161,,MATCH($H$3,$AA$5:$AL$5,0))*(12-COUNTA(AA161:AL161))</f>
        <v>12000</v>
      </c>
      <c r="AO161" s="389">
        <f>AI161</f>
        <v>1000</v>
      </c>
      <c r="AP161" s="502" t="s">
        <v>776</v>
      </c>
      <c r="AQ161" s="159">
        <v>0.6</v>
      </c>
      <c r="AR161" s="103" t="s">
        <v>211</v>
      </c>
      <c r="AS161" s="119" t="s">
        <v>210</v>
      </c>
      <c r="AT161" s="111"/>
      <c r="AU161" s="111"/>
      <c r="AV161" s="111">
        <v>2128500</v>
      </c>
      <c r="AW161" s="111">
        <v>5285000</v>
      </c>
      <c r="AX161" s="113">
        <v>0</v>
      </c>
      <c r="AY161" s="113">
        <v>0</v>
      </c>
      <c r="AZ161" s="113">
        <v>1983350.0281499978</v>
      </c>
      <c r="BA161" s="113">
        <f t="shared" si="490"/>
        <v>5285000</v>
      </c>
      <c r="BB161" s="113"/>
      <c r="BC161" s="113"/>
      <c r="BD161" s="113"/>
      <c r="BE161" s="113"/>
      <c r="BF161" s="114">
        <f t="shared" si="374"/>
        <v>0</v>
      </c>
      <c r="BG161" s="114">
        <f t="shared" si="375"/>
        <v>0</v>
      </c>
      <c r="BH161" s="114">
        <f t="shared" si="376"/>
        <v>1983350.0281499978</v>
      </c>
      <c r="BI161" s="114">
        <f t="shared" si="377"/>
        <v>5285000</v>
      </c>
      <c r="BJ161" s="114">
        <f t="shared" ref="BJ161:BJ165" si="568">IF($BB$3="After AR Adjustment",IF($H$2=1,BF161,IF($H$2=2,SUM(BF161:BG161),IF($H$2=3,SUM(BF161:BH161),SUM(BF161:BI161)))),IF($H$2=1,AX161,IF($H$2=2,SUM(AX161:AY161),IF($H$2=3,SUM(AX161:AZ161),SUM(AX161:BA161)))))</f>
        <v>7268350.0281499978</v>
      </c>
      <c r="BK161" s="115">
        <f t="shared" si="447"/>
        <v>7413500</v>
      </c>
      <c r="BL161" s="115">
        <f t="shared" si="378"/>
        <v>7413500</v>
      </c>
      <c r="BM161" s="116">
        <f t="shared" si="379"/>
        <v>0.98040000000000005</v>
      </c>
      <c r="BN161" s="126">
        <f t="shared" ref="BN161:BN165" ca="1" si="569">IF(OR(AP161="MBO",AP161="10% Realized Price"),BM161,SUMPRODUCT(Lower_Payout*(Curve=AR161)*(Lower_Attain&lt;=BM161)*(Upper_Attain&gt;BM161))+(BM161-SUMPRODUCT(Lower_Attain*(Curve=AR161)*(Lower_Attain&lt;=BM161)*(Upper_Attain&gt;BM161)))*SUMPRODUCT(Slope*(Curve=AR161)*(Lower_Attain&lt;=BM161)*(Upper_Attain&gt;BM161)))</f>
        <v>0</v>
      </c>
      <c r="BO161" s="117">
        <f t="shared" ref="BO161:BO165" ca="1" si="570">IFERROR(AM161*AQ161*BN161,0)</f>
        <v>0</v>
      </c>
      <c r="BP161" s="118" t="str">
        <f t="shared" si="450"/>
        <v>Uncapped</v>
      </c>
      <c r="BQ161" s="115">
        <f t="shared" ref="BQ161:BQ165" ca="1" si="571">IF(BP161="Uncapped",BO161,IFERROR(AM161*AQ161*BP161,0))</f>
        <v>0</v>
      </c>
      <c r="BR161" s="174" t="s">
        <v>208</v>
      </c>
      <c r="BS161" s="175">
        <v>0.2</v>
      </c>
      <c r="BT161" s="174" t="s">
        <v>211</v>
      </c>
      <c r="BU161" s="174" t="s">
        <v>210</v>
      </c>
      <c r="BV161" s="113"/>
      <c r="BW161" s="113"/>
      <c r="BX161" s="113">
        <v>11309399.787049999</v>
      </c>
      <c r="BY161" s="113">
        <v>27098464.121500004</v>
      </c>
      <c r="BZ161" s="113">
        <v>0</v>
      </c>
      <c r="CA161" s="113">
        <v>0</v>
      </c>
      <c r="CB161" s="113">
        <v>11152527.171649998</v>
      </c>
      <c r="CC161" s="113">
        <f t="shared" si="352"/>
        <v>27098464.121500004</v>
      </c>
      <c r="CD161" s="113"/>
      <c r="CE161" s="113"/>
      <c r="CF161" s="113"/>
      <c r="CG161" s="113"/>
      <c r="CH161" s="114">
        <f t="shared" si="380"/>
        <v>0</v>
      </c>
      <c r="CI161" s="114">
        <f t="shared" si="381"/>
        <v>0</v>
      </c>
      <c r="CJ161" s="120">
        <f t="shared" si="382"/>
        <v>11152527.171649998</v>
      </c>
      <c r="CK161" s="114">
        <f t="shared" si="383"/>
        <v>27098464.121500004</v>
      </c>
      <c r="CL161" s="114">
        <f t="shared" ref="CL161:CL167" si="572">IF($BB$3="After AR Adjustment",IF($H$2=1,CH161,IF($H$2=2,SUM(CH161:CI161),IF($H$2=3,SUM(CH161:CJ161),SUM(CH161:CK161)))),IF($H$2=1,BZ161,IF($H$2=2,SUM(BZ161:CA161),IF($H$2=3,SUM(BZ161:CB161),SUM(BZ161:CC161)))))</f>
        <v>38250991.29315</v>
      </c>
      <c r="CM161" s="114">
        <f t="shared" si="461"/>
        <v>38407863.908550002</v>
      </c>
      <c r="CN161" s="114">
        <f t="shared" si="385"/>
        <v>38407863.908550002</v>
      </c>
      <c r="CO161" s="116">
        <f t="shared" si="386"/>
        <v>0.99590000000000001</v>
      </c>
      <c r="CP161" s="126">
        <f t="shared" ca="1" si="387"/>
        <v>0</v>
      </c>
      <c r="CQ161" s="115">
        <f t="shared" ref="CQ161:CQ168" ca="1" si="573">AM161*BS161*CP161</f>
        <v>0</v>
      </c>
      <c r="CR161" s="118">
        <v>1</v>
      </c>
      <c r="CS161" s="115">
        <f t="shared" ref="CS161:CS168" si="574">IF(CR161="Uncapped",CQ161,IFERROR(AM161*BS161*CR161,0))</f>
        <v>2400</v>
      </c>
      <c r="CT161" s="113" t="s">
        <v>221</v>
      </c>
      <c r="CU161" s="119">
        <v>0.2</v>
      </c>
      <c r="CV161" s="113" t="s">
        <v>217</v>
      </c>
      <c r="CW161" s="113" t="s">
        <v>210</v>
      </c>
      <c r="CX161" s="113"/>
      <c r="CY161" s="113"/>
      <c r="CZ161" s="113">
        <v>34589516.257210299</v>
      </c>
      <c r="DA161" s="113">
        <v>76323964.015026003</v>
      </c>
      <c r="DB161" s="113">
        <v>0</v>
      </c>
      <c r="DC161" s="113">
        <v>0</v>
      </c>
      <c r="DD161" s="113">
        <v>33656513.749750003</v>
      </c>
      <c r="DE161" s="113">
        <f t="shared" si="513"/>
        <v>76323964.015026003</v>
      </c>
      <c r="DF161" s="113"/>
      <c r="DG161" s="113"/>
      <c r="DH161" s="113"/>
      <c r="DI161" s="113"/>
      <c r="DJ161" s="114">
        <f t="shared" si="388"/>
        <v>0</v>
      </c>
      <c r="DK161" s="114">
        <f t="shared" si="389"/>
        <v>0</v>
      </c>
      <c r="DL161" s="114">
        <f t="shared" si="390"/>
        <v>33656513.749750003</v>
      </c>
      <c r="DM161" s="114">
        <f t="shared" si="391"/>
        <v>76323964.015026003</v>
      </c>
      <c r="DN161" s="114">
        <f t="shared" ref="DN161:DN168" si="575">IF($BB$3="After AR Adjustment",IF($H$2=1,DJ161,IF($H$2=2,SUM(DJ161:DK161),IF($H$2=3,SUM(DJ161:DL161),SUM(DJ161:DM161)))),IF($H$2=1,DB161,IF($H$2=2,SUM(DB161:DC161),IF($H$2=3,SUM(DB161:DD161),SUM(DB161:DE161)))))</f>
        <v>109980477.76477601</v>
      </c>
      <c r="DO161" s="114">
        <f t="shared" si="466"/>
        <v>110913480.2722363</v>
      </c>
      <c r="DP161" s="114">
        <f t="shared" si="393"/>
        <v>110913480.2722363</v>
      </c>
      <c r="DQ161" s="116">
        <f t="shared" si="394"/>
        <v>0.99160000000000004</v>
      </c>
      <c r="DR161" s="126">
        <f t="shared" ref="DR161:DR168" ca="1" si="576">IF(OR(CT161="MBO",CT161="10% Realized Price"),DQ161,SUMPRODUCT(Lower_Payout*(Curve=CV161)*(Lower_Attain&lt;=DQ161)*(Upper_Attain&gt;DQ161))+(DQ161-SUMPRODUCT(Lower_Attain*(Curve=CV161)*(Lower_Attain&lt;=DQ161)*(Upper_Attain&gt;DQ161)))*SUMPRODUCT(Slope*(Curve=CV161)*(Lower_Attain&lt;=DQ161)*(Upper_Attain&gt;DQ161)))</f>
        <v>0</v>
      </c>
      <c r="DS161" s="115">
        <f t="shared" ref="DS161:DS168" ca="1" si="577">AM161*CU161*DR161</f>
        <v>0</v>
      </c>
      <c r="DT161" s="118">
        <v>1</v>
      </c>
      <c r="DU161" s="115">
        <f t="shared" ref="DU161:DU178" si="578">IF(DT161="Uncapped",DS161,IFERROR(AM161*CU161*DT161,0))</f>
        <v>2400</v>
      </c>
      <c r="DV161" s="113"/>
      <c r="DW161" s="119"/>
      <c r="DX161" s="113"/>
      <c r="DY161" s="113"/>
      <c r="DZ161" s="113"/>
      <c r="EA161" s="113"/>
      <c r="EB161" s="113"/>
      <c r="EC161" s="113"/>
      <c r="ED161" s="113"/>
      <c r="EE161" s="113"/>
      <c r="EF161" s="113"/>
      <c r="EG161" s="113"/>
      <c r="EH161" s="113"/>
      <c r="EI161" s="113"/>
      <c r="EJ161" s="113"/>
      <c r="EK161" s="113"/>
      <c r="EL161" s="114">
        <f t="shared" si="395"/>
        <v>0</v>
      </c>
      <c r="EM161" s="114">
        <f t="shared" si="396"/>
        <v>0</v>
      </c>
      <c r="EN161" s="114">
        <f t="shared" si="397"/>
        <v>0</v>
      </c>
      <c r="EO161" s="114">
        <f t="shared" si="398"/>
        <v>0</v>
      </c>
      <c r="EP161" s="114">
        <f t="shared" ref="EP161:EP167" si="579">IF($BB$3="After AR Adjustment",IF($H$2=1,EL161,IF($H$2=2,SUM(EL161:EM161),IF($H$2=3,SUM(EL161:EN161),SUM(EL161:EO161)))),IF($H$2=1,ED161,IF($H$2=2,SUM(ED161:EE161),IF($H$2=3,SUM(ED161:EF161),SUM(ED161:EG161)))))</f>
        <v>0</v>
      </c>
      <c r="EQ161" s="114">
        <f t="shared" si="472"/>
        <v>0</v>
      </c>
      <c r="ER161" s="114">
        <f t="shared" si="400"/>
        <v>0</v>
      </c>
      <c r="ES161" s="116">
        <f t="shared" si="401"/>
        <v>0</v>
      </c>
      <c r="ET161" s="126">
        <f t="shared" ca="1" si="402"/>
        <v>0</v>
      </c>
      <c r="EU161" s="115">
        <f t="shared" ref="EU161:EU167" ca="1" si="580">AM161*DW161*ET161</f>
        <v>0</v>
      </c>
      <c r="EV161" s="118" t="str">
        <f t="shared" ref="EV161:EV167" si="581">IF($T161="Y","100%",IF(DX161="T2","200%",IF($H$2=4,"Uncapped",IF($G161="AA","50%",IF($G161="SA","90%",IF($G161="APJ Regional-AA","50%",IF($G161="APJ Regional-SA","90%",75%)))))))</f>
        <v>Uncapped</v>
      </c>
      <c r="EW161" s="115">
        <f t="shared" ref="EW161:EW167" ca="1" si="582">IF(EV161="Uncapped",EU161,IFERROR(AM161*DW161*EV161,0))</f>
        <v>0</v>
      </c>
      <c r="EX161" s="112">
        <f t="shared" ref="EX161:EX167" ca="1" si="583">MIN(BO161,BQ161)+MIN(CQ161,CS161)+MIN(DS161,DU161)+MIN(EU161,EW161)</f>
        <v>0</v>
      </c>
      <c r="EY161" s="114">
        <f t="shared" ca="1" si="403"/>
        <v>3000</v>
      </c>
      <c r="EZ161" s="115">
        <v>0</v>
      </c>
      <c r="FA161" s="115">
        <v>0</v>
      </c>
      <c r="FB161" s="115"/>
      <c r="FC161" s="115">
        <v>0</v>
      </c>
      <c r="FD161" s="115">
        <f t="shared" si="477"/>
        <v>0</v>
      </c>
      <c r="FE161" s="114">
        <f t="shared" si="453"/>
        <v>0</v>
      </c>
      <c r="FF161" s="115">
        <v>0</v>
      </c>
      <c r="FG161" s="115">
        <v>0</v>
      </c>
      <c r="FH161" s="115">
        <v>0</v>
      </c>
      <c r="FI161" s="115">
        <v>0</v>
      </c>
      <c r="FJ161" s="115">
        <f t="shared" si="478"/>
        <v>0</v>
      </c>
      <c r="FK161" s="114">
        <f t="shared" si="454"/>
        <v>0</v>
      </c>
      <c r="FL161" s="113"/>
      <c r="FM161" s="111"/>
      <c r="FN161" s="111"/>
      <c r="FO161" s="111"/>
      <c r="FP161" s="115">
        <f t="shared" si="443"/>
        <v>0</v>
      </c>
      <c r="FQ161" s="115"/>
      <c r="FR161" s="115"/>
      <c r="FS161" s="115">
        <v>0</v>
      </c>
      <c r="FT161" s="114">
        <f t="shared" si="435"/>
        <v>0</v>
      </c>
      <c r="FU161" s="366">
        <f t="shared" ca="1" si="436"/>
        <v>3000</v>
      </c>
      <c r="FV161" s="121">
        <f t="shared" ca="1" si="437"/>
        <v>3000</v>
      </c>
      <c r="FW161" s="114">
        <f t="shared" si="444"/>
        <v>0</v>
      </c>
      <c r="FX161" s="114">
        <f t="shared" si="444"/>
        <v>0</v>
      </c>
      <c r="FY161" s="114">
        <f t="shared" si="444"/>
        <v>0</v>
      </c>
      <c r="FZ161" s="114">
        <f t="shared" si="444"/>
        <v>0</v>
      </c>
      <c r="GA161" s="114">
        <f t="shared" si="372"/>
        <v>0</v>
      </c>
      <c r="GB161" s="114">
        <f t="shared" si="445"/>
        <v>0</v>
      </c>
      <c r="GC161" s="114">
        <f t="shared" si="445"/>
        <v>0</v>
      </c>
      <c r="GD161" s="114">
        <f t="shared" si="445"/>
        <v>0</v>
      </c>
      <c r="GE161" s="114">
        <f t="shared" si="445"/>
        <v>0</v>
      </c>
      <c r="GF161" s="114">
        <f t="shared" si="441"/>
        <v>0</v>
      </c>
      <c r="GG161" s="114">
        <f t="shared" si="441"/>
        <v>0</v>
      </c>
      <c r="GH161" s="114">
        <f t="shared" si="441"/>
        <v>0</v>
      </c>
      <c r="GI161" s="114">
        <f t="shared" si="441"/>
        <v>0</v>
      </c>
      <c r="GJ161" s="115">
        <f t="shared" si="479"/>
        <v>0</v>
      </c>
      <c r="GK161" s="114">
        <f t="shared" si="438"/>
        <v>0</v>
      </c>
      <c r="GL161" s="114">
        <f t="shared" ref="GL161:GL166" si="584">IF(U161="Y",V161*AO161,0)</f>
        <v>0</v>
      </c>
      <c r="GM161" s="114">
        <f t="shared" ref="GM161:GM166" si="585">IF(U161="Y",W161*AO161,0)</f>
        <v>0</v>
      </c>
      <c r="GN161" s="114">
        <f t="shared" ref="GN161:GN166" si="586">IF(U161="Y",X161*AO161,0)</f>
        <v>1000</v>
      </c>
      <c r="GO161" s="114">
        <f t="shared" ref="GO161:GO166" si="587">IF(U161="Y",Y161*AO161,0)</f>
        <v>2000</v>
      </c>
      <c r="GP161" s="114">
        <f t="shared" si="484"/>
        <v>3000</v>
      </c>
      <c r="GQ161" s="114">
        <f t="shared" si="439"/>
        <v>3000</v>
      </c>
      <c r="GR161" s="193"/>
      <c r="GS161" s="122">
        <f t="shared" si="562"/>
        <v>155499819.08607602</v>
      </c>
      <c r="GT161" s="122">
        <f t="shared" si="563"/>
        <v>156734844.18078631</v>
      </c>
      <c r="GU161" s="123">
        <f t="shared" si="564"/>
        <v>0.99212029015522707</v>
      </c>
      <c r="GV161" s="124">
        <f t="shared" ref="GV161:GV181" ca="1" si="588">BO161+CQ161+DS161+EU161</f>
        <v>0</v>
      </c>
      <c r="GW161" s="124">
        <v>0</v>
      </c>
      <c r="GX161" s="32">
        <f t="shared" ref="GX161:GX166" ca="1" si="589">IFERROR(GV161/AM161,0)</f>
        <v>0</v>
      </c>
      <c r="GY161" s="100"/>
    </row>
    <row r="162" spans="1:207" s="408" customFormat="1" hidden="1">
      <c r="C162" s="402"/>
      <c r="D162" s="402"/>
      <c r="E162" s="403"/>
      <c r="F162" s="403" t="s">
        <v>544</v>
      </c>
      <c r="G162" s="403" t="s">
        <v>226</v>
      </c>
      <c r="H162" s="405" t="s">
        <v>772</v>
      </c>
      <c r="I162" s="404" t="s">
        <v>784</v>
      </c>
      <c r="J162" s="403"/>
      <c r="K162" s="403" t="s">
        <v>544</v>
      </c>
      <c r="L162" s="403"/>
      <c r="M162" s="403"/>
      <c r="N162" s="404"/>
      <c r="O162" s="553">
        <v>43717</v>
      </c>
      <c r="P162" s="108">
        <v>43717</v>
      </c>
      <c r="Q162" s="176">
        <f t="shared" si="489"/>
        <v>9</v>
      </c>
      <c r="R162" s="176">
        <f>IF((P162-VLOOKUP(Q162,month!$A$1:$C$13,3,0))&lt;0,Q162,Q162+1)</f>
        <v>9</v>
      </c>
      <c r="S162" s="176"/>
      <c r="T162" s="110" t="str">
        <f t="shared" si="442"/>
        <v/>
      </c>
      <c r="U162" s="483" t="s">
        <v>214</v>
      </c>
      <c r="V162" s="404"/>
      <c r="W162" s="405"/>
      <c r="X162" s="484">
        <v>1</v>
      </c>
      <c r="Y162" s="493">
        <v>2</v>
      </c>
      <c r="Z162" s="406" t="s">
        <v>545</v>
      </c>
      <c r="AA162" s="394">
        <v>1000</v>
      </c>
      <c r="AB162" s="394">
        <v>1000</v>
      </c>
      <c r="AC162" s="394">
        <v>1000</v>
      </c>
      <c r="AD162" s="394">
        <v>1000</v>
      </c>
      <c r="AE162" s="394">
        <v>1000</v>
      </c>
      <c r="AF162" s="394">
        <v>1000</v>
      </c>
      <c r="AG162" s="394">
        <v>1000</v>
      </c>
      <c r="AH162" s="394">
        <v>1000</v>
      </c>
      <c r="AI162" s="394">
        <v>1000</v>
      </c>
      <c r="AJ162" s="394">
        <v>1000</v>
      </c>
      <c r="AK162" s="394">
        <v>1000</v>
      </c>
      <c r="AL162" s="394">
        <v>1000</v>
      </c>
      <c r="AM162" s="388">
        <f t="shared" si="456"/>
        <v>12000</v>
      </c>
      <c r="AN162" s="388">
        <f t="shared" si="567"/>
        <v>12000</v>
      </c>
      <c r="AO162" s="389">
        <f>AI162</f>
        <v>1000</v>
      </c>
      <c r="AP162" s="502" t="s">
        <v>777</v>
      </c>
      <c r="AQ162" s="159">
        <v>0.5</v>
      </c>
      <c r="AR162" s="103" t="s">
        <v>211</v>
      </c>
      <c r="AS162" s="119" t="s">
        <v>210</v>
      </c>
      <c r="AT162" s="111"/>
      <c r="AU162" s="111"/>
      <c r="AV162" s="111">
        <v>249212.06728258249</v>
      </c>
      <c r="AW162" s="111">
        <v>696263.40433732502</v>
      </c>
      <c r="AX162" s="113"/>
      <c r="AY162" s="113"/>
      <c r="AZ162" s="113">
        <v>234088.21987999996</v>
      </c>
      <c r="BA162" s="113">
        <f t="shared" si="490"/>
        <v>696263.40433732502</v>
      </c>
      <c r="BB162" s="113"/>
      <c r="BC162" s="113"/>
      <c r="BD162" s="113"/>
      <c r="BE162" s="113"/>
      <c r="BF162" s="114">
        <f t="shared" si="374"/>
        <v>0</v>
      </c>
      <c r="BG162" s="114">
        <f t="shared" si="375"/>
        <v>0</v>
      </c>
      <c r="BH162" s="114">
        <f t="shared" si="376"/>
        <v>234088.21987999996</v>
      </c>
      <c r="BI162" s="114">
        <f t="shared" si="377"/>
        <v>696263.40433732502</v>
      </c>
      <c r="BJ162" s="114">
        <f t="shared" si="568"/>
        <v>930351.62421732501</v>
      </c>
      <c r="BK162" s="115">
        <f t="shared" si="447"/>
        <v>945475.47161990753</v>
      </c>
      <c r="BL162" s="115">
        <f t="shared" si="378"/>
        <v>945475.47161990753</v>
      </c>
      <c r="BM162" s="116">
        <f t="shared" si="379"/>
        <v>0.98399999999999999</v>
      </c>
      <c r="BN162" s="126">
        <f t="shared" ca="1" si="569"/>
        <v>0</v>
      </c>
      <c r="BO162" s="117">
        <f t="shared" ca="1" si="570"/>
        <v>0</v>
      </c>
      <c r="BP162" s="118" t="str">
        <f t="shared" si="450"/>
        <v>Uncapped</v>
      </c>
      <c r="BQ162" s="115">
        <f t="shared" ca="1" si="571"/>
        <v>0</v>
      </c>
      <c r="BR162" s="174" t="s">
        <v>363</v>
      </c>
      <c r="BS162" s="175">
        <v>0.3</v>
      </c>
      <c r="BT162" s="174" t="s">
        <v>211</v>
      </c>
      <c r="BU162" s="174" t="s">
        <v>210</v>
      </c>
      <c r="BV162" s="113"/>
      <c r="BW162" s="113"/>
      <c r="BX162" s="578"/>
      <c r="BY162" s="578"/>
      <c r="BZ162" s="113"/>
      <c r="CA162" s="113"/>
      <c r="CB162" s="113"/>
      <c r="CC162" s="113"/>
      <c r="CD162" s="113"/>
      <c r="CE162" s="113"/>
      <c r="CF162" s="113"/>
      <c r="CG162" s="113"/>
      <c r="CH162" s="114">
        <f t="shared" si="380"/>
        <v>0</v>
      </c>
      <c r="CI162" s="114">
        <f t="shared" si="381"/>
        <v>0</v>
      </c>
      <c r="CJ162" s="120">
        <f t="shared" si="382"/>
        <v>0</v>
      </c>
      <c r="CK162" s="114">
        <f t="shared" si="383"/>
        <v>0</v>
      </c>
      <c r="CL162" s="114">
        <f t="shared" si="572"/>
        <v>0</v>
      </c>
      <c r="CM162" s="114">
        <f t="shared" si="461"/>
        <v>0</v>
      </c>
      <c r="CN162" s="114">
        <f t="shared" si="385"/>
        <v>0</v>
      </c>
      <c r="CO162" s="116">
        <f t="shared" si="386"/>
        <v>0</v>
      </c>
      <c r="CP162" s="126">
        <f t="shared" si="387"/>
        <v>0</v>
      </c>
      <c r="CQ162" s="115">
        <f t="shared" si="573"/>
        <v>0</v>
      </c>
      <c r="CR162" s="118">
        <v>1</v>
      </c>
      <c r="CS162" s="115">
        <f t="shared" si="574"/>
        <v>3600</v>
      </c>
      <c r="CT162" s="113" t="s">
        <v>778</v>
      </c>
      <c r="CU162" s="119">
        <v>0.2</v>
      </c>
      <c r="CV162" s="113" t="s">
        <v>217</v>
      </c>
      <c r="CW162" s="113" t="s">
        <v>210</v>
      </c>
      <c r="CX162" s="113"/>
      <c r="CY162" s="113"/>
      <c r="CZ162" s="113">
        <v>7579825.0306756496</v>
      </c>
      <c r="DA162" s="113">
        <v>16523055.7042122</v>
      </c>
      <c r="DB162" s="113"/>
      <c r="DC162" s="113"/>
      <c r="DD162" s="113">
        <v>6611850.8356500035</v>
      </c>
      <c r="DE162" s="113">
        <f t="shared" si="513"/>
        <v>16523055.7042122</v>
      </c>
      <c r="DF162" s="113"/>
      <c r="DG162" s="113"/>
      <c r="DH162" s="113"/>
      <c r="DI162" s="113"/>
      <c r="DJ162" s="114">
        <f t="shared" si="388"/>
        <v>0</v>
      </c>
      <c r="DK162" s="114">
        <f t="shared" si="389"/>
        <v>0</v>
      </c>
      <c r="DL162" s="114">
        <f t="shared" si="390"/>
        <v>6611850.8356500035</v>
      </c>
      <c r="DM162" s="114">
        <f t="shared" si="391"/>
        <v>16523055.7042122</v>
      </c>
      <c r="DN162" s="114">
        <f t="shared" si="575"/>
        <v>23134906.539862204</v>
      </c>
      <c r="DO162" s="114">
        <f t="shared" si="466"/>
        <v>24102880.73488785</v>
      </c>
      <c r="DP162" s="114">
        <f t="shared" si="393"/>
        <v>24102880.73488785</v>
      </c>
      <c r="DQ162" s="116">
        <f t="shared" si="394"/>
        <v>0.95979999999999999</v>
      </c>
      <c r="DR162" s="126">
        <f t="shared" ca="1" si="576"/>
        <v>0</v>
      </c>
      <c r="DS162" s="115">
        <f t="shared" ca="1" si="577"/>
        <v>0</v>
      </c>
      <c r="DT162" s="118">
        <v>1</v>
      </c>
      <c r="DU162" s="115">
        <f t="shared" si="578"/>
        <v>2400</v>
      </c>
      <c r="DV162" s="113"/>
      <c r="DW162" s="119"/>
      <c r="DX162" s="113"/>
      <c r="DY162" s="113"/>
      <c r="DZ162" s="113"/>
      <c r="EA162" s="113"/>
      <c r="EB162" s="113"/>
      <c r="EC162" s="113"/>
      <c r="ED162" s="113"/>
      <c r="EE162" s="113"/>
      <c r="EF162" s="113"/>
      <c r="EG162" s="113"/>
      <c r="EH162" s="113"/>
      <c r="EI162" s="113"/>
      <c r="EJ162" s="113"/>
      <c r="EK162" s="113"/>
      <c r="EL162" s="114">
        <f t="shared" si="395"/>
        <v>0</v>
      </c>
      <c r="EM162" s="114">
        <f t="shared" si="396"/>
        <v>0</v>
      </c>
      <c r="EN162" s="114">
        <f t="shared" si="397"/>
        <v>0</v>
      </c>
      <c r="EO162" s="114">
        <f t="shared" si="398"/>
        <v>0</v>
      </c>
      <c r="EP162" s="114">
        <f t="shared" si="579"/>
        <v>0</v>
      </c>
      <c r="EQ162" s="114">
        <f t="shared" si="472"/>
        <v>0</v>
      </c>
      <c r="ER162" s="114">
        <f t="shared" si="400"/>
        <v>0</v>
      </c>
      <c r="ES162" s="116">
        <f t="shared" si="401"/>
        <v>0</v>
      </c>
      <c r="ET162" s="126">
        <f t="shared" ca="1" si="402"/>
        <v>0</v>
      </c>
      <c r="EU162" s="115">
        <f t="shared" ca="1" si="580"/>
        <v>0</v>
      </c>
      <c r="EV162" s="118" t="str">
        <f t="shared" si="581"/>
        <v>Uncapped</v>
      </c>
      <c r="EW162" s="115">
        <f t="shared" ca="1" si="582"/>
        <v>0</v>
      </c>
      <c r="EX162" s="112">
        <f t="shared" ca="1" si="583"/>
        <v>0</v>
      </c>
      <c r="EY162" s="114">
        <f t="shared" ca="1" si="403"/>
        <v>3000</v>
      </c>
      <c r="EZ162" s="115">
        <v>0</v>
      </c>
      <c r="FA162" s="115">
        <v>0</v>
      </c>
      <c r="FB162" s="115"/>
      <c r="FC162" s="115">
        <v>0</v>
      </c>
      <c r="FD162" s="115">
        <f t="shared" si="477"/>
        <v>0</v>
      </c>
      <c r="FE162" s="114">
        <f t="shared" si="453"/>
        <v>0</v>
      </c>
      <c r="FF162" s="115">
        <v>0</v>
      </c>
      <c r="FG162" s="115">
        <v>0</v>
      </c>
      <c r="FH162" s="115">
        <v>0</v>
      </c>
      <c r="FI162" s="115">
        <v>0</v>
      </c>
      <c r="FJ162" s="115">
        <f t="shared" si="478"/>
        <v>0</v>
      </c>
      <c r="FK162" s="114">
        <f t="shared" si="454"/>
        <v>0</v>
      </c>
      <c r="FL162" s="113"/>
      <c r="FM162" s="111"/>
      <c r="FN162" s="111"/>
      <c r="FO162" s="111"/>
      <c r="FP162" s="115">
        <f t="shared" si="443"/>
        <v>0</v>
      </c>
      <c r="FQ162" s="115"/>
      <c r="FR162" s="115"/>
      <c r="FS162" s="115">
        <v>0</v>
      </c>
      <c r="FT162" s="114">
        <f t="shared" si="435"/>
        <v>0</v>
      </c>
      <c r="FU162" s="366">
        <f t="shared" ca="1" si="436"/>
        <v>3000</v>
      </c>
      <c r="FV162" s="121">
        <f t="shared" ca="1" si="437"/>
        <v>3000</v>
      </c>
      <c r="FW162" s="114">
        <f t="shared" si="444"/>
        <v>0</v>
      </c>
      <c r="FX162" s="114">
        <f t="shared" si="444"/>
        <v>0</v>
      </c>
      <c r="FY162" s="114">
        <f t="shared" si="444"/>
        <v>0</v>
      </c>
      <c r="FZ162" s="114">
        <f t="shared" si="444"/>
        <v>0</v>
      </c>
      <c r="GA162" s="114">
        <f t="shared" si="372"/>
        <v>0</v>
      </c>
      <c r="GB162" s="114">
        <f t="shared" si="445"/>
        <v>0</v>
      </c>
      <c r="GC162" s="114">
        <f t="shared" si="445"/>
        <v>0</v>
      </c>
      <c r="GD162" s="114">
        <f t="shared" si="445"/>
        <v>0</v>
      </c>
      <c r="GE162" s="114">
        <f t="shared" si="445"/>
        <v>0</v>
      </c>
      <c r="GF162" s="114">
        <f t="shared" si="441"/>
        <v>0</v>
      </c>
      <c r="GG162" s="114">
        <f t="shared" si="441"/>
        <v>0</v>
      </c>
      <c r="GH162" s="114">
        <f t="shared" si="441"/>
        <v>0</v>
      </c>
      <c r="GI162" s="114">
        <f t="shared" si="441"/>
        <v>0</v>
      </c>
      <c r="GJ162" s="115">
        <f t="shared" si="479"/>
        <v>0</v>
      </c>
      <c r="GK162" s="114">
        <f t="shared" si="438"/>
        <v>0</v>
      </c>
      <c r="GL162" s="114">
        <f t="shared" si="584"/>
        <v>0</v>
      </c>
      <c r="GM162" s="114">
        <f t="shared" si="585"/>
        <v>0</v>
      </c>
      <c r="GN162" s="114">
        <f t="shared" si="586"/>
        <v>1000</v>
      </c>
      <c r="GO162" s="114">
        <f t="shared" si="587"/>
        <v>2000</v>
      </c>
      <c r="GP162" s="114">
        <f t="shared" si="484"/>
        <v>3000</v>
      </c>
      <c r="GQ162" s="114">
        <f t="shared" si="439"/>
        <v>3000</v>
      </c>
      <c r="GR162" s="193"/>
      <c r="GS162" s="122">
        <f t="shared" si="562"/>
        <v>24065258.164079528</v>
      </c>
      <c r="GT162" s="122">
        <f t="shared" si="563"/>
        <v>25048356.206507757</v>
      </c>
      <c r="GU162" s="123">
        <f t="shared" si="564"/>
        <v>0.96075199369079511</v>
      </c>
      <c r="GV162" s="124">
        <f t="shared" ca="1" si="588"/>
        <v>0</v>
      </c>
      <c r="GW162" s="124">
        <v>0</v>
      </c>
      <c r="GX162" s="32">
        <f t="shared" ca="1" si="589"/>
        <v>0</v>
      </c>
      <c r="GY162" s="100"/>
    </row>
    <row r="163" spans="1:207" s="408" customFormat="1" hidden="1">
      <c r="C163" s="402"/>
      <c r="D163" s="402"/>
      <c r="E163" s="403"/>
      <c r="F163" s="403" t="s">
        <v>544</v>
      </c>
      <c r="G163" s="403" t="s">
        <v>226</v>
      </c>
      <c r="H163" s="405" t="s">
        <v>773</v>
      </c>
      <c r="I163" s="404" t="s">
        <v>785</v>
      </c>
      <c r="J163" s="403"/>
      <c r="K163" s="403" t="s">
        <v>544</v>
      </c>
      <c r="L163" s="403"/>
      <c r="M163" s="403"/>
      <c r="N163" s="404"/>
      <c r="O163" s="553">
        <v>43703</v>
      </c>
      <c r="P163" s="108">
        <v>43703</v>
      </c>
      <c r="Q163" s="176">
        <f t="shared" si="489"/>
        <v>8</v>
      </c>
      <c r="R163" s="176">
        <f>IF((P163-VLOOKUP(Q163,month!$A$1:$C$13,3,0))&lt;0,Q163,Q163+1)</f>
        <v>8</v>
      </c>
      <c r="S163" s="176"/>
      <c r="T163" s="110" t="str">
        <f t="shared" si="442"/>
        <v/>
      </c>
      <c r="U163" s="483" t="s">
        <v>214</v>
      </c>
      <c r="V163" s="404"/>
      <c r="W163" s="405"/>
      <c r="X163" s="484">
        <v>1</v>
      </c>
      <c r="Y163" s="493">
        <v>2</v>
      </c>
      <c r="Z163" s="406" t="s">
        <v>545</v>
      </c>
      <c r="AA163" s="394">
        <v>1000</v>
      </c>
      <c r="AB163" s="394">
        <v>1000</v>
      </c>
      <c r="AC163" s="394">
        <v>1000</v>
      </c>
      <c r="AD163" s="394">
        <v>1000</v>
      </c>
      <c r="AE163" s="394">
        <v>1000</v>
      </c>
      <c r="AF163" s="394">
        <v>1000</v>
      </c>
      <c r="AG163" s="394">
        <v>1000</v>
      </c>
      <c r="AH163" s="394">
        <v>1000</v>
      </c>
      <c r="AI163" s="394">
        <v>1000</v>
      </c>
      <c r="AJ163" s="394">
        <v>1000</v>
      </c>
      <c r="AK163" s="394">
        <v>1000</v>
      </c>
      <c r="AL163" s="394">
        <v>1000</v>
      </c>
      <c r="AM163" s="388">
        <f t="shared" si="456"/>
        <v>12000</v>
      </c>
      <c r="AN163" s="388">
        <f t="shared" si="567"/>
        <v>12000</v>
      </c>
      <c r="AO163" s="389">
        <f>AI163</f>
        <v>1000</v>
      </c>
      <c r="AP163" s="502" t="s">
        <v>739</v>
      </c>
      <c r="AQ163" s="159">
        <v>0.4</v>
      </c>
      <c r="AR163" s="103" t="s">
        <v>211</v>
      </c>
      <c r="AS163" s="119" t="s">
        <v>210</v>
      </c>
      <c r="AT163" s="111"/>
      <c r="AU163" s="111"/>
      <c r="AV163" s="111">
        <v>1769811.3117275049</v>
      </c>
      <c r="AW163" s="111">
        <v>3541548.5655471394</v>
      </c>
      <c r="AX163" s="113"/>
      <c r="AY163" s="113"/>
      <c r="AZ163" s="113">
        <v>1650768.174000001</v>
      </c>
      <c r="BA163" s="113">
        <f t="shared" si="490"/>
        <v>3541548.5655471394</v>
      </c>
      <c r="BB163" s="113"/>
      <c r="BC163" s="113"/>
      <c r="BD163" s="113"/>
      <c r="BE163" s="113"/>
      <c r="BF163" s="114">
        <f t="shared" si="374"/>
        <v>0</v>
      </c>
      <c r="BG163" s="114">
        <f t="shared" si="375"/>
        <v>0</v>
      </c>
      <c r="BH163" s="114">
        <f t="shared" si="376"/>
        <v>1650768.174000001</v>
      </c>
      <c r="BI163" s="114">
        <f t="shared" si="377"/>
        <v>3541548.5655471394</v>
      </c>
      <c r="BJ163" s="114">
        <f t="shared" si="568"/>
        <v>5192316.7395471409</v>
      </c>
      <c r="BK163" s="115">
        <f t="shared" si="447"/>
        <v>5311359.8772746446</v>
      </c>
      <c r="BL163" s="115">
        <f t="shared" si="378"/>
        <v>5311359.8772746446</v>
      </c>
      <c r="BM163" s="116">
        <f t="shared" si="379"/>
        <v>0.97760000000000002</v>
      </c>
      <c r="BN163" s="126">
        <f t="shared" ca="1" si="569"/>
        <v>0</v>
      </c>
      <c r="BO163" s="117">
        <f t="shared" ca="1" si="570"/>
        <v>0</v>
      </c>
      <c r="BP163" s="118" t="str">
        <f t="shared" si="450"/>
        <v>Uncapped</v>
      </c>
      <c r="BQ163" s="115">
        <f t="shared" ca="1" si="571"/>
        <v>0</v>
      </c>
      <c r="BR163" s="174" t="s">
        <v>740</v>
      </c>
      <c r="BS163" s="175">
        <v>0.4</v>
      </c>
      <c r="BT163" s="174" t="s">
        <v>211</v>
      </c>
      <c r="BU163" s="174" t="s">
        <v>210</v>
      </c>
      <c r="BV163" s="113"/>
      <c r="BW163" s="113"/>
      <c r="BX163" s="113">
        <v>2878026.5954405498</v>
      </c>
      <c r="BY163" s="113">
        <v>6160067.2421446964</v>
      </c>
      <c r="BZ163" s="113"/>
      <c r="CA163" s="113"/>
      <c r="CB163" s="113">
        <f>2288587.27324+415629.60679</f>
        <v>2704216.8800300001</v>
      </c>
      <c r="CC163" s="113">
        <f t="shared" si="352"/>
        <v>6160067.2421446964</v>
      </c>
      <c r="CD163" s="113"/>
      <c r="CE163" s="113"/>
      <c r="CF163" s="113"/>
      <c r="CG163" s="113"/>
      <c r="CH163" s="114">
        <f t="shared" si="380"/>
        <v>0</v>
      </c>
      <c r="CI163" s="114">
        <f t="shared" si="381"/>
        <v>0</v>
      </c>
      <c r="CJ163" s="120">
        <f t="shared" si="382"/>
        <v>2704216.8800300001</v>
      </c>
      <c r="CK163" s="114">
        <f t="shared" si="383"/>
        <v>6160067.2421446964</v>
      </c>
      <c r="CL163" s="114">
        <f t="shared" si="572"/>
        <v>8864284.122174697</v>
      </c>
      <c r="CM163" s="114">
        <f t="shared" si="461"/>
        <v>9038093.8375852462</v>
      </c>
      <c r="CN163" s="114">
        <f t="shared" si="385"/>
        <v>9038093.8375852462</v>
      </c>
      <c r="CO163" s="116">
        <f t="shared" si="386"/>
        <v>0.98080000000000001</v>
      </c>
      <c r="CP163" s="126">
        <f t="shared" ca="1" si="387"/>
        <v>0</v>
      </c>
      <c r="CQ163" s="115">
        <f t="shared" ca="1" si="573"/>
        <v>0</v>
      </c>
      <c r="CR163" s="118">
        <v>1</v>
      </c>
      <c r="CS163" s="115">
        <f t="shared" si="574"/>
        <v>4800</v>
      </c>
      <c r="CT163" s="113" t="s">
        <v>752</v>
      </c>
      <c r="CU163" s="119">
        <v>0.2</v>
      </c>
      <c r="CV163" s="113" t="s">
        <v>217</v>
      </c>
      <c r="CW163" s="113" t="s">
        <v>210</v>
      </c>
      <c r="CX163" s="113"/>
      <c r="CY163" s="113"/>
      <c r="CZ163" s="113">
        <v>2308444.055394805</v>
      </c>
      <c r="DA163" s="113">
        <v>4787499.8855306264</v>
      </c>
      <c r="DB163" s="113"/>
      <c r="DC163" s="113"/>
      <c r="DD163" s="113">
        <v>2108342.8620000016</v>
      </c>
      <c r="DE163" s="113">
        <f t="shared" si="513"/>
        <v>4787499.8855306264</v>
      </c>
      <c r="DF163" s="113"/>
      <c r="DG163" s="113"/>
      <c r="DH163" s="113"/>
      <c r="DI163" s="113"/>
      <c r="DJ163" s="114">
        <f t="shared" si="388"/>
        <v>0</v>
      </c>
      <c r="DK163" s="114">
        <f t="shared" si="389"/>
        <v>0</v>
      </c>
      <c r="DL163" s="114">
        <f t="shared" si="390"/>
        <v>2108342.8620000016</v>
      </c>
      <c r="DM163" s="114">
        <f t="shared" si="391"/>
        <v>4787499.8855306264</v>
      </c>
      <c r="DN163" s="114">
        <f t="shared" si="575"/>
        <v>6895842.747530628</v>
      </c>
      <c r="DO163" s="114">
        <f t="shared" si="466"/>
        <v>7095943.9409254314</v>
      </c>
      <c r="DP163" s="114">
        <f t="shared" si="393"/>
        <v>7095943.9409254314</v>
      </c>
      <c r="DQ163" s="116">
        <f t="shared" si="394"/>
        <v>0.9718</v>
      </c>
      <c r="DR163" s="126">
        <f t="shared" ca="1" si="576"/>
        <v>0</v>
      </c>
      <c r="DS163" s="115">
        <f t="shared" ca="1" si="577"/>
        <v>0</v>
      </c>
      <c r="DT163" s="118">
        <v>1</v>
      </c>
      <c r="DU163" s="115">
        <f t="shared" si="578"/>
        <v>2400</v>
      </c>
      <c r="DV163" s="113"/>
      <c r="DW163" s="119"/>
      <c r="DX163" s="113"/>
      <c r="DY163" s="113"/>
      <c r="DZ163" s="113"/>
      <c r="EA163" s="113"/>
      <c r="EB163" s="113"/>
      <c r="EC163" s="113"/>
      <c r="ED163" s="113"/>
      <c r="EE163" s="113"/>
      <c r="EF163" s="113"/>
      <c r="EG163" s="113"/>
      <c r="EH163" s="113"/>
      <c r="EI163" s="113"/>
      <c r="EJ163" s="113"/>
      <c r="EK163" s="113"/>
      <c r="EL163" s="114">
        <f t="shared" si="395"/>
        <v>0</v>
      </c>
      <c r="EM163" s="114">
        <f t="shared" si="396"/>
        <v>0</v>
      </c>
      <c r="EN163" s="114">
        <f t="shared" si="397"/>
        <v>0</v>
      </c>
      <c r="EO163" s="114">
        <f t="shared" si="398"/>
        <v>0</v>
      </c>
      <c r="EP163" s="114">
        <f t="shared" si="579"/>
        <v>0</v>
      </c>
      <c r="EQ163" s="114">
        <f t="shared" si="472"/>
        <v>0</v>
      </c>
      <c r="ER163" s="114">
        <f t="shared" si="400"/>
        <v>0</v>
      </c>
      <c r="ES163" s="116">
        <f t="shared" si="401"/>
        <v>0</v>
      </c>
      <c r="ET163" s="126">
        <f t="shared" ca="1" si="402"/>
        <v>0</v>
      </c>
      <c r="EU163" s="115">
        <f t="shared" ca="1" si="580"/>
        <v>0</v>
      </c>
      <c r="EV163" s="118" t="str">
        <f t="shared" si="581"/>
        <v>Uncapped</v>
      </c>
      <c r="EW163" s="115">
        <f t="shared" ca="1" si="582"/>
        <v>0</v>
      </c>
      <c r="EX163" s="112">
        <f t="shared" ca="1" si="583"/>
        <v>0</v>
      </c>
      <c r="EY163" s="114">
        <f t="shared" ca="1" si="403"/>
        <v>3000</v>
      </c>
      <c r="EZ163" s="115">
        <v>0</v>
      </c>
      <c r="FA163" s="115">
        <v>0</v>
      </c>
      <c r="FB163" s="115"/>
      <c r="FC163" s="115">
        <v>0</v>
      </c>
      <c r="FD163" s="115">
        <f t="shared" si="477"/>
        <v>0</v>
      </c>
      <c r="FE163" s="114">
        <f t="shared" si="453"/>
        <v>0</v>
      </c>
      <c r="FF163" s="115">
        <v>0</v>
      </c>
      <c r="FG163" s="115">
        <v>0</v>
      </c>
      <c r="FH163" s="115">
        <v>0</v>
      </c>
      <c r="FI163" s="115">
        <v>0</v>
      </c>
      <c r="FJ163" s="115">
        <f t="shared" si="478"/>
        <v>0</v>
      </c>
      <c r="FK163" s="114">
        <f t="shared" si="454"/>
        <v>0</v>
      </c>
      <c r="FL163" s="113"/>
      <c r="FM163" s="111"/>
      <c r="FN163" s="111"/>
      <c r="FO163" s="111"/>
      <c r="FP163" s="115">
        <f t="shared" si="443"/>
        <v>0</v>
      </c>
      <c r="FQ163" s="115"/>
      <c r="FR163" s="115"/>
      <c r="FS163" s="115">
        <v>0</v>
      </c>
      <c r="FT163" s="114">
        <f t="shared" si="435"/>
        <v>0</v>
      </c>
      <c r="FU163" s="366">
        <f t="shared" ca="1" si="436"/>
        <v>3000</v>
      </c>
      <c r="FV163" s="121">
        <f t="shared" ca="1" si="437"/>
        <v>3000</v>
      </c>
      <c r="FW163" s="114">
        <f t="shared" si="444"/>
        <v>0</v>
      </c>
      <c r="FX163" s="114">
        <f t="shared" si="444"/>
        <v>0</v>
      </c>
      <c r="FY163" s="114">
        <f t="shared" si="444"/>
        <v>0</v>
      </c>
      <c r="FZ163" s="114">
        <f t="shared" si="444"/>
        <v>0</v>
      </c>
      <c r="GA163" s="114">
        <f t="shared" si="372"/>
        <v>0</v>
      </c>
      <c r="GB163" s="114">
        <f t="shared" si="445"/>
        <v>0</v>
      </c>
      <c r="GC163" s="114">
        <f t="shared" si="445"/>
        <v>0</v>
      </c>
      <c r="GD163" s="114">
        <f t="shared" si="445"/>
        <v>0</v>
      </c>
      <c r="GE163" s="114">
        <f t="shared" si="445"/>
        <v>0</v>
      </c>
      <c r="GF163" s="114">
        <f t="shared" si="441"/>
        <v>0</v>
      </c>
      <c r="GG163" s="114">
        <f t="shared" si="441"/>
        <v>0</v>
      </c>
      <c r="GH163" s="114">
        <f t="shared" si="441"/>
        <v>0</v>
      </c>
      <c r="GI163" s="114">
        <f t="shared" si="441"/>
        <v>0</v>
      </c>
      <c r="GJ163" s="115">
        <f t="shared" si="479"/>
        <v>0</v>
      </c>
      <c r="GK163" s="114">
        <f t="shared" si="438"/>
        <v>0</v>
      </c>
      <c r="GL163" s="114">
        <f t="shared" si="584"/>
        <v>0</v>
      </c>
      <c r="GM163" s="114">
        <f t="shared" si="585"/>
        <v>0</v>
      </c>
      <c r="GN163" s="114">
        <f t="shared" si="586"/>
        <v>1000</v>
      </c>
      <c r="GO163" s="114">
        <f t="shared" si="587"/>
        <v>2000</v>
      </c>
      <c r="GP163" s="114">
        <f t="shared" si="484"/>
        <v>3000</v>
      </c>
      <c r="GQ163" s="114">
        <f t="shared" ref="GQ163:GQ178" si="590">SUM(GL163:GO163)</f>
        <v>3000</v>
      </c>
      <c r="GR163" s="193"/>
      <c r="GS163" s="122">
        <f t="shared" si="562"/>
        <v>20952443.609252468</v>
      </c>
      <c r="GT163" s="122">
        <f t="shared" si="563"/>
        <v>21445397.655785322</v>
      </c>
      <c r="GU163" s="123">
        <f t="shared" si="564"/>
        <v>0.9770135273570052</v>
      </c>
      <c r="GV163" s="124">
        <f t="shared" ca="1" si="588"/>
        <v>0</v>
      </c>
      <c r="GW163" s="124">
        <v>0</v>
      </c>
      <c r="GX163" s="32">
        <f t="shared" ca="1" si="589"/>
        <v>0</v>
      </c>
      <c r="GY163" s="100"/>
    </row>
    <row r="164" spans="1:207" s="408" customFormat="1" hidden="1">
      <c r="C164" s="402"/>
      <c r="D164" s="402"/>
      <c r="E164" s="403"/>
      <c r="F164" s="403" t="s">
        <v>769</v>
      </c>
      <c r="G164" s="403" t="s">
        <v>226</v>
      </c>
      <c r="H164" s="405" t="s">
        <v>774</v>
      </c>
      <c r="I164" s="404" t="s">
        <v>783</v>
      </c>
      <c r="J164" s="403"/>
      <c r="K164" s="403" t="s">
        <v>769</v>
      </c>
      <c r="L164" s="403"/>
      <c r="M164" s="403"/>
      <c r="N164" s="404"/>
      <c r="O164" s="553">
        <v>43724</v>
      </c>
      <c r="P164" s="359">
        <v>43724</v>
      </c>
      <c r="Q164" s="176">
        <f t="shared" si="489"/>
        <v>9</v>
      </c>
      <c r="R164" s="176">
        <f>IF((P164-VLOOKUP(Q164,month!$A$1:$C$13,3,0))&lt;0,Q164,Q164+1)</f>
        <v>9</v>
      </c>
      <c r="S164" s="176"/>
      <c r="T164" s="110" t="str">
        <f t="shared" si="442"/>
        <v/>
      </c>
      <c r="U164" s="483" t="s">
        <v>214</v>
      </c>
      <c r="V164" s="404"/>
      <c r="W164" s="405"/>
      <c r="X164" s="405"/>
      <c r="Y164" s="493">
        <v>3</v>
      </c>
      <c r="Z164" s="406" t="s">
        <v>545</v>
      </c>
      <c r="AA164" s="394">
        <v>1000</v>
      </c>
      <c r="AB164" s="394">
        <v>1000</v>
      </c>
      <c r="AC164" s="394">
        <v>1000</v>
      </c>
      <c r="AD164" s="394">
        <v>1000</v>
      </c>
      <c r="AE164" s="394">
        <v>1000</v>
      </c>
      <c r="AF164" s="394">
        <v>1000</v>
      </c>
      <c r="AG164" s="394">
        <v>1000</v>
      </c>
      <c r="AH164" s="394">
        <v>1000</v>
      </c>
      <c r="AI164" s="394">
        <v>1000</v>
      </c>
      <c r="AJ164" s="394">
        <v>1000</v>
      </c>
      <c r="AK164" s="394">
        <v>1000</v>
      </c>
      <c r="AL164" s="394">
        <v>1000</v>
      </c>
      <c r="AM164" s="388">
        <f t="shared" si="456"/>
        <v>12000</v>
      </c>
      <c r="AN164" s="388">
        <f t="shared" si="567"/>
        <v>12000</v>
      </c>
      <c r="AO164" s="389">
        <f>AJ164</f>
        <v>1000</v>
      </c>
      <c r="AP164" s="502" t="s">
        <v>797</v>
      </c>
      <c r="AQ164" s="159">
        <v>0.4</v>
      </c>
      <c r="AR164" s="103" t="s">
        <v>392</v>
      </c>
      <c r="AS164" s="119" t="s">
        <v>210</v>
      </c>
      <c r="AT164" s="111"/>
      <c r="AU164" s="111"/>
      <c r="AV164" s="111"/>
      <c r="AW164" s="111">
        <v>80378.860693082897</v>
      </c>
      <c r="AX164" s="113"/>
      <c r="AY164" s="113"/>
      <c r="AZ164" s="113"/>
      <c r="BA164" s="113">
        <f>AW164</f>
        <v>80378.860693082897</v>
      </c>
      <c r="BB164" s="113"/>
      <c r="BC164" s="113"/>
      <c r="BD164" s="113"/>
      <c r="BE164" s="113"/>
      <c r="BF164" s="114">
        <f t="shared" si="374"/>
        <v>0</v>
      </c>
      <c r="BG164" s="114">
        <f t="shared" si="375"/>
        <v>0</v>
      </c>
      <c r="BH164" s="114">
        <f t="shared" si="376"/>
        <v>0</v>
      </c>
      <c r="BI164" s="114">
        <f t="shared" si="377"/>
        <v>80378.860693082897</v>
      </c>
      <c r="BJ164" s="114">
        <f t="shared" si="568"/>
        <v>80378.860693082897</v>
      </c>
      <c r="BK164" s="115">
        <f t="shared" si="447"/>
        <v>80378.860693082897</v>
      </c>
      <c r="BL164" s="115">
        <f t="shared" si="378"/>
        <v>80378.860693082897</v>
      </c>
      <c r="BM164" s="116">
        <f t="shared" si="379"/>
        <v>1</v>
      </c>
      <c r="BN164" s="126">
        <f t="shared" ca="1" si="569"/>
        <v>0</v>
      </c>
      <c r="BO164" s="117">
        <f t="shared" ca="1" si="570"/>
        <v>0</v>
      </c>
      <c r="BP164" s="118" t="str">
        <f t="shared" si="450"/>
        <v>Uncapped</v>
      </c>
      <c r="BQ164" s="115">
        <f t="shared" ca="1" si="571"/>
        <v>0</v>
      </c>
      <c r="BR164" s="174" t="s">
        <v>798</v>
      </c>
      <c r="BS164" s="175">
        <v>0.4</v>
      </c>
      <c r="BT164" s="174" t="s">
        <v>211</v>
      </c>
      <c r="BU164" s="174" t="s">
        <v>210</v>
      </c>
      <c r="BV164" s="113"/>
      <c r="BW164" s="113"/>
      <c r="BX164" s="113"/>
      <c r="BY164" s="113">
        <v>2973148.2247377201</v>
      </c>
      <c r="BZ164" s="113"/>
      <c r="CA164" s="113"/>
      <c r="CB164" s="113"/>
      <c r="CC164" s="113">
        <f t="shared" si="352"/>
        <v>2973148.2247377201</v>
      </c>
      <c r="CD164" s="113"/>
      <c r="CE164" s="113"/>
      <c r="CF164" s="113"/>
      <c r="CG164" s="113"/>
      <c r="CH164" s="114">
        <f t="shared" si="380"/>
        <v>0</v>
      </c>
      <c r="CI164" s="114">
        <f t="shared" si="381"/>
        <v>0</v>
      </c>
      <c r="CJ164" s="120">
        <f t="shared" si="382"/>
        <v>0</v>
      </c>
      <c r="CK164" s="114">
        <f t="shared" si="383"/>
        <v>2973148.2247377201</v>
      </c>
      <c r="CL164" s="114">
        <f t="shared" si="572"/>
        <v>2973148.2247377201</v>
      </c>
      <c r="CM164" s="114">
        <f t="shared" si="461"/>
        <v>2973148.2247377201</v>
      </c>
      <c r="CN164" s="114">
        <f t="shared" si="385"/>
        <v>2973148.2247377201</v>
      </c>
      <c r="CO164" s="116">
        <f t="shared" si="386"/>
        <v>1</v>
      </c>
      <c r="CP164" s="126">
        <f t="shared" ca="1" si="387"/>
        <v>0</v>
      </c>
      <c r="CQ164" s="115">
        <f t="shared" ca="1" si="573"/>
        <v>0</v>
      </c>
      <c r="CR164" s="118">
        <v>1</v>
      </c>
      <c r="CS164" s="115">
        <f t="shared" si="574"/>
        <v>4800</v>
      </c>
      <c r="CT164" s="113" t="s">
        <v>781</v>
      </c>
      <c r="CU164" s="119">
        <v>0.2</v>
      </c>
      <c r="CV164" s="113" t="s">
        <v>217</v>
      </c>
      <c r="CW164" s="113" t="s">
        <v>210</v>
      </c>
      <c r="CX164" s="113"/>
      <c r="CY164" s="113"/>
      <c r="CZ164" s="113"/>
      <c r="DA164" s="113">
        <v>4778876.6076220032</v>
      </c>
      <c r="DB164" s="113"/>
      <c r="DC164" s="113"/>
      <c r="DD164" s="113"/>
      <c r="DE164" s="113">
        <f t="shared" si="513"/>
        <v>4778876.6076220032</v>
      </c>
      <c r="DF164" s="113"/>
      <c r="DG164" s="113"/>
      <c r="DH164" s="113"/>
      <c r="DI164" s="113"/>
      <c r="DJ164" s="114">
        <f t="shared" si="388"/>
        <v>0</v>
      </c>
      <c r="DK164" s="114">
        <f t="shared" si="389"/>
        <v>0</v>
      </c>
      <c r="DL164" s="114">
        <f t="shared" si="390"/>
        <v>0</v>
      </c>
      <c r="DM164" s="114">
        <f t="shared" si="391"/>
        <v>4778876.6076220032</v>
      </c>
      <c r="DN164" s="114">
        <f t="shared" si="575"/>
        <v>4778876.6076220032</v>
      </c>
      <c r="DO164" s="114">
        <f t="shared" si="466"/>
        <v>4778876.6076220032</v>
      </c>
      <c r="DP164" s="114">
        <f t="shared" si="393"/>
        <v>4778876.6076220032</v>
      </c>
      <c r="DQ164" s="116">
        <f t="shared" si="394"/>
        <v>1</v>
      </c>
      <c r="DR164" s="126">
        <f t="shared" ca="1" si="576"/>
        <v>0</v>
      </c>
      <c r="DS164" s="115">
        <f t="shared" ca="1" si="577"/>
        <v>0</v>
      </c>
      <c r="DT164" s="118">
        <v>1</v>
      </c>
      <c r="DU164" s="115">
        <f t="shared" si="578"/>
        <v>2400</v>
      </c>
      <c r="DV164" s="113"/>
      <c r="DW164" s="119"/>
      <c r="DX164" s="113"/>
      <c r="DY164" s="113"/>
      <c r="DZ164" s="113"/>
      <c r="EA164" s="113"/>
      <c r="EB164" s="113"/>
      <c r="EC164" s="113"/>
      <c r="ED164" s="113"/>
      <c r="EE164" s="113"/>
      <c r="EF164" s="113"/>
      <c r="EG164" s="113"/>
      <c r="EH164" s="113"/>
      <c r="EI164" s="113"/>
      <c r="EJ164" s="113"/>
      <c r="EK164" s="113"/>
      <c r="EL164" s="114">
        <f t="shared" si="395"/>
        <v>0</v>
      </c>
      <c r="EM164" s="114">
        <f t="shared" si="396"/>
        <v>0</v>
      </c>
      <c r="EN164" s="114">
        <f t="shared" si="397"/>
        <v>0</v>
      </c>
      <c r="EO164" s="114">
        <f t="shared" si="398"/>
        <v>0</v>
      </c>
      <c r="EP164" s="114">
        <f t="shared" si="579"/>
        <v>0</v>
      </c>
      <c r="EQ164" s="114">
        <f t="shared" si="472"/>
        <v>0</v>
      </c>
      <c r="ER164" s="114">
        <f t="shared" si="400"/>
        <v>0</v>
      </c>
      <c r="ES164" s="116">
        <f t="shared" si="401"/>
        <v>0</v>
      </c>
      <c r="ET164" s="126">
        <f t="shared" ca="1" si="402"/>
        <v>0</v>
      </c>
      <c r="EU164" s="115">
        <f t="shared" ca="1" si="580"/>
        <v>0</v>
      </c>
      <c r="EV164" s="118" t="str">
        <f t="shared" si="581"/>
        <v>Uncapped</v>
      </c>
      <c r="EW164" s="115">
        <f t="shared" ca="1" si="582"/>
        <v>0</v>
      </c>
      <c r="EX164" s="112">
        <f t="shared" ca="1" si="583"/>
        <v>0</v>
      </c>
      <c r="EY164" s="114">
        <f t="shared" ca="1" si="403"/>
        <v>3000</v>
      </c>
      <c r="EZ164" s="115">
        <v>0</v>
      </c>
      <c r="FA164" s="115">
        <v>0</v>
      </c>
      <c r="FB164" s="115"/>
      <c r="FC164" s="115">
        <v>0</v>
      </c>
      <c r="FD164" s="115">
        <f t="shared" si="477"/>
        <v>0</v>
      </c>
      <c r="FE164" s="114">
        <f t="shared" si="453"/>
        <v>0</v>
      </c>
      <c r="FF164" s="115">
        <v>0</v>
      </c>
      <c r="FG164" s="115">
        <v>0</v>
      </c>
      <c r="FH164" s="115">
        <v>0</v>
      </c>
      <c r="FI164" s="115">
        <v>0</v>
      </c>
      <c r="FJ164" s="115">
        <f t="shared" si="478"/>
        <v>0</v>
      </c>
      <c r="FK164" s="114">
        <f t="shared" si="454"/>
        <v>0</v>
      </c>
      <c r="FL164" s="113"/>
      <c r="FM164" s="111"/>
      <c r="FN164" s="111"/>
      <c r="FO164" s="111"/>
      <c r="FP164" s="115">
        <f t="shared" si="443"/>
        <v>0</v>
      </c>
      <c r="FQ164" s="115"/>
      <c r="FR164" s="115"/>
      <c r="FS164" s="115">
        <v>0</v>
      </c>
      <c r="FT164" s="114">
        <f t="shared" si="435"/>
        <v>0</v>
      </c>
      <c r="FU164" s="366">
        <f t="shared" ca="1" si="436"/>
        <v>3000</v>
      </c>
      <c r="FV164" s="121">
        <f t="shared" ca="1" si="437"/>
        <v>3000</v>
      </c>
      <c r="FW164" s="114">
        <f t="shared" si="444"/>
        <v>0</v>
      </c>
      <c r="FX164" s="114">
        <f t="shared" si="444"/>
        <v>0</v>
      </c>
      <c r="FY164" s="114">
        <f t="shared" si="444"/>
        <v>0</v>
      </c>
      <c r="FZ164" s="114">
        <f t="shared" si="444"/>
        <v>0</v>
      </c>
      <c r="GA164" s="114">
        <f t="shared" si="372"/>
        <v>0</v>
      </c>
      <c r="GB164" s="114">
        <f t="shared" si="445"/>
        <v>0</v>
      </c>
      <c r="GC164" s="114">
        <f t="shared" si="445"/>
        <v>0</v>
      </c>
      <c r="GD164" s="114">
        <f t="shared" si="445"/>
        <v>0</v>
      </c>
      <c r="GE164" s="114">
        <f t="shared" si="445"/>
        <v>0</v>
      </c>
      <c r="GF164" s="114">
        <f t="shared" si="441"/>
        <v>0</v>
      </c>
      <c r="GG164" s="114">
        <f t="shared" si="441"/>
        <v>0</v>
      </c>
      <c r="GH164" s="114">
        <f t="shared" si="441"/>
        <v>0</v>
      </c>
      <c r="GI164" s="114">
        <f t="shared" si="441"/>
        <v>0</v>
      </c>
      <c r="GJ164" s="115">
        <f t="shared" si="479"/>
        <v>0</v>
      </c>
      <c r="GK164" s="114">
        <f t="shared" si="438"/>
        <v>0</v>
      </c>
      <c r="GL164" s="114">
        <f t="shared" si="584"/>
        <v>0</v>
      </c>
      <c r="GM164" s="114">
        <f t="shared" si="585"/>
        <v>0</v>
      </c>
      <c r="GN164" s="114">
        <f t="shared" si="586"/>
        <v>0</v>
      </c>
      <c r="GO164" s="114">
        <f t="shared" si="587"/>
        <v>3000</v>
      </c>
      <c r="GP164" s="114">
        <f t="shared" si="484"/>
        <v>3000</v>
      </c>
      <c r="GQ164" s="114">
        <f t="shared" si="590"/>
        <v>3000</v>
      </c>
      <c r="GR164" s="193"/>
      <c r="GS164" s="122">
        <f t="shared" si="562"/>
        <v>7832403.693052806</v>
      </c>
      <c r="GT164" s="122">
        <f t="shared" si="563"/>
        <v>7832403.693052806</v>
      </c>
      <c r="GU164" s="123">
        <f t="shared" si="564"/>
        <v>1</v>
      </c>
      <c r="GV164" s="124">
        <f t="shared" ca="1" si="588"/>
        <v>0</v>
      </c>
      <c r="GW164" s="124">
        <v>0</v>
      </c>
      <c r="GX164" s="32">
        <f t="shared" ca="1" si="589"/>
        <v>0</v>
      </c>
      <c r="GY164" s="100"/>
    </row>
    <row r="165" spans="1:207" s="408" customFormat="1" hidden="1">
      <c r="C165" s="402"/>
      <c r="D165" s="402"/>
      <c r="E165" s="403"/>
      <c r="F165" s="403" t="s">
        <v>621</v>
      </c>
      <c r="G165" s="403" t="s">
        <v>226</v>
      </c>
      <c r="H165" s="405" t="s">
        <v>775</v>
      </c>
      <c r="I165" s="404" t="s">
        <v>788</v>
      </c>
      <c r="J165" s="403"/>
      <c r="K165" s="403" t="s">
        <v>621</v>
      </c>
      <c r="L165" s="403"/>
      <c r="M165" s="403"/>
      <c r="N165" s="404"/>
      <c r="O165" s="553">
        <v>43689</v>
      </c>
      <c r="P165" s="108">
        <v>43689</v>
      </c>
      <c r="Q165" s="176">
        <f t="shared" si="489"/>
        <v>8</v>
      </c>
      <c r="R165" s="176">
        <f>IF((P165-VLOOKUP(Q165,month!$A$1:$C$13,3,0))&lt;0,Q165,Q165+1)</f>
        <v>8</v>
      </c>
      <c r="S165" s="176"/>
      <c r="T165" s="110" t="str">
        <f t="shared" si="442"/>
        <v/>
      </c>
      <c r="U165" s="483" t="s">
        <v>214</v>
      </c>
      <c r="V165" s="404"/>
      <c r="W165" s="405"/>
      <c r="X165" s="484">
        <v>2</v>
      </c>
      <c r="Y165" s="493">
        <v>1</v>
      </c>
      <c r="Z165" s="406" t="s">
        <v>545</v>
      </c>
      <c r="AA165" s="394">
        <v>1000</v>
      </c>
      <c r="AB165" s="394">
        <v>1000</v>
      </c>
      <c r="AC165" s="394">
        <v>1000</v>
      </c>
      <c r="AD165" s="394">
        <v>1000</v>
      </c>
      <c r="AE165" s="394">
        <v>1000</v>
      </c>
      <c r="AF165" s="394">
        <v>1000</v>
      </c>
      <c r="AG165" s="394">
        <v>1000</v>
      </c>
      <c r="AH165" s="394">
        <v>1000</v>
      </c>
      <c r="AI165" s="394">
        <v>1000</v>
      </c>
      <c r="AJ165" s="394">
        <v>1000</v>
      </c>
      <c r="AK165" s="394">
        <v>1000</v>
      </c>
      <c r="AL165" s="394">
        <v>1000</v>
      </c>
      <c r="AM165" s="388">
        <f t="shared" si="456"/>
        <v>12000</v>
      </c>
      <c r="AN165" s="388">
        <f t="shared" si="567"/>
        <v>12000</v>
      </c>
      <c r="AO165" s="389">
        <f>AH165</f>
        <v>1000</v>
      </c>
      <c r="AP165" s="502"/>
      <c r="AQ165" s="159">
        <v>0.6</v>
      </c>
      <c r="AR165" s="103" t="s">
        <v>211</v>
      </c>
      <c r="AS165" s="119" t="s">
        <v>210</v>
      </c>
      <c r="AT165" s="111"/>
      <c r="AU165" s="111"/>
      <c r="AV165" s="111">
        <f>574505.379834523*80%</f>
        <v>459604.30386761838</v>
      </c>
      <c r="AW165" s="111">
        <v>1292637.1046276772</v>
      </c>
      <c r="AX165" s="113"/>
      <c r="AY165" s="113"/>
      <c r="AZ165" s="113">
        <v>753526.41299999994</v>
      </c>
      <c r="BA165" s="113">
        <f>AW165</f>
        <v>1292637.1046276772</v>
      </c>
      <c r="BB165" s="113"/>
      <c r="BC165" s="113"/>
      <c r="BD165" s="113"/>
      <c r="BE165" s="113"/>
      <c r="BF165" s="114">
        <f t="shared" si="374"/>
        <v>0</v>
      </c>
      <c r="BG165" s="114">
        <f t="shared" si="375"/>
        <v>0</v>
      </c>
      <c r="BH165" s="114">
        <f t="shared" si="376"/>
        <v>753526.41299999994</v>
      </c>
      <c r="BI165" s="114">
        <f t="shared" si="377"/>
        <v>1292637.1046276772</v>
      </c>
      <c r="BJ165" s="114">
        <f t="shared" si="568"/>
        <v>2046163.5176276772</v>
      </c>
      <c r="BK165" s="115">
        <f t="shared" ref="BK165" si="591">IF($H$2=1,AT165,IF($H$2=2,SUM(AT165:AU165),IF($H$2=3,SUM(AT165:AV165),SUM(AT165:AW165))))</f>
        <v>1752241.4084952956</v>
      </c>
      <c r="BL165" s="115">
        <f t="shared" si="378"/>
        <v>1752241.4084952956</v>
      </c>
      <c r="BM165" s="116">
        <f t="shared" si="379"/>
        <v>1.1677</v>
      </c>
      <c r="BN165" s="126">
        <f t="shared" ca="1" si="569"/>
        <v>0</v>
      </c>
      <c r="BO165" s="117">
        <f t="shared" ca="1" si="570"/>
        <v>0</v>
      </c>
      <c r="BP165" s="118" t="str">
        <f t="shared" si="450"/>
        <v>Uncapped</v>
      </c>
      <c r="BQ165" s="115">
        <f t="shared" ca="1" si="571"/>
        <v>0</v>
      </c>
      <c r="BR165" s="174"/>
      <c r="BS165" s="175">
        <v>0.2</v>
      </c>
      <c r="BT165" s="174" t="s">
        <v>217</v>
      </c>
      <c r="BU165" s="174" t="s">
        <v>210</v>
      </c>
      <c r="BV165" s="113"/>
      <c r="BW165" s="113"/>
      <c r="BX165" s="113">
        <f>790888.97770222*80%</f>
        <v>632711.182161776</v>
      </c>
      <c r="BY165" s="113">
        <v>1779500.1998299947</v>
      </c>
      <c r="BZ165" s="113"/>
      <c r="CA165" s="113"/>
      <c r="CB165" s="113">
        <v>547167.87359999947</v>
      </c>
      <c r="CC165" s="113">
        <f t="shared" si="352"/>
        <v>1779500.1998299947</v>
      </c>
      <c r="CD165" s="113"/>
      <c r="CE165" s="113"/>
      <c r="CF165" s="113"/>
      <c r="CG165" s="113"/>
      <c r="CH165" s="114">
        <f t="shared" si="380"/>
        <v>0</v>
      </c>
      <c r="CI165" s="114">
        <f t="shared" si="381"/>
        <v>0</v>
      </c>
      <c r="CJ165" s="120">
        <f t="shared" si="382"/>
        <v>547167.87359999947</v>
      </c>
      <c r="CK165" s="114">
        <f t="shared" si="383"/>
        <v>1779500.1998299947</v>
      </c>
      <c r="CL165" s="114">
        <f t="shared" si="572"/>
        <v>2326668.0734299943</v>
      </c>
      <c r="CM165" s="114">
        <f t="shared" si="461"/>
        <v>2412211.3819917706</v>
      </c>
      <c r="CN165" s="114">
        <f t="shared" si="385"/>
        <v>2412211.3819917706</v>
      </c>
      <c r="CO165" s="116">
        <f t="shared" si="386"/>
        <v>0.96450000000000002</v>
      </c>
      <c r="CP165" s="126">
        <f t="shared" ca="1" si="387"/>
        <v>0</v>
      </c>
      <c r="CQ165" s="115">
        <f t="shared" ca="1" si="573"/>
        <v>0</v>
      </c>
      <c r="CR165" s="118">
        <v>1</v>
      </c>
      <c r="CS165" s="115">
        <f t="shared" si="574"/>
        <v>2400</v>
      </c>
      <c r="CT165" s="113"/>
      <c r="CU165" s="119">
        <v>0.1</v>
      </c>
      <c r="CV165" s="113" t="s">
        <v>217</v>
      </c>
      <c r="CW165" s="113" t="s">
        <v>210</v>
      </c>
      <c r="CX165" s="113"/>
      <c r="CY165" s="113"/>
      <c r="CZ165" s="113">
        <f>2557142.07108693*80%</f>
        <v>2045713.6568695442</v>
      </c>
      <c r="DA165" s="113">
        <v>5623300.9818061059</v>
      </c>
      <c r="DB165" s="113"/>
      <c r="DC165" s="113"/>
      <c r="DD165" s="113">
        <v>1807035.6114000047</v>
      </c>
      <c r="DE165" s="113">
        <f t="shared" si="513"/>
        <v>5623300.9818061059</v>
      </c>
      <c r="DF165" s="113"/>
      <c r="DG165" s="113"/>
      <c r="DH165" s="113"/>
      <c r="DI165" s="113"/>
      <c r="DJ165" s="114">
        <f t="shared" si="388"/>
        <v>0</v>
      </c>
      <c r="DK165" s="114">
        <f t="shared" si="389"/>
        <v>0</v>
      </c>
      <c r="DL165" s="114">
        <f t="shared" si="390"/>
        <v>1807035.6114000047</v>
      </c>
      <c r="DM165" s="114">
        <f t="shared" si="391"/>
        <v>5623300.9818061059</v>
      </c>
      <c r="DN165" s="114">
        <f t="shared" si="575"/>
        <v>7430336.5932061104</v>
      </c>
      <c r="DO165" s="114">
        <f t="shared" si="466"/>
        <v>7669014.6386756506</v>
      </c>
      <c r="DP165" s="114">
        <f t="shared" si="393"/>
        <v>7669014.6386756506</v>
      </c>
      <c r="DQ165" s="116">
        <f t="shared" si="394"/>
        <v>0.96889999999999998</v>
      </c>
      <c r="DR165" s="126">
        <f t="shared" ca="1" si="576"/>
        <v>0</v>
      </c>
      <c r="DS165" s="115">
        <f t="shared" ca="1" si="577"/>
        <v>0</v>
      </c>
      <c r="DT165" s="118">
        <v>1</v>
      </c>
      <c r="DU165" s="115">
        <f t="shared" si="578"/>
        <v>1200</v>
      </c>
      <c r="DV165" s="113" t="s">
        <v>779</v>
      </c>
      <c r="DW165" s="119">
        <v>0.1</v>
      </c>
      <c r="DX165" s="113"/>
      <c r="DY165" s="113" t="s">
        <v>219</v>
      </c>
      <c r="DZ165" s="113"/>
      <c r="EA165" s="113"/>
      <c r="EB165" s="113"/>
      <c r="EC165" s="113"/>
      <c r="ED165" s="113"/>
      <c r="EE165" s="113"/>
      <c r="EF165" s="113"/>
      <c r="EG165" s="113"/>
      <c r="EH165" s="113"/>
      <c r="EI165" s="113"/>
      <c r="EJ165" s="113"/>
      <c r="EK165" s="113"/>
      <c r="EL165" s="114">
        <f t="shared" si="395"/>
        <v>0</v>
      </c>
      <c r="EM165" s="114">
        <f t="shared" si="396"/>
        <v>0</v>
      </c>
      <c r="EN165" s="114">
        <f t="shared" si="397"/>
        <v>0</v>
      </c>
      <c r="EO165" s="114">
        <f t="shared" si="398"/>
        <v>0</v>
      </c>
      <c r="EP165" s="114">
        <f t="shared" si="579"/>
        <v>0</v>
      </c>
      <c r="EQ165" s="114">
        <f t="shared" si="472"/>
        <v>0</v>
      </c>
      <c r="ER165" s="114">
        <f t="shared" si="400"/>
        <v>0</v>
      </c>
      <c r="ES165" s="116">
        <f t="shared" si="401"/>
        <v>0</v>
      </c>
      <c r="ET165" s="126">
        <f t="shared" si="402"/>
        <v>0</v>
      </c>
      <c r="EU165" s="115">
        <f t="shared" si="580"/>
        <v>0</v>
      </c>
      <c r="EV165" s="118" t="str">
        <f t="shared" si="581"/>
        <v>Uncapped</v>
      </c>
      <c r="EW165" s="115">
        <f t="shared" si="582"/>
        <v>0</v>
      </c>
      <c r="EX165" s="112">
        <f t="shared" ca="1" si="583"/>
        <v>0</v>
      </c>
      <c r="EY165" s="114">
        <f t="shared" ca="1" si="403"/>
        <v>3000</v>
      </c>
      <c r="EZ165" s="115">
        <v>0</v>
      </c>
      <c r="FA165" s="115">
        <v>0</v>
      </c>
      <c r="FB165" s="115"/>
      <c r="FC165" s="115">
        <v>0</v>
      </c>
      <c r="FD165" s="115">
        <f t="shared" si="477"/>
        <v>0</v>
      </c>
      <c r="FE165" s="114">
        <f t="shared" si="453"/>
        <v>0</v>
      </c>
      <c r="FF165" s="115">
        <v>0</v>
      </c>
      <c r="FG165" s="115">
        <v>0</v>
      </c>
      <c r="FH165" s="115">
        <v>0</v>
      </c>
      <c r="FI165" s="115">
        <v>0</v>
      </c>
      <c r="FJ165" s="115">
        <f t="shared" si="478"/>
        <v>0</v>
      </c>
      <c r="FK165" s="114">
        <f t="shared" si="454"/>
        <v>0</v>
      </c>
      <c r="FL165" s="113"/>
      <c r="FM165" s="111"/>
      <c r="FN165" s="111"/>
      <c r="FO165" s="111"/>
      <c r="FP165" s="115">
        <f t="shared" si="443"/>
        <v>0</v>
      </c>
      <c r="FQ165" s="115"/>
      <c r="FR165" s="115"/>
      <c r="FS165" s="115">
        <v>0</v>
      </c>
      <c r="FT165" s="114">
        <f t="shared" si="435"/>
        <v>0</v>
      </c>
      <c r="FU165" s="366">
        <f t="shared" ca="1" si="436"/>
        <v>3000</v>
      </c>
      <c r="FV165" s="121">
        <f t="shared" ca="1" si="437"/>
        <v>3000</v>
      </c>
      <c r="FW165" s="114">
        <f t="shared" si="444"/>
        <v>0</v>
      </c>
      <c r="FX165" s="114">
        <f t="shared" si="444"/>
        <v>0</v>
      </c>
      <c r="FY165" s="114">
        <f t="shared" si="444"/>
        <v>0</v>
      </c>
      <c r="FZ165" s="114">
        <f t="shared" si="444"/>
        <v>0</v>
      </c>
      <c r="GA165" s="114">
        <f t="shared" si="372"/>
        <v>0</v>
      </c>
      <c r="GB165" s="114">
        <f t="shared" si="445"/>
        <v>0</v>
      </c>
      <c r="GC165" s="114">
        <f t="shared" si="445"/>
        <v>0</v>
      </c>
      <c r="GD165" s="114">
        <f t="shared" si="445"/>
        <v>0</v>
      </c>
      <c r="GE165" s="114">
        <f t="shared" si="445"/>
        <v>0</v>
      </c>
      <c r="GF165" s="114">
        <f t="shared" si="441"/>
        <v>0</v>
      </c>
      <c r="GG165" s="114">
        <f t="shared" si="441"/>
        <v>0</v>
      </c>
      <c r="GH165" s="114">
        <f t="shared" si="441"/>
        <v>0</v>
      </c>
      <c r="GI165" s="114">
        <f t="shared" si="441"/>
        <v>0</v>
      </c>
      <c r="GJ165" s="115">
        <f t="shared" si="479"/>
        <v>0</v>
      </c>
      <c r="GK165" s="114">
        <f t="shared" si="438"/>
        <v>0</v>
      </c>
      <c r="GL165" s="114">
        <f t="shared" si="584"/>
        <v>0</v>
      </c>
      <c r="GM165" s="114">
        <f t="shared" si="585"/>
        <v>0</v>
      </c>
      <c r="GN165" s="114">
        <f t="shared" si="586"/>
        <v>2000</v>
      </c>
      <c r="GO165" s="114">
        <f t="shared" si="587"/>
        <v>1000</v>
      </c>
      <c r="GP165" s="114">
        <f t="shared" si="484"/>
        <v>3000</v>
      </c>
      <c r="GQ165" s="114">
        <f t="shared" si="590"/>
        <v>3000</v>
      </c>
      <c r="GR165" s="193"/>
      <c r="GS165" s="122">
        <f t="shared" si="562"/>
        <v>11803168.184263781</v>
      </c>
      <c r="GT165" s="122">
        <f t="shared" si="563"/>
        <v>11833467.429162716</v>
      </c>
      <c r="GU165" s="123">
        <f t="shared" si="564"/>
        <v>0.99743952944643555</v>
      </c>
      <c r="GV165" s="124">
        <f t="shared" ca="1" si="588"/>
        <v>0</v>
      </c>
      <c r="GW165" s="124">
        <v>0</v>
      </c>
      <c r="GX165" s="32">
        <f t="shared" ca="1" si="589"/>
        <v>0</v>
      </c>
      <c r="GY165" s="100"/>
    </row>
    <row r="166" spans="1:207" s="567" customFormat="1" ht="16.95" hidden="1" customHeight="1">
      <c r="A166" s="16"/>
      <c r="B166" s="16"/>
      <c r="C166" s="17"/>
      <c r="D166" s="17"/>
      <c r="E166" s="17"/>
      <c r="F166" s="555" t="s">
        <v>720</v>
      </c>
      <c r="G166" s="555" t="s">
        <v>226</v>
      </c>
      <c r="H166" s="556" t="s">
        <v>550</v>
      </c>
      <c r="I166" s="555" t="s">
        <v>584</v>
      </c>
      <c r="J166" s="555" t="s">
        <v>207</v>
      </c>
      <c r="K166" s="557" t="s">
        <v>544</v>
      </c>
      <c r="L166" s="108">
        <v>43353</v>
      </c>
      <c r="M166" s="108">
        <v>43353</v>
      </c>
      <c r="N166" s="22"/>
      <c r="O166" s="551">
        <v>43353</v>
      </c>
      <c r="P166" s="155">
        <v>43647</v>
      </c>
      <c r="Q166" s="558"/>
      <c r="R166" s="559">
        <v>7</v>
      </c>
      <c r="S166" s="155"/>
      <c r="T166" s="153"/>
      <c r="U166" s="560"/>
      <c r="V166" s="560"/>
      <c r="W166" s="556"/>
      <c r="X166" s="556"/>
      <c r="Y166" s="561"/>
      <c r="Z166" s="406" t="s">
        <v>545</v>
      </c>
      <c r="AA166" s="394">
        <v>1000</v>
      </c>
      <c r="AB166" s="394">
        <v>1000</v>
      </c>
      <c r="AC166" s="394">
        <v>1000</v>
      </c>
      <c r="AD166" s="394">
        <v>1000</v>
      </c>
      <c r="AE166" s="394">
        <v>1000</v>
      </c>
      <c r="AF166" s="394">
        <v>1000</v>
      </c>
      <c r="AG166" s="394">
        <v>1000</v>
      </c>
      <c r="AH166" s="394">
        <v>1000</v>
      </c>
      <c r="AI166" s="394">
        <v>1000</v>
      </c>
      <c r="AJ166" s="394">
        <v>1000</v>
      </c>
      <c r="AK166" s="394">
        <v>1000</v>
      </c>
      <c r="AL166" s="394">
        <v>1000</v>
      </c>
      <c r="AM166" s="388">
        <f t="shared" ref="AM166:AM177" si="592">IF($H$2=1,SUM(AA166:AC166),IF($H$2=2,SUM(AA166:AF166),IF($H$2=3,SUM(AA166:AI166),SUM(AA166:AL166))))</f>
        <v>12000</v>
      </c>
      <c r="AN166" s="388">
        <f t="shared" ref="AN166:AN177" si="593">SUM(AA166:AL166)+INDEX(AA166:AL166,,MATCH($H$3,$AA$5:$AL$5,0))*(12-COUNTA(AA166:AL166))</f>
        <v>12000</v>
      </c>
      <c r="AO166" s="385">
        <f t="shared" ref="AO166:AO177" si="594">AH166</f>
        <v>1000</v>
      </c>
      <c r="AP166" s="562" t="s">
        <v>792</v>
      </c>
      <c r="AQ166" s="556">
        <v>0.5</v>
      </c>
      <c r="AR166" s="556" t="s">
        <v>211</v>
      </c>
      <c r="AS166" s="561" t="s">
        <v>210</v>
      </c>
      <c r="AT166" s="385"/>
      <c r="AU166" s="563"/>
      <c r="AV166" s="136">
        <v>1365253.1824718199</v>
      </c>
      <c r="AW166" s="136">
        <v>1628318.6704690999</v>
      </c>
      <c r="AX166" s="564"/>
      <c r="AY166" s="564"/>
      <c r="AZ166" s="138">
        <v>1422781.2447299999</v>
      </c>
      <c r="BA166" s="565">
        <f>AW166</f>
        <v>1628318.6704690999</v>
      </c>
      <c r="BB166" s="16"/>
      <c r="BC166" s="16"/>
      <c r="BD166" s="16"/>
      <c r="BE166" s="16"/>
      <c r="BF166" s="139">
        <f t="shared" ref="BF166:BF168" si="595">AX166+BB166</f>
        <v>0</v>
      </c>
      <c r="BG166" s="139">
        <f t="shared" ref="BG166:BG168" si="596">AY166+BC166</f>
        <v>0</v>
      </c>
      <c r="BH166" s="139">
        <f t="shared" ref="BH166:BH168" si="597">AZ166+BD166</f>
        <v>1422781.2447299999</v>
      </c>
      <c r="BI166" s="139">
        <f t="shared" ref="BI166:BI168" si="598">BA166+BE166</f>
        <v>1628318.6704690999</v>
      </c>
      <c r="BJ166" s="139">
        <f t="shared" ref="BJ166:BJ167" si="599">IF($BB$3="After AR Adjustment",IF($H$2=1,BF166,IF($H$2=2,SUM(BF166:BG166),IF($H$2=3,SUM(BF166:BH166),SUM(BF166:BI166)))),IF($H$2=1,AX166,IF($H$2=2,SUM(AX166:AY166),IF($H$2=3,SUM(AX166:AZ166),SUM(AX166:BA166)))))</f>
        <v>3051099.9151991</v>
      </c>
      <c r="BK166" s="140">
        <f t="shared" ref="BK166:BK167" si="600">IF($H$2=1,AT166,IF($H$2=2,SUM(AT166:AU166),IF($H$2=3,SUM(AT166:AV166),SUM(AT166:AW166))))</f>
        <v>2993571.8529409198</v>
      </c>
      <c r="BL166" s="140">
        <f t="shared" ref="BL166:BL168" si="601">SUM(AT166:AW166)</f>
        <v>2993571.8529409198</v>
      </c>
      <c r="BM166" s="141">
        <f t="shared" ref="BM166:BM168" si="602">IFERROR(ROUND(BJ166/BK166,4),0)</f>
        <v>1.0192000000000001</v>
      </c>
      <c r="BN166" s="142">
        <f t="shared" ref="BN166:BN168" ca="1" si="603">IF(OR(AP166="MBO",AP166="10% Realized Price"),BM166,SUMPRODUCT(Lower_Payout*(Curve=AR166)*(Lower_Attain&lt;=BM166)*(Upper_Attain&gt;BM166))+(BM166-SUMPRODUCT(Lower_Attain*(Curve=AR166)*(Lower_Attain&lt;=BM166)*(Upper_Attain&gt;BM166)))*SUMPRODUCT(Slope*(Curve=AR166)*(Lower_Attain&lt;=BM166)*(Upper_Attain&gt;BM166)))</f>
        <v>0</v>
      </c>
      <c r="BO166" s="143">
        <f t="shared" ref="BO166:BO168" ca="1" si="604">IFERROR(AM166*AQ166*BN166,0)</f>
        <v>0</v>
      </c>
      <c r="BP166" s="144" t="str">
        <f t="shared" si="450"/>
        <v>Uncapped</v>
      </c>
      <c r="BQ166" s="140">
        <f t="shared" ref="BQ166:BQ168" ca="1" si="605">IF(BP166="Uncapped",BO166,IFERROR(AM166*AQ166*BP166,0))</f>
        <v>0</v>
      </c>
      <c r="BR166" s="564" t="s">
        <v>738</v>
      </c>
      <c r="BS166" s="566">
        <v>0.3</v>
      </c>
      <c r="BT166" s="564" t="s">
        <v>211</v>
      </c>
      <c r="BU166" s="564" t="s">
        <v>210</v>
      </c>
      <c r="BV166" s="564"/>
      <c r="BW166" s="564"/>
      <c r="BX166" s="564"/>
      <c r="BY166" s="576"/>
      <c r="BZ166" s="564"/>
      <c r="CA166" s="564"/>
      <c r="CB166" s="563"/>
      <c r="CC166" s="564"/>
      <c r="CD166" s="16"/>
      <c r="CE166" s="16"/>
      <c r="CF166" s="16"/>
      <c r="CG166" s="16"/>
      <c r="CH166" s="139">
        <f t="shared" ref="CH166:CK168" si="606">BZ166+CD166</f>
        <v>0</v>
      </c>
      <c r="CI166" s="139">
        <f t="shared" si="606"/>
        <v>0</v>
      </c>
      <c r="CJ166" s="145">
        <f t="shared" si="606"/>
        <v>0</v>
      </c>
      <c r="CK166" s="139">
        <f t="shared" si="606"/>
        <v>0</v>
      </c>
      <c r="CL166" s="139">
        <f t="shared" si="572"/>
        <v>0</v>
      </c>
      <c r="CM166" s="139">
        <f t="shared" ref="CM166:CM167" si="607">IF($H$2=1,BV166,IF($H$2=2,SUM(BV166:BW166),IF($H$2=3,SUM(BV166:BX166),SUM(BV166:BY166))))</f>
        <v>0</v>
      </c>
      <c r="CN166" s="139">
        <f t="shared" ref="CN166:CN167" si="608">SUM(BV166:BY166)</f>
        <v>0</v>
      </c>
      <c r="CO166" s="141">
        <f t="shared" ref="CO166:CO168" si="609">IFERROR(ROUND(CL166/CM166,4),0)</f>
        <v>0</v>
      </c>
      <c r="CP166" s="142">
        <f t="shared" ref="CP166:CP168" ca="1" si="610">IF(OR(BR166="MBO",BR166="10% Realized Price"),CO166,SUMPRODUCT(Lower_Payout*(Curve=BT166)*(Lower_Attain&lt;=CO166)*(Upper_Attain&gt;CO166))+(CO166-SUMPRODUCT(Lower_Attain*(Curve=BT166)*(Lower_Attain&lt;=CO166)*(Upper_Attain&gt;CO166)))*SUMPRODUCT(Slope*(Curve=BT166)*(Lower_Attain&lt;=CO166)*(Upper_Attain&gt;CO166)))</f>
        <v>0</v>
      </c>
      <c r="CQ166" s="140">
        <f t="shared" ca="1" si="573"/>
        <v>0</v>
      </c>
      <c r="CR166" s="144">
        <v>1</v>
      </c>
      <c r="CS166" s="140">
        <f t="shared" si="574"/>
        <v>3600</v>
      </c>
      <c r="CT166" s="138" t="s">
        <v>729</v>
      </c>
      <c r="CU166" s="146">
        <v>0.2</v>
      </c>
      <c r="CV166" s="138" t="s">
        <v>217</v>
      </c>
      <c r="CW166" s="138" t="s">
        <v>210</v>
      </c>
      <c r="CX166" s="564"/>
      <c r="CY166" s="564"/>
      <c r="CZ166" s="138">
        <v>15159650.061351301</v>
      </c>
      <c r="DA166" s="138">
        <v>16523055.704212198</v>
      </c>
      <c r="DB166" s="564"/>
      <c r="DC166" s="564"/>
      <c r="DD166" s="138">
        <v>13923765.347779993</v>
      </c>
      <c r="DE166" s="580">
        <v>16523055.704212198</v>
      </c>
      <c r="DF166" s="564"/>
      <c r="DG166" s="564"/>
      <c r="DH166" s="564"/>
      <c r="DI166" s="564"/>
      <c r="DJ166" s="139">
        <f t="shared" ref="DJ166:DM168" si="611">DB166+DF166</f>
        <v>0</v>
      </c>
      <c r="DK166" s="139">
        <f t="shared" si="611"/>
        <v>0</v>
      </c>
      <c r="DL166" s="139">
        <f t="shared" si="611"/>
        <v>13923765.347779993</v>
      </c>
      <c r="DM166" s="139">
        <f t="shared" si="611"/>
        <v>16523055.704212198</v>
      </c>
      <c r="DN166" s="139">
        <f t="shared" si="575"/>
        <v>30446821.051992193</v>
      </c>
      <c r="DO166" s="139">
        <f t="shared" ref="DO166:DO167" si="612">IF($H$2=1,CX166,IF($H$2=2,SUM(CX166:CY166),IF($H$2=3,SUM(CX166:CZ166),SUM(CX166:DA166))))</f>
        <v>31682705.765563499</v>
      </c>
      <c r="DP166" s="139">
        <f t="shared" ref="DP166:DP167" si="613">SUM(CX166:DA166)</f>
        <v>31682705.765563499</v>
      </c>
      <c r="DQ166" s="141">
        <f t="shared" ref="DQ166:DQ168" si="614">IFERROR(ROUND(DN166/DO166,4),0)</f>
        <v>0.96099999999999997</v>
      </c>
      <c r="DR166" s="142">
        <f t="shared" ca="1" si="576"/>
        <v>0</v>
      </c>
      <c r="DS166" s="140">
        <f t="shared" ca="1" si="577"/>
        <v>0</v>
      </c>
      <c r="DT166" s="144">
        <v>1</v>
      </c>
      <c r="DU166" s="140"/>
      <c r="DV166" s="564"/>
      <c r="DW166" s="564"/>
      <c r="DX166" s="564"/>
      <c r="DY166" s="564"/>
      <c r="DZ166" s="564"/>
      <c r="EA166" s="564"/>
      <c r="EB166" s="564"/>
      <c r="EC166" s="564"/>
      <c r="ED166" s="564"/>
      <c r="EE166" s="564"/>
      <c r="EF166" s="564"/>
      <c r="EG166" s="564"/>
      <c r="EH166" s="564"/>
      <c r="EI166" s="564"/>
      <c r="EJ166" s="564"/>
      <c r="EK166" s="564"/>
      <c r="EL166" s="139">
        <f t="shared" ref="EL166:EO167" si="615">ED166+EH166</f>
        <v>0</v>
      </c>
      <c r="EM166" s="139">
        <f t="shared" si="615"/>
        <v>0</v>
      </c>
      <c r="EN166" s="139">
        <f t="shared" si="615"/>
        <v>0</v>
      </c>
      <c r="EO166" s="139">
        <f t="shared" si="615"/>
        <v>0</v>
      </c>
      <c r="EP166" s="139">
        <f t="shared" si="579"/>
        <v>0</v>
      </c>
      <c r="EQ166" s="139">
        <f t="shared" ref="EQ166:EQ167" si="616">IF($H$2=1,DZ166,IF($H$2=2,SUM(DZ166:EA166),IF($H$2=3,SUM(DZ166:EB166),SUM(DZ166:EC166))))</f>
        <v>0</v>
      </c>
      <c r="ER166" s="139">
        <f t="shared" ref="ER166:ER167" si="617">SUM(DZ166:EC166)</f>
        <v>0</v>
      </c>
      <c r="ES166" s="141">
        <f t="shared" ref="ES166:ES167" si="618">IFERROR(ROUND(EP166/EQ166,4),0)</f>
        <v>0</v>
      </c>
      <c r="ET166" s="142">
        <f t="shared" ref="ET166:ET167" ca="1" si="619">IF(OR(DV166="MBO",DV166="10% Realized Price"),ES166,SUMPRODUCT(Lower_Payout*(Curve=DX166)*(Lower_Attain&lt;=ES166)*(Upper_Attain&gt;ES166))+(ES166-SUMPRODUCT(Lower_Attain*(Curve=DX166)*(Lower_Attain&lt;=ES166)*(Upper_Attain&gt;ES166)))*SUMPRODUCT(Slope*(Curve=DX166)*(Lower_Attain&lt;=ES166)*(Upper_Attain&gt;ES166)))</f>
        <v>0</v>
      </c>
      <c r="EU166" s="140">
        <f t="shared" ca="1" si="580"/>
        <v>0</v>
      </c>
      <c r="EV166" s="144" t="str">
        <f t="shared" si="581"/>
        <v>Uncapped</v>
      </c>
      <c r="EW166" s="140">
        <f t="shared" ca="1" si="582"/>
        <v>0</v>
      </c>
      <c r="EX166" s="137">
        <f t="shared" ca="1" si="583"/>
        <v>0</v>
      </c>
      <c r="EY166" s="139">
        <f t="shared" ref="EY166:EY167" ca="1" si="620">MAX(EX166,GP166)</f>
        <v>0</v>
      </c>
      <c r="FD166" s="140">
        <f t="shared" si="477"/>
        <v>0</v>
      </c>
      <c r="FE166" s="139">
        <f t="shared" si="453"/>
        <v>0</v>
      </c>
      <c r="FF166" s="568"/>
      <c r="FG166" s="568"/>
      <c r="FH166" s="568"/>
      <c r="FI166" s="568"/>
      <c r="FJ166" s="140">
        <f t="shared" ref="FJ166:FJ178" si="621">IF($H$2=1,FF166,IF($H$2=2,SUM(FF166:FG166),IF($H$2=3,SUM(FF166:FH166),SUM(FF166:FI166))))</f>
        <v>0</v>
      </c>
      <c r="FK166" s="139">
        <f t="shared" si="454"/>
        <v>0</v>
      </c>
      <c r="FL166" s="569"/>
      <c r="FM166" s="569"/>
      <c r="FN166" s="569"/>
      <c r="FO166" s="569"/>
      <c r="FP166" s="140">
        <f t="shared" si="443"/>
        <v>0</v>
      </c>
      <c r="FT166" s="570">
        <f t="shared" ref="FT166" si="622">SUM(FQ166:FS166)</f>
        <v>0</v>
      </c>
      <c r="FU166" s="571">
        <f t="shared" ref="FU166" ca="1" si="623">ROUND(MAX(FV166-FT166,0),2)</f>
        <v>0</v>
      </c>
      <c r="FV166" s="570">
        <f t="shared" ref="FV166:FV178" ca="1" si="624">SUM(EY166,FD166,FJ166,FP166)</f>
        <v>0</v>
      </c>
      <c r="FW166" s="570">
        <f t="shared" ref="FW166" si="625">FF166</f>
        <v>0</v>
      </c>
      <c r="FX166" s="570">
        <f t="shared" ref="FX166" si="626">FG166</f>
        <v>0</v>
      </c>
      <c r="FY166" s="570">
        <f t="shared" ref="FY166" si="627">FH166</f>
        <v>0</v>
      </c>
      <c r="FZ166" s="570">
        <f t="shared" ref="FZ166" si="628">FI166</f>
        <v>0</v>
      </c>
      <c r="GA166" s="570">
        <f>SUM(FW166:FZ166)</f>
        <v>0</v>
      </c>
      <c r="GB166" s="570">
        <f t="shared" ref="GB166" si="629">EZ166</f>
        <v>0</v>
      </c>
      <c r="GC166" s="570">
        <f t="shared" ref="GC166" si="630">FA166</f>
        <v>0</v>
      </c>
      <c r="GD166" s="570">
        <f t="shared" ref="GD166" si="631">FB166</f>
        <v>0</v>
      </c>
      <c r="GE166" s="570">
        <f t="shared" ref="GE166" si="632">FC166</f>
        <v>0</v>
      </c>
      <c r="GF166" s="570">
        <f t="shared" ref="GF166:GI166" si="633">GB166+FW166</f>
        <v>0</v>
      </c>
      <c r="GG166" s="570">
        <f t="shared" si="633"/>
        <v>0</v>
      </c>
      <c r="GH166" s="570">
        <f t="shared" si="633"/>
        <v>0</v>
      </c>
      <c r="GI166" s="570">
        <f t="shared" si="633"/>
        <v>0</v>
      </c>
      <c r="GJ166" s="570">
        <f t="shared" ref="GJ166" si="634">IF($H$2=1,GF166,IF($H$2=2,SUM(GF166:GG166),IF($H$2=3,SUM(GF166:GH166),SUM(GF166:GI166))))</f>
        <v>0</v>
      </c>
      <c r="GK166" s="570">
        <f t="shared" si="438"/>
        <v>0</v>
      </c>
      <c r="GL166" s="570">
        <f t="shared" si="584"/>
        <v>0</v>
      </c>
      <c r="GM166" s="570">
        <f t="shared" si="585"/>
        <v>0</v>
      </c>
      <c r="GN166" s="570">
        <f t="shared" si="586"/>
        <v>0</v>
      </c>
      <c r="GO166" s="570">
        <f t="shared" si="587"/>
        <v>0</v>
      </c>
      <c r="GP166" s="570">
        <f t="shared" ref="GP166" si="635">IF($H$2=1,GL166,IF($H$2=2,SUM(GL166:GM166),IF($H$2=3,SUM(GL166:GN166),IF($H$2=4,SUM(GL166:GO166)))))</f>
        <v>0</v>
      </c>
      <c r="GQ166" s="139">
        <f t="shared" si="590"/>
        <v>0</v>
      </c>
      <c r="GR166" s="572"/>
      <c r="GS166" s="573">
        <f t="shared" ref="GS166" si="636">IFERROR(BJ166+CL166+DN166+EP166,0)</f>
        <v>33497920.967191294</v>
      </c>
      <c r="GT166" s="573">
        <f t="shared" ref="GT166" si="637">IFERROR(BK166+CM166+DO166+EQ166,0)</f>
        <v>34676277.61850442</v>
      </c>
      <c r="GU166" s="574">
        <f t="shared" si="440"/>
        <v>0.9660183637852664</v>
      </c>
      <c r="GV166" s="150">
        <f t="shared" ca="1" si="588"/>
        <v>0</v>
      </c>
      <c r="GW166" s="150">
        <v>0</v>
      </c>
      <c r="GX166" s="575">
        <f t="shared" ca="1" si="589"/>
        <v>0</v>
      </c>
      <c r="GY166" s="568"/>
    </row>
    <row r="167" spans="1:207" hidden="1">
      <c r="F167" s="403" t="s">
        <v>720</v>
      </c>
      <c r="G167" s="403" t="s">
        <v>226</v>
      </c>
      <c r="H167" s="405" t="s">
        <v>564</v>
      </c>
      <c r="I167" s="403" t="s">
        <v>598</v>
      </c>
      <c r="J167" s="403" t="s">
        <v>207</v>
      </c>
      <c r="K167" s="515" t="s">
        <v>544</v>
      </c>
      <c r="O167" s="549">
        <v>43353</v>
      </c>
      <c r="P167" s="108">
        <v>43678</v>
      </c>
      <c r="Q167" s="323"/>
      <c r="R167" s="109">
        <v>7</v>
      </c>
      <c r="S167" s="108"/>
      <c r="T167" s="110"/>
      <c r="U167" s="483"/>
      <c r="V167" s="483"/>
      <c r="W167" s="405"/>
      <c r="X167" s="405"/>
      <c r="Y167" s="492"/>
      <c r="Z167" s="406" t="s">
        <v>545</v>
      </c>
      <c r="AA167" s="394">
        <v>1000</v>
      </c>
      <c r="AB167" s="394">
        <v>1000</v>
      </c>
      <c r="AC167" s="394">
        <v>1000</v>
      </c>
      <c r="AD167" s="394">
        <v>1000</v>
      </c>
      <c r="AE167" s="394">
        <v>1000</v>
      </c>
      <c r="AF167" s="394">
        <v>1000</v>
      </c>
      <c r="AG167" s="394">
        <v>1000</v>
      </c>
      <c r="AH167" s="394">
        <v>1000</v>
      </c>
      <c r="AI167" s="394">
        <v>1000</v>
      </c>
      <c r="AJ167" s="394">
        <v>1000</v>
      </c>
      <c r="AK167" s="394">
        <v>1000</v>
      </c>
      <c r="AL167" s="394">
        <v>1000</v>
      </c>
      <c r="AM167" s="388">
        <f t="shared" si="592"/>
        <v>12000</v>
      </c>
      <c r="AN167" s="388">
        <f t="shared" si="593"/>
        <v>12000</v>
      </c>
      <c r="AO167" s="389">
        <f t="shared" si="594"/>
        <v>1000</v>
      </c>
      <c r="AP167" s="502" t="s">
        <v>793</v>
      </c>
      <c r="AQ167" s="159">
        <v>0.6</v>
      </c>
      <c r="AR167" s="103" t="s">
        <v>211</v>
      </c>
      <c r="AS167" s="119" t="s">
        <v>210</v>
      </c>
      <c r="AT167" s="389"/>
      <c r="AU167" s="504"/>
      <c r="AV167" s="504">
        <v>3257375.4395111124</v>
      </c>
      <c r="AW167" s="504">
        <v>3508273.7037182339</v>
      </c>
      <c r="AX167" s="173"/>
      <c r="AY167" s="173"/>
      <c r="AZ167" s="113">
        <v>2280144.4454199998</v>
      </c>
      <c r="BA167" s="506">
        <f t="shared" ref="BA167:BA181" si="638">AW167</f>
        <v>3508273.7037182339</v>
      </c>
      <c r="BF167" s="114">
        <f t="shared" si="595"/>
        <v>0</v>
      </c>
      <c r="BG167" s="114">
        <f t="shared" si="596"/>
        <v>0</v>
      </c>
      <c r="BH167" s="114">
        <f t="shared" si="597"/>
        <v>2280144.4454199998</v>
      </c>
      <c r="BI167" s="114">
        <f t="shared" si="598"/>
        <v>3508273.7037182339</v>
      </c>
      <c r="BJ167" s="114">
        <f t="shared" si="599"/>
        <v>5788418.1491382336</v>
      </c>
      <c r="BK167" s="115">
        <f t="shared" si="600"/>
        <v>6765649.1432293467</v>
      </c>
      <c r="BL167" s="115">
        <f t="shared" si="601"/>
        <v>6765649.1432293467</v>
      </c>
      <c r="BM167" s="116">
        <f t="shared" si="602"/>
        <v>0.85560000000000003</v>
      </c>
      <c r="BN167" s="126">
        <f t="shared" ca="1" si="603"/>
        <v>0</v>
      </c>
      <c r="BO167" s="117">
        <f t="shared" ca="1" si="604"/>
        <v>0</v>
      </c>
      <c r="BP167" s="118" t="str">
        <f t="shared" si="450"/>
        <v>Uncapped</v>
      </c>
      <c r="BQ167" s="115">
        <f t="shared" ca="1" si="605"/>
        <v>0</v>
      </c>
      <c r="BR167" s="173" t="s">
        <v>363</v>
      </c>
      <c r="BS167" s="505">
        <v>0.2</v>
      </c>
      <c r="BT167" s="173" t="s">
        <v>211</v>
      </c>
      <c r="BU167" s="173" t="s">
        <v>210</v>
      </c>
      <c r="BV167" s="173"/>
      <c r="BW167" s="173"/>
      <c r="BX167" s="173"/>
      <c r="BY167" s="577"/>
      <c r="BZ167" s="173"/>
      <c r="CA167" s="173"/>
      <c r="CB167" s="504"/>
      <c r="CC167" s="173"/>
      <c r="CH167" s="114">
        <f t="shared" si="606"/>
        <v>0</v>
      </c>
      <c r="CI167" s="114">
        <f t="shared" si="606"/>
        <v>0</v>
      </c>
      <c r="CJ167" s="120">
        <f t="shared" si="606"/>
        <v>0</v>
      </c>
      <c r="CK167" s="114">
        <f t="shared" si="606"/>
        <v>0</v>
      </c>
      <c r="CL167" s="114">
        <f t="shared" si="572"/>
        <v>0</v>
      </c>
      <c r="CM167" s="114">
        <f t="shared" si="607"/>
        <v>0</v>
      </c>
      <c r="CN167" s="114">
        <f t="shared" si="608"/>
        <v>0</v>
      </c>
      <c r="CO167" s="116">
        <f t="shared" si="609"/>
        <v>0</v>
      </c>
      <c r="CP167" s="126">
        <f t="shared" si="610"/>
        <v>0</v>
      </c>
      <c r="CQ167" s="115">
        <f t="shared" si="573"/>
        <v>0</v>
      </c>
      <c r="CR167" s="118">
        <v>1</v>
      </c>
      <c r="CS167" s="115">
        <f t="shared" si="574"/>
        <v>2400</v>
      </c>
      <c r="CT167" s="173" t="s">
        <v>778</v>
      </c>
      <c r="CU167" s="173">
        <v>0.2</v>
      </c>
      <c r="CV167" s="173" t="s">
        <v>217</v>
      </c>
      <c r="CW167" s="173" t="s">
        <v>210</v>
      </c>
      <c r="CX167" s="173"/>
      <c r="CY167" s="173"/>
      <c r="CZ167" s="506">
        <v>12127720.049081041</v>
      </c>
      <c r="DA167" s="506">
        <v>16523055.704212198</v>
      </c>
      <c r="DB167" s="506"/>
      <c r="DC167" s="506"/>
      <c r="DD167" s="534">
        <v>11561621</v>
      </c>
      <c r="DE167" s="506">
        <v>16523055.704212198</v>
      </c>
      <c r="DF167" s="173"/>
      <c r="DG167" s="173"/>
      <c r="DH167" s="173"/>
      <c r="DI167" s="173"/>
      <c r="DJ167" s="114">
        <f t="shared" si="611"/>
        <v>0</v>
      </c>
      <c r="DK167" s="114">
        <f t="shared" si="611"/>
        <v>0</v>
      </c>
      <c r="DL167" s="114">
        <f t="shared" si="611"/>
        <v>11561621</v>
      </c>
      <c r="DM167" s="114">
        <f t="shared" si="611"/>
        <v>16523055.704212198</v>
      </c>
      <c r="DN167" s="114">
        <f t="shared" si="575"/>
        <v>28084676.704212196</v>
      </c>
      <c r="DO167" s="114">
        <f t="shared" si="612"/>
        <v>28650775.753293239</v>
      </c>
      <c r="DP167" s="114">
        <f t="shared" si="613"/>
        <v>28650775.753293239</v>
      </c>
      <c r="DQ167" s="116">
        <f t="shared" si="614"/>
        <v>0.98019999999999996</v>
      </c>
      <c r="DR167" s="126">
        <f t="shared" ca="1" si="576"/>
        <v>0</v>
      </c>
      <c r="DS167" s="115">
        <f t="shared" ca="1" si="577"/>
        <v>0</v>
      </c>
      <c r="DT167" s="118">
        <v>1</v>
      </c>
      <c r="DU167" s="115">
        <f t="shared" si="578"/>
        <v>2400</v>
      </c>
      <c r="DV167" s="173"/>
      <c r="DW167" s="173"/>
      <c r="DX167" s="173"/>
      <c r="DY167" s="173"/>
      <c r="DZ167" s="173"/>
      <c r="EA167" s="173"/>
      <c r="EB167" s="173"/>
      <c r="EC167" s="173"/>
      <c r="ED167" s="173"/>
      <c r="EE167" s="173"/>
      <c r="EF167" s="173"/>
      <c r="EG167" s="173"/>
      <c r="EH167" s="173"/>
      <c r="EI167" s="173"/>
      <c r="EJ167" s="173"/>
      <c r="EK167" s="173"/>
      <c r="EL167" s="114">
        <f t="shared" si="615"/>
        <v>0</v>
      </c>
      <c r="EM167" s="114">
        <f t="shared" si="615"/>
        <v>0</v>
      </c>
      <c r="EN167" s="114">
        <f t="shared" si="615"/>
        <v>0</v>
      </c>
      <c r="EO167" s="114">
        <f t="shared" si="615"/>
        <v>0</v>
      </c>
      <c r="EP167" s="114">
        <f t="shared" si="579"/>
        <v>0</v>
      </c>
      <c r="EQ167" s="114">
        <f t="shared" si="616"/>
        <v>0</v>
      </c>
      <c r="ER167" s="114">
        <f t="shared" si="617"/>
        <v>0</v>
      </c>
      <c r="ES167" s="116">
        <f t="shared" si="618"/>
        <v>0</v>
      </c>
      <c r="ET167" s="126">
        <f t="shared" ca="1" si="619"/>
        <v>0</v>
      </c>
      <c r="EU167" s="115">
        <f t="shared" ca="1" si="580"/>
        <v>0</v>
      </c>
      <c r="EV167" s="118" t="str">
        <f t="shared" si="581"/>
        <v>Uncapped</v>
      </c>
      <c r="EW167" s="115">
        <f t="shared" ca="1" si="582"/>
        <v>0</v>
      </c>
      <c r="EX167" s="112">
        <f t="shared" ca="1" si="583"/>
        <v>0</v>
      </c>
      <c r="EY167" s="114">
        <f t="shared" ca="1" si="620"/>
        <v>0</v>
      </c>
      <c r="FD167" s="115">
        <f t="shared" si="477"/>
        <v>0</v>
      </c>
      <c r="FE167" s="114">
        <f t="shared" si="453"/>
        <v>0</v>
      </c>
      <c r="FJ167" s="115">
        <f t="shared" si="621"/>
        <v>0</v>
      </c>
      <c r="FK167" s="114">
        <f t="shared" si="454"/>
        <v>0</v>
      </c>
      <c r="FL167" s="514"/>
      <c r="FM167" s="514"/>
      <c r="FN167" s="514"/>
      <c r="FO167" s="514"/>
      <c r="FP167" s="115">
        <f t="shared" si="443"/>
        <v>0</v>
      </c>
      <c r="FT167" s="33">
        <f t="shared" ref="FT167:FT178" si="639">SUM(FQ167:FS167)</f>
        <v>0</v>
      </c>
      <c r="FU167" s="361">
        <f t="shared" ref="FU167:FU178" ca="1" si="640">ROUND(MAX(FV167-FT167,0),2)</f>
        <v>0</v>
      </c>
      <c r="FV167" s="33">
        <f t="shared" ca="1" si="624"/>
        <v>0</v>
      </c>
      <c r="FW167" s="33">
        <f t="shared" ref="FW167" si="641">FF167</f>
        <v>0</v>
      </c>
      <c r="FX167" s="33">
        <f t="shared" ref="FX167" si="642">FG167</f>
        <v>0</v>
      </c>
      <c r="FY167" s="33">
        <f t="shared" ref="FY167" si="643">FH167</f>
        <v>0</v>
      </c>
      <c r="FZ167" s="33">
        <f t="shared" ref="FZ167" si="644">FI167</f>
        <v>0</v>
      </c>
      <c r="GA167" s="33">
        <f t="shared" ref="GA167" si="645">SUM(FW167:FZ167)</f>
        <v>0</v>
      </c>
      <c r="GB167" s="33">
        <f t="shared" ref="GB167" si="646">EZ167</f>
        <v>0</v>
      </c>
      <c r="GC167" s="33">
        <f t="shared" ref="GC167" si="647">FA167</f>
        <v>0</v>
      </c>
      <c r="GD167" s="33">
        <f t="shared" ref="GD167" si="648">FB167</f>
        <v>0</v>
      </c>
      <c r="GE167" s="33">
        <f t="shared" ref="GE167" si="649">FC167</f>
        <v>0</v>
      </c>
      <c r="GF167" s="33">
        <f t="shared" ref="GF167" si="650">GB167+FW167</f>
        <v>0</v>
      </c>
      <c r="GG167" s="33">
        <f t="shared" ref="GG167" si="651">GC167+FX167</f>
        <v>0</v>
      </c>
      <c r="GH167" s="33">
        <f t="shared" ref="GH167" si="652">GD167+FY167</f>
        <v>0</v>
      </c>
      <c r="GI167" s="33">
        <f t="shared" ref="GI167" si="653">GE167+FZ167</f>
        <v>0</v>
      </c>
      <c r="GJ167" s="33">
        <f t="shared" ref="GJ167" si="654">IF($H$2=1,GF167,IF($H$2=2,SUM(GF167:GG167),IF($H$2=3,SUM(GF167:GH167),SUM(GF167:GI167))))</f>
        <v>0</v>
      </c>
      <c r="GK167" s="33">
        <f t="shared" ref="GK167" si="655">SUM(GF167:GI167)</f>
        <v>0</v>
      </c>
      <c r="GL167" s="33">
        <f t="shared" ref="GL167" si="656">IF(U167="Y",V167*AO167,0)</f>
        <v>0</v>
      </c>
      <c r="GM167" s="33">
        <f t="shared" ref="GM167" si="657">IF(U167="Y",W167*AO167,0)</f>
        <v>0</v>
      </c>
      <c r="GN167" s="33">
        <f t="shared" ref="GN167" si="658">IF(U167="Y",X167*AO167,0)</f>
        <v>0</v>
      </c>
      <c r="GO167" s="33">
        <f t="shared" ref="GO167" si="659">IF(U167="Y",Y167*AO167,0)</f>
        <v>0</v>
      </c>
      <c r="GP167" s="33">
        <f t="shared" ref="GP167" si="660">IF($H$2=1,GL167,IF($H$2=2,SUM(GL167:GM167),IF($H$2=3,SUM(GL167:GN167),IF($H$2=4,SUM(GL167:GO167)))))</f>
        <v>0</v>
      </c>
      <c r="GQ167" s="114">
        <f t="shared" si="590"/>
        <v>0</v>
      </c>
      <c r="GS167" s="507">
        <f t="shared" ref="GS167" si="661">IFERROR(BJ167+CL167+DN167+EP167,0)</f>
        <v>33873094.853350431</v>
      </c>
      <c r="GT167" s="507">
        <f t="shared" ref="GT167" si="662">IFERROR(BK167+CM167+DO167+EQ167,0)</f>
        <v>35416424.896522582</v>
      </c>
      <c r="GU167" s="31">
        <f t="shared" ref="GU167" si="663">IFERROR(GS167/GT167,"")</f>
        <v>0.95642332483639014</v>
      </c>
      <c r="GV167" s="124">
        <f t="shared" ca="1" si="588"/>
        <v>0</v>
      </c>
      <c r="GW167" s="124">
        <v>0</v>
      </c>
      <c r="GX167" s="179">
        <f t="shared" ref="GX167" ca="1" si="664">IFERROR(GV167/AM167,0)</f>
        <v>0</v>
      </c>
    </row>
    <row r="168" spans="1:207" hidden="1">
      <c r="F168" s="403" t="s">
        <v>720</v>
      </c>
      <c r="G168" s="403" t="s">
        <v>226</v>
      </c>
      <c r="H168" s="405" t="s">
        <v>561</v>
      </c>
      <c r="I168" s="403" t="s">
        <v>595</v>
      </c>
      <c r="J168" s="403" t="s">
        <v>207</v>
      </c>
      <c r="K168" s="515" t="s">
        <v>544</v>
      </c>
      <c r="O168" s="549">
        <v>43374</v>
      </c>
      <c r="P168" s="359">
        <v>43647</v>
      </c>
      <c r="Q168" s="323"/>
      <c r="R168" s="109">
        <v>7</v>
      </c>
      <c r="S168" s="108"/>
      <c r="T168" s="110"/>
      <c r="U168" s="483"/>
      <c r="V168" s="483"/>
      <c r="W168" s="405"/>
      <c r="X168" s="405"/>
      <c r="Y168" s="492"/>
      <c r="Z168" s="406" t="s">
        <v>545</v>
      </c>
      <c r="AA168" s="394">
        <v>1000</v>
      </c>
      <c r="AB168" s="394">
        <v>1000</v>
      </c>
      <c r="AC168" s="394">
        <v>1000</v>
      </c>
      <c r="AD168" s="394">
        <v>1000</v>
      </c>
      <c r="AE168" s="394">
        <v>1000</v>
      </c>
      <c r="AF168" s="394">
        <v>1000</v>
      </c>
      <c r="AG168" s="394">
        <v>1000</v>
      </c>
      <c r="AH168" s="394">
        <v>1000</v>
      </c>
      <c r="AI168" s="394">
        <v>1000</v>
      </c>
      <c r="AJ168" s="394">
        <v>1000</v>
      </c>
      <c r="AK168" s="394">
        <v>1000</v>
      </c>
      <c r="AL168" s="394">
        <v>1000</v>
      </c>
      <c r="AM168" s="388">
        <f t="shared" si="592"/>
        <v>12000</v>
      </c>
      <c r="AN168" s="388">
        <f t="shared" si="593"/>
        <v>12000</v>
      </c>
      <c r="AO168" s="389">
        <f t="shared" si="594"/>
        <v>1000</v>
      </c>
      <c r="AP168" s="502" t="s">
        <v>794</v>
      </c>
      <c r="AQ168" s="159">
        <v>0.5</v>
      </c>
      <c r="AR168" s="103" t="s">
        <v>211</v>
      </c>
      <c r="AS168" s="119" t="s">
        <v>210</v>
      </c>
      <c r="AT168" s="111"/>
      <c r="AU168" s="111"/>
      <c r="AV168" s="111">
        <v>594694.32825934701</v>
      </c>
      <c r="AW168" s="111">
        <v>604495.44684246101</v>
      </c>
      <c r="AX168" s="113"/>
      <c r="AY168" s="113"/>
      <c r="AZ168" s="113">
        <v>577515.96114999987</v>
      </c>
      <c r="BA168" s="581">
        <f t="shared" si="638"/>
        <v>604495.44684246101</v>
      </c>
      <c r="BF168" s="114">
        <f t="shared" si="595"/>
        <v>0</v>
      </c>
      <c r="BG168" s="114">
        <f t="shared" si="596"/>
        <v>0</v>
      </c>
      <c r="BH168" s="114">
        <f t="shared" si="597"/>
        <v>577515.96114999987</v>
      </c>
      <c r="BI168" s="114">
        <f t="shared" si="598"/>
        <v>604495.44684246101</v>
      </c>
      <c r="BJ168" s="114">
        <f t="shared" ref="BJ168" si="665">IF($BB$3="After AR Adjustment",IF($H$2=1,BF168,IF($H$2=2,SUM(BF168:BG168),IF($H$2=3,SUM(BF168:BH168),SUM(BF168:BI168)))),IF($H$2=1,AX168,IF($H$2=2,SUM(AX168:AY168),IF($H$2=3,SUM(AX168:AZ168),SUM(AX168:BA168)))))</f>
        <v>1182011.4079924608</v>
      </c>
      <c r="BK168" s="115">
        <f t="shared" ref="BK168" si="666">IF($H$2=1,AT168,IF($H$2=2,SUM(AT168:AU168),IF($H$2=3,SUM(AT168:AV168),SUM(AT168:AW168))))</f>
        <v>1199189.7751018079</v>
      </c>
      <c r="BL168" s="115">
        <f t="shared" si="601"/>
        <v>1199189.7751018079</v>
      </c>
      <c r="BM168" s="116">
        <f t="shared" si="602"/>
        <v>0.98570000000000002</v>
      </c>
      <c r="BN168" s="126">
        <f t="shared" ca="1" si="603"/>
        <v>0</v>
      </c>
      <c r="BO168" s="117">
        <f t="shared" ca="1" si="604"/>
        <v>0</v>
      </c>
      <c r="BP168" s="118" t="str">
        <f t="shared" si="450"/>
        <v>Uncapped</v>
      </c>
      <c r="BQ168" s="115">
        <f t="shared" ca="1" si="605"/>
        <v>0</v>
      </c>
      <c r="BR168" s="174" t="s">
        <v>738</v>
      </c>
      <c r="BS168" s="175">
        <v>0.3</v>
      </c>
      <c r="BT168" s="174" t="s">
        <v>211</v>
      </c>
      <c r="BU168" s="174" t="s">
        <v>725</v>
      </c>
      <c r="BV168" s="113"/>
      <c r="BW168" s="113"/>
      <c r="BX168" s="113"/>
      <c r="BY168" s="578"/>
      <c r="BZ168" s="113"/>
      <c r="CA168" s="113"/>
      <c r="CB168" s="113"/>
      <c r="CC168" s="113"/>
      <c r="CH168" s="114">
        <f t="shared" si="606"/>
        <v>0</v>
      </c>
      <c r="CI168" s="114">
        <f t="shared" si="606"/>
        <v>0</v>
      </c>
      <c r="CJ168" s="120">
        <f t="shared" si="606"/>
        <v>0</v>
      </c>
      <c r="CK168" s="114">
        <f t="shared" si="606"/>
        <v>0</v>
      </c>
      <c r="CL168" s="114">
        <f t="shared" ref="CL168" si="667">IF($BB$3="After AR Adjustment",IF($H$2=1,CH168,IF($H$2=2,SUM(CH168:CI168),IF($H$2=3,SUM(CH168:CJ168),SUM(CH168:CK168)))),IF($H$2=1,BZ168,IF($H$2=2,SUM(BZ168:CA168),IF($H$2=3,SUM(BZ168:CB168),SUM(BZ168:CC168)))))</f>
        <v>0</v>
      </c>
      <c r="CM168" s="114">
        <f t="shared" ref="CM168" si="668">IF($H$2=1,BV168,IF($H$2=2,SUM(BV168:BW168),IF($H$2=3,SUM(BV168:BX168),SUM(BV168:BY168))))</f>
        <v>0</v>
      </c>
      <c r="CN168" s="114">
        <f t="shared" ref="CN168" si="669">SUM(BV168:BY168)</f>
        <v>0</v>
      </c>
      <c r="CO168" s="116">
        <f t="shared" si="609"/>
        <v>0</v>
      </c>
      <c r="CP168" s="126">
        <f t="shared" ca="1" si="610"/>
        <v>0</v>
      </c>
      <c r="CQ168" s="115">
        <f t="shared" ca="1" si="573"/>
        <v>0</v>
      </c>
      <c r="CR168" s="118">
        <v>1</v>
      </c>
      <c r="CS168" s="115">
        <f t="shared" si="574"/>
        <v>3600</v>
      </c>
      <c r="CT168" s="113" t="s">
        <v>729</v>
      </c>
      <c r="CU168" s="119">
        <v>0.2</v>
      </c>
      <c r="CV168" s="113" t="s">
        <v>217</v>
      </c>
      <c r="CW168" s="113" t="s">
        <v>210</v>
      </c>
      <c r="CX168" s="173"/>
      <c r="CY168" s="173"/>
      <c r="CZ168" s="113">
        <v>15159650.061351301</v>
      </c>
      <c r="DA168" s="113">
        <v>16523055.704212198</v>
      </c>
      <c r="DB168" s="113"/>
      <c r="DC168" s="113"/>
      <c r="DD168" s="113">
        <v>13923765.347779993</v>
      </c>
      <c r="DE168" s="581">
        <v>16523055.704212198</v>
      </c>
      <c r="DF168" s="173"/>
      <c r="DG168" s="173"/>
      <c r="DH168" s="173"/>
      <c r="DI168" s="173"/>
      <c r="DJ168" s="114">
        <f t="shared" si="611"/>
        <v>0</v>
      </c>
      <c r="DK168" s="114">
        <f t="shared" si="611"/>
        <v>0</v>
      </c>
      <c r="DL168" s="114">
        <f t="shared" si="611"/>
        <v>13923765.347779993</v>
      </c>
      <c r="DM168" s="114">
        <f t="shared" si="611"/>
        <v>16523055.704212198</v>
      </c>
      <c r="DN168" s="114">
        <f t="shared" si="575"/>
        <v>30446821.051992193</v>
      </c>
      <c r="DO168" s="114">
        <f t="shared" ref="DO168" si="670">IF($H$2=1,CX168,IF($H$2=2,SUM(CX168:CY168),IF($H$2=3,SUM(CX168:CZ168),SUM(CX168:DA168))))</f>
        <v>31682705.765563499</v>
      </c>
      <c r="DP168" s="114">
        <f t="shared" ref="DP168" si="671">SUM(CX168:DA168)</f>
        <v>31682705.765563499</v>
      </c>
      <c r="DQ168" s="116">
        <f t="shared" si="614"/>
        <v>0.96099999999999997</v>
      </c>
      <c r="DR168" s="126">
        <f t="shared" ca="1" si="576"/>
        <v>0</v>
      </c>
      <c r="DS168" s="115">
        <f t="shared" ca="1" si="577"/>
        <v>0</v>
      </c>
      <c r="DT168" s="118">
        <v>1</v>
      </c>
      <c r="DU168" s="115">
        <f t="shared" si="578"/>
        <v>2400</v>
      </c>
      <c r="DV168" s="173"/>
      <c r="DW168" s="173"/>
      <c r="DX168" s="173"/>
      <c r="DY168" s="173"/>
      <c r="DZ168" s="173"/>
      <c r="EA168" s="173"/>
      <c r="EB168" s="173"/>
      <c r="EC168" s="173"/>
      <c r="ED168" s="173"/>
      <c r="EE168" s="173"/>
      <c r="EF168" s="173"/>
      <c r="EG168" s="173"/>
      <c r="EH168" s="173"/>
      <c r="EI168" s="173"/>
      <c r="EJ168" s="173"/>
      <c r="EK168" s="173"/>
      <c r="EL168" s="114">
        <f t="shared" ref="EL168:EL178" si="672">ED168+EH168</f>
        <v>0</v>
      </c>
      <c r="EM168" s="114">
        <f t="shared" ref="EM168:EM178" si="673">EE168+EI168</f>
        <v>0</v>
      </c>
      <c r="EN168" s="114">
        <f t="shared" ref="EN168:EN178" si="674">EF168+EJ168</f>
        <v>0</v>
      </c>
      <c r="EO168" s="114">
        <f t="shared" ref="EO168:EO178" si="675">EG168+EK168</f>
        <v>0</v>
      </c>
      <c r="EP168" s="114">
        <f t="shared" ref="EP168:EP178" si="676">IF($BB$3="After AR Adjustment",IF($H$2=1,EL168,IF($H$2=2,SUM(EL168:EM168),IF($H$2=3,SUM(EL168:EN168),SUM(EL168:EO168)))),IF($H$2=1,ED168,IF($H$2=2,SUM(ED168:EE168),IF($H$2=3,SUM(ED168:EF168),SUM(ED168:EG168)))))</f>
        <v>0</v>
      </c>
      <c r="EQ168" s="114">
        <f t="shared" ref="EQ168:EQ178" si="677">IF($H$2=1,DZ168,IF($H$2=2,SUM(DZ168:EA168),IF($H$2=3,SUM(DZ168:EB168),SUM(DZ168:EC168))))</f>
        <v>0</v>
      </c>
      <c r="ER168" s="114">
        <f t="shared" ref="ER168:ER178" si="678">SUM(DZ168:EC168)</f>
        <v>0</v>
      </c>
      <c r="ES168" s="116">
        <f t="shared" ref="ES168:ES178" si="679">IFERROR(ROUND(EP168/EQ168,4),0)</f>
        <v>0</v>
      </c>
      <c r="ET168" s="126">
        <f t="shared" ref="ET168:ET178" ca="1" si="680">IF(OR(DV168="MBO",DV168="10% Realized Price"),ES168,SUMPRODUCT(Lower_Payout*(Curve=DX168)*(Lower_Attain&lt;=ES168)*(Upper_Attain&gt;ES168))+(ES168-SUMPRODUCT(Lower_Attain*(Curve=DX168)*(Lower_Attain&lt;=ES168)*(Upper_Attain&gt;ES168)))*SUMPRODUCT(Slope*(Curve=DX168)*(Lower_Attain&lt;=ES168)*(Upper_Attain&gt;ES168)))</f>
        <v>0</v>
      </c>
      <c r="EU168" s="115">
        <f t="shared" ref="EU168:EU178" ca="1" si="681">AM168*DW168*ET168</f>
        <v>0</v>
      </c>
      <c r="EV168" s="118" t="str">
        <f t="shared" ref="EV168:EV178" si="682">IF($T168="Y","100%",IF(DX168="T2","200%",IF($H$2=4,"Uncapped",IF($G168="AA","50%",IF($G168="SA","90%",IF($G168="APJ Regional-AA","50%",IF($G168="APJ Regional-SA","90%",75%)))))))</f>
        <v>Uncapped</v>
      </c>
      <c r="EW168" s="115">
        <f t="shared" ref="EW168:EW178" ca="1" si="683">IF(EV168="Uncapped",EU168,IFERROR(AM168*DW168*EV168,0))</f>
        <v>0</v>
      </c>
      <c r="EX168" s="112">
        <f t="shared" ref="EX168:EX178" ca="1" si="684">MIN(BO168,BQ168)+MIN(CQ168,CS168)+MIN(DS168,DU168)+MIN(EU168,EW168)</f>
        <v>0</v>
      </c>
      <c r="EY168" s="114">
        <f t="shared" ref="EY168:EY178" ca="1" si="685">MAX(EX168,GP168)</f>
        <v>0</v>
      </c>
      <c r="FD168" s="115">
        <f t="shared" si="477"/>
        <v>0</v>
      </c>
      <c r="FE168" s="114">
        <f t="shared" si="453"/>
        <v>0</v>
      </c>
      <c r="FJ168" s="115">
        <f t="shared" si="621"/>
        <v>0</v>
      </c>
      <c r="FK168" s="114">
        <f t="shared" si="454"/>
        <v>0</v>
      </c>
      <c r="FL168" s="514"/>
      <c r="FM168" s="514"/>
      <c r="FN168" s="514"/>
      <c r="FO168" s="514"/>
      <c r="FP168" s="115">
        <f t="shared" si="443"/>
        <v>0</v>
      </c>
      <c r="FT168" s="33">
        <f t="shared" si="639"/>
        <v>0</v>
      </c>
      <c r="FU168" s="361">
        <f t="shared" ca="1" si="640"/>
        <v>0</v>
      </c>
      <c r="FV168" s="33">
        <f t="shared" ca="1" si="624"/>
        <v>0</v>
      </c>
      <c r="FW168" s="33">
        <f t="shared" ref="FW168:FW178" si="686">FF168</f>
        <v>0</v>
      </c>
      <c r="FX168" s="33">
        <f t="shared" ref="FX168:FX178" si="687">FG168</f>
        <v>0</v>
      </c>
      <c r="FY168" s="33">
        <f t="shared" ref="FY168:FY178" si="688">FH168</f>
        <v>0</v>
      </c>
      <c r="FZ168" s="33">
        <f t="shared" ref="FZ168:FZ178" si="689">FI168</f>
        <v>0</v>
      </c>
      <c r="GA168" s="33">
        <f t="shared" ref="GA168:GA178" si="690">SUM(FW168:FZ168)</f>
        <v>0</v>
      </c>
      <c r="GB168" s="33">
        <f t="shared" ref="GB168:GB178" si="691">EZ168</f>
        <v>0</v>
      </c>
      <c r="GC168" s="33">
        <f t="shared" ref="GC168:GC178" si="692">FA168</f>
        <v>0</v>
      </c>
      <c r="GD168" s="33">
        <f t="shared" ref="GD168:GD178" si="693">FB168</f>
        <v>0</v>
      </c>
      <c r="GE168" s="33">
        <f t="shared" ref="GE168:GE178" si="694">FC168</f>
        <v>0</v>
      </c>
      <c r="GF168" s="33">
        <f t="shared" ref="GF168:GF178" si="695">GB168+FW168</f>
        <v>0</v>
      </c>
      <c r="GG168" s="33">
        <f t="shared" ref="GG168:GG178" si="696">GC168+FX168</f>
        <v>0</v>
      </c>
      <c r="GH168" s="33">
        <f t="shared" ref="GH168:GH178" si="697">GD168+FY168</f>
        <v>0</v>
      </c>
      <c r="GI168" s="33">
        <f t="shared" ref="GI168:GI178" si="698">GE168+FZ168</f>
        <v>0</v>
      </c>
      <c r="GJ168" s="33">
        <f t="shared" ref="GJ168:GJ178" si="699">IF($H$2=1,GF168,IF($H$2=2,SUM(GF168:GG168),IF($H$2=3,SUM(GF168:GH168),SUM(GF168:GI168))))</f>
        <v>0</v>
      </c>
      <c r="GK168" s="33">
        <f t="shared" ref="GK168:GK178" si="700">SUM(GF168:GI168)</f>
        <v>0</v>
      </c>
      <c r="GL168" s="33">
        <f t="shared" ref="GL168:GL178" si="701">IF(U168="Y",V168*AO168,0)</f>
        <v>0</v>
      </c>
      <c r="GM168" s="33">
        <f t="shared" ref="GM168:GM178" si="702">IF(U168="Y",W168*AO168,0)</f>
        <v>0</v>
      </c>
      <c r="GN168" s="33">
        <f t="shared" ref="GN168:GN178" si="703">IF(U168="Y",X168*AO168,0)</f>
        <v>0</v>
      </c>
      <c r="GO168" s="33">
        <f t="shared" ref="GO168:GO178" si="704">IF(U168="Y",Y168*AO168,0)</f>
        <v>0</v>
      </c>
      <c r="GP168" s="33">
        <f t="shared" ref="GP168:GP178" si="705">IF($H$2=1,GL168,IF($H$2=2,SUM(GL168:GM168),IF($H$2=3,SUM(GL168:GN168),IF($H$2=4,SUM(GL168:GO168)))))</f>
        <v>0</v>
      </c>
      <c r="GQ168" s="114">
        <f t="shared" si="590"/>
        <v>0</v>
      </c>
      <c r="GS168" s="507">
        <f t="shared" ref="GS168:GS178" si="706">IFERROR(BJ168+CL168+DN168+EP168,0)</f>
        <v>31628832.459984653</v>
      </c>
      <c r="GT168" s="507">
        <f t="shared" ref="GT168:GT178" si="707">IFERROR(BK168+CM168+DO168+EQ168,0)</f>
        <v>32881895.540665306</v>
      </c>
      <c r="GU168" s="31">
        <f t="shared" ref="GU168:GU178" si="708">IFERROR(GS168/GT168,"")</f>
        <v>0.96189200591763391</v>
      </c>
      <c r="GV168" s="124">
        <f t="shared" ca="1" si="588"/>
        <v>0</v>
      </c>
      <c r="GW168" s="124">
        <v>0</v>
      </c>
      <c r="GX168" s="179">
        <f t="shared" ref="GX168:GX178" ca="1" si="709">IFERROR(GV168/AM168,0)</f>
        <v>0</v>
      </c>
    </row>
    <row r="169" spans="1:207" hidden="1">
      <c r="F169" s="403" t="s">
        <v>795</v>
      </c>
      <c r="G169" s="104" t="s">
        <v>226</v>
      </c>
      <c r="H169" s="405" t="s">
        <v>348</v>
      </c>
      <c r="I169" s="106" t="s">
        <v>349</v>
      </c>
      <c r="J169" s="104" t="s">
        <v>207</v>
      </c>
      <c r="K169" s="511" t="s">
        <v>208</v>
      </c>
      <c r="O169" s="549">
        <v>41376</v>
      </c>
      <c r="P169" s="359">
        <v>43647</v>
      </c>
      <c r="Q169" s="323"/>
      <c r="R169" s="109">
        <v>7</v>
      </c>
      <c r="S169" s="108"/>
      <c r="T169" s="110"/>
      <c r="U169" s="483"/>
      <c r="V169" s="483"/>
      <c r="W169" s="405"/>
      <c r="X169" s="405"/>
      <c r="Y169" s="492"/>
      <c r="Z169" s="406" t="s">
        <v>545</v>
      </c>
      <c r="AA169" s="394">
        <v>1000</v>
      </c>
      <c r="AB169" s="394">
        <v>1000</v>
      </c>
      <c r="AC169" s="394">
        <v>1000</v>
      </c>
      <c r="AD169" s="394">
        <v>1000</v>
      </c>
      <c r="AE169" s="394">
        <v>1000</v>
      </c>
      <c r="AF169" s="394">
        <v>1000</v>
      </c>
      <c r="AG169" s="394">
        <v>1000</v>
      </c>
      <c r="AH169" s="394">
        <v>1000</v>
      </c>
      <c r="AI169" s="394">
        <v>1000</v>
      </c>
      <c r="AJ169" s="394">
        <v>1000</v>
      </c>
      <c r="AK169" s="394">
        <v>1000</v>
      </c>
      <c r="AL169" s="394">
        <v>1000</v>
      </c>
      <c r="AM169" s="388">
        <f t="shared" si="592"/>
        <v>12000</v>
      </c>
      <c r="AN169" s="388">
        <f t="shared" si="593"/>
        <v>12000</v>
      </c>
      <c r="AO169" s="389">
        <f t="shared" si="594"/>
        <v>1000</v>
      </c>
      <c r="AP169" s="498" t="s">
        <v>682</v>
      </c>
      <c r="AQ169" s="159">
        <v>0.5</v>
      </c>
      <c r="AR169" s="160" t="s">
        <v>211</v>
      </c>
      <c r="AS169" s="119" t="s">
        <v>210</v>
      </c>
      <c r="AT169" s="504"/>
      <c r="AU169" s="504"/>
      <c r="AV169" s="504">
        <v>10795356.019200001</v>
      </c>
      <c r="AW169" s="504">
        <v>13015519.956999999</v>
      </c>
      <c r="AX169" s="173"/>
      <c r="AY169" s="173"/>
      <c r="AZ169" s="113">
        <v>10654868.665443931</v>
      </c>
      <c r="BA169" s="506">
        <f t="shared" si="638"/>
        <v>13015519.956999999</v>
      </c>
      <c r="BF169" s="114">
        <f t="shared" ref="BF169:BF178" si="710">AX169+BB169</f>
        <v>0</v>
      </c>
      <c r="BG169" s="114">
        <f t="shared" ref="BG169:BG178" si="711">AY169+BC169</f>
        <v>0</v>
      </c>
      <c r="BH169" s="114">
        <f t="shared" ref="BH169:BH178" si="712">AZ169+BD169</f>
        <v>10654868.665443931</v>
      </c>
      <c r="BI169" s="114">
        <f t="shared" ref="BI169:BI178" si="713">BA169+BE169</f>
        <v>13015519.956999999</v>
      </c>
      <c r="BJ169" s="114">
        <f t="shared" ref="BJ169:BJ178" si="714">IF($BB$3="After AR Adjustment",IF($H$2=1,BF169,IF($H$2=2,SUM(BF169:BG169),IF($H$2=3,SUM(BF169:BH169),SUM(BF169:BI169)))),IF($H$2=1,AX169,IF($H$2=2,SUM(AX169:AY169),IF($H$2=3,SUM(AX169:AZ169),SUM(AX169:BA169)))))</f>
        <v>23670388.622443929</v>
      </c>
      <c r="BK169" s="115">
        <f t="shared" ref="BK169:BK178" si="715">IF($H$2=1,AT169,IF($H$2=2,SUM(AT169:AU169),IF($H$2=3,SUM(AT169:AV169),SUM(AT169:AW169))))</f>
        <v>23810875.976199999</v>
      </c>
      <c r="BL169" s="115">
        <f t="shared" ref="BL169:BL178" si="716">SUM(AT169:AW169)</f>
        <v>23810875.976199999</v>
      </c>
      <c r="BM169" s="116">
        <f t="shared" ref="BM169:BM178" si="717">IFERROR(ROUND(BJ169/BK169,4),0)</f>
        <v>0.99409999999999998</v>
      </c>
      <c r="BN169" s="126">
        <f t="shared" ref="BN169:BN178" ca="1" si="718">IF(OR(AP169="MBO",AP169="10% Realized Price"),BM169,SUMPRODUCT(Lower_Payout*(Curve=AR169)*(Lower_Attain&lt;=BM169)*(Upper_Attain&gt;BM169))+(BM169-SUMPRODUCT(Lower_Attain*(Curve=AR169)*(Lower_Attain&lt;=BM169)*(Upper_Attain&gt;BM169)))*SUMPRODUCT(Slope*(Curve=AR169)*(Lower_Attain&lt;=BM169)*(Upper_Attain&gt;BM169)))</f>
        <v>0</v>
      </c>
      <c r="BO169" s="117">
        <f t="shared" ref="BO169:BO178" ca="1" si="719">IFERROR(AM169*AQ169*BN169,0)</f>
        <v>0</v>
      </c>
      <c r="BP169" s="118" t="str">
        <f t="shared" si="450"/>
        <v>Uncapped</v>
      </c>
      <c r="BQ169" s="115">
        <f t="shared" ref="BQ169:BQ178" ca="1" si="720">IF(BP169="Uncapped",BO169,IFERROR(AM169*AQ169*BP169,0))</f>
        <v>0</v>
      </c>
      <c r="BR169" s="113" t="s">
        <v>700</v>
      </c>
      <c r="BS169" s="161">
        <v>0.3</v>
      </c>
      <c r="BT169" s="113" t="s">
        <v>211</v>
      </c>
      <c r="BU169" s="160" t="s">
        <v>210</v>
      </c>
      <c r="BV169" s="173"/>
      <c r="BW169" s="173"/>
      <c r="BX169" s="113">
        <v>568983.43999999994</v>
      </c>
      <c r="BY169" s="113">
        <v>506569.43</v>
      </c>
      <c r="BZ169" s="173"/>
      <c r="CA169" s="173"/>
      <c r="CB169" s="113">
        <v>415869.76799999998</v>
      </c>
      <c r="CC169" s="506">
        <f>BY169</f>
        <v>506569.43</v>
      </c>
      <c r="CH169" s="114">
        <f t="shared" ref="CH169:CH178" si="721">BZ169+CD169</f>
        <v>0</v>
      </c>
      <c r="CI169" s="114">
        <f t="shared" ref="CI169:CI178" si="722">CA169+CE169</f>
        <v>0</v>
      </c>
      <c r="CJ169" s="120">
        <f t="shared" ref="CJ169:CJ178" si="723">CB169+CF169</f>
        <v>415869.76799999998</v>
      </c>
      <c r="CK169" s="114">
        <f t="shared" ref="CK169:CK178" si="724">CC169+CG169</f>
        <v>506569.43</v>
      </c>
      <c r="CL169" s="114">
        <f t="shared" ref="CL169:CL178" si="725">IF($BB$3="After AR Adjustment",IF($H$2=1,CH169,IF($H$2=2,SUM(CH169:CI169),IF($H$2=3,SUM(CH169:CJ169),SUM(CH169:CK169)))),IF($H$2=1,BZ169,IF($H$2=2,SUM(BZ169:CA169),IF($H$2=3,SUM(BZ169:CB169),SUM(BZ169:CC169)))))</f>
        <v>922439.19799999997</v>
      </c>
      <c r="CM169" s="114">
        <f t="shared" ref="CM169:CM178" si="726">IF($H$2=1,BV169,IF($H$2=2,SUM(BV169:BW169),IF($H$2=3,SUM(BV169:BX169),SUM(BV169:BY169))))</f>
        <v>1075552.8699999999</v>
      </c>
      <c r="CN169" s="114">
        <f t="shared" ref="CN169:CN178" si="727">SUM(BV169:BY169)</f>
        <v>1075552.8699999999</v>
      </c>
      <c r="CO169" s="116">
        <f t="shared" ref="CO169:CO178" si="728">IFERROR(ROUND(CL169/CM169,4),0)</f>
        <v>0.85760000000000003</v>
      </c>
      <c r="CP169" s="126">
        <f t="shared" ref="CP169:CP178" ca="1" si="729">IF(OR(BR169="MBO",BR169="10% Realized Price"),CO169,SUMPRODUCT(Lower_Payout*(Curve=BT169)*(Lower_Attain&lt;=CO169)*(Upper_Attain&gt;CO169))+(CO169-SUMPRODUCT(Lower_Attain*(Curve=BT169)*(Lower_Attain&lt;=CO169)*(Upper_Attain&gt;CO169)))*SUMPRODUCT(Slope*(Curve=BT169)*(Lower_Attain&lt;=CO169)*(Upper_Attain&gt;CO169)))</f>
        <v>0</v>
      </c>
      <c r="CQ169" s="115">
        <f t="shared" ref="CQ169:CQ178" ca="1" si="730">AM169*BS169*CP169</f>
        <v>0</v>
      </c>
      <c r="CR169" s="118">
        <v>1</v>
      </c>
      <c r="CS169" s="115">
        <f t="shared" ref="CS169:CS178" si="731">IF(CR169="Uncapped",CQ169,IFERROR(AM169*BS169*CR169,0))</f>
        <v>3600</v>
      </c>
      <c r="CT169" s="113" t="s">
        <v>702</v>
      </c>
      <c r="CU169" s="119">
        <v>0.2</v>
      </c>
      <c r="CV169" s="113" t="s">
        <v>217</v>
      </c>
      <c r="CW169" s="113" t="s">
        <v>210</v>
      </c>
      <c r="CX169" s="173"/>
      <c r="CY169" s="173"/>
      <c r="CZ169" s="506">
        <v>22618799.574099999</v>
      </c>
      <c r="DA169" s="506">
        <v>27098464.121500004</v>
      </c>
      <c r="DB169" s="173"/>
      <c r="DC169" s="173"/>
      <c r="DD169" s="113">
        <v>22879083.486580007</v>
      </c>
      <c r="DE169" s="506">
        <v>27098464.121500004</v>
      </c>
      <c r="DF169" s="173"/>
      <c r="DG169" s="173"/>
      <c r="DH169" s="173"/>
      <c r="DI169" s="173"/>
      <c r="DJ169" s="114">
        <f t="shared" ref="DJ169:DJ178" si="732">DB169+DF169</f>
        <v>0</v>
      </c>
      <c r="DK169" s="114">
        <f t="shared" ref="DK169:DK178" si="733">DC169+DG169</f>
        <v>0</v>
      </c>
      <c r="DL169" s="114">
        <f t="shared" ref="DL169:DL178" si="734">DD169+DH169</f>
        <v>22879083.486580007</v>
      </c>
      <c r="DM169" s="114">
        <f t="shared" ref="DM169:DM178" si="735">DE169+DI169</f>
        <v>27098464.121500004</v>
      </c>
      <c r="DN169" s="114">
        <f t="shared" ref="DN169:DN178" si="736">IF($BB$3="After AR Adjustment",IF($H$2=1,DJ169,IF($H$2=2,SUM(DJ169:DK169),IF($H$2=3,SUM(DJ169:DL169),SUM(DJ169:DM169)))),IF($H$2=1,DB169,IF($H$2=2,SUM(DB169:DC169),IF($H$2=3,SUM(DB169:DD169),SUM(DB169:DE169)))))</f>
        <v>49977547.608080015</v>
      </c>
      <c r="DO169" s="114">
        <f t="shared" ref="DO169:DO178" si="737">IF($H$2=1,CX169,IF($H$2=2,SUM(CX169:CY169),IF($H$2=3,SUM(CX169:CZ169),SUM(CX169:DA169))))</f>
        <v>49717263.695600003</v>
      </c>
      <c r="DP169" s="114">
        <f t="shared" ref="DP169:DP178" si="738">SUM(CX169:DA169)</f>
        <v>49717263.695600003</v>
      </c>
      <c r="DQ169" s="116">
        <f t="shared" ref="DQ169:DQ178" si="739">IFERROR(ROUND(DN169/DO169,4),0)</f>
        <v>1.0052000000000001</v>
      </c>
      <c r="DR169" s="126">
        <f t="shared" ref="DR169:DR178" ca="1" si="740">IF(OR(CT169="MBO",CT169="10% Realized Price"),DQ169,SUMPRODUCT(Lower_Payout*(Curve=CV169)*(Lower_Attain&lt;=DQ169)*(Upper_Attain&gt;DQ169))+(DQ169-SUMPRODUCT(Lower_Attain*(Curve=CV169)*(Lower_Attain&lt;=DQ169)*(Upper_Attain&gt;DQ169)))*SUMPRODUCT(Slope*(Curve=CV169)*(Lower_Attain&lt;=DQ169)*(Upper_Attain&gt;DQ169)))</f>
        <v>0</v>
      </c>
      <c r="DS169" s="115">
        <f t="shared" ref="DS169:DS178" ca="1" si="741">AM169*CU169*DR169</f>
        <v>0</v>
      </c>
      <c r="DT169" s="118">
        <v>1</v>
      </c>
      <c r="DU169" s="115">
        <f t="shared" si="578"/>
        <v>2400</v>
      </c>
      <c r="DV169" s="173"/>
      <c r="DW169" s="173"/>
      <c r="DX169" s="173"/>
      <c r="DY169" s="173"/>
      <c r="DZ169" s="173"/>
      <c r="EA169" s="173"/>
      <c r="EB169" s="173"/>
      <c r="EC169" s="173"/>
      <c r="ED169" s="173"/>
      <c r="EE169" s="173"/>
      <c r="EF169" s="173"/>
      <c r="EG169" s="173"/>
      <c r="EH169" s="173"/>
      <c r="EI169" s="173"/>
      <c r="EJ169" s="173"/>
      <c r="EK169" s="173"/>
      <c r="EL169" s="114">
        <f t="shared" si="672"/>
        <v>0</v>
      </c>
      <c r="EM169" s="114">
        <f t="shared" si="673"/>
        <v>0</v>
      </c>
      <c r="EN169" s="114">
        <f t="shared" si="674"/>
        <v>0</v>
      </c>
      <c r="EO169" s="114">
        <f t="shared" si="675"/>
        <v>0</v>
      </c>
      <c r="EP169" s="114">
        <f t="shared" si="676"/>
        <v>0</v>
      </c>
      <c r="EQ169" s="114">
        <f t="shared" si="677"/>
        <v>0</v>
      </c>
      <c r="ER169" s="114">
        <f t="shared" si="678"/>
        <v>0</v>
      </c>
      <c r="ES169" s="116">
        <f t="shared" si="679"/>
        <v>0</v>
      </c>
      <c r="ET169" s="126">
        <f t="shared" ca="1" si="680"/>
        <v>0</v>
      </c>
      <c r="EU169" s="115">
        <f t="shared" ca="1" si="681"/>
        <v>0</v>
      </c>
      <c r="EV169" s="118" t="str">
        <f t="shared" si="682"/>
        <v>Uncapped</v>
      </c>
      <c r="EW169" s="115">
        <f t="shared" ca="1" si="683"/>
        <v>0</v>
      </c>
      <c r="EX169" s="112">
        <f t="shared" ca="1" si="684"/>
        <v>0</v>
      </c>
      <c r="EY169" s="114">
        <f t="shared" ca="1" si="685"/>
        <v>0</v>
      </c>
      <c r="FD169" s="115">
        <f t="shared" si="477"/>
        <v>0</v>
      </c>
      <c r="FE169" s="114">
        <f t="shared" si="453"/>
        <v>0</v>
      </c>
      <c r="FJ169" s="115">
        <f t="shared" si="621"/>
        <v>0</v>
      </c>
      <c r="FK169" s="114">
        <f t="shared" si="454"/>
        <v>0</v>
      </c>
      <c r="FL169" s="514"/>
      <c r="FM169" s="514"/>
      <c r="FN169" s="514"/>
      <c r="FO169" s="514"/>
      <c r="FP169" s="115">
        <f t="shared" si="443"/>
        <v>0</v>
      </c>
      <c r="FT169" s="33">
        <f t="shared" si="639"/>
        <v>0</v>
      </c>
      <c r="FU169" s="361">
        <f t="shared" ca="1" si="640"/>
        <v>0</v>
      </c>
      <c r="FV169" s="33">
        <f t="shared" ca="1" si="624"/>
        <v>0</v>
      </c>
      <c r="FW169" s="33">
        <f t="shared" si="686"/>
        <v>0</v>
      </c>
      <c r="FX169" s="33">
        <f t="shared" si="687"/>
        <v>0</v>
      </c>
      <c r="FY169" s="33">
        <f t="shared" si="688"/>
        <v>0</v>
      </c>
      <c r="FZ169" s="33">
        <f t="shared" si="689"/>
        <v>0</v>
      </c>
      <c r="GA169" s="33">
        <f t="shared" si="690"/>
        <v>0</v>
      </c>
      <c r="GB169" s="33">
        <f t="shared" si="691"/>
        <v>0</v>
      </c>
      <c r="GC169" s="33">
        <f t="shared" si="692"/>
        <v>0</v>
      </c>
      <c r="GD169" s="33">
        <f t="shared" si="693"/>
        <v>0</v>
      </c>
      <c r="GE169" s="33">
        <f t="shared" si="694"/>
        <v>0</v>
      </c>
      <c r="GF169" s="33">
        <f t="shared" si="695"/>
        <v>0</v>
      </c>
      <c r="GG169" s="33">
        <f t="shared" si="696"/>
        <v>0</v>
      </c>
      <c r="GH169" s="33">
        <f t="shared" si="697"/>
        <v>0</v>
      </c>
      <c r="GI169" s="33">
        <f t="shared" si="698"/>
        <v>0</v>
      </c>
      <c r="GJ169" s="33">
        <f t="shared" si="699"/>
        <v>0</v>
      </c>
      <c r="GK169" s="33">
        <f t="shared" si="700"/>
        <v>0</v>
      </c>
      <c r="GL169" s="33">
        <f t="shared" si="701"/>
        <v>0</v>
      </c>
      <c r="GM169" s="33">
        <f t="shared" si="702"/>
        <v>0</v>
      </c>
      <c r="GN169" s="33">
        <f t="shared" si="703"/>
        <v>0</v>
      </c>
      <c r="GO169" s="33">
        <f t="shared" si="704"/>
        <v>0</v>
      </c>
      <c r="GP169" s="33">
        <f t="shared" si="705"/>
        <v>0</v>
      </c>
      <c r="GQ169" s="114">
        <f t="shared" si="590"/>
        <v>0</v>
      </c>
      <c r="GS169" s="507">
        <f t="shared" si="706"/>
        <v>74570375.428523943</v>
      </c>
      <c r="GT169" s="507">
        <f t="shared" si="707"/>
        <v>74603692.541800007</v>
      </c>
      <c r="GU169" s="31">
        <f t="shared" si="708"/>
        <v>0.99955341200762415</v>
      </c>
      <c r="GV169" s="124">
        <f t="shared" ca="1" si="588"/>
        <v>0</v>
      </c>
      <c r="GW169" s="124">
        <v>0</v>
      </c>
      <c r="GX169" s="179">
        <f t="shared" ca="1" si="709"/>
        <v>0</v>
      </c>
    </row>
    <row r="170" spans="1:207" hidden="1">
      <c r="F170" s="104" t="s">
        <v>235</v>
      </c>
      <c r="G170" s="104" t="s">
        <v>226</v>
      </c>
      <c r="H170" s="405" t="s">
        <v>236</v>
      </c>
      <c r="I170" s="106" t="s">
        <v>237</v>
      </c>
      <c r="J170" s="104" t="s">
        <v>238</v>
      </c>
      <c r="K170" s="511" t="s">
        <v>208</v>
      </c>
      <c r="O170" s="549">
        <v>41376</v>
      </c>
      <c r="P170" s="359">
        <v>43647</v>
      </c>
      <c r="Q170" s="323"/>
      <c r="R170" s="109">
        <v>7</v>
      </c>
      <c r="S170" s="108"/>
      <c r="T170" s="110"/>
      <c r="U170" s="483"/>
      <c r="V170" s="483"/>
      <c r="W170" s="405"/>
      <c r="X170" s="405"/>
      <c r="Y170" s="492"/>
      <c r="Z170" s="406" t="s">
        <v>545</v>
      </c>
      <c r="AA170" s="394">
        <v>1000</v>
      </c>
      <c r="AB170" s="394">
        <v>1000</v>
      </c>
      <c r="AC170" s="394">
        <v>1000</v>
      </c>
      <c r="AD170" s="394">
        <v>1000</v>
      </c>
      <c r="AE170" s="394">
        <v>1000</v>
      </c>
      <c r="AF170" s="394">
        <v>1000</v>
      </c>
      <c r="AG170" s="394">
        <v>1000</v>
      </c>
      <c r="AH170" s="394">
        <v>1000</v>
      </c>
      <c r="AI170" s="394">
        <v>1000</v>
      </c>
      <c r="AJ170" s="394">
        <v>1000</v>
      </c>
      <c r="AK170" s="394">
        <v>1000</v>
      </c>
      <c r="AL170" s="394">
        <v>1000</v>
      </c>
      <c r="AM170" s="388">
        <f t="shared" si="592"/>
        <v>12000</v>
      </c>
      <c r="AN170" s="388">
        <f t="shared" si="593"/>
        <v>12000</v>
      </c>
      <c r="AO170" s="389">
        <f t="shared" si="594"/>
        <v>1000</v>
      </c>
      <c r="AP170" s="498" t="s">
        <v>682</v>
      </c>
      <c r="AQ170" s="159">
        <v>0.5</v>
      </c>
      <c r="AR170" s="160" t="s">
        <v>211</v>
      </c>
      <c r="AS170" s="119" t="s">
        <v>210</v>
      </c>
      <c r="AT170" s="504"/>
      <c r="AU170" s="504"/>
      <c r="AV170" s="111">
        <v>22618799.574099999</v>
      </c>
      <c r="AW170" s="111">
        <v>27098464.121500004</v>
      </c>
      <c r="AX170" s="173"/>
      <c r="AY170" s="173"/>
      <c r="AZ170" s="113">
        <v>22879083.486580007</v>
      </c>
      <c r="BA170" s="506">
        <f t="shared" si="638"/>
        <v>27098464.121500004</v>
      </c>
      <c r="BF170" s="114">
        <f t="shared" si="710"/>
        <v>0</v>
      </c>
      <c r="BG170" s="114">
        <f t="shared" si="711"/>
        <v>0</v>
      </c>
      <c r="BH170" s="114">
        <f t="shared" si="712"/>
        <v>22879083.486580007</v>
      </c>
      <c r="BI170" s="114">
        <f t="shared" si="713"/>
        <v>27098464.121500004</v>
      </c>
      <c r="BJ170" s="114">
        <f t="shared" si="714"/>
        <v>49977547.608080015</v>
      </c>
      <c r="BK170" s="115">
        <f t="shared" si="715"/>
        <v>49717263.695600003</v>
      </c>
      <c r="BL170" s="115">
        <f t="shared" si="716"/>
        <v>49717263.695600003</v>
      </c>
      <c r="BM170" s="116">
        <f t="shared" si="717"/>
        <v>1.0052000000000001</v>
      </c>
      <c r="BN170" s="126">
        <f t="shared" ca="1" si="718"/>
        <v>0</v>
      </c>
      <c r="BO170" s="117">
        <f t="shared" ca="1" si="719"/>
        <v>0</v>
      </c>
      <c r="BP170" s="118" t="str">
        <f t="shared" si="450"/>
        <v>Uncapped</v>
      </c>
      <c r="BQ170" s="115">
        <f t="shared" ca="1" si="720"/>
        <v>0</v>
      </c>
      <c r="BR170" s="113" t="s">
        <v>700</v>
      </c>
      <c r="BS170" s="161">
        <v>0.3</v>
      </c>
      <c r="BT170" s="113" t="s">
        <v>211</v>
      </c>
      <c r="BU170" s="160" t="s">
        <v>210</v>
      </c>
      <c r="BV170" s="173"/>
      <c r="BW170" s="173"/>
      <c r="BX170" s="113">
        <v>3014750.0350000001</v>
      </c>
      <c r="BY170" s="113">
        <v>2985254.3949999996</v>
      </c>
      <c r="BZ170" s="173"/>
      <c r="CA170" s="173"/>
      <c r="CB170" s="113">
        <v>2584754.9819999998</v>
      </c>
      <c r="CC170" s="506">
        <f t="shared" ref="CC170:CC177" si="742">BY170</f>
        <v>2985254.3949999996</v>
      </c>
      <c r="CH170" s="114">
        <f t="shared" si="721"/>
        <v>0</v>
      </c>
      <c r="CI170" s="114">
        <f t="shared" si="722"/>
        <v>0</v>
      </c>
      <c r="CJ170" s="120">
        <f t="shared" si="723"/>
        <v>2584754.9819999998</v>
      </c>
      <c r="CK170" s="114">
        <f t="shared" si="724"/>
        <v>2985254.3949999996</v>
      </c>
      <c r="CL170" s="114">
        <f t="shared" si="725"/>
        <v>5570009.3769999994</v>
      </c>
      <c r="CM170" s="114">
        <f t="shared" si="726"/>
        <v>6000004.4299999997</v>
      </c>
      <c r="CN170" s="114">
        <f t="shared" si="727"/>
        <v>6000004.4299999997</v>
      </c>
      <c r="CO170" s="116">
        <f t="shared" si="728"/>
        <v>0.92830000000000001</v>
      </c>
      <c r="CP170" s="126">
        <f t="shared" ca="1" si="729"/>
        <v>0</v>
      </c>
      <c r="CQ170" s="115">
        <f t="shared" ca="1" si="730"/>
        <v>0</v>
      </c>
      <c r="CR170" s="118">
        <v>1</v>
      </c>
      <c r="CS170" s="115">
        <f t="shared" si="731"/>
        <v>3600</v>
      </c>
      <c r="CT170" s="113" t="s">
        <v>696</v>
      </c>
      <c r="CU170" s="119">
        <v>0.2</v>
      </c>
      <c r="CV170" s="113" t="s">
        <v>217</v>
      </c>
      <c r="CW170" s="113" t="s">
        <v>210</v>
      </c>
      <c r="CX170" s="173"/>
      <c r="CY170" s="173"/>
      <c r="CZ170" s="113">
        <v>69179032.514420599</v>
      </c>
      <c r="DA170" s="113">
        <v>76323964.015026003</v>
      </c>
      <c r="DB170" s="173"/>
      <c r="DC170" s="173"/>
      <c r="DD170" s="113">
        <v>66410604.684560001</v>
      </c>
      <c r="DE170" s="506">
        <v>76323964.015026003</v>
      </c>
      <c r="DF170" s="173"/>
      <c r="DG170" s="173"/>
      <c r="DH170" s="173"/>
      <c r="DI170" s="173"/>
      <c r="DJ170" s="114">
        <f t="shared" si="732"/>
        <v>0</v>
      </c>
      <c r="DK170" s="114">
        <f t="shared" si="733"/>
        <v>0</v>
      </c>
      <c r="DL170" s="114">
        <f t="shared" si="734"/>
        <v>66410604.684560001</v>
      </c>
      <c r="DM170" s="114">
        <f t="shared" si="735"/>
        <v>76323964.015026003</v>
      </c>
      <c r="DN170" s="114">
        <f t="shared" si="736"/>
        <v>142734568.699586</v>
      </c>
      <c r="DO170" s="114">
        <f t="shared" si="737"/>
        <v>145502996.5294466</v>
      </c>
      <c r="DP170" s="114">
        <f t="shared" si="738"/>
        <v>145502996.5294466</v>
      </c>
      <c r="DQ170" s="116">
        <f t="shared" si="739"/>
        <v>0.98099999999999998</v>
      </c>
      <c r="DR170" s="126">
        <f t="shared" ca="1" si="740"/>
        <v>0</v>
      </c>
      <c r="DS170" s="115">
        <f t="shared" ca="1" si="741"/>
        <v>0</v>
      </c>
      <c r="DT170" s="118">
        <v>1</v>
      </c>
      <c r="DU170" s="115">
        <f t="shared" si="578"/>
        <v>2400</v>
      </c>
      <c r="DV170" s="173"/>
      <c r="DW170" s="173"/>
      <c r="DX170" s="173"/>
      <c r="DY170" s="173"/>
      <c r="DZ170" s="173"/>
      <c r="EA170" s="173"/>
      <c r="EB170" s="173"/>
      <c r="EC170" s="173"/>
      <c r="ED170" s="173"/>
      <c r="EE170" s="173"/>
      <c r="EF170" s="173"/>
      <c r="EG170" s="173"/>
      <c r="EH170" s="173"/>
      <c r="EI170" s="173"/>
      <c r="EJ170" s="173"/>
      <c r="EK170" s="173"/>
      <c r="EL170" s="114">
        <f t="shared" si="672"/>
        <v>0</v>
      </c>
      <c r="EM170" s="114">
        <f t="shared" si="673"/>
        <v>0</v>
      </c>
      <c r="EN170" s="114">
        <f t="shared" si="674"/>
        <v>0</v>
      </c>
      <c r="EO170" s="114">
        <f t="shared" si="675"/>
        <v>0</v>
      </c>
      <c r="EP170" s="114">
        <f t="shared" si="676"/>
        <v>0</v>
      </c>
      <c r="EQ170" s="114">
        <f t="shared" si="677"/>
        <v>0</v>
      </c>
      <c r="ER170" s="114">
        <f t="shared" si="678"/>
        <v>0</v>
      </c>
      <c r="ES170" s="116">
        <f t="shared" si="679"/>
        <v>0</v>
      </c>
      <c r="ET170" s="126">
        <f t="shared" ca="1" si="680"/>
        <v>0</v>
      </c>
      <c r="EU170" s="115">
        <f t="shared" ca="1" si="681"/>
        <v>0</v>
      </c>
      <c r="EV170" s="118" t="str">
        <f t="shared" si="682"/>
        <v>Uncapped</v>
      </c>
      <c r="EW170" s="115">
        <f t="shared" ca="1" si="683"/>
        <v>0</v>
      </c>
      <c r="EX170" s="112">
        <f t="shared" ca="1" si="684"/>
        <v>0</v>
      </c>
      <c r="EY170" s="114">
        <f t="shared" ca="1" si="685"/>
        <v>0</v>
      </c>
      <c r="FD170" s="115">
        <f t="shared" si="477"/>
        <v>0</v>
      </c>
      <c r="FE170" s="114">
        <f t="shared" si="453"/>
        <v>0</v>
      </c>
      <c r="FJ170" s="115">
        <f t="shared" si="621"/>
        <v>0</v>
      </c>
      <c r="FK170" s="114">
        <f t="shared" si="454"/>
        <v>0</v>
      </c>
      <c r="FL170" s="514"/>
      <c r="FM170" s="514"/>
      <c r="FN170" s="514"/>
      <c r="FO170" s="514"/>
      <c r="FP170" s="115">
        <f t="shared" si="443"/>
        <v>0</v>
      </c>
      <c r="FT170" s="33">
        <f t="shared" si="639"/>
        <v>0</v>
      </c>
      <c r="FU170" s="361">
        <f t="shared" ca="1" si="640"/>
        <v>0</v>
      </c>
      <c r="FV170" s="33">
        <f t="shared" ca="1" si="624"/>
        <v>0</v>
      </c>
      <c r="FW170" s="33">
        <f t="shared" si="686"/>
        <v>0</v>
      </c>
      <c r="FX170" s="33">
        <f t="shared" si="687"/>
        <v>0</v>
      </c>
      <c r="FY170" s="33">
        <f t="shared" si="688"/>
        <v>0</v>
      </c>
      <c r="FZ170" s="33">
        <f t="shared" si="689"/>
        <v>0</v>
      </c>
      <c r="GA170" s="33">
        <f t="shared" si="690"/>
        <v>0</v>
      </c>
      <c r="GB170" s="33">
        <f t="shared" si="691"/>
        <v>0</v>
      </c>
      <c r="GC170" s="33">
        <f t="shared" si="692"/>
        <v>0</v>
      </c>
      <c r="GD170" s="33">
        <f t="shared" si="693"/>
        <v>0</v>
      </c>
      <c r="GE170" s="33">
        <f t="shared" si="694"/>
        <v>0</v>
      </c>
      <c r="GF170" s="33">
        <f t="shared" si="695"/>
        <v>0</v>
      </c>
      <c r="GG170" s="33">
        <f t="shared" si="696"/>
        <v>0</v>
      </c>
      <c r="GH170" s="33">
        <f t="shared" si="697"/>
        <v>0</v>
      </c>
      <c r="GI170" s="33">
        <f t="shared" si="698"/>
        <v>0</v>
      </c>
      <c r="GJ170" s="33">
        <f t="shared" si="699"/>
        <v>0</v>
      </c>
      <c r="GK170" s="33">
        <f t="shared" si="700"/>
        <v>0</v>
      </c>
      <c r="GL170" s="33">
        <f t="shared" si="701"/>
        <v>0</v>
      </c>
      <c r="GM170" s="33">
        <f t="shared" si="702"/>
        <v>0</v>
      </c>
      <c r="GN170" s="33">
        <f t="shared" si="703"/>
        <v>0</v>
      </c>
      <c r="GO170" s="33">
        <f t="shared" si="704"/>
        <v>0</v>
      </c>
      <c r="GP170" s="33">
        <f t="shared" si="705"/>
        <v>0</v>
      </c>
      <c r="GQ170" s="114">
        <f t="shared" si="590"/>
        <v>0</v>
      </c>
      <c r="GS170" s="507">
        <f t="shared" si="706"/>
        <v>198282125.68466601</v>
      </c>
      <c r="GT170" s="507">
        <f t="shared" si="707"/>
        <v>201220264.65504661</v>
      </c>
      <c r="GU170" s="31">
        <f t="shared" si="708"/>
        <v>0.98539839426502351</v>
      </c>
      <c r="GV170" s="124">
        <f t="shared" ca="1" si="588"/>
        <v>0</v>
      </c>
      <c r="GW170" s="124">
        <v>0</v>
      </c>
      <c r="GX170" s="179">
        <f t="shared" ca="1" si="709"/>
        <v>0</v>
      </c>
    </row>
    <row r="171" spans="1:207" hidden="1">
      <c r="F171" s="104" t="s">
        <v>224</v>
      </c>
      <c r="G171" s="104" t="s">
        <v>226</v>
      </c>
      <c r="H171" s="405" t="s">
        <v>241</v>
      </c>
      <c r="I171" s="106" t="s">
        <v>242</v>
      </c>
      <c r="J171" s="104" t="s">
        <v>212</v>
      </c>
      <c r="K171" s="511" t="s">
        <v>208</v>
      </c>
      <c r="O171" s="549">
        <v>41376</v>
      </c>
      <c r="P171" s="359">
        <v>43647</v>
      </c>
      <c r="Q171" s="323"/>
      <c r="R171" s="109">
        <v>7</v>
      </c>
      <c r="S171" s="108"/>
      <c r="T171" s="110"/>
      <c r="U171" s="483"/>
      <c r="V171" s="483"/>
      <c r="W171" s="405"/>
      <c r="X171" s="405"/>
      <c r="Y171" s="492"/>
      <c r="Z171" s="406" t="s">
        <v>545</v>
      </c>
      <c r="AA171" s="394">
        <v>1000</v>
      </c>
      <c r="AB171" s="394">
        <v>1000</v>
      </c>
      <c r="AC171" s="394">
        <v>1000</v>
      </c>
      <c r="AD171" s="394">
        <v>1000</v>
      </c>
      <c r="AE171" s="394">
        <v>1000</v>
      </c>
      <c r="AF171" s="394">
        <v>1000</v>
      </c>
      <c r="AG171" s="394">
        <v>1000</v>
      </c>
      <c r="AH171" s="394">
        <v>1000</v>
      </c>
      <c r="AI171" s="394">
        <v>1000</v>
      </c>
      <c r="AJ171" s="394">
        <v>1000</v>
      </c>
      <c r="AK171" s="394">
        <v>1000</v>
      </c>
      <c r="AL171" s="394">
        <v>1000</v>
      </c>
      <c r="AM171" s="388">
        <f t="shared" si="592"/>
        <v>12000</v>
      </c>
      <c r="AN171" s="388">
        <f t="shared" si="593"/>
        <v>12000</v>
      </c>
      <c r="AO171" s="389">
        <f t="shared" si="594"/>
        <v>1000</v>
      </c>
      <c r="AP171" s="498" t="s">
        <v>675</v>
      </c>
      <c r="AQ171" s="159">
        <v>0.6</v>
      </c>
      <c r="AR171" s="160" t="s">
        <v>211</v>
      </c>
      <c r="AS171" s="119" t="s">
        <v>210</v>
      </c>
      <c r="AT171" s="504"/>
      <c r="AU171" s="504"/>
      <c r="AV171" s="111">
        <v>776677.55599999998</v>
      </c>
      <c r="AW171" s="111">
        <v>1112502.1939999999</v>
      </c>
      <c r="AX171" s="173"/>
      <c r="AY171" s="173"/>
      <c r="AZ171" s="113">
        <v>813612.90600000101</v>
      </c>
      <c r="BA171" s="506">
        <f t="shared" si="638"/>
        <v>1112502.1939999999</v>
      </c>
      <c r="BF171" s="114">
        <f t="shared" si="710"/>
        <v>0</v>
      </c>
      <c r="BG171" s="114">
        <f t="shared" si="711"/>
        <v>0</v>
      </c>
      <c r="BH171" s="114">
        <f t="shared" si="712"/>
        <v>813612.90600000101</v>
      </c>
      <c r="BI171" s="114">
        <f t="shared" si="713"/>
        <v>1112502.1939999999</v>
      </c>
      <c r="BJ171" s="114">
        <f t="shared" si="714"/>
        <v>1926115.100000001</v>
      </c>
      <c r="BK171" s="115">
        <f t="shared" si="715"/>
        <v>1889179.75</v>
      </c>
      <c r="BL171" s="115">
        <f t="shared" si="716"/>
        <v>1889179.75</v>
      </c>
      <c r="BM171" s="116">
        <f t="shared" si="717"/>
        <v>1.0196000000000001</v>
      </c>
      <c r="BN171" s="126">
        <f t="shared" ca="1" si="718"/>
        <v>0</v>
      </c>
      <c r="BO171" s="117">
        <f t="shared" ca="1" si="719"/>
        <v>0</v>
      </c>
      <c r="BP171" s="118" t="str">
        <f t="shared" si="450"/>
        <v>Uncapped</v>
      </c>
      <c r="BQ171" s="115">
        <f t="shared" ca="1" si="720"/>
        <v>0</v>
      </c>
      <c r="BR171" s="113" t="s">
        <v>688</v>
      </c>
      <c r="BS171" s="161">
        <v>0.2</v>
      </c>
      <c r="BT171" s="113" t="s">
        <v>211</v>
      </c>
      <c r="BU171" s="160" t="s">
        <v>210</v>
      </c>
      <c r="BV171" s="173"/>
      <c r="BW171" s="173"/>
      <c r="BX171" s="113">
        <v>22618799.574099999</v>
      </c>
      <c r="BY171" s="113">
        <v>27098464.121500004</v>
      </c>
      <c r="BZ171" s="173"/>
      <c r="CA171" s="173"/>
      <c r="CB171" s="113">
        <v>22879083.486580007</v>
      </c>
      <c r="CC171" s="506">
        <f t="shared" si="742"/>
        <v>27098464.121500004</v>
      </c>
      <c r="CH171" s="114">
        <f t="shared" si="721"/>
        <v>0</v>
      </c>
      <c r="CI171" s="114">
        <f t="shared" si="722"/>
        <v>0</v>
      </c>
      <c r="CJ171" s="120">
        <f t="shared" si="723"/>
        <v>22879083.486580007</v>
      </c>
      <c r="CK171" s="114">
        <f t="shared" si="724"/>
        <v>27098464.121500004</v>
      </c>
      <c r="CL171" s="114">
        <f t="shared" si="725"/>
        <v>49977547.608080015</v>
      </c>
      <c r="CM171" s="114">
        <f t="shared" si="726"/>
        <v>49717263.695600003</v>
      </c>
      <c r="CN171" s="114">
        <f t="shared" si="727"/>
        <v>49717263.695600003</v>
      </c>
      <c r="CO171" s="116">
        <f t="shared" si="728"/>
        <v>1.0052000000000001</v>
      </c>
      <c r="CP171" s="126">
        <f t="shared" ca="1" si="729"/>
        <v>0</v>
      </c>
      <c r="CQ171" s="115">
        <f t="shared" ca="1" si="730"/>
        <v>0</v>
      </c>
      <c r="CR171" s="118">
        <v>1</v>
      </c>
      <c r="CS171" s="115">
        <f t="shared" si="731"/>
        <v>2400</v>
      </c>
      <c r="CT171" s="113" t="s">
        <v>696</v>
      </c>
      <c r="CU171" s="119">
        <v>0.2</v>
      </c>
      <c r="CV171" s="113" t="s">
        <v>217</v>
      </c>
      <c r="CW171" s="113" t="s">
        <v>210</v>
      </c>
      <c r="CX171" s="173"/>
      <c r="CY171" s="173"/>
      <c r="CZ171" s="113">
        <v>69179032.514420599</v>
      </c>
      <c r="DA171" s="113">
        <v>76323964.015026003</v>
      </c>
      <c r="DB171" s="173"/>
      <c r="DC171" s="173"/>
      <c r="DD171" s="113">
        <v>66410604.684560001</v>
      </c>
      <c r="DE171" s="506">
        <v>76323964.015026003</v>
      </c>
      <c r="DF171" s="173"/>
      <c r="DG171" s="173"/>
      <c r="DH171" s="173"/>
      <c r="DI171" s="173"/>
      <c r="DJ171" s="114">
        <f t="shared" si="732"/>
        <v>0</v>
      </c>
      <c r="DK171" s="114">
        <f t="shared" si="733"/>
        <v>0</v>
      </c>
      <c r="DL171" s="114">
        <f t="shared" si="734"/>
        <v>66410604.684560001</v>
      </c>
      <c r="DM171" s="114">
        <f t="shared" si="735"/>
        <v>76323964.015026003</v>
      </c>
      <c r="DN171" s="114">
        <f t="shared" si="736"/>
        <v>142734568.699586</v>
      </c>
      <c r="DO171" s="114">
        <f t="shared" si="737"/>
        <v>145502996.5294466</v>
      </c>
      <c r="DP171" s="114">
        <f t="shared" si="738"/>
        <v>145502996.5294466</v>
      </c>
      <c r="DQ171" s="116">
        <f t="shared" si="739"/>
        <v>0.98099999999999998</v>
      </c>
      <c r="DR171" s="126">
        <f t="shared" ca="1" si="740"/>
        <v>0</v>
      </c>
      <c r="DS171" s="115">
        <f t="shared" ca="1" si="741"/>
        <v>0</v>
      </c>
      <c r="DT171" s="118">
        <v>1</v>
      </c>
      <c r="DU171" s="115">
        <f t="shared" si="578"/>
        <v>2400</v>
      </c>
      <c r="DV171" s="173"/>
      <c r="DW171" s="173"/>
      <c r="DX171" s="173"/>
      <c r="DY171" s="173"/>
      <c r="DZ171" s="173"/>
      <c r="EA171" s="173"/>
      <c r="EB171" s="173"/>
      <c r="EC171" s="173"/>
      <c r="ED171" s="173"/>
      <c r="EE171" s="173"/>
      <c r="EF171" s="173"/>
      <c r="EG171" s="173"/>
      <c r="EH171" s="173"/>
      <c r="EI171" s="173"/>
      <c r="EJ171" s="173"/>
      <c r="EK171" s="173"/>
      <c r="EL171" s="114">
        <f t="shared" si="672"/>
        <v>0</v>
      </c>
      <c r="EM171" s="114">
        <f t="shared" si="673"/>
        <v>0</v>
      </c>
      <c r="EN171" s="114">
        <f t="shared" si="674"/>
        <v>0</v>
      </c>
      <c r="EO171" s="114">
        <f t="shared" si="675"/>
        <v>0</v>
      </c>
      <c r="EP171" s="114">
        <f t="shared" si="676"/>
        <v>0</v>
      </c>
      <c r="EQ171" s="114">
        <f t="shared" si="677"/>
        <v>0</v>
      </c>
      <c r="ER171" s="114">
        <f t="shared" si="678"/>
        <v>0</v>
      </c>
      <c r="ES171" s="116">
        <f t="shared" si="679"/>
        <v>0</v>
      </c>
      <c r="ET171" s="126">
        <f t="shared" ca="1" si="680"/>
        <v>0</v>
      </c>
      <c r="EU171" s="115">
        <f t="shared" ca="1" si="681"/>
        <v>0</v>
      </c>
      <c r="EV171" s="118" t="str">
        <f t="shared" si="682"/>
        <v>Uncapped</v>
      </c>
      <c r="EW171" s="115">
        <f t="shared" ca="1" si="683"/>
        <v>0</v>
      </c>
      <c r="EX171" s="112">
        <f t="shared" ca="1" si="684"/>
        <v>0</v>
      </c>
      <c r="EY171" s="114">
        <f t="shared" ca="1" si="685"/>
        <v>0</v>
      </c>
      <c r="FD171" s="115">
        <f t="shared" si="477"/>
        <v>0</v>
      </c>
      <c r="FE171" s="114">
        <f t="shared" si="453"/>
        <v>0</v>
      </c>
      <c r="FJ171" s="115">
        <f t="shared" si="621"/>
        <v>0</v>
      </c>
      <c r="FK171" s="114">
        <f t="shared" si="454"/>
        <v>0</v>
      </c>
      <c r="FL171" s="514"/>
      <c r="FM171" s="514"/>
      <c r="FN171" s="514"/>
      <c r="FO171" s="514"/>
      <c r="FP171" s="115">
        <f t="shared" si="443"/>
        <v>0</v>
      </c>
      <c r="FT171" s="33">
        <f t="shared" si="639"/>
        <v>0</v>
      </c>
      <c r="FU171" s="361">
        <f t="shared" ca="1" si="640"/>
        <v>0</v>
      </c>
      <c r="FV171" s="33">
        <f t="shared" ca="1" si="624"/>
        <v>0</v>
      </c>
      <c r="FW171" s="33">
        <f t="shared" si="686"/>
        <v>0</v>
      </c>
      <c r="FX171" s="33">
        <f t="shared" si="687"/>
        <v>0</v>
      </c>
      <c r="FY171" s="33">
        <f t="shared" si="688"/>
        <v>0</v>
      </c>
      <c r="FZ171" s="33">
        <f t="shared" si="689"/>
        <v>0</v>
      </c>
      <c r="GA171" s="33">
        <f t="shared" si="690"/>
        <v>0</v>
      </c>
      <c r="GB171" s="33">
        <f t="shared" si="691"/>
        <v>0</v>
      </c>
      <c r="GC171" s="33">
        <f t="shared" si="692"/>
        <v>0</v>
      </c>
      <c r="GD171" s="33">
        <f t="shared" si="693"/>
        <v>0</v>
      </c>
      <c r="GE171" s="33">
        <f t="shared" si="694"/>
        <v>0</v>
      </c>
      <c r="GF171" s="33">
        <f t="shared" si="695"/>
        <v>0</v>
      </c>
      <c r="GG171" s="33">
        <f t="shared" si="696"/>
        <v>0</v>
      </c>
      <c r="GH171" s="33">
        <f t="shared" si="697"/>
        <v>0</v>
      </c>
      <c r="GI171" s="33">
        <f t="shared" si="698"/>
        <v>0</v>
      </c>
      <c r="GJ171" s="33">
        <f t="shared" si="699"/>
        <v>0</v>
      </c>
      <c r="GK171" s="33">
        <f t="shared" si="700"/>
        <v>0</v>
      </c>
      <c r="GL171" s="33">
        <f t="shared" si="701"/>
        <v>0</v>
      </c>
      <c r="GM171" s="33">
        <f t="shared" si="702"/>
        <v>0</v>
      </c>
      <c r="GN171" s="33">
        <f t="shared" si="703"/>
        <v>0</v>
      </c>
      <c r="GO171" s="33">
        <f t="shared" si="704"/>
        <v>0</v>
      </c>
      <c r="GP171" s="33">
        <f t="shared" si="705"/>
        <v>0</v>
      </c>
      <c r="GQ171" s="114">
        <f t="shared" si="590"/>
        <v>0</v>
      </c>
      <c r="GS171" s="507">
        <f t="shared" si="706"/>
        <v>194638231.40766603</v>
      </c>
      <c r="GT171" s="507">
        <f t="shared" si="707"/>
        <v>197109439.9750466</v>
      </c>
      <c r="GU171" s="31">
        <f t="shared" si="708"/>
        <v>0.98746275892370539</v>
      </c>
      <c r="GV171" s="124">
        <f t="shared" ca="1" si="588"/>
        <v>0</v>
      </c>
      <c r="GW171" s="124">
        <v>0</v>
      </c>
      <c r="GX171" s="179">
        <f t="shared" ca="1" si="709"/>
        <v>0</v>
      </c>
    </row>
    <row r="172" spans="1:207" hidden="1">
      <c r="F172" s="104" t="s">
        <v>248</v>
      </c>
      <c r="G172" s="403" t="s">
        <v>796</v>
      </c>
      <c r="H172" s="405" t="s">
        <v>251</v>
      </c>
      <c r="I172" s="106" t="s">
        <v>252</v>
      </c>
      <c r="J172" s="104" t="s">
        <v>212</v>
      </c>
      <c r="K172" s="511" t="s">
        <v>208</v>
      </c>
      <c r="O172" s="549">
        <v>41701</v>
      </c>
      <c r="P172" s="359">
        <v>43647</v>
      </c>
      <c r="Q172" s="323"/>
      <c r="R172" s="109">
        <v>7</v>
      </c>
      <c r="S172" s="108"/>
      <c r="T172" s="110"/>
      <c r="U172" s="483"/>
      <c r="V172" s="483"/>
      <c r="W172" s="405"/>
      <c r="X172" s="405"/>
      <c r="Y172" s="492"/>
      <c r="Z172" s="406" t="s">
        <v>545</v>
      </c>
      <c r="AA172" s="394">
        <v>1000</v>
      </c>
      <c r="AB172" s="394">
        <v>1000</v>
      </c>
      <c r="AC172" s="394">
        <v>1000</v>
      </c>
      <c r="AD172" s="394">
        <v>1000</v>
      </c>
      <c r="AE172" s="394">
        <v>1000</v>
      </c>
      <c r="AF172" s="394">
        <v>1000</v>
      </c>
      <c r="AG172" s="394">
        <v>1000</v>
      </c>
      <c r="AH172" s="394">
        <v>1000</v>
      </c>
      <c r="AI172" s="394">
        <v>1000</v>
      </c>
      <c r="AJ172" s="394">
        <v>1000</v>
      </c>
      <c r="AK172" s="394">
        <v>1000</v>
      </c>
      <c r="AL172" s="394">
        <v>1000</v>
      </c>
      <c r="AM172" s="388">
        <f t="shared" si="592"/>
        <v>12000</v>
      </c>
      <c r="AN172" s="388">
        <f t="shared" si="593"/>
        <v>12000</v>
      </c>
      <c r="AO172" s="389">
        <f t="shared" si="594"/>
        <v>1000</v>
      </c>
      <c r="AP172" s="498" t="s">
        <v>685</v>
      </c>
      <c r="AQ172" s="159">
        <v>0.8</v>
      </c>
      <c r="AR172" s="160" t="s">
        <v>392</v>
      </c>
      <c r="AS172" s="119" t="s">
        <v>210</v>
      </c>
      <c r="AT172" s="504"/>
      <c r="AU172" s="504"/>
      <c r="AV172" s="111">
        <v>2533469.2420000001</v>
      </c>
      <c r="AW172" s="111">
        <v>3023491.9134999998</v>
      </c>
      <c r="AX172" s="173"/>
      <c r="AY172" s="173"/>
      <c r="AZ172" s="113">
        <v>2747045.0877474295</v>
      </c>
      <c r="BA172" s="506">
        <f t="shared" si="638"/>
        <v>3023491.9134999998</v>
      </c>
      <c r="BF172" s="114">
        <f t="shared" si="710"/>
        <v>0</v>
      </c>
      <c r="BG172" s="114">
        <f t="shared" si="711"/>
        <v>0</v>
      </c>
      <c r="BH172" s="114">
        <f t="shared" si="712"/>
        <v>2747045.0877474295</v>
      </c>
      <c r="BI172" s="114">
        <f t="shared" si="713"/>
        <v>3023491.9134999998</v>
      </c>
      <c r="BJ172" s="114">
        <f t="shared" si="714"/>
        <v>5770537.0012474293</v>
      </c>
      <c r="BK172" s="115">
        <f t="shared" si="715"/>
        <v>5556961.1555000003</v>
      </c>
      <c r="BL172" s="115">
        <f t="shared" si="716"/>
        <v>5556961.1555000003</v>
      </c>
      <c r="BM172" s="116">
        <f t="shared" si="717"/>
        <v>1.0384</v>
      </c>
      <c r="BN172" s="126">
        <f t="shared" ca="1" si="718"/>
        <v>0</v>
      </c>
      <c r="BO172" s="117">
        <f t="shared" ca="1" si="719"/>
        <v>0</v>
      </c>
      <c r="BP172" s="118" t="str">
        <f t="shared" si="450"/>
        <v>Uncapped</v>
      </c>
      <c r="BQ172" s="115">
        <f t="shared" ca="1" si="720"/>
        <v>0</v>
      </c>
      <c r="BR172" s="113" t="s">
        <v>695</v>
      </c>
      <c r="BS172" s="161">
        <v>0.2</v>
      </c>
      <c r="BT172" s="113" t="s">
        <v>217</v>
      </c>
      <c r="BU172" s="160" t="s">
        <v>210</v>
      </c>
      <c r="BV172" s="173"/>
      <c r="BW172" s="173"/>
      <c r="BX172" s="113">
        <v>552581.10960000008</v>
      </c>
      <c r="BY172" s="113">
        <v>592604.09269999992</v>
      </c>
      <c r="BZ172" s="173"/>
      <c r="CA172" s="173"/>
      <c r="CB172" s="113">
        <v>590999.86889999988</v>
      </c>
      <c r="CC172" s="506">
        <f t="shared" si="742"/>
        <v>592604.09269999992</v>
      </c>
      <c r="CH172" s="114">
        <f t="shared" si="721"/>
        <v>0</v>
      </c>
      <c r="CI172" s="114">
        <f t="shared" si="722"/>
        <v>0</v>
      </c>
      <c r="CJ172" s="120">
        <f t="shared" si="723"/>
        <v>590999.86889999988</v>
      </c>
      <c r="CK172" s="114">
        <f t="shared" si="724"/>
        <v>592604.09269999992</v>
      </c>
      <c r="CL172" s="114">
        <f t="shared" si="725"/>
        <v>1183603.9615999998</v>
      </c>
      <c r="CM172" s="114">
        <f t="shared" si="726"/>
        <v>1145185.2023</v>
      </c>
      <c r="CN172" s="114">
        <f t="shared" si="727"/>
        <v>1145185.2023</v>
      </c>
      <c r="CO172" s="116">
        <f t="shared" si="728"/>
        <v>1.0335000000000001</v>
      </c>
      <c r="CP172" s="126">
        <f t="shared" ca="1" si="729"/>
        <v>0</v>
      </c>
      <c r="CQ172" s="115">
        <f t="shared" ca="1" si="730"/>
        <v>0</v>
      </c>
      <c r="CR172" s="118">
        <v>1</v>
      </c>
      <c r="CS172" s="115">
        <f t="shared" si="731"/>
        <v>2400</v>
      </c>
      <c r="CT172" s="513" t="s">
        <v>208</v>
      </c>
      <c r="CU172" s="173"/>
      <c r="CV172" s="173"/>
      <c r="CW172" s="173"/>
      <c r="CX172" s="173"/>
      <c r="CY172" s="173"/>
      <c r="CZ172" s="113">
        <v>22618799.574099999</v>
      </c>
      <c r="DA172" s="113">
        <v>27098464.121500004</v>
      </c>
      <c r="DB172" s="173"/>
      <c r="DC172" s="173"/>
      <c r="DD172" s="113">
        <v>22879083.486580007</v>
      </c>
      <c r="DE172" s="506">
        <v>27098464.121500004</v>
      </c>
      <c r="DF172" s="173"/>
      <c r="DG172" s="173"/>
      <c r="DH172" s="173"/>
      <c r="DI172" s="173"/>
      <c r="DJ172" s="114">
        <f t="shared" si="732"/>
        <v>0</v>
      </c>
      <c r="DK172" s="114">
        <f t="shared" si="733"/>
        <v>0</v>
      </c>
      <c r="DL172" s="114">
        <f t="shared" si="734"/>
        <v>22879083.486580007</v>
      </c>
      <c r="DM172" s="114">
        <f t="shared" si="735"/>
        <v>27098464.121500004</v>
      </c>
      <c r="DN172" s="114">
        <f t="shared" si="736"/>
        <v>49977547.608080015</v>
      </c>
      <c r="DO172" s="114">
        <f t="shared" si="737"/>
        <v>49717263.695600003</v>
      </c>
      <c r="DP172" s="114">
        <f t="shared" si="738"/>
        <v>49717263.695600003</v>
      </c>
      <c r="DQ172" s="116">
        <f t="shared" si="739"/>
        <v>1.0052000000000001</v>
      </c>
      <c r="DR172" s="126">
        <f t="shared" ca="1" si="740"/>
        <v>0</v>
      </c>
      <c r="DS172" s="115">
        <f t="shared" ca="1" si="741"/>
        <v>0</v>
      </c>
      <c r="DT172" s="118">
        <v>1</v>
      </c>
      <c r="DU172" s="115">
        <f t="shared" si="578"/>
        <v>0</v>
      </c>
      <c r="DV172" s="173"/>
      <c r="DW172" s="173"/>
      <c r="DX172" s="173"/>
      <c r="DY172" s="173"/>
      <c r="DZ172" s="173"/>
      <c r="EA172" s="173"/>
      <c r="EB172" s="173"/>
      <c r="EC172" s="173"/>
      <c r="ED172" s="173"/>
      <c r="EE172" s="173"/>
      <c r="EF172" s="173"/>
      <c r="EG172" s="173"/>
      <c r="EH172" s="173"/>
      <c r="EI172" s="173"/>
      <c r="EJ172" s="173"/>
      <c r="EK172" s="173"/>
      <c r="EL172" s="114">
        <f t="shared" si="672"/>
        <v>0</v>
      </c>
      <c r="EM172" s="114">
        <f t="shared" si="673"/>
        <v>0</v>
      </c>
      <c r="EN172" s="114">
        <f t="shared" si="674"/>
        <v>0</v>
      </c>
      <c r="EO172" s="114">
        <f t="shared" si="675"/>
        <v>0</v>
      </c>
      <c r="EP172" s="114">
        <f t="shared" si="676"/>
        <v>0</v>
      </c>
      <c r="EQ172" s="114">
        <f t="shared" si="677"/>
        <v>0</v>
      </c>
      <c r="ER172" s="114">
        <f t="shared" si="678"/>
        <v>0</v>
      </c>
      <c r="ES172" s="116">
        <f t="shared" si="679"/>
        <v>0</v>
      </c>
      <c r="ET172" s="126">
        <f t="shared" ca="1" si="680"/>
        <v>0</v>
      </c>
      <c r="EU172" s="115">
        <f t="shared" ca="1" si="681"/>
        <v>0</v>
      </c>
      <c r="EV172" s="118" t="str">
        <f t="shared" si="682"/>
        <v>Uncapped</v>
      </c>
      <c r="EW172" s="115">
        <f t="shared" ca="1" si="683"/>
        <v>0</v>
      </c>
      <c r="EX172" s="112">
        <f t="shared" ca="1" si="684"/>
        <v>0</v>
      </c>
      <c r="EY172" s="114">
        <f t="shared" ca="1" si="685"/>
        <v>0</v>
      </c>
      <c r="FD172" s="115">
        <f t="shared" si="477"/>
        <v>0</v>
      </c>
      <c r="FE172" s="114">
        <f t="shared" si="453"/>
        <v>0</v>
      </c>
      <c r="FJ172" s="115">
        <f t="shared" si="621"/>
        <v>0</v>
      </c>
      <c r="FK172" s="114">
        <f t="shared" si="454"/>
        <v>0</v>
      </c>
      <c r="FL172" s="514"/>
      <c r="FM172" s="514"/>
      <c r="FN172" s="514"/>
      <c r="FO172" s="514"/>
      <c r="FP172" s="115">
        <f t="shared" si="443"/>
        <v>0</v>
      </c>
      <c r="FT172" s="33">
        <f t="shared" si="639"/>
        <v>0</v>
      </c>
      <c r="FU172" s="361">
        <f t="shared" ca="1" si="640"/>
        <v>0</v>
      </c>
      <c r="FV172" s="33">
        <f t="shared" ca="1" si="624"/>
        <v>0</v>
      </c>
      <c r="FW172" s="33">
        <f t="shared" si="686"/>
        <v>0</v>
      </c>
      <c r="FX172" s="33">
        <f t="shared" si="687"/>
        <v>0</v>
      </c>
      <c r="FY172" s="33">
        <f t="shared" si="688"/>
        <v>0</v>
      </c>
      <c r="FZ172" s="33">
        <f t="shared" si="689"/>
        <v>0</v>
      </c>
      <c r="GA172" s="33">
        <f t="shared" si="690"/>
        <v>0</v>
      </c>
      <c r="GB172" s="33">
        <f t="shared" si="691"/>
        <v>0</v>
      </c>
      <c r="GC172" s="33">
        <f t="shared" si="692"/>
        <v>0</v>
      </c>
      <c r="GD172" s="33">
        <f t="shared" si="693"/>
        <v>0</v>
      </c>
      <c r="GE172" s="33">
        <f t="shared" si="694"/>
        <v>0</v>
      </c>
      <c r="GF172" s="33">
        <f t="shared" si="695"/>
        <v>0</v>
      </c>
      <c r="GG172" s="33">
        <f t="shared" si="696"/>
        <v>0</v>
      </c>
      <c r="GH172" s="33">
        <f t="shared" si="697"/>
        <v>0</v>
      </c>
      <c r="GI172" s="33">
        <f t="shared" si="698"/>
        <v>0</v>
      </c>
      <c r="GJ172" s="33">
        <f t="shared" si="699"/>
        <v>0</v>
      </c>
      <c r="GK172" s="33">
        <f t="shared" si="700"/>
        <v>0</v>
      </c>
      <c r="GL172" s="33">
        <f t="shared" si="701"/>
        <v>0</v>
      </c>
      <c r="GM172" s="33">
        <f t="shared" si="702"/>
        <v>0</v>
      </c>
      <c r="GN172" s="33">
        <f t="shared" si="703"/>
        <v>0</v>
      </c>
      <c r="GO172" s="33">
        <f t="shared" si="704"/>
        <v>0</v>
      </c>
      <c r="GP172" s="33">
        <f t="shared" si="705"/>
        <v>0</v>
      </c>
      <c r="GQ172" s="114">
        <f t="shared" si="590"/>
        <v>0</v>
      </c>
      <c r="GS172" s="507">
        <f t="shared" si="706"/>
        <v>56931688.570927441</v>
      </c>
      <c r="GT172" s="507">
        <f t="shared" si="707"/>
        <v>56419410.053400002</v>
      </c>
      <c r="GU172" s="31">
        <f t="shared" si="708"/>
        <v>1.009079827616818</v>
      </c>
      <c r="GV172" s="124">
        <f t="shared" ca="1" si="588"/>
        <v>0</v>
      </c>
      <c r="GW172" s="124">
        <v>0</v>
      </c>
      <c r="GX172" s="179">
        <f t="shared" ca="1" si="709"/>
        <v>0</v>
      </c>
    </row>
    <row r="173" spans="1:207" hidden="1">
      <c r="F173" s="460" t="s">
        <v>261</v>
      </c>
      <c r="G173" s="449" t="s">
        <v>226</v>
      </c>
      <c r="H173" s="405" t="s">
        <v>262</v>
      </c>
      <c r="I173" s="451" t="s">
        <v>263</v>
      </c>
      <c r="J173" s="449" t="s">
        <v>207</v>
      </c>
      <c r="K173" s="512" t="s">
        <v>208</v>
      </c>
      <c r="O173" s="550">
        <v>41376</v>
      </c>
      <c r="P173" s="359">
        <v>43647</v>
      </c>
      <c r="Q173" s="323"/>
      <c r="R173" s="109">
        <v>7</v>
      </c>
      <c r="S173" s="108"/>
      <c r="T173" s="110"/>
      <c r="U173" s="483"/>
      <c r="V173" s="483"/>
      <c r="W173" s="405"/>
      <c r="X173" s="405"/>
      <c r="Y173" s="492"/>
      <c r="Z173" s="406" t="s">
        <v>545</v>
      </c>
      <c r="AA173" s="394">
        <v>1000</v>
      </c>
      <c r="AB173" s="394">
        <v>1000</v>
      </c>
      <c r="AC173" s="394">
        <v>1000</v>
      </c>
      <c r="AD173" s="394">
        <v>1000</v>
      </c>
      <c r="AE173" s="394">
        <v>1000</v>
      </c>
      <c r="AF173" s="394">
        <v>1000</v>
      </c>
      <c r="AG173" s="394">
        <v>1000</v>
      </c>
      <c r="AH173" s="394">
        <v>1000</v>
      </c>
      <c r="AI173" s="394">
        <v>1000</v>
      </c>
      <c r="AJ173" s="394">
        <v>1000</v>
      </c>
      <c r="AK173" s="394">
        <v>1000</v>
      </c>
      <c r="AL173" s="394">
        <v>1000</v>
      </c>
      <c r="AM173" s="388">
        <f t="shared" si="592"/>
        <v>12000</v>
      </c>
      <c r="AN173" s="388">
        <f t="shared" si="593"/>
        <v>12000</v>
      </c>
      <c r="AO173" s="389">
        <f t="shared" si="594"/>
        <v>1000</v>
      </c>
      <c r="AP173" s="500" t="s">
        <v>682</v>
      </c>
      <c r="AQ173" s="461">
        <v>0.5</v>
      </c>
      <c r="AR173" s="462" t="s">
        <v>211</v>
      </c>
      <c r="AS173" s="463" t="s">
        <v>210</v>
      </c>
      <c r="AT173" s="504"/>
      <c r="AU173" s="504"/>
      <c r="AV173" s="464">
        <v>8863903.4937999994</v>
      </c>
      <c r="AW173" s="464">
        <v>10735934.438300001</v>
      </c>
      <c r="AX173" s="173"/>
      <c r="AY173" s="173"/>
      <c r="AZ173" s="460">
        <v>9149506.9754673615</v>
      </c>
      <c r="BA173" s="506">
        <f t="shared" si="638"/>
        <v>10735934.438300001</v>
      </c>
      <c r="BF173" s="114">
        <f t="shared" si="710"/>
        <v>0</v>
      </c>
      <c r="BG173" s="114">
        <f t="shared" si="711"/>
        <v>0</v>
      </c>
      <c r="BH173" s="114">
        <f t="shared" si="712"/>
        <v>9149506.9754673615</v>
      </c>
      <c r="BI173" s="114">
        <f t="shared" si="713"/>
        <v>10735934.438300001</v>
      </c>
      <c r="BJ173" s="114">
        <f t="shared" si="714"/>
        <v>19885441.41376736</v>
      </c>
      <c r="BK173" s="115">
        <f t="shared" si="715"/>
        <v>19599837.932099998</v>
      </c>
      <c r="BL173" s="115">
        <f t="shared" si="716"/>
        <v>19599837.932099998</v>
      </c>
      <c r="BM173" s="116">
        <f t="shared" si="717"/>
        <v>1.0145999999999999</v>
      </c>
      <c r="BN173" s="126">
        <f t="shared" ca="1" si="718"/>
        <v>0</v>
      </c>
      <c r="BO173" s="117">
        <f t="shared" ca="1" si="719"/>
        <v>0</v>
      </c>
      <c r="BP173" s="118" t="str">
        <f t="shared" si="450"/>
        <v>Uncapped</v>
      </c>
      <c r="BQ173" s="115">
        <f t="shared" ca="1" si="720"/>
        <v>0</v>
      </c>
      <c r="BR173" s="460" t="s">
        <v>700</v>
      </c>
      <c r="BS173" s="471">
        <v>0.3</v>
      </c>
      <c r="BT173" s="460" t="s">
        <v>211</v>
      </c>
      <c r="BU173" s="462" t="s">
        <v>210</v>
      </c>
      <c r="BV173" s="173"/>
      <c r="BW173" s="173"/>
      <c r="BX173" s="460">
        <v>2062904.5950000002</v>
      </c>
      <c r="BY173" s="460">
        <v>2068354.7149999996</v>
      </c>
      <c r="BZ173" s="173"/>
      <c r="CA173" s="173"/>
      <c r="CB173" s="460">
        <v>1837756.9151999999</v>
      </c>
      <c r="CC173" s="506">
        <f t="shared" si="742"/>
        <v>2068354.7149999996</v>
      </c>
      <c r="CH173" s="114">
        <f t="shared" si="721"/>
        <v>0</v>
      </c>
      <c r="CI173" s="114">
        <f t="shared" si="722"/>
        <v>0</v>
      </c>
      <c r="CJ173" s="120">
        <f t="shared" si="723"/>
        <v>1837756.9151999999</v>
      </c>
      <c r="CK173" s="114">
        <f t="shared" si="724"/>
        <v>2068354.7149999996</v>
      </c>
      <c r="CL173" s="114">
        <f t="shared" si="725"/>
        <v>3906111.6301999995</v>
      </c>
      <c r="CM173" s="114">
        <f t="shared" si="726"/>
        <v>4131259.3099999996</v>
      </c>
      <c r="CN173" s="114">
        <f t="shared" si="727"/>
        <v>4131259.3099999996</v>
      </c>
      <c r="CO173" s="116">
        <f t="shared" si="728"/>
        <v>0.94550000000000001</v>
      </c>
      <c r="CP173" s="126">
        <f t="shared" ca="1" si="729"/>
        <v>0</v>
      </c>
      <c r="CQ173" s="115">
        <f t="shared" ca="1" si="730"/>
        <v>0</v>
      </c>
      <c r="CR173" s="118">
        <v>1</v>
      </c>
      <c r="CS173" s="115">
        <f t="shared" si="731"/>
        <v>3600</v>
      </c>
      <c r="CT173" s="460" t="s">
        <v>702</v>
      </c>
      <c r="CU173" s="463">
        <v>0.2</v>
      </c>
      <c r="CV173" s="460" t="s">
        <v>217</v>
      </c>
      <c r="CW173" s="460" t="s">
        <v>210</v>
      </c>
      <c r="CX173" s="173"/>
      <c r="CY173" s="173"/>
      <c r="CZ173" s="460">
        <v>22618799.574099999</v>
      </c>
      <c r="DA173" s="460">
        <v>27098464.121500004</v>
      </c>
      <c r="DB173" s="173"/>
      <c r="DC173" s="173"/>
      <c r="DD173" s="460">
        <v>22879083.486580007</v>
      </c>
      <c r="DE173" s="506">
        <v>27098464.121500004</v>
      </c>
      <c r="DF173" s="173"/>
      <c r="DG173" s="173"/>
      <c r="DH173" s="173"/>
      <c r="DI173" s="173"/>
      <c r="DJ173" s="114">
        <f t="shared" si="732"/>
        <v>0</v>
      </c>
      <c r="DK173" s="114">
        <f t="shared" si="733"/>
        <v>0</v>
      </c>
      <c r="DL173" s="114">
        <f t="shared" si="734"/>
        <v>22879083.486580007</v>
      </c>
      <c r="DM173" s="114">
        <f t="shared" si="735"/>
        <v>27098464.121500004</v>
      </c>
      <c r="DN173" s="114">
        <f t="shared" si="736"/>
        <v>49977547.608080015</v>
      </c>
      <c r="DO173" s="114">
        <f t="shared" si="737"/>
        <v>49717263.695600003</v>
      </c>
      <c r="DP173" s="114">
        <f t="shared" si="738"/>
        <v>49717263.695600003</v>
      </c>
      <c r="DQ173" s="116">
        <f t="shared" si="739"/>
        <v>1.0052000000000001</v>
      </c>
      <c r="DR173" s="126">
        <f t="shared" ca="1" si="740"/>
        <v>0</v>
      </c>
      <c r="DS173" s="115">
        <f t="shared" ca="1" si="741"/>
        <v>0</v>
      </c>
      <c r="DT173" s="118">
        <v>1</v>
      </c>
      <c r="DU173" s="115">
        <f t="shared" si="578"/>
        <v>2400</v>
      </c>
      <c r="DV173" s="173"/>
      <c r="DW173" s="173"/>
      <c r="DX173" s="173"/>
      <c r="DY173" s="173"/>
      <c r="DZ173" s="173"/>
      <c r="EA173" s="173"/>
      <c r="EB173" s="173"/>
      <c r="EC173" s="173"/>
      <c r="ED173" s="173"/>
      <c r="EE173" s="173"/>
      <c r="EF173" s="173"/>
      <c r="EG173" s="173"/>
      <c r="EH173" s="173"/>
      <c r="EI173" s="173"/>
      <c r="EJ173" s="173"/>
      <c r="EK173" s="173"/>
      <c r="EL173" s="114">
        <f t="shared" si="672"/>
        <v>0</v>
      </c>
      <c r="EM173" s="114">
        <f t="shared" si="673"/>
        <v>0</v>
      </c>
      <c r="EN173" s="114">
        <f t="shared" si="674"/>
        <v>0</v>
      </c>
      <c r="EO173" s="114">
        <f t="shared" si="675"/>
        <v>0</v>
      </c>
      <c r="EP173" s="114">
        <f t="shared" si="676"/>
        <v>0</v>
      </c>
      <c r="EQ173" s="114">
        <f t="shared" si="677"/>
        <v>0</v>
      </c>
      <c r="ER173" s="114">
        <f t="shared" si="678"/>
        <v>0</v>
      </c>
      <c r="ES173" s="116">
        <f t="shared" si="679"/>
        <v>0</v>
      </c>
      <c r="ET173" s="126">
        <f t="shared" ca="1" si="680"/>
        <v>0</v>
      </c>
      <c r="EU173" s="115">
        <f t="shared" ca="1" si="681"/>
        <v>0</v>
      </c>
      <c r="EV173" s="118" t="str">
        <f t="shared" si="682"/>
        <v>Uncapped</v>
      </c>
      <c r="EW173" s="115">
        <f t="shared" ca="1" si="683"/>
        <v>0</v>
      </c>
      <c r="EX173" s="112">
        <f t="shared" ca="1" si="684"/>
        <v>0</v>
      </c>
      <c r="EY173" s="114">
        <f t="shared" ca="1" si="685"/>
        <v>0</v>
      </c>
      <c r="FD173" s="115">
        <f t="shared" si="477"/>
        <v>0</v>
      </c>
      <c r="FE173" s="114">
        <f t="shared" si="453"/>
        <v>0</v>
      </c>
      <c r="FJ173" s="115">
        <f t="shared" si="621"/>
        <v>0</v>
      </c>
      <c r="FK173" s="114">
        <f t="shared" si="454"/>
        <v>0</v>
      </c>
      <c r="FL173" s="514"/>
      <c r="FM173" s="514"/>
      <c r="FN173" s="514"/>
      <c r="FO173" s="514"/>
      <c r="FP173" s="115">
        <f t="shared" si="443"/>
        <v>0</v>
      </c>
      <c r="FT173" s="33">
        <f t="shared" si="639"/>
        <v>0</v>
      </c>
      <c r="FU173" s="361">
        <f t="shared" ca="1" si="640"/>
        <v>0</v>
      </c>
      <c r="FV173" s="33">
        <f t="shared" ca="1" si="624"/>
        <v>0</v>
      </c>
      <c r="FW173" s="33">
        <f t="shared" si="686"/>
        <v>0</v>
      </c>
      <c r="FX173" s="33">
        <f t="shared" si="687"/>
        <v>0</v>
      </c>
      <c r="FY173" s="33">
        <f t="shared" si="688"/>
        <v>0</v>
      </c>
      <c r="FZ173" s="33">
        <f t="shared" si="689"/>
        <v>0</v>
      </c>
      <c r="GA173" s="33">
        <f t="shared" si="690"/>
        <v>0</v>
      </c>
      <c r="GB173" s="33">
        <f t="shared" si="691"/>
        <v>0</v>
      </c>
      <c r="GC173" s="33">
        <f t="shared" si="692"/>
        <v>0</v>
      </c>
      <c r="GD173" s="33">
        <f t="shared" si="693"/>
        <v>0</v>
      </c>
      <c r="GE173" s="33">
        <f t="shared" si="694"/>
        <v>0</v>
      </c>
      <c r="GF173" s="33">
        <f t="shared" si="695"/>
        <v>0</v>
      </c>
      <c r="GG173" s="33">
        <f t="shared" si="696"/>
        <v>0</v>
      </c>
      <c r="GH173" s="33">
        <f t="shared" si="697"/>
        <v>0</v>
      </c>
      <c r="GI173" s="33">
        <f t="shared" si="698"/>
        <v>0</v>
      </c>
      <c r="GJ173" s="33">
        <f t="shared" si="699"/>
        <v>0</v>
      </c>
      <c r="GK173" s="33">
        <f t="shared" si="700"/>
        <v>0</v>
      </c>
      <c r="GL173" s="33">
        <f t="shared" si="701"/>
        <v>0</v>
      </c>
      <c r="GM173" s="33">
        <f t="shared" si="702"/>
        <v>0</v>
      </c>
      <c r="GN173" s="33">
        <f t="shared" si="703"/>
        <v>0</v>
      </c>
      <c r="GO173" s="33">
        <f t="shared" si="704"/>
        <v>0</v>
      </c>
      <c r="GP173" s="33">
        <f t="shared" si="705"/>
        <v>0</v>
      </c>
      <c r="GQ173" s="114">
        <f t="shared" si="590"/>
        <v>0</v>
      </c>
      <c r="GS173" s="507">
        <f t="shared" si="706"/>
        <v>73769100.652047366</v>
      </c>
      <c r="GT173" s="507">
        <f t="shared" si="707"/>
        <v>73448360.937700003</v>
      </c>
      <c r="GU173" s="31">
        <f t="shared" si="708"/>
        <v>1.0043668736817615</v>
      </c>
      <c r="GV173" s="124">
        <f t="shared" ca="1" si="588"/>
        <v>0</v>
      </c>
      <c r="GW173" s="124">
        <v>0</v>
      </c>
      <c r="GX173" s="179">
        <f t="shared" ca="1" si="709"/>
        <v>0</v>
      </c>
    </row>
    <row r="174" spans="1:207" hidden="1">
      <c r="F174" s="104" t="s">
        <v>235</v>
      </c>
      <c r="G174" s="104" t="s">
        <v>226</v>
      </c>
      <c r="H174" s="405" t="s">
        <v>300</v>
      </c>
      <c r="I174" s="106" t="s">
        <v>649</v>
      </c>
      <c r="J174" s="104" t="s">
        <v>238</v>
      </c>
      <c r="K174" s="511" t="s">
        <v>208</v>
      </c>
      <c r="O174" s="549">
        <v>41376</v>
      </c>
      <c r="P174" s="359">
        <v>43647</v>
      </c>
      <c r="Q174" s="323"/>
      <c r="R174" s="109">
        <v>7</v>
      </c>
      <c r="S174" s="108"/>
      <c r="T174" s="110"/>
      <c r="U174" s="483"/>
      <c r="V174" s="483"/>
      <c r="W174" s="405"/>
      <c r="X174" s="405"/>
      <c r="Y174" s="492"/>
      <c r="Z174" s="406" t="s">
        <v>545</v>
      </c>
      <c r="AA174" s="394">
        <v>1000</v>
      </c>
      <c r="AB174" s="394">
        <v>1000</v>
      </c>
      <c r="AC174" s="394">
        <v>1000</v>
      </c>
      <c r="AD174" s="394">
        <v>1000</v>
      </c>
      <c r="AE174" s="394">
        <v>1000</v>
      </c>
      <c r="AF174" s="394">
        <v>1000</v>
      </c>
      <c r="AG174" s="394">
        <v>1000</v>
      </c>
      <c r="AH174" s="394">
        <v>1000</v>
      </c>
      <c r="AI174" s="394">
        <v>1000</v>
      </c>
      <c r="AJ174" s="394">
        <v>1000</v>
      </c>
      <c r="AK174" s="394">
        <v>1000</v>
      </c>
      <c r="AL174" s="394">
        <v>1000</v>
      </c>
      <c r="AM174" s="388">
        <f t="shared" si="592"/>
        <v>12000</v>
      </c>
      <c r="AN174" s="388">
        <f t="shared" si="593"/>
        <v>12000</v>
      </c>
      <c r="AO174" s="389">
        <f t="shared" si="594"/>
        <v>1000</v>
      </c>
      <c r="AP174" s="498" t="s">
        <v>682</v>
      </c>
      <c r="AQ174" s="159">
        <v>0.5</v>
      </c>
      <c r="AR174" s="160" t="s">
        <v>211</v>
      </c>
      <c r="AS174" s="119" t="s">
        <v>210</v>
      </c>
      <c r="AT174" s="504"/>
      <c r="AU174" s="504"/>
      <c r="AV174" s="111">
        <v>2403013.8540666671</v>
      </c>
      <c r="AW174" s="111">
        <v>2872134.2993666665</v>
      </c>
      <c r="AX174" s="173"/>
      <c r="AY174" s="173"/>
      <c r="AZ174" s="113">
        <v>2666236.2623866103</v>
      </c>
      <c r="BA174" s="581">
        <f t="shared" si="638"/>
        <v>2872134.2993666665</v>
      </c>
      <c r="BB174" s="113"/>
      <c r="BF174" s="114">
        <f t="shared" si="710"/>
        <v>0</v>
      </c>
      <c r="BG174" s="114">
        <f t="shared" si="711"/>
        <v>0</v>
      </c>
      <c r="BH174" s="114">
        <f t="shared" si="712"/>
        <v>2666236.2623866103</v>
      </c>
      <c r="BI174" s="114">
        <f t="shared" si="713"/>
        <v>2872134.2993666665</v>
      </c>
      <c r="BJ174" s="114">
        <f t="shared" si="714"/>
        <v>5538370.5617532767</v>
      </c>
      <c r="BK174" s="115">
        <f t="shared" si="715"/>
        <v>5275148.1534333341</v>
      </c>
      <c r="BL174" s="115">
        <f t="shared" si="716"/>
        <v>5275148.1534333341</v>
      </c>
      <c r="BM174" s="116">
        <f t="shared" si="717"/>
        <v>1.0499000000000001</v>
      </c>
      <c r="BN174" s="126">
        <f t="shared" ca="1" si="718"/>
        <v>0</v>
      </c>
      <c r="BO174" s="117">
        <f t="shared" ca="1" si="719"/>
        <v>0</v>
      </c>
      <c r="BP174" s="118" t="str">
        <f t="shared" si="450"/>
        <v>Uncapped</v>
      </c>
      <c r="BQ174" s="115">
        <f t="shared" ca="1" si="720"/>
        <v>0</v>
      </c>
      <c r="BR174" s="113" t="s">
        <v>700</v>
      </c>
      <c r="BS174" s="161">
        <v>0.3</v>
      </c>
      <c r="BT174" s="113" t="s">
        <v>211</v>
      </c>
      <c r="BU174" s="160" t="s">
        <v>210</v>
      </c>
      <c r="BV174" s="173"/>
      <c r="BW174" s="173"/>
      <c r="BX174" s="113">
        <v>382862</v>
      </c>
      <c r="BY174" s="113">
        <v>410330.25</v>
      </c>
      <c r="BZ174" s="173"/>
      <c r="CA174" s="173"/>
      <c r="CB174" s="113">
        <v>331128.29879999999</v>
      </c>
      <c r="CC174" s="506">
        <f t="shared" si="742"/>
        <v>410330.25</v>
      </c>
      <c r="CH174" s="114">
        <f t="shared" si="721"/>
        <v>0</v>
      </c>
      <c r="CI174" s="114">
        <f t="shared" si="722"/>
        <v>0</v>
      </c>
      <c r="CJ174" s="120">
        <f t="shared" si="723"/>
        <v>331128.29879999999</v>
      </c>
      <c r="CK174" s="114">
        <f t="shared" si="724"/>
        <v>410330.25</v>
      </c>
      <c r="CL174" s="114">
        <f t="shared" si="725"/>
        <v>741458.54879999999</v>
      </c>
      <c r="CM174" s="114">
        <f t="shared" si="726"/>
        <v>793192.25</v>
      </c>
      <c r="CN174" s="114">
        <f t="shared" si="727"/>
        <v>793192.25</v>
      </c>
      <c r="CO174" s="116">
        <f t="shared" si="728"/>
        <v>0.93479999999999996</v>
      </c>
      <c r="CP174" s="126">
        <f t="shared" ca="1" si="729"/>
        <v>0</v>
      </c>
      <c r="CQ174" s="115">
        <f t="shared" ca="1" si="730"/>
        <v>0</v>
      </c>
      <c r="CR174" s="118">
        <v>1</v>
      </c>
      <c r="CS174" s="115">
        <f t="shared" si="731"/>
        <v>3600</v>
      </c>
      <c r="CT174" s="113" t="s">
        <v>696</v>
      </c>
      <c r="CU174" s="119">
        <v>0.2</v>
      </c>
      <c r="CV174" s="113" t="s">
        <v>217</v>
      </c>
      <c r="CW174" s="113" t="s">
        <v>210</v>
      </c>
      <c r="CX174" s="173"/>
      <c r="CY174" s="173"/>
      <c r="CZ174" s="113">
        <v>69179032.514420599</v>
      </c>
      <c r="DA174" s="113">
        <v>76323964.015026003</v>
      </c>
      <c r="DB174" s="173"/>
      <c r="DC174" s="173"/>
      <c r="DD174" s="113">
        <v>66410604.684560001</v>
      </c>
      <c r="DE174" s="506">
        <v>76323964.015026003</v>
      </c>
      <c r="DF174" s="173"/>
      <c r="DG174" s="173"/>
      <c r="DH174" s="173"/>
      <c r="DI174" s="173"/>
      <c r="DJ174" s="114">
        <f t="shared" si="732"/>
        <v>0</v>
      </c>
      <c r="DK174" s="114">
        <f t="shared" si="733"/>
        <v>0</v>
      </c>
      <c r="DL174" s="114">
        <f t="shared" si="734"/>
        <v>66410604.684560001</v>
      </c>
      <c r="DM174" s="114">
        <f t="shared" si="735"/>
        <v>76323964.015026003</v>
      </c>
      <c r="DN174" s="114">
        <f t="shared" si="736"/>
        <v>142734568.699586</v>
      </c>
      <c r="DO174" s="114">
        <f t="shared" si="737"/>
        <v>145502996.5294466</v>
      </c>
      <c r="DP174" s="114">
        <f t="shared" si="738"/>
        <v>145502996.5294466</v>
      </c>
      <c r="DQ174" s="116">
        <f t="shared" si="739"/>
        <v>0.98099999999999998</v>
      </c>
      <c r="DR174" s="126">
        <f t="shared" ca="1" si="740"/>
        <v>0</v>
      </c>
      <c r="DS174" s="115">
        <f t="shared" ca="1" si="741"/>
        <v>0</v>
      </c>
      <c r="DT174" s="118">
        <v>1</v>
      </c>
      <c r="DU174" s="115">
        <f t="shared" si="578"/>
        <v>2400</v>
      </c>
      <c r="DV174" s="173"/>
      <c r="DW174" s="173"/>
      <c r="DX174" s="173"/>
      <c r="DY174" s="173"/>
      <c r="DZ174" s="173"/>
      <c r="EA174" s="173"/>
      <c r="EB174" s="173"/>
      <c r="EC174" s="173"/>
      <c r="ED174" s="173"/>
      <c r="EE174" s="173"/>
      <c r="EF174" s="173"/>
      <c r="EG174" s="173"/>
      <c r="EH174" s="173"/>
      <c r="EI174" s="173"/>
      <c r="EJ174" s="173"/>
      <c r="EK174" s="173"/>
      <c r="EL174" s="114">
        <f t="shared" si="672"/>
        <v>0</v>
      </c>
      <c r="EM174" s="114">
        <f t="shared" si="673"/>
        <v>0</v>
      </c>
      <c r="EN174" s="114">
        <f t="shared" si="674"/>
        <v>0</v>
      </c>
      <c r="EO174" s="114">
        <f t="shared" si="675"/>
        <v>0</v>
      </c>
      <c r="EP174" s="114">
        <f t="shared" si="676"/>
        <v>0</v>
      </c>
      <c r="EQ174" s="114">
        <f t="shared" si="677"/>
        <v>0</v>
      </c>
      <c r="ER174" s="114">
        <f t="shared" si="678"/>
        <v>0</v>
      </c>
      <c r="ES174" s="116">
        <f t="shared" si="679"/>
        <v>0</v>
      </c>
      <c r="ET174" s="126">
        <f t="shared" ca="1" si="680"/>
        <v>0</v>
      </c>
      <c r="EU174" s="115">
        <f t="shared" ca="1" si="681"/>
        <v>0</v>
      </c>
      <c r="EV174" s="118" t="str">
        <f t="shared" si="682"/>
        <v>Uncapped</v>
      </c>
      <c r="EW174" s="115">
        <f t="shared" ca="1" si="683"/>
        <v>0</v>
      </c>
      <c r="EX174" s="112">
        <f t="shared" ca="1" si="684"/>
        <v>0</v>
      </c>
      <c r="EY174" s="114">
        <f t="shared" ca="1" si="685"/>
        <v>0</v>
      </c>
      <c r="FD174" s="115">
        <f t="shared" si="477"/>
        <v>0</v>
      </c>
      <c r="FE174" s="114">
        <f t="shared" si="453"/>
        <v>0</v>
      </c>
      <c r="FJ174" s="115">
        <f t="shared" si="621"/>
        <v>0</v>
      </c>
      <c r="FK174" s="114">
        <f t="shared" si="454"/>
        <v>0</v>
      </c>
      <c r="FL174" s="514"/>
      <c r="FM174" s="514"/>
      <c r="FN174" s="514"/>
      <c r="FO174" s="514"/>
      <c r="FP174" s="115">
        <f t="shared" si="443"/>
        <v>0</v>
      </c>
      <c r="FT174" s="33">
        <f t="shared" si="639"/>
        <v>0</v>
      </c>
      <c r="FU174" s="361">
        <f t="shared" ca="1" si="640"/>
        <v>0</v>
      </c>
      <c r="FV174" s="33">
        <f t="shared" ca="1" si="624"/>
        <v>0</v>
      </c>
      <c r="FW174" s="33">
        <f t="shared" si="686"/>
        <v>0</v>
      </c>
      <c r="FX174" s="33">
        <f t="shared" si="687"/>
        <v>0</v>
      </c>
      <c r="FY174" s="33">
        <f t="shared" si="688"/>
        <v>0</v>
      </c>
      <c r="FZ174" s="33">
        <f t="shared" si="689"/>
        <v>0</v>
      </c>
      <c r="GA174" s="33">
        <f t="shared" si="690"/>
        <v>0</v>
      </c>
      <c r="GB174" s="33">
        <f t="shared" si="691"/>
        <v>0</v>
      </c>
      <c r="GC174" s="33">
        <f t="shared" si="692"/>
        <v>0</v>
      </c>
      <c r="GD174" s="33">
        <f t="shared" si="693"/>
        <v>0</v>
      </c>
      <c r="GE174" s="33">
        <f t="shared" si="694"/>
        <v>0</v>
      </c>
      <c r="GF174" s="33">
        <f t="shared" si="695"/>
        <v>0</v>
      </c>
      <c r="GG174" s="33">
        <f t="shared" si="696"/>
        <v>0</v>
      </c>
      <c r="GH174" s="33">
        <f t="shared" si="697"/>
        <v>0</v>
      </c>
      <c r="GI174" s="33">
        <f t="shared" si="698"/>
        <v>0</v>
      </c>
      <c r="GJ174" s="33">
        <f t="shared" si="699"/>
        <v>0</v>
      </c>
      <c r="GK174" s="33">
        <f t="shared" si="700"/>
        <v>0</v>
      </c>
      <c r="GL174" s="33">
        <f t="shared" si="701"/>
        <v>0</v>
      </c>
      <c r="GM174" s="33">
        <f t="shared" si="702"/>
        <v>0</v>
      </c>
      <c r="GN174" s="33">
        <f t="shared" si="703"/>
        <v>0</v>
      </c>
      <c r="GO174" s="33">
        <f t="shared" si="704"/>
        <v>0</v>
      </c>
      <c r="GP174" s="33">
        <f t="shared" si="705"/>
        <v>0</v>
      </c>
      <c r="GQ174" s="114">
        <f t="shared" si="590"/>
        <v>0</v>
      </c>
      <c r="GS174" s="507">
        <f t="shared" si="706"/>
        <v>149014397.81013927</v>
      </c>
      <c r="GT174" s="507">
        <f t="shared" si="707"/>
        <v>151571336.93287992</v>
      </c>
      <c r="GU174" s="31">
        <f t="shared" si="708"/>
        <v>0.98313045741707128</v>
      </c>
      <c r="GV174" s="124">
        <f t="shared" ca="1" si="588"/>
        <v>0</v>
      </c>
      <c r="GW174" s="124">
        <v>0</v>
      </c>
      <c r="GX174" s="179">
        <f t="shared" ca="1" si="709"/>
        <v>0</v>
      </c>
    </row>
    <row r="175" spans="1:207" hidden="1">
      <c r="F175" s="104" t="s">
        <v>261</v>
      </c>
      <c r="G175" s="104" t="s">
        <v>226</v>
      </c>
      <c r="H175" s="405" t="s">
        <v>330</v>
      </c>
      <c r="I175" s="106" t="s">
        <v>331</v>
      </c>
      <c r="J175" s="104" t="s">
        <v>207</v>
      </c>
      <c r="K175" s="511" t="s">
        <v>208</v>
      </c>
      <c r="O175" s="549">
        <v>42954</v>
      </c>
      <c r="P175" s="359">
        <v>43647</v>
      </c>
      <c r="Q175" s="323"/>
      <c r="R175" s="109">
        <v>7</v>
      </c>
      <c r="S175" s="108"/>
      <c r="T175" s="110"/>
      <c r="U175" s="483"/>
      <c r="V175" s="483"/>
      <c r="W175" s="405"/>
      <c r="X175" s="405"/>
      <c r="Y175" s="492"/>
      <c r="Z175" s="406" t="s">
        <v>545</v>
      </c>
      <c r="AA175" s="394">
        <v>1000</v>
      </c>
      <c r="AB175" s="394">
        <v>1000</v>
      </c>
      <c r="AC175" s="394">
        <v>1000</v>
      </c>
      <c r="AD175" s="394">
        <v>1000</v>
      </c>
      <c r="AE175" s="394">
        <v>1000</v>
      </c>
      <c r="AF175" s="394">
        <v>1000</v>
      </c>
      <c r="AG175" s="394">
        <v>1000</v>
      </c>
      <c r="AH175" s="394">
        <v>1000</v>
      </c>
      <c r="AI175" s="394">
        <v>1000</v>
      </c>
      <c r="AJ175" s="394">
        <v>1000</v>
      </c>
      <c r="AK175" s="394">
        <v>1000</v>
      </c>
      <c r="AL175" s="394">
        <v>1000</v>
      </c>
      <c r="AM175" s="388">
        <f t="shared" si="592"/>
        <v>12000</v>
      </c>
      <c r="AN175" s="388">
        <f t="shared" si="593"/>
        <v>12000</v>
      </c>
      <c r="AO175" s="389">
        <f t="shared" si="594"/>
        <v>1000</v>
      </c>
      <c r="AP175" s="498" t="s">
        <v>682</v>
      </c>
      <c r="AQ175" s="159">
        <v>0.5</v>
      </c>
      <c r="AR175" s="160" t="s">
        <v>211</v>
      </c>
      <c r="AS175" s="119" t="s">
        <v>210</v>
      </c>
      <c r="AT175" s="504"/>
      <c r="AU175" s="504"/>
      <c r="AV175" s="111">
        <v>3746953.1584000001</v>
      </c>
      <c r="AW175" s="111">
        <v>4578926.4906000001</v>
      </c>
      <c r="AX175" s="173"/>
      <c r="AY175" s="173"/>
      <c r="AZ175" s="113">
        <v>3599733.7100519915</v>
      </c>
      <c r="BA175" s="506">
        <f t="shared" si="638"/>
        <v>4578926.4906000001</v>
      </c>
      <c r="BF175" s="114">
        <f t="shared" si="710"/>
        <v>0</v>
      </c>
      <c r="BG175" s="114">
        <f t="shared" si="711"/>
        <v>0</v>
      </c>
      <c r="BH175" s="114">
        <f t="shared" si="712"/>
        <v>3599733.7100519915</v>
      </c>
      <c r="BI175" s="114">
        <f t="shared" si="713"/>
        <v>4578926.4906000001</v>
      </c>
      <c r="BJ175" s="114">
        <f t="shared" si="714"/>
        <v>8178660.2006519921</v>
      </c>
      <c r="BK175" s="115">
        <f t="shared" si="715"/>
        <v>8325879.6490000002</v>
      </c>
      <c r="BL175" s="115">
        <f t="shared" si="716"/>
        <v>8325879.6490000002</v>
      </c>
      <c r="BM175" s="116">
        <f t="shared" si="717"/>
        <v>0.98229999999999995</v>
      </c>
      <c r="BN175" s="126">
        <f t="shared" ca="1" si="718"/>
        <v>0</v>
      </c>
      <c r="BO175" s="117">
        <f t="shared" ca="1" si="719"/>
        <v>0</v>
      </c>
      <c r="BP175" s="118" t="str">
        <f t="shared" si="450"/>
        <v>Uncapped</v>
      </c>
      <c r="BQ175" s="115">
        <f t="shared" ca="1" si="720"/>
        <v>0</v>
      </c>
      <c r="BR175" s="113" t="s">
        <v>700</v>
      </c>
      <c r="BS175" s="161">
        <v>0.3</v>
      </c>
      <c r="BT175" s="113" t="s">
        <v>211</v>
      </c>
      <c r="BU175" s="160" t="s">
        <v>210</v>
      </c>
      <c r="BV175" s="173"/>
      <c r="BW175" s="173"/>
      <c r="BX175" s="113">
        <v>263460.38</v>
      </c>
      <c r="BY175" s="113">
        <v>236259.96</v>
      </c>
      <c r="BZ175" s="173"/>
      <c r="CA175" s="173"/>
      <c r="CB175" s="113">
        <v>116091.13500000001</v>
      </c>
      <c r="CC175" s="506">
        <f t="shared" si="742"/>
        <v>236259.96</v>
      </c>
      <c r="CH175" s="114">
        <f t="shared" si="721"/>
        <v>0</v>
      </c>
      <c r="CI175" s="114">
        <f t="shared" si="722"/>
        <v>0</v>
      </c>
      <c r="CJ175" s="120">
        <f t="shared" si="723"/>
        <v>116091.13500000001</v>
      </c>
      <c r="CK175" s="114">
        <f t="shared" si="724"/>
        <v>236259.96</v>
      </c>
      <c r="CL175" s="114">
        <f t="shared" si="725"/>
        <v>352351.09499999997</v>
      </c>
      <c r="CM175" s="114">
        <f t="shared" si="726"/>
        <v>499720.33999999997</v>
      </c>
      <c r="CN175" s="114">
        <f t="shared" si="727"/>
        <v>499720.33999999997</v>
      </c>
      <c r="CO175" s="116">
        <f t="shared" si="728"/>
        <v>0.70509999999999995</v>
      </c>
      <c r="CP175" s="126">
        <f t="shared" ca="1" si="729"/>
        <v>0</v>
      </c>
      <c r="CQ175" s="115">
        <f t="shared" ca="1" si="730"/>
        <v>0</v>
      </c>
      <c r="CR175" s="118">
        <v>1</v>
      </c>
      <c r="CS175" s="115">
        <f t="shared" si="731"/>
        <v>3600</v>
      </c>
      <c r="CT175" s="113" t="s">
        <v>702</v>
      </c>
      <c r="CU175" s="119">
        <v>0.2</v>
      </c>
      <c r="CV175" s="113" t="s">
        <v>217</v>
      </c>
      <c r="CW175" s="113" t="s">
        <v>210</v>
      </c>
      <c r="CX175" s="173"/>
      <c r="CY175" s="173"/>
      <c r="CZ175" s="113">
        <v>22618799.574099999</v>
      </c>
      <c r="DA175" s="113">
        <v>27098464.121500004</v>
      </c>
      <c r="DB175" s="173"/>
      <c r="DC175" s="173"/>
      <c r="DD175" s="113">
        <v>22879083.486580007</v>
      </c>
      <c r="DE175" s="506">
        <v>27098464.121500004</v>
      </c>
      <c r="DF175" s="173"/>
      <c r="DG175" s="173"/>
      <c r="DH175" s="173"/>
      <c r="DI175" s="173"/>
      <c r="DJ175" s="114">
        <f t="shared" si="732"/>
        <v>0</v>
      </c>
      <c r="DK175" s="114">
        <f t="shared" si="733"/>
        <v>0</v>
      </c>
      <c r="DL175" s="114">
        <f t="shared" si="734"/>
        <v>22879083.486580007</v>
      </c>
      <c r="DM175" s="114">
        <f t="shared" si="735"/>
        <v>27098464.121500004</v>
      </c>
      <c r="DN175" s="114">
        <f t="shared" si="736"/>
        <v>49977547.608080015</v>
      </c>
      <c r="DO175" s="114">
        <f t="shared" si="737"/>
        <v>49717263.695600003</v>
      </c>
      <c r="DP175" s="114">
        <f t="shared" si="738"/>
        <v>49717263.695600003</v>
      </c>
      <c r="DQ175" s="116">
        <f t="shared" si="739"/>
        <v>1.0052000000000001</v>
      </c>
      <c r="DR175" s="126">
        <f t="shared" ca="1" si="740"/>
        <v>0</v>
      </c>
      <c r="DS175" s="115">
        <f t="shared" ca="1" si="741"/>
        <v>0</v>
      </c>
      <c r="DT175" s="118">
        <v>1</v>
      </c>
      <c r="DU175" s="115">
        <f t="shared" si="578"/>
        <v>2400</v>
      </c>
      <c r="DV175" s="173"/>
      <c r="DW175" s="173"/>
      <c r="DX175" s="173"/>
      <c r="DY175" s="173"/>
      <c r="DZ175" s="173"/>
      <c r="EA175" s="173"/>
      <c r="EB175" s="173"/>
      <c r="EC175" s="173"/>
      <c r="ED175" s="173"/>
      <c r="EE175" s="173"/>
      <c r="EF175" s="173"/>
      <c r="EG175" s="173"/>
      <c r="EH175" s="173"/>
      <c r="EI175" s="173"/>
      <c r="EJ175" s="173"/>
      <c r="EK175" s="173"/>
      <c r="EL175" s="114">
        <f t="shared" si="672"/>
        <v>0</v>
      </c>
      <c r="EM175" s="114">
        <f t="shared" si="673"/>
        <v>0</v>
      </c>
      <c r="EN175" s="114">
        <f t="shared" si="674"/>
        <v>0</v>
      </c>
      <c r="EO175" s="114">
        <f t="shared" si="675"/>
        <v>0</v>
      </c>
      <c r="EP175" s="114">
        <f t="shared" si="676"/>
        <v>0</v>
      </c>
      <c r="EQ175" s="114">
        <f t="shared" si="677"/>
        <v>0</v>
      </c>
      <c r="ER175" s="114">
        <f t="shared" si="678"/>
        <v>0</v>
      </c>
      <c r="ES175" s="116">
        <f t="shared" si="679"/>
        <v>0</v>
      </c>
      <c r="ET175" s="126">
        <f t="shared" ca="1" si="680"/>
        <v>0</v>
      </c>
      <c r="EU175" s="115">
        <f t="shared" ca="1" si="681"/>
        <v>0</v>
      </c>
      <c r="EV175" s="118" t="str">
        <f t="shared" si="682"/>
        <v>Uncapped</v>
      </c>
      <c r="EW175" s="115">
        <f t="shared" ca="1" si="683"/>
        <v>0</v>
      </c>
      <c r="EX175" s="112">
        <f t="shared" ca="1" si="684"/>
        <v>0</v>
      </c>
      <c r="EY175" s="114">
        <f t="shared" ca="1" si="685"/>
        <v>0</v>
      </c>
      <c r="FD175" s="115">
        <f t="shared" si="477"/>
        <v>0</v>
      </c>
      <c r="FE175" s="114">
        <f t="shared" si="453"/>
        <v>0</v>
      </c>
      <c r="FJ175" s="115">
        <f t="shared" si="621"/>
        <v>0</v>
      </c>
      <c r="FK175" s="114">
        <f t="shared" si="454"/>
        <v>0</v>
      </c>
      <c r="FL175" s="514"/>
      <c r="FM175" s="514"/>
      <c r="FN175" s="514"/>
      <c r="FO175" s="514"/>
      <c r="FP175" s="115">
        <f t="shared" si="443"/>
        <v>0</v>
      </c>
      <c r="FT175" s="33">
        <f t="shared" si="639"/>
        <v>0</v>
      </c>
      <c r="FU175" s="361">
        <f t="shared" ca="1" si="640"/>
        <v>0</v>
      </c>
      <c r="FV175" s="33">
        <f t="shared" ca="1" si="624"/>
        <v>0</v>
      </c>
      <c r="FW175" s="33">
        <f t="shared" si="686"/>
        <v>0</v>
      </c>
      <c r="FX175" s="33">
        <f t="shared" si="687"/>
        <v>0</v>
      </c>
      <c r="FY175" s="33">
        <f t="shared" si="688"/>
        <v>0</v>
      </c>
      <c r="FZ175" s="33">
        <f t="shared" si="689"/>
        <v>0</v>
      </c>
      <c r="GA175" s="33">
        <f t="shared" si="690"/>
        <v>0</v>
      </c>
      <c r="GB175" s="33">
        <f t="shared" si="691"/>
        <v>0</v>
      </c>
      <c r="GC175" s="33">
        <f t="shared" si="692"/>
        <v>0</v>
      </c>
      <c r="GD175" s="33">
        <f t="shared" si="693"/>
        <v>0</v>
      </c>
      <c r="GE175" s="33">
        <f t="shared" si="694"/>
        <v>0</v>
      </c>
      <c r="GF175" s="33">
        <f t="shared" si="695"/>
        <v>0</v>
      </c>
      <c r="GG175" s="33">
        <f t="shared" si="696"/>
        <v>0</v>
      </c>
      <c r="GH175" s="33">
        <f t="shared" si="697"/>
        <v>0</v>
      </c>
      <c r="GI175" s="33">
        <f t="shared" si="698"/>
        <v>0</v>
      </c>
      <c r="GJ175" s="33">
        <f t="shared" si="699"/>
        <v>0</v>
      </c>
      <c r="GK175" s="33">
        <f t="shared" si="700"/>
        <v>0</v>
      </c>
      <c r="GL175" s="33">
        <f t="shared" si="701"/>
        <v>0</v>
      </c>
      <c r="GM175" s="33">
        <f t="shared" si="702"/>
        <v>0</v>
      </c>
      <c r="GN175" s="33">
        <f t="shared" si="703"/>
        <v>0</v>
      </c>
      <c r="GO175" s="33">
        <f t="shared" si="704"/>
        <v>0</v>
      </c>
      <c r="GP175" s="33">
        <f t="shared" si="705"/>
        <v>0</v>
      </c>
      <c r="GQ175" s="114">
        <f t="shared" si="590"/>
        <v>0</v>
      </c>
      <c r="GS175" s="507">
        <f t="shared" si="706"/>
        <v>58508558.903732009</v>
      </c>
      <c r="GT175" s="507">
        <f t="shared" si="707"/>
        <v>58542863.684600003</v>
      </c>
      <c r="GU175" s="31">
        <f t="shared" si="708"/>
        <v>0.99941402284225778</v>
      </c>
      <c r="GV175" s="124">
        <f t="shared" ca="1" si="588"/>
        <v>0</v>
      </c>
      <c r="GW175" s="124">
        <v>0</v>
      </c>
      <c r="GX175" s="179">
        <f t="shared" ca="1" si="709"/>
        <v>0</v>
      </c>
    </row>
    <row r="176" spans="1:207" hidden="1">
      <c r="F176" s="104" t="s">
        <v>347</v>
      </c>
      <c r="G176" s="104" t="s">
        <v>226</v>
      </c>
      <c r="H176" s="405" t="s">
        <v>351</v>
      </c>
      <c r="I176" s="106" t="s">
        <v>352</v>
      </c>
      <c r="J176" s="104" t="s">
        <v>212</v>
      </c>
      <c r="K176" s="511" t="s">
        <v>208</v>
      </c>
      <c r="O176" s="549">
        <v>41376</v>
      </c>
      <c r="P176" s="359">
        <v>43647</v>
      </c>
      <c r="Q176" s="323"/>
      <c r="R176" s="109">
        <v>7</v>
      </c>
      <c r="S176" s="108"/>
      <c r="T176" s="110"/>
      <c r="U176" s="483"/>
      <c r="V176" s="483"/>
      <c r="W176" s="405"/>
      <c r="X176" s="405"/>
      <c r="Y176" s="492"/>
      <c r="Z176" s="406" t="s">
        <v>545</v>
      </c>
      <c r="AA176" s="394">
        <v>1000</v>
      </c>
      <c r="AB176" s="394">
        <v>1000</v>
      </c>
      <c r="AC176" s="394">
        <v>1000</v>
      </c>
      <c r="AD176" s="394">
        <v>1000</v>
      </c>
      <c r="AE176" s="394">
        <v>1000</v>
      </c>
      <c r="AF176" s="394">
        <v>1000</v>
      </c>
      <c r="AG176" s="394">
        <v>1000</v>
      </c>
      <c r="AH176" s="394">
        <v>1000</v>
      </c>
      <c r="AI176" s="394">
        <v>1000</v>
      </c>
      <c r="AJ176" s="394">
        <v>1000</v>
      </c>
      <c r="AK176" s="394">
        <v>1000</v>
      </c>
      <c r="AL176" s="394">
        <v>1000</v>
      </c>
      <c r="AM176" s="388">
        <f t="shared" si="592"/>
        <v>12000</v>
      </c>
      <c r="AN176" s="388">
        <f t="shared" si="593"/>
        <v>12000</v>
      </c>
      <c r="AO176" s="389">
        <f t="shared" si="594"/>
        <v>1000</v>
      </c>
      <c r="AP176" s="498" t="s">
        <v>682</v>
      </c>
      <c r="AQ176" s="159">
        <v>0.5</v>
      </c>
      <c r="AR176" s="160" t="s">
        <v>211</v>
      </c>
      <c r="AS176" s="119" t="s">
        <v>210</v>
      </c>
      <c r="AT176" s="504"/>
      <c r="AU176" s="504"/>
      <c r="AV176" s="111">
        <v>10795356.019200001</v>
      </c>
      <c r="AW176" s="111">
        <v>13015519.956999999</v>
      </c>
      <c r="AX176" s="173"/>
      <c r="AY176" s="173"/>
      <c r="AZ176" s="113">
        <v>10654868.665443931</v>
      </c>
      <c r="BA176" s="506">
        <f t="shared" si="638"/>
        <v>13015519.956999999</v>
      </c>
      <c r="BF176" s="114">
        <f t="shared" si="710"/>
        <v>0</v>
      </c>
      <c r="BG176" s="114">
        <f t="shared" si="711"/>
        <v>0</v>
      </c>
      <c r="BH176" s="114">
        <f t="shared" si="712"/>
        <v>10654868.665443931</v>
      </c>
      <c r="BI176" s="114">
        <f t="shared" si="713"/>
        <v>13015519.956999999</v>
      </c>
      <c r="BJ176" s="114">
        <f t="shared" si="714"/>
        <v>23670388.622443929</v>
      </c>
      <c r="BK176" s="115">
        <f t="shared" si="715"/>
        <v>23810875.976199999</v>
      </c>
      <c r="BL176" s="115">
        <f t="shared" si="716"/>
        <v>23810875.976199999</v>
      </c>
      <c r="BM176" s="116">
        <f t="shared" si="717"/>
        <v>0.99409999999999998</v>
      </c>
      <c r="BN176" s="126">
        <f t="shared" ca="1" si="718"/>
        <v>0</v>
      </c>
      <c r="BO176" s="117">
        <f t="shared" ca="1" si="719"/>
        <v>0</v>
      </c>
      <c r="BP176" s="118" t="str">
        <f t="shared" si="450"/>
        <v>Uncapped</v>
      </c>
      <c r="BQ176" s="115">
        <f t="shared" ca="1" si="720"/>
        <v>0</v>
      </c>
      <c r="BR176" s="113" t="s">
        <v>700</v>
      </c>
      <c r="BS176" s="161">
        <v>0.3</v>
      </c>
      <c r="BT176" s="113" t="s">
        <v>211</v>
      </c>
      <c r="BU176" s="160" t="s">
        <v>210</v>
      </c>
      <c r="BV176" s="173"/>
      <c r="BW176" s="173"/>
      <c r="BX176" s="113">
        <v>568983.43999999994</v>
      </c>
      <c r="BY176" s="113">
        <v>506569.43</v>
      </c>
      <c r="BZ176" s="173"/>
      <c r="CA176" s="173"/>
      <c r="CB176" s="113">
        <v>415869.76799999998</v>
      </c>
      <c r="CC176" s="506">
        <f t="shared" si="742"/>
        <v>506569.43</v>
      </c>
      <c r="CH176" s="114">
        <f t="shared" si="721"/>
        <v>0</v>
      </c>
      <c r="CI176" s="114">
        <f t="shared" si="722"/>
        <v>0</v>
      </c>
      <c r="CJ176" s="120">
        <f t="shared" si="723"/>
        <v>415869.76799999998</v>
      </c>
      <c r="CK176" s="114">
        <f t="shared" si="724"/>
        <v>506569.43</v>
      </c>
      <c r="CL176" s="114">
        <f t="shared" si="725"/>
        <v>922439.19799999997</v>
      </c>
      <c r="CM176" s="114">
        <f t="shared" si="726"/>
        <v>1075552.8699999999</v>
      </c>
      <c r="CN176" s="114">
        <f t="shared" si="727"/>
        <v>1075552.8699999999</v>
      </c>
      <c r="CO176" s="116">
        <f t="shared" si="728"/>
        <v>0.85760000000000003</v>
      </c>
      <c r="CP176" s="126">
        <f t="shared" ca="1" si="729"/>
        <v>0</v>
      </c>
      <c r="CQ176" s="115">
        <f t="shared" ca="1" si="730"/>
        <v>0</v>
      </c>
      <c r="CR176" s="118">
        <v>1</v>
      </c>
      <c r="CS176" s="115">
        <f t="shared" si="731"/>
        <v>3600</v>
      </c>
      <c r="CT176" s="113" t="s">
        <v>702</v>
      </c>
      <c r="CU176" s="119">
        <v>0.2</v>
      </c>
      <c r="CV176" s="113" t="s">
        <v>217</v>
      </c>
      <c r="CW176" s="113" t="s">
        <v>210</v>
      </c>
      <c r="CX176" s="173"/>
      <c r="CY176" s="173"/>
      <c r="CZ176" s="113">
        <v>22618799.574099999</v>
      </c>
      <c r="DA176" s="113">
        <v>27098464.121500004</v>
      </c>
      <c r="DB176" s="173"/>
      <c r="DC176" s="173"/>
      <c r="DD176" s="113">
        <v>22879083.486580007</v>
      </c>
      <c r="DE176" s="506">
        <v>27098464.121500004</v>
      </c>
      <c r="DF176" s="173"/>
      <c r="DG176" s="173"/>
      <c r="DH176" s="173"/>
      <c r="DI176" s="173"/>
      <c r="DJ176" s="114">
        <f t="shared" si="732"/>
        <v>0</v>
      </c>
      <c r="DK176" s="114">
        <f t="shared" si="733"/>
        <v>0</v>
      </c>
      <c r="DL176" s="114">
        <f t="shared" si="734"/>
        <v>22879083.486580007</v>
      </c>
      <c r="DM176" s="114">
        <f t="shared" si="735"/>
        <v>27098464.121500004</v>
      </c>
      <c r="DN176" s="114">
        <f t="shared" si="736"/>
        <v>49977547.608080015</v>
      </c>
      <c r="DO176" s="114">
        <f t="shared" si="737"/>
        <v>49717263.695600003</v>
      </c>
      <c r="DP176" s="114">
        <f t="shared" si="738"/>
        <v>49717263.695600003</v>
      </c>
      <c r="DQ176" s="116">
        <f t="shared" si="739"/>
        <v>1.0052000000000001</v>
      </c>
      <c r="DR176" s="126">
        <f t="shared" ca="1" si="740"/>
        <v>0</v>
      </c>
      <c r="DS176" s="115">
        <f t="shared" ca="1" si="741"/>
        <v>0</v>
      </c>
      <c r="DT176" s="118">
        <v>1</v>
      </c>
      <c r="DU176" s="115">
        <f t="shared" si="578"/>
        <v>2400</v>
      </c>
      <c r="DV176" s="173"/>
      <c r="DW176" s="173"/>
      <c r="DX176" s="173"/>
      <c r="DY176" s="173"/>
      <c r="DZ176" s="173"/>
      <c r="EA176" s="173"/>
      <c r="EB176" s="173"/>
      <c r="EC176" s="173"/>
      <c r="ED176" s="173"/>
      <c r="EE176" s="173"/>
      <c r="EF176" s="173"/>
      <c r="EG176" s="173"/>
      <c r="EH176" s="173"/>
      <c r="EI176" s="173"/>
      <c r="EJ176" s="173"/>
      <c r="EK176" s="173"/>
      <c r="EL176" s="114">
        <f t="shared" si="672"/>
        <v>0</v>
      </c>
      <c r="EM176" s="114">
        <f t="shared" si="673"/>
        <v>0</v>
      </c>
      <c r="EN176" s="114">
        <f t="shared" si="674"/>
        <v>0</v>
      </c>
      <c r="EO176" s="114">
        <f t="shared" si="675"/>
        <v>0</v>
      </c>
      <c r="EP176" s="114">
        <f t="shared" si="676"/>
        <v>0</v>
      </c>
      <c r="EQ176" s="114">
        <f t="shared" si="677"/>
        <v>0</v>
      </c>
      <c r="ER176" s="114">
        <f t="shared" si="678"/>
        <v>0</v>
      </c>
      <c r="ES176" s="116">
        <f t="shared" si="679"/>
        <v>0</v>
      </c>
      <c r="ET176" s="126">
        <f t="shared" ca="1" si="680"/>
        <v>0</v>
      </c>
      <c r="EU176" s="115">
        <f t="shared" ca="1" si="681"/>
        <v>0</v>
      </c>
      <c r="EV176" s="118" t="str">
        <f t="shared" si="682"/>
        <v>Uncapped</v>
      </c>
      <c r="EW176" s="115">
        <f t="shared" ca="1" si="683"/>
        <v>0</v>
      </c>
      <c r="EX176" s="112">
        <f t="shared" ca="1" si="684"/>
        <v>0</v>
      </c>
      <c r="EY176" s="114">
        <f t="shared" ca="1" si="685"/>
        <v>0</v>
      </c>
      <c r="FD176" s="115">
        <f t="shared" si="477"/>
        <v>0</v>
      </c>
      <c r="FE176" s="114">
        <f t="shared" si="453"/>
        <v>0</v>
      </c>
      <c r="FJ176" s="115">
        <f t="shared" si="621"/>
        <v>0</v>
      </c>
      <c r="FK176" s="114">
        <f t="shared" si="454"/>
        <v>0</v>
      </c>
      <c r="FL176" s="514"/>
      <c r="FM176" s="514"/>
      <c r="FN176" s="514"/>
      <c r="FO176" s="514"/>
      <c r="FP176" s="115">
        <f t="shared" si="443"/>
        <v>0</v>
      </c>
      <c r="FT176" s="33">
        <f t="shared" si="639"/>
        <v>0</v>
      </c>
      <c r="FU176" s="361">
        <f t="shared" ca="1" si="640"/>
        <v>0</v>
      </c>
      <c r="FV176" s="33">
        <f t="shared" ca="1" si="624"/>
        <v>0</v>
      </c>
      <c r="FW176" s="33">
        <f t="shared" si="686"/>
        <v>0</v>
      </c>
      <c r="FX176" s="33">
        <f t="shared" si="687"/>
        <v>0</v>
      </c>
      <c r="FY176" s="33">
        <f t="shared" si="688"/>
        <v>0</v>
      </c>
      <c r="FZ176" s="33">
        <f t="shared" si="689"/>
        <v>0</v>
      </c>
      <c r="GA176" s="33">
        <f t="shared" si="690"/>
        <v>0</v>
      </c>
      <c r="GB176" s="33">
        <f t="shared" si="691"/>
        <v>0</v>
      </c>
      <c r="GC176" s="33">
        <f t="shared" si="692"/>
        <v>0</v>
      </c>
      <c r="GD176" s="33">
        <f t="shared" si="693"/>
        <v>0</v>
      </c>
      <c r="GE176" s="33">
        <f t="shared" si="694"/>
        <v>0</v>
      </c>
      <c r="GF176" s="33">
        <f t="shared" si="695"/>
        <v>0</v>
      </c>
      <c r="GG176" s="33">
        <f t="shared" si="696"/>
        <v>0</v>
      </c>
      <c r="GH176" s="33">
        <f t="shared" si="697"/>
        <v>0</v>
      </c>
      <c r="GI176" s="33">
        <f t="shared" si="698"/>
        <v>0</v>
      </c>
      <c r="GJ176" s="33">
        <f t="shared" si="699"/>
        <v>0</v>
      </c>
      <c r="GK176" s="33">
        <f t="shared" si="700"/>
        <v>0</v>
      </c>
      <c r="GL176" s="33">
        <f t="shared" si="701"/>
        <v>0</v>
      </c>
      <c r="GM176" s="33">
        <f t="shared" si="702"/>
        <v>0</v>
      </c>
      <c r="GN176" s="33">
        <f t="shared" si="703"/>
        <v>0</v>
      </c>
      <c r="GO176" s="33">
        <f t="shared" si="704"/>
        <v>0</v>
      </c>
      <c r="GP176" s="33">
        <f t="shared" si="705"/>
        <v>0</v>
      </c>
      <c r="GQ176" s="114">
        <f t="shared" si="590"/>
        <v>0</v>
      </c>
      <c r="GS176" s="507">
        <f t="shared" si="706"/>
        <v>74570375.428523943</v>
      </c>
      <c r="GT176" s="507">
        <f t="shared" si="707"/>
        <v>74603692.541800007</v>
      </c>
      <c r="GU176" s="31">
        <f t="shared" si="708"/>
        <v>0.99955341200762415</v>
      </c>
      <c r="GV176" s="124">
        <f t="shared" ca="1" si="588"/>
        <v>0</v>
      </c>
      <c r="GW176" s="124">
        <v>0</v>
      </c>
      <c r="GX176" s="179">
        <f t="shared" ca="1" si="709"/>
        <v>0</v>
      </c>
    </row>
    <row r="177" spans="1:207" hidden="1">
      <c r="F177" s="104" t="s">
        <v>347</v>
      </c>
      <c r="G177" s="104" t="s">
        <v>226</v>
      </c>
      <c r="H177" s="405" t="s">
        <v>353</v>
      </c>
      <c r="I177" s="106" t="s">
        <v>644</v>
      </c>
      <c r="J177" s="104" t="s">
        <v>212</v>
      </c>
      <c r="K177" s="511" t="s">
        <v>208</v>
      </c>
      <c r="O177" s="549">
        <v>43530</v>
      </c>
      <c r="P177" s="359">
        <v>43647</v>
      </c>
      <c r="Q177" s="323"/>
      <c r="R177" s="109">
        <v>7</v>
      </c>
      <c r="S177" s="108"/>
      <c r="T177" s="110"/>
      <c r="U177" s="483"/>
      <c r="V177" s="483"/>
      <c r="W177" s="405"/>
      <c r="X177" s="405"/>
      <c r="Y177" s="492"/>
      <c r="Z177" s="406" t="s">
        <v>545</v>
      </c>
      <c r="AA177" s="394">
        <v>1000</v>
      </c>
      <c r="AB177" s="394">
        <v>1000</v>
      </c>
      <c r="AC177" s="394">
        <v>1000</v>
      </c>
      <c r="AD177" s="394">
        <v>1000</v>
      </c>
      <c r="AE177" s="394">
        <v>1000</v>
      </c>
      <c r="AF177" s="394">
        <v>1000</v>
      </c>
      <c r="AG177" s="394">
        <v>1000</v>
      </c>
      <c r="AH177" s="394">
        <v>1000</v>
      </c>
      <c r="AI177" s="394">
        <v>1000</v>
      </c>
      <c r="AJ177" s="394">
        <v>1000</v>
      </c>
      <c r="AK177" s="394">
        <v>1000</v>
      </c>
      <c r="AL177" s="394">
        <v>1000</v>
      </c>
      <c r="AM177" s="388">
        <f t="shared" si="592"/>
        <v>12000</v>
      </c>
      <c r="AN177" s="388">
        <f t="shared" si="593"/>
        <v>12000</v>
      </c>
      <c r="AO177" s="389">
        <f t="shared" si="594"/>
        <v>1000</v>
      </c>
      <c r="AP177" s="498" t="s">
        <v>682</v>
      </c>
      <c r="AQ177" s="159">
        <v>0.5</v>
      </c>
      <c r="AR177" s="160" t="s">
        <v>211</v>
      </c>
      <c r="AS177" s="119" t="s">
        <v>210</v>
      </c>
      <c r="AT177" s="504"/>
      <c r="AU177" s="504"/>
      <c r="AV177" s="111">
        <v>10795356.019200001</v>
      </c>
      <c r="AW177" s="111">
        <v>13015519.956999999</v>
      </c>
      <c r="AX177" s="173"/>
      <c r="AY177" s="173"/>
      <c r="AZ177" s="113">
        <v>10654868.665443931</v>
      </c>
      <c r="BA177" s="506">
        <f t="shared" si="638"/>
        <v>13015519.956999999</v>
      </c>
      <c r="BF177" s="114">
        <f t="shared" si="710"/>
        <v>0</v>
      </c>
      <c r="BG177" s="114">
        <f t="shared" si="711"/>
        <v>0</v>
      </c>
      <c r="BH177" s="114">
        <f t="shared" si="712"/>
        <v>10654868.665443931</v>
      </c>
      <c r="BI177" s="114">
        <f t="shared" si="713"/>
        <v>13015519.956999999</v>
      </c>
      <c r="BJ177" s="114">
        <f t="shared" si="714"/>
        <v>23670388.622443929</v>
      </c>
      <c r="BK177" s="115">
        <f t="shared" si="715"/>
        <v>23810875.976199999</v>
      </c>
      <c r="BL177" s="115">
        <f t="shared" si="716"/>
        <v>23810875.976199999</v>
      </c>
      <c r="BM177" s="116">
        <f t="shared" si="717"/>
        <v>0.99409999999999998</v>
      </c>
      <c r="BN177" s="126">
        <f t="shared" ca="1" si="718"/>
        <v>0</v>
      </c>
      <c r="BO177" s="117">
        <f t="shared" ca="1" si="719"/>
        <v>0</v>
      </c>
      <c r="BP177" s="118" t="str">
        <f t="shared" si="450"/>
        <v>Uncapped</v>
      </c>
      <c r="BQ177" s="115">
        <f t="shared" ca="1" si="720"/>
        <v>0</v>
      </c>
      <c r="BR177" s="113" t="s">
        <v>700</v>
      </c>
      <c r="BS177" s="161">
        <v>0.3</v>
      </c>
      <c r="BT177" s="113" t="s">
        <v>211</v>
      </c>
      <c r="BU177" s="160" t="s">
        <v>210</v>
      </c>
      <c r="BV177" s="173"/>
      <c r="BW177" s="173"/>
      <c r="BX177" s="113">
        <v>568983.43999999994</v>
      </c>
      <c r="BY177" s="113">
        <v>506569.43</v>
      </c>
      <c r="BZ177" s="173"/>
      <c r="CA177" s="173"/>
      <c r="CB177" s="113">
        <v>415869.76799999998</v>
      </c>
      <c r="CC177" s="506">
        <f t="shared" si="742"/>
        <v>506569.43</v>
      </c>
      <c r="CH177" s="114">
        <f t="shared" si="721"/>
        <v>0</v>
      </c>
      <c r="CI177" s="114">
        <f t="shared" si="722"/>
        <v>0</v>
      </c>
      <c r="CJ177" s="120">
        <f t="shared" si="723"/>
        <v>415869.76799999998</v>
      </c>
      <c r="CK177" s="114">
        <f t="shared" si="724"/>
        <v>506569.43</v>
      </c>
      <c r="CL177" s="114">
        <f t="shared" si="725"/>
        <v>922439.19799999997</v>
      </c>
      <c r="CM177" s="114">
        <f t="shared" si="726"/>
        <v>1075552.8699999999</v>
      </c>
      <c r="CN177" s="114">
        <f t="shared" si="727"/>
        <v>1075552.8699999999</v>
      </c>
      <c r="CO177" s="116">
        <f t="shared" si="728"/>
        <v>0.85760000000000003</v>
      </c>
      <c r="CP177" s="126">
        <f t="shared" ca="1" si="729"/>
        <v>0</v>
      </c>
      <c r="CQ177" s="115">
        <f t="shared" ca="1" si="730"/>
        <v>0</v>
      </c>
      <c r="CR177" s="118">
        <v>1</v>
      </c>
      <c r="CS177" s="115">
        <f t="shared" si="731"/>
        <v>3600</v>
      </c>
      <c r="CT177" s="113" t="s">
        <v>702</v>
      </c>
      <c r="CU177" s="119">
        <v>0.2</v>
      </c>
      <c r="CV177" s="113" t="s">
        <v>217</v>
      </c>
      <c r="CW177" s="113" t="s">
        <v>210</v>
      </c>
      <c r="CX177" s="173"/>
      <c r="CY177" s="173"/>
      <c r="CZ177" s="113">
        <v>22618799.574099999</v>
      </c>
      <c r="DA177" s="113">
        <v>27098464.121500004</v>
      </c>
      <c r="DB177" s="173"/>
      <c r="DC177" s="173"/>
      <c r="DD177" s="113">
        <v>22879083.486580007</v>
      </c>
      <c r="DE177" s="506">
        <v>27098464.121500004</v>
      </c>
      <c r="DF177" s="173"/>
      <c r="DG177" s="173"/>
      <c r="DH177" s="173"/>
      <c r="DI177" s="173"/>
      <c r="DJ177" s="114">
        <f t="shared" si="732"/>
        <v>0</v>
      </c>
      <c r="DK177" s="114">
        <f t="shared" si="733"/>
        <v>0</v>
      </c>
      <c r="DL177" s="114">
        <f t="shared" si="734"/>
        <v>22879083.486580007</v>
      </c>
      <c r="DM177" s="114">
        <f t="shared" si="735"/>
        <v>27098464.121500004</v>
      </c>
      <c r="DN177" s="114">
        <f t="shared" si="736"/>
        <v>49977547.608080015</v>
      </c>
      <c r="DO177" s="114">
        <f t="shared" si="737"/>
        <v>49717263.695600003</v>
      </c>
      <c r="DP177" s="114">
        <f t="shared" si="738"/>
        <v>49717263.695600003</v>
      </c>
      <c r="DQ177" s="116">
        <f t="shared" si="739"/>
        <v>1.0052000000000001</v>
      </c>
      <c r="DR177" s="126">
        <f t="shared" ca="1" si="740"/>
        <v>0</v>
      </c>
      <c r="DS177" s="115">
        <f t="shared" ca="1" si="741"/>
        <v>0</v>
      </c>
      <c r="DT177" s="118">
        <v>1</v>
      </c>
      <c r="DU177" s="115">
        <f t="shared" si="578"/>
        <v>2400</v>
      </c>
      <c r="DV177" s="173"/>
      <c r="DW177" s="173"/>
      <c r="DX177" s="173"/>
      <c r="DY177" s="173"/>
      <c r="DZ177" s="173"/>
      <c r="EA177" s="173"/>
      <c r="EB177" s="173"/>
      <c r="EC177" s="173"/>
      <c r="ED177" s="173"/>
      <c r="EE177" s="173"/>
      <c r="EF177" s="173"/>
      <c r="EG177" s="173"/>
      <c r="EH177" s="173"/>
      <c r="EI177" s="173"/>
      <c r="EJ177" s="173"/>
      <c r="EK177" s="173"/>
      <c r="EL177" s="114">
        <f t="shared" si="672"/>
        <v>0</v>
      </c>
      <c r="EM177" s="114">
        <f t="shared" si="673"/>
        <v>0</v>
      </c>
      <c r="EN177" s="114">
        <f t="shared" si="674"/>
        <v>0</v>
      </c>
      <c r="EO177" s="114">
        <f t="shared" si="675"/>
        <v>0</v>
      </c>
      <c r="EP177" s="114">
        <f t="shared" si="676"/>
        <v>0</v>
      </c>
      <c r="EQ177" s="114">
        <f t="shared" si="677"/>
        <v>0</v>
      </c>
      <c r="ER177" s="114">
        <f t="shared" si="678"/>
        <v>0</v>
      </c>
      <c r="ES177" s="116">
        <f t="shared" si="679"/>
        <v>0</v>
      </c>
      <c r="ET177" s="126">
        <f t="shared" ca="1" si="680"/>
        <v>0</v>
      </c>
      <c r="EU177" s="115">
        <f t="shared" ca="1" si="681"/>
        <v>0</v>
      </c>
      <c r="EV177" s="118" t="str">
        <f t="shared" si="682"/>
        <v>Uncapped</v>
      </c>
      <c r="EW177" s="115">
        <f t="shared" ca="1" si="683"/>
        <v>0</v>
      </c>
      <c r="EX177" s="112">
        <f t="shared" ca="1" si="684"/>
        <v>0</v>
      </c>
      <c r="EY177" s="114">
        <f t="shared" ca="1" si="685"/>
        <v>0</v>
      </c>
      <c r="FD177" s="115">
        <f t="shared" si="477"/>
        <v>0</v>
      </c>
      <c r="FE177" s="114">
        <f t="shared" si="453"/>
        <v>0</v>
      </c>
      <c r="FJ177" s="115">
        <f t="shared" si="621"/>
        <v>0</v>
      </c>
      <c r="FK177" s="114">
        <f t="shared" si="454"/>
        <v>0</v>
      </c>
      <c r="FL177" s="514"/>
      <c r="FM177" s="514"/>
      <c r="FN177" s="514"/>
      <c r="FO177" s="514"/>
      <c r="FP177" s="115">
        <f t="shared" si="443"/>
        <v>0</v>
      </c>
      <c r="FT177" s="33">
        <f t="shared" si="639"/>
        <v>0</v>
      </c>
      <c r="FU177" s="361">
        <f t="shared" ca="1" si="640"/>
        <v>0</v>
      </c>
      <c r="FV177" s="33">
        <f t="shared" ca="1" si="624"/>
        <v>0</v>
      </c>
      <c r="FW177" s="33">
        <f t="shared" si="686"/>
        <v>0</v>
      </c>
      <c r="FX177" s="33">
        <f t="shared" si="687"/>
        <v>0</v>
      </c>
      <c r="FY177" s="33">
        <f t="shared" si="688"/>
        <v>0</v>
      </c>
      <c r="FZ177" s="33">
        <f t="shared" si="689"/>
        <v>0</v>
      </c>
      <c r="GA177" s="33">
        <f t="shared" si="690"/>
        <v>0</v>
      </c>
      <c r="GB177" s="33">
        <f t="shared" si="691"/>
        <v>0</v>
      </c>
      <c r="GC177" s="33">
        <f t="shared" si="692"/>
        <v>0</v>
      </c>
      <c r="GD177" s="33">
        <f t="shared" si="693"/>
        <v>0</v>
      </c>
      <c r="GE177" s="33">
        <f t="shared" si="694"/>
        <v>0</v>
      </c>
      <c r="GF177" s="33">
        <f t="shared" si="695"/>
        <v>0</v>
      </c>
      <c r="GG177" s="33">
        <f t="shared" si="696"/>
        <v>0</v>
      </c>
      <c r="GH177" s="33">
        <f t="shared" si="697"/>
        <v>0</v>
      </c>
      <c r="GI177" s="33">
        <f t="shared" si="698"/>
        <v>0</v>
      </c>
      <c r="GJ177" s="33">
        <f t="shared" si="699"/>
        <v>0</v>
      </c>
      <c r="GK177" s="33">
        <f t="shared" si="700"/>
        <v>0</v>
      </c>
      <c r="GL177" s="33">
        <f t="shared" si="701"/>
        <v>0</v>
      </c>
      <c r="GM177" s="33">
        <f t="shared" si="702"/>
        <v>0</v>
      </c>
      <c r="GN177" s="33">
        <f t="shared" si="703"/>
        <v>0</v>
      </c>
      <c r="GO177" s="33">
        <f t="shared" si="704"/>
        <v>0</v>
      </c>
      <c r="GP177" s="33">
        <f t="shared" si="705"/>
        <v>0</v>
      </c>
      <c r="GQ177" s="114">
        <f t="shared" si="590"/>
        <v>0</v>
      </c>
      <c r="GS177" s="507">
        <f t="shared" si="706"/>
        <v>74570375.428523943</v>
      </c>
      <c r="GT177" s="507">
        <f t="shared" si="707"/>
        <v>74603692.541800007</v>
      </c>
      <c r="GU177" s="31">
        <f t="shared" si="708"/>
        <v>0.99955341200762415</v>
      </c>
      <c r="GV177" s="124">
        <f t="shared" ca="1" si="588"/>
        <v>0</v>
      </c>
      <c r="GW177" s="124">
        <v>0</v>
      </c>
      <c r="GX177" s="179">
        <f t="shared" ca="1" si="709"/>
        <v>0</v>
      </c>
    </row>
    <row r="178" spans="1:207" hidden="1">
      <c r="F178" s="104" t="s">
        <v>617</v>
      </c>
      <c r="G178" s="104" t="s">
        <v>226</v>
      </c>
      <c r="H178" s="405" t="s">
        <v>619</v>
      </c>
      <c r="I178" s="106" t="s">
        <v>620</v>
      </c>
      <c r="J178" s="104" t="s">
        <v>471</v>
      </c>
      <c r="K178" s="511" t="s">
        <v>618</v>
      </c>
      <c r="O178" s="549">
        <v>41376</v>
      </c>
      <c r="P178" s="359">
        <v>43647</v>
      </c>
      <c r="Q178" s="323"/>
      <c r="R178" s="109">
        <v>7</v>
      </c>
      <c r="S178" s="108"/>
      <c r="T178" s="110"/>
      <c r="U178" s="483"/>
      <c r="V178" s="483"/>
      <c r="W178" s="405"/>
      <c r="X178" s="405"/>
      <c r="Y178" s="492"/>
      <c r="Z178" s="406" t="s">
        <v>545</v>
      </c>
      <c r="AA178" s="394">
        <v>1000</v>
      </c>
      <c r="AB178" s="394">
        <v>1000</v>
      </c>
      <c r="AC178" s="394">
        <v>1000</v>
      </c>
      <c r="AD178" s="394">
        <v>1000</v>
      </c>
      <c r="AE178" s="394">
        <v>1000</v>
      </c>
      <c r="AF178" s="394">
        <v>1000</v>
      </c>
      <c r="AG178" s="394">
        <v>1000</v>
      </c>
      <c r="AH178" s="394">
        <v>1000</v>
      </c>
      <c r="AI178" s="394">
        <v>1000</v>
      </c>
      <c r="AJ178" s="394">
        <v>1000</v>
      </c>
      <c r="AK178" s="394">
        <v>1000</v>
      </c>
      <c r="AL178" s="394">
        <v>1000</v>
      </c>
      <c r="AM178" s="388">
        <f t="shared" ref="AM178" si="743">IF($H$2=1,SUM(AA178:AC178),IF($H$2=2,SUM(AA178:AF178),IF($H$2=3,SUM(AA178:AI178),SUM(AA178:AL178))))</f>
        <v>12000</v>
      </c>
      <c r="AN178" s="388">
        <f t="shared" ref="AN178" si="744">SUM(AA178:AL178)+INDEX(AA178:AL178,,MATCH($H$3,$AA$5:$AL$5,0))*(12-COUNTA(AA178:AL178))</f>
        <v>12000</v>
      </c>
      <c r="AO178" s="389">
        <f t="shared" ref="AO178" si="745">AH178</f>
        <v>1000</v>
      </c>
      <c r="AP178" s="498" t="s">
        <v>688</v>
      </c>
      <c r="AQ178" s="161">
        <v>0.5</v>
      </c>
      <c r="AR178" s="113" t="s">
        <v>211</v>
      </c>
      <c r="AS178" s="119" t="s">
        <v>210</v>
      </c>
      <c r="AT178" s="504"/>
      <c r="AU178" s="504"/>
      <c r="AV178" s="111">
        <v>22618799.574099999</v>
      </c>
      <c r="AW178" s="111">
        <v>27098464.121500004</v>
      </c>
      <c r="AX178" s="173"/>
      <c r="AY178" s="173"/>
      <c r="AZ178" s="113">
        <v>22879083.486580007</v>
      </c>
      <c r="BA178" s="506">
        <f t="shared" si="638"/>
        <v>27098464.121500004</v>
      </c>
      <c r="BF178" s="114">
        <f t="shared" si="710"/>
        <v>0</v>
      </c>
      <c r="BG178" s="114">
        <f t="shared" si="711"/>
        <v>0</v>
      </c>
      <c r="BH178" s="114">
        <f t="shared" si="712"/>
        <v>22879083.486580007</v>
      </c>
      <c r="BI178" s="114">
        <f t="shared" si="713"/>
        <v>27098464.121500004</v>
      </c>
      <c r="BJ178" s="114">
        <f t="shared" si="714"/>
        <v>49977547.608080015</v>
      </c>
      <c r="BK178" s="115">
        <f t="shared" si="715"/>
        <v>49717263.695600003</v>
      </c>
      <c r="BL178" s="115">
        <f t="shared" si="716"/>
        <v>49717263.695600003</v>
      </c>
      <c r="BM178" s="116">
        <f t="shared" si="717"/>
        <v>1.0052000000000001</v>
      </c>
      <c r="BN178" s="126">
        <f t="shared" ca="1" si="718"/>
        <v>0</v>
      </c>
      <c r="BO178" s="117">
        <f t="shared" ca="1" si="719"/>
        <v>0</v>
      </c>
      <c r="BP178" s="118" t="str">
        <f t="shared" si="450"/>
        <v>Uncapped</v>
      </c>
      <c r="BQ178" s="115">
        <f t="shared" ca="1" si="720"/>
        <v>0</v>
      </c>
      <c r="BR178" s="113"/>
      <c r="BS178" s="119"/>
      <c r="BT178" s="113"/>
      <c r="BU178" s="113"/>
      <c r="BV178" s="173"/>
      <c r="BW178" s="173"/>
      <c r="BX178" s="173"/>
      <c r="BY178" s="577"/>
      <c r="BZ178" s="173"/>
      <c r="CA178" s="173"/>
      <c r="CB178" s="504"/>
      <c r="CC178" s="506"/>
      <c r="CH178" s="114">
        <f t="shared" si="721"/>
        <v>0</v>
      </c>
      <c r="CI178" s="114">
        <f t="shared" si="722"/>
        <v>0</v>
      </c>
      <c r="CJ178" s="120">
        <f t="shared" si="723"/>
        <v>0</v>
      </c>
      <c r="CK178" s="114">
        <f t="shared" si="724"/>
        <v>0</v>
      </c>
      <c r="CL178" s="114">
        <f t="shared" si="725"/>
        <v>0</v>
      </c>
      <c r="CM178" s="114">
        <f t="shared" si="726"/>
        <v>0</v>
      </c>
      <c r="CN178" s="114">
        <f t="shared" si="727"/>
        <v>0</v>
      </c>
      <c r="CO178" s="116">
        <f t="shared" si="728"/>
        <v>0</v>
      </c>
      <c r="CP178" s="126">
        <f t="shared" ca="1" si="729"/>
        <v>0</v>
      </c>
      <c r="CQ178" s="115">
        <f t="shared" ca="1" si="730"/>
        <v>0</v>
      </c>
      <c r="CR178" s="118">
        <v>1</v>
      </c>
      <c r="CS178" s="115">
        <f t="shared" si="731"/>
        <v>0</v>
      </c>
      <c r="CT178" s="113" t="s">
        <v>696</v>
      </c>
      <c r="CU178" s="119">
        <v>0.2</v>
      </c>
      <c r="CV178" s="113" t="s">
        <v>217</v>
      </c>
      <c r="CW178" s="113" t="s">
        <v>667</v>
      </c>
      <c r="CX178" s="173"/>
      <c r="CY178" s="173"/>
      <c r="CZ178" s="113">
        <v>69179032.514420599</v>
      </c>
      <c r="DA178" s="113">
        <v>76323964.015026003</v>
      </c>
      <c r="DB178" s="173"/>
      <c r="DC178" s="173"/>
      <c r="DD178" s="113">
        <v>66410604.684560001</v>
      </c>
      <c r="DE178" s="506">
        <v>76323964.015026003</v>
      </c>
      <c r="DF178" s="173"/>
      <c r="DG178" s="173"/>
      <c r="DH178" s="173"/>
      <c r="DI178" s="173"/>
      <c r="DJ178" s="114">
        <f t="shared" si="732"/>
        <v>0</v>
      </c>
      <c r="DK178" s="114">
        <f t="shared" si="733"/>
        <v>0</v>
      </c>
      <c r="DL178" s="114">
        <f t="shared" si="734"/>
        <v>66410604.684560001</v>
      </c>
      <c r="DM178" s="114">
        <f t="shared" si="735"/>
        <v>76323964.015026003</v>
      </c>
      <c r="DN178" s="114">
        <f t="shared" si="736"/>
        <v>142734568.699586</v>
      </c>
      <c r="DO178" s="114">
        <f t="shared" si="737"/>
        <v>145502996.5294466</v>
      </c>
      <c r="DP178" s="114">
        <f t="shared" si="738"/>
        <v>145502996.5294466</v>
      </c>
      <c r="DQ178" s="116">
        <f t="shared" si="739"/>
        <v>0.98099999999999998</v>
      </c>
      <c r="DR178" s="126">
        <f t="shared" ca="1" si="740"/>
        <v>0</v>
      </c>
      <c r="DS178" s="115">
        <f t="shared" ca="1" si="741"/>
        <v>0</v>
      </c>
      <c r="DT178" s="118">
        <v>1</v>
      </c>
      <c r="DU178" s="115">
        <f t="shared" si="578"/>
        <v>2400</v>
      </c>
      <c r="DV178" s="173"/>
      <c r="DW178" s="173"/>
      <c r="DX178" s="173"/>
      <c r="DY178" s="173"/>
      <c r="DZ178" s="173"/>
      <c r="EA178" s="173"/>
      <c r="EB178" s="173"/>
      <c r="EC178" s="173"/>
      <c r="ED178" s="173"/>
      <c r="EE178" s="173"/>
      <c r="EF178" s="173"/>
      <c r="EG178" s="173"/>
      <c r="EH178" s="173"/>
      <c r="EI178" s="173"/>
      <c r="EJ178" s="173"/>
      <c r="EK178" s="173"/>
      <c r="EL178" s="114">
        <f t="shared" si="672"/>
        <v>0</v>
      </c>
      <c r="EM178" s="114">
        <f t="shared" si="673"/>
        <v>0</v>
      </c>
      <c r="EN178" s="114">
        <f t="shared" si="674"/>
        <v>0</v>
      </c>
      <c r="EO178" s="114">
        <f t="shared" si="675"/>
        <v>0</v>
      </c>
      <c r="EP178" s="114">
        <f t="shared" si="676"/>
        <v>0</v>
      </c>
      <c r="EQ178" s="114">
        <f t="shared" si="677"/>
        <v>0</v>
      </c>
      <c r="ER178" s="114">
        <f t="shared" si="678"/>
        <v>0</v>
      </c>
      <c r="ES178" s="116">
        <f t="shared" si="679"/>
        <v>0</v>
      </c>
      <c r="ET178" s="126">
        <f t="shared" ca="1" si="680"/>
        <v>0</v>
      </c>
      <c r="EU178" s="115">
        <f t="shared" ca="1" si="681"/>
        <v>0</v>
      </c>
      <c r="EV178" s="118" t="str">
        <f t="shared" si="682"/>
        <v>Uncapped</v>
      </c>
      <c r="EW178" s="115">
        <f t="shared" ca="1" si="683"/>
        <v>0</v>
      </c>
      <c r="EX178" s="112">
        <f t="shared" ca="1" si="684"/>
        <v>0</v>
      </c>
      <c r="EY178" s="114">
        <f t="shared" ca="1" si="685"/>
        <v>0</v>
      </c>
      <c r="FD178" s="115">
        <f t="shared" si="477"/>
        <v>0</v>
      </c>
      <c r="FE178" s="114">
        <f t="shared" si="453"/>
        <v>0</v>
      </c>
      <c r="FJ178" s="115">
        <f t="shared" si="621"/>
        <v>0</v>
      </c>
      <c r="FK178" s="114">
        <f t="shared" si="454"/>
        <v>0</v>
      </c>
      <c r="FL178" s="514"/>
      <c r="FM178" s="514"/>
      <c r="FN178" s="514"/>
      <c r="FO178" s="514"/>
      <c r="FP178" s="115">
        <f t="shared" si="443"/>
        <v>0</v>
      </c>
      <c r="FT178" s="33">
        <f t="shared" si="639"/>
        <v>0</v>
      </c>
      <c r="FU178" s="361">
        <f t="shared" ca="1" si="640"/>
        <v>0</v>
      </c>
      <c r="FV178" s="33">
        <f t="shared" ca="1" si="624"/>
        <v>0</v>
      </c>
      <c r="FW178" s="33">
        <f t="shared" si="686"/>
        <v>0</v>
      </c>
      <c r="FX178" s="33">
        <f t="shared" si="687"/>
        <v>0</v>
      </c>
      <c r="FY178" s="33">
        <f t="shared" si="688"/>
        <v>0</v>
      </c>
      <c r="FZ178" s="33">
        <f t="shared" si="689"/>
        <v>0</v>
      </c>
      <c r="GA178" s="33">
        <f t="shared" si="690"/>
        <v>0</v>
      </c>
      <c r="GB178" s="33">
        <f t="shared" si="691"/>
        <v>0</v>
      </c>
      <c r="GC178" s="33">
        <f t="shared" si="692"/>
        <v>0</v>
      </c>
      <c r="GD178" s="33">
        <f t="shared" si="693"/>
        <v>0</v>
      </c>
      <c r="GE178" s="33">
        <f t="shared" si="694"/>
        <v>0</v>
      </c>
      <c r="GF178" s="33">
        <f t="shared" si="695"/>
        <v>0</v>
      </c>
      <c r="GG178" s="33">
        <f t="shared" si="696"/>
        <v>0</v>
      </c>
      <c r="GH178" s="33">
        <f t="shared" si="697"/>
        <v>0</v>
      </c>
      <c r="GI178" s="33">
        <f t="shared" si="698"/>
        <v>0</v>
      </c>
      <c r="GJ178" s="33">
        <f t="shared" si="699"/>
        <v>0</v>
      </c>
      <c r="GK178" s="33">
        <f t="shared" si="700"/>
        <v>0</v>
      </c>
      <c r="GL178" s="33">
        <f t="shared" si="701"/>
        <v>0</v>
      </c>
      <c r="GM178" s="33">
        <f t="shared" si="702"/>
        <v>0</v>
      </c>
      <c r="GN178" s="33">
        <f t="shared" si="703"/>
        <v>0</v>
      </c>
      <c r="GO178" s="33">
        <f t="shared" si="704"/>
        <v>0</v>
      </c>
      <c r="GP178" s="33">
        <f t="shared" si="705"/>
        <v>0</v>
      </c>
      <c r="GQ178" s="114">
        <f t="shared" si="590"/>
        <v>0</v>
      </c>
      <c r="GS178" s="507">
        <f t="shared" si="706"/>
        <v>192712116.307666</v>
      </c>
      <c r="GT178" s="507">
        <f t="shared" si="707"/>
        <v>195220260.2250466</v>
      </c>
      <c r="GU178" s="31">
        <f t="shared" si="708"/>
        <v>0.98715223555952003</v>
      </c>
      <c r="GV178" s="124">
        <f t="shared" ca="1" si="588"/>
        <v>0</v>
      </c>
      <c r="GW178" s="124">
        <v>0</v>
      </c>
      <c r="GX178" s="179">
        <f t="shared" ca="1" si="709"/>
        <v>0</v>
      </c>
    </row>
    <row r="179" spans="1:207" hidden="1">
      <c r="F179" s="104" t="s">
        <v>231</v>
      </c>
      <c r="G179" s="104" t="s">
        <v>226</v>
      </c>
      <c r="H179" s="405" t="s">
        <v>232</v>
      </c>
      <c r="I179" s="106" t="s">
        <v>233</v>
      </c>
      <c r="J179" s="104" t="s">
        <v>207</v>
      </c>
      <c r="K179" s="168" t="s">
        <v>221</v>
      </c>
      <c r="O179" s="549">
        <v>41376</v>
      </c>
      <c r="P179" s="359">
        <v>43739</v>
      </c>
      <c r="Q179" s="323"/>
      <c r="R179" s="109">
        <v>10</v>
      </c>
      <c r="S179" s="108"/>
      <c r="T179" s="110"/>
      <c r="U179" s="483"/>
      <c r="V179" s="483"/>
      <c r="W179" s="405"/>
      <c r="X179" s="405"/>
      <c r="Y179" s="492"/>
      <c r="Z179" s="406"/>
      <c r="AA179" s="394"/>
      <c r="AB179" s="394"/>
      <c r="AC179" s="394"/>
      <c r="AD179" s="394"/>
      <c r="AE179" s="394"/>
      <c r="AF179" s="394"/>
      <c r="AG179" s="394"/>
      <c r="AH179" s="394"/>
      <c r="AI179" s="394"/>
      <c r="AJ179" s="394"/>
      <c r="AK179" s="394"/>
      <c r="AL179" s="394"/>
      <c r="AM179" s="388"/>
      <c r="AN179" s="388"/>
      <c r="AO179" s="389"/>
      <c r="AP179" s="498" t="s">
        <v>674</v>
      </c>
      <c r="AQ179" s="159">
        <v>0.6</v>
      </c>
      <c r="AR179" s="160" t="s">
        <v>211</v>
      </c>
      <c r="AS179" s="119" t="s">
        <v>210</v>
      </c>
      <c r="AT179" s="504"/>
      <c r="AU179" s="504"/>
      <c r="AV179" s="111"/>
      <c r="AW179" s="111">
        <v>1875000</v>
      </c>
      <c r="AX179" s="173"/>
      <c r="AY179" s="173"/>
      <c r="AZ179" s="113"/>
      <c r="BA179" s="506">
        <f t="shared" si="638"/>
        <v>1875000</v>
      </c>
      <c r="BF179" s="114">
        <f t="shared" ref="BF179:BF180" si="746">AX179+BB179</f>
        <v>0</v>
      </c>
      <c r="BG179" s="114">
        <f t="shared" ref="BG179:BG180" si="747">AY179+BC179</f>
        <v>0</v>
      </c>
      <c r="BH179" s="114">
        <f t="shared" ref="BH179:BH180" si="748">AZ179+BD179</f>
        <v>0</v>
      </c>
      <c r="BI179" s="114">
        <f t="shared" ref="BI179:BI180" si="749">BA179+BE179</f>
        <v>1875000</v>
      </c>
      <c r="BJ179" s="114">
        <f t="shared" ref="BJ179:BJ180" si="750">IF($BB$3="After AR Adjustment",IF($H$2=1,BF179,IF($H$2=2,SUM(BF179:BG179),IF($H$2=3,SUM(BF179:BH179),SUM(BF179:BI179)))),IF($H$2=1,AX179,IF($H$2=2,SUM(AX179:AY179),IF($H$2=3,SUM(AX179:AZ179),SUM(AX179:BA179)))))</f>
        <v>1875000</v>
      </c>
      <c r="BK179" s="115">
        <f t="shared" ref="BK179:BK181" si="751">IF($H$2=1,AT179,IF($H$2=2,SUM(AT179:AU179),IF($H$2=3,SUM(AT179:AV179),SUM(AT179:AW179))))</f>
        <v>1875000</v>
      </c>
      <c r="BL179" s="115">
        <f t="shared" ref="BL179:BL180" si="752">SUM(AT179:AW179)</f>
        <v>1875000</v>
      </c>
      <c r="BM179" s="116">
        <f t="shared" ref="BM179:BM180" si="753">IFERROR(ROUND(BJ179/BK179,4),0)</f>
        <v>1</v>
      </c>
      <c r="BN179" s="126">
        <f t="shared" ref="BN179:BN181" ca="1" si="754">IF(OR(AP179="MBO",AP179="10% Realized Price"),BM179,SUMPRODUCT(Lower_Payout*(Curve=AR179)*(Lower_Attain&lt;=BM179)*(Upper_Attain&gt;BM179))+(BM179-SUMPRODUCT(Lower_Attain*(Curve=AR179)*(Lower_Attain&lt;=BM179)*(Upper_Attain&gt;BM179)))*SUMPRODUCT(Slope*(Curve=AR179)*(Lower_Attain&lt;=BM179)*(Upper_Attain&gt;BM179)))</f>
        <v>0</v>
      </c>
      <c r="BO179" s="117">
        <f t="shared" ref="BO179:BO181" ca="1" si="755">IFERROR(AM179*AQ179*BN179,0)</f>
        <v>0</v>
      </c>
      <c r="BP179" s="118" t="str">
        <f t="shared" si="450"/>
        <v>Uncapped</v>
      </c>
      <c r="BQ179" s="115">
        <f t="shared" ref="BQ179:BQ181" ca="1" si="756">IF(BP179="Uncapped",BO179,IFERROR(AM179*AQ179*BP179,0))</f>
        <v>0</v>
      </c>
      <c r="BR179" s="113"/>
      <c r="BS179" s="119"/>
      <c r="BT179" s="113"/>
      <c r="BU179" s="113"/>
      <c r="BV179" s="173"/>
      <c r="BW179" s="173"/>
      <c r="BX179" s="173"/>
      <c r="BY179" s="577"/>
      <c r="BZ179" s="173"/>
      <c r="CA179" s="173"/>
      <c r="CB179" s="504"/>
      <c r="CC179" s="506"/>
      <c r="CH179" s="114">
        <f t="shared" ref="CH179:CH180" si="757">BZ179+CD179</f>
        <v>0</v>
      </c>
      <c r="CI179" s="114">
        <f t="shared" ref="CI179:CI180" si="758">CA179+CE179</f>
        <v>0</v>
      </c>
      <c r="CJ179" s="120">
        <f t="shared" ref="CJ179:CJ180" si="759">CB179+CF179</f>
        <v>0</v>
      </c>
      <c r="CK179" s="114">
        <f t="shared" ref="CK179:CK180" si="760">CC179+CG179</f>
        <v>0</v>
      </c>
      <c r="CL179" s="114">
        <f t="shared" ref="CL179:CL181" si="761">IF($BB$3="After AR Adjustment",IF($H$2=1,CH179,IF($H$2=2,SUM(CH179:CI179),IF($H$2=3,SUM(CH179:CJ179),SUM(CH179:CK179)))),IF($H$2=1,BZ179,IF($H$2=2,SUM(BZ179:CA179),IF($H$2=3,SUM(BZ179:CB179),SUM(BZ179:CC179)))))</f>
        <v>0</v>
      </c>
      <c r="CM179" s="114">
        <f t="shared" ref="CM179:CM181" si="762">IF($H$2=1,BV179,IF($H$2=2,SUM(BV179:BW179),IF($H$2=3,SUM(BV179:BX179),SUM(BV179:BY179))))</f>
        <v>0</v>
      </c>
      <c r="CN179" s="114">
        <f t="shared" ref="CN179:CN180" si="763">SUM(BV179:BY179)</f>
        <v>0</v>
      </c>
      <c r="CO179" s="116">
        <f t="shared" ref="CO179:CO180" si="764">IFERROR(ROUND(CL179/CM179,4),0)</f>
        <v>0</v>
      </c>
      <c r="CP179" s="126">
        <f t="shared" ref="CP179:CP180" ca="1" si="765">IF(OR(BR179="MBO",BR179="10% Realized Price"),CO179,SUMPRODUCT(Lower_Payout*(Curve=BT179)*(Lower_Attain&lt;=CO179)*(Upper_Attain&gt;CO179))+(CO179-SUMPRODUCT(Lower_Attain*(Curve=BT179)*(Lower_Attain&lt;=CO179)*(Upper_Attain&gt;CO179)))*SUMPRODUCT(Slope*(Curve=BT179)*(Lower_Attain&lt;=CO179)*(Upper_Attain&gt;CO179)))</f>
        <v>0</v>
      </c>
      <c r="CQ179" s="115">
        <f t="shared" ref="CQ179:CQ181" ca="1" si="766">AM179*BS179*CP179</f>
        <v>0</v>
      </c>
      <c r="CR179" s="118">
        <v>1</v>
      </c>
      <c r="CS179" s="115">
        <f t="shared" ref="CS179:CS181" si="767">IF(CR179="Uncapped",CQ179,IFERROR(AM179*BS179*CR179,0))</f>
        <v>0</v>
      </c>
      <c r="CT179" s="113" t="s">
        <v>694</v>
      </c>
      <c r="CU179" s="119">
        <v>0.1</v>
      </c>
      <c r="CV179" s="113" t="s">
        <v>211</v>
      </c>
      <c r="CW179" s="113" t="s">
        <v>667</v>
      </c>
      <c r="CX179" s="173"/>
      <c r="CY179" s="173"/>
      <c r="CZ179" s="113"/>
      <c r="DA179" s="113">
        <v>5054032.5888146162</v>
      </c>
      <c r="DB179" s="173"/>
      <c r="DC179" s="173"/>
      <c r="DD179" s="113"/>
      <c r="DE179" s="506">
        <v>5054032.5888146162</v>
      </c>
      <c r="DF179" s="173"/>
      <c r="DG179" s="173"/>
      <c r="DH179" s="173"/>
      <c r="DI179" s="173"/>
      <c r="DJ179" s="114">
        <f t="shared" ref="DJ179:DJ180" si="768">DB179+DF179</f>
        <v>0</v>
      </c>
      <c r="DK179" s="114">
        <f t="shared" ref="DK179:DK180" si="769">DC179+DG179</f>
        <v>0</v>
      </c>
      <c r="DL179" s="114">
        <f t="shared" ref="DL179:DL180" si="770">DD179+DH179</f>
        <v>0</v>
      </c>
      <c r="DM179" s="114">
        <f t="shared" ref="DM179:DM180" si="771">DE179+DI179</f>
        <v>5054032.5888146162</v>
      </c>
      <c r="DN179" s="114">
        <f t="shared" ref="DN179:DN180" si="772">IF($BB$3="After AR Adjustment",IF($H$2=1,DJ179,IF($H$2=2,SUM(DJ179:DK179),IF($H$2=3,SUM(DJ179:DL179),SUM(DJ179:DM179)))),IF($H$2=1,DB179,IF($H$2=2,SUM(DB179:DC179),IF($H$2=3,SUM(DB179:DD179),SUM(DB179:DE179)))))</f>
        <v>5054032.5888146162</v>
      </c>
      <c r="DO179" s="114">
        <f t="shared" ref="DO179:DO181" si="773">IF($H$2=1,CX179,IF($H$2=2,SUM(CX179:CY179),IF($H$2=3,SUM(CX179:CZ179),SUM(CX179:DA179))))</f>
        <v>5054032.5888146162</v>
      </c>
      <c r="DP179" s="114">
        <f t="shared" ref="DP179:DP180" si="774">SUM(CX179:DA179)</f>
        <v>5054032.5888146162</v>
      </c>
      <c r="DQ179" s="116">
        <f t="shared" ref="DQ179:DQ180" si="775">IFERROR(ROUND(DN179/DO179,4),0)</f>
        <v>1</v>
      </c>
      <c r="DR179" s="126">
        <f t="shared" ref="DR179:DR181" ca="1" si="776">IF(OR(CT179="MBO",CT179="10% Realized Price"),DQ179,SUMPRODUCT(Lower_Payout*(Curve=CV179)*(Lower_Attain&lt;=DQ179)*(Upper_Attain&gt;DQ179))+(DQ179-SUMPRODUCT(Lower_Attain*(Curve=CV179)*(Lower_Attain&lt;=DQ179)*(Upper_Attain&gt;DQ179)))*SUMPRODUCT(Slope*(Curve=CV179)*(Lower_Attain&lt;=DQ179)*(Upper_Attain&gt;DQ179)))</f>
        <v>0</v>
      </c>
      <c r="DS179" s="115">
        <f t="shared" ref="DS179:DS181" ca="1" si="777">AM179*CU179*DR179</f>
        <v>0</v>
      </c>
      <c r="DT179" s="118">
        <v>1</v>
      </c>
      <c r="DU179" s="115">
        <f t="shared" ref="DU179:DU181" si="778">IF(DT179="Uncapped",DS179,IFERROR(AM179*CU179*DT179,0))</f>
        <v>0</v>
      </c>
      <c r="DV179" s="173" t="s">
        <v>728</v>
      </c>
      <c r="DW179" s="505">
        <v>0.2</v>
      </c>
      <c r="DX179" s="173" t="s">
        <v>703</v>
      </c>
      <c r="DY179" s="173" t="s">
        <v>210</v>
      </c>
      <c r="DZ179" s="173"/>
      <c r="EA179" s="173"/>
      <c r="EB179" s="173"/>
      <c r="EC179" s="506">
        <v>76323964.015026003</v>
      </c>
      <c r="ED179" s="173"/>
      <c r="EE179" s="173"/>
      <c r="EF179" s="173"/>
      <c r="EG179" s="506">
        <v>76323964.015026003</v>
      </c>
      <c r="EH179" s="173"/>
      <c r="EI179" s="173"/>
      <c r="EJ179" s="173"/>
      <c r="EK179" s="173"/>
      <c r="EL179" s="114">
        <f t="shared" ref="EL179:EL180" si="779">ED179+EH179</f>
        <v>0</v>
      </c>
      <c r="EM179" s="114">
        <f t="shared" ref="EM179:EM180" si="780">EE179+EI179</f>
        <v>0</v>
      </c>
      <c r="EN179" s="114">
        <f t="shared" ref="EN179:EN180" si="781">EF179+EJ179</f>
        <v>0</v>
      </c>
      <c r="EO179" s="114">
        <f t="shared" ref="EO179:EO180" si="782">EG179+EK179</f>
        <v>76323964.015026003</v>
      </c>
      <c r="EP179" s="114">
        <f t="shared" ref="EP179:EP181" si="783">IF($BB$3="After AR Adjustment",IF($H$2=1,EL179,IF($H$2=2,SUM(EL179:EM179),IF($H$2=3,SUM(EL179:EN179),SUM(EL179:EO179)))),IF($H$2=1,ED179,IF($H$2=2,SUM(ED179:EE179),IF($H$2=3,SUM(ED179:EF179),SUM(ED179:EG179)))))</f>
        <v>76323964.015026003</v>
      </c>
      <c r="EQ179" s="114">
        <f t="shared" ref="EQ179:EQ181" si="784">IF($H$2=1,DZ179,IF($H$2=2,SUM(DZ179:EA179),IF($H$2=3,SUM(DZ179:EB179),SUM(DZ179:EC179))))</f>
        <v>76323964.015026003</v>
      </c>
      <c r="ER179" s="114">
        <f t="shared" ref="ER179:ER180" si="785">SUM(DZ179:EC179)</f>
        <v>76323964.015026003</v>
      </c>
      <c r="ES179" s="116">
        <f t="shared" ref="ES179:ES180" si="786">IFERROR(ROUND(EP179/EQ179,4),0)</f>
        <v>1</v>
      </c>
      <c r="ET179" s="126">
        <f t="shared" ref="ET179:ET180" ca="1" si="787">IF(OR(DV179="MBO",DV179="10% Realized Price"),ES179,SUMPRODUCT(Lower_Payout*(Curve=DX179)*(Lower_Attain&lt;=ES179)*(Upper_Attain&gt;ES179))+(ES179-SUMPRODUCT(Lower_Attain*(Curve=DX179)*(Lower_Attain&lt;=ES179)*(Upper_Attain&gt;ES179)))*SUMPRODUCT(Slope*(Curve=DX179)*(Lower_Attain&lt;=ES179)*(Upper_Attain&gt;ES179)))</f>
        <v>0</v>
      </c>
      <c r="EU179" s="115">
        <f t="shared" ref="EU179:EU181" ca="1" si="788">AM179*DW179*ET179</f>
        <v>0</v>
      </c>
      <c r="EV179" s="118">
        <v>1</v>
      </c>
      <c r="EW179" s="115">
        <f t="shared" ref="EW179:EW181" si="789">IF(EV179="Uncapped",EU179,IFERROR(AM179*DW179*EV179,0))</f>
        <v>0</v>
      </c>
      <c r="EX179" s="112">
        <f t="shared" ref="EX179:EX181" ca="1" si="790">MIN(BO179,BQ179)+MIN(CQ179,CS179)+MIN(DS179,DU179)+MIN(EU179,EW179)</f>
        <v>0</v>
      </c>
      <c r="EY179" s="114">
        <f t="shared" ref="EY179:EY180" ca="1" si="791">MAX(EX179,GP179)</f>
        <v>0</v>
      </c>
      <c r="FD179" s="115">
        <f t="shared" ref="FD179:FD181" si="792">IF($H$2=1,EZ179,IF($H$2=2,SUM(EZ179:FA179),IF($H$2=3,SUM(EZ179:FB179),SUM(EZ179:FC179))))</f>
        <v>0</v>
      </c>
      <c r="FE179" s="114">
        <f t="shared" si="453"/>
        <v>0</v>
      </c>
      <c r="FJ179" s="115">
        <f t="shared" ref="FJ179:FJ180" si="793">IF($H$2=1,FF179,IF($H$2=2,SUM(FF179:FG179),IF($H$2=3,SUM(FF179:FH179),SUM(FF179:FI179))))</f>
        <v>0</v>
      </c>
      <c r="FK179" s="114">
        <f t="shared" si="454"/>
        <v>0</v>
      </c>
      <c r="FL179" s="514"/>
      <c r="FM179" s="514"/>
      <c r="FN179" s="514"/>
      <c r="FO179" s="514"/>
      <c r="FP179" s="115">
        <f t="shared" ref="FP179:FP181" si="794">SUM(FL179:FO179)</f>
        <v>0</v>
      </c>
      <c r="FT179" s="33">
        <f t="shared" ref="FT179:FT180" si="795">SUM(FQ179:FS179)</f>
        <v>0</v>
      </c>
      <c r="FU179" s="361">
        <f t="shared" ref="FU179:FU180" ca="1" si="796">ROUND(MAX(FV179-FT179,0),2)</f>
        <v>0</v>
      </c>
      <c r="FV179" s="33">
        <f t="shared" ref="FV179:FV180" ca="1" si="797">SUM(EY179,FD179,FJ179,FP179)</f>
        <v>0</v>
      </c>
      <c r="FW179" s="33">
        <f t="shared" ref="FW179:FW181" si="798">FF179</f>
        <v>0</v>
      </c>
      <c r="FX179" s="33">
        <f t="shared" ref="FX179:FX181" si="799">FG179</f>
        <v>0</v>
      </c>
      <c r="FY179" s="33">
        <f t="shared" ref="FY179:FY181" si="800">FH179</f>
        <v>0</v>
      </c>
      <c r="FZ179" s="33">
        <f t="shared" ref="FZ179:FZ181" si="801">FI179</f>
        <v>0</v>
      </c>
      <c r="GA179" s="33">
        <f t="shared" ref="GA179:GA181" si="802">SUM(FW179:FZ179)</f>
        <v>0</v>
      </c>
      <c r="GB179" s="33">
        <f t="shared" ref="GB179:GB181" si="803">EZ179</f>
        <v>0</v>
      </c>
      <c r="GC179" s="33">
        <f t="shared" ref="GC179:GC181" si="804">FA179</f>
        <v>0</v>
      </c>
      <c r="GD179" s="33">
        <f t="shared" ref="GD179:GD181" si="805">FB179</f>
        <v>0</v>
      </c>
      <c r="GE179" s="33">
        <f t="shared" ref="GE179:GE181" si="806">FC179</f>
        <v>0</v>
      </c>
      <c r="GF179" s="33">
        <f t="shared" ref="GF179:GF181" si="807">GB179+FW179</f>
        <v>0</v>
      </c>
      <c r="GG179" s="33">
        <f t="shared" ref="GG179:GG181" si="808">GC179+FX179</f>
        <v>0</v>
      </c>
      <c r="GH179" s="33">
        <f t="shared" ref="GH179:GH181" si="809">GD179+FY179</f>
        <v>0</v>
      </c>
      <c r="GI179" s="33">
        <f t="shared" ref="GI179:GI181" si="810">GE179+FZ179</f>
        <v>0</v>
      </c>
      <c r="GJ179" s="33">
        <f t="shared" ref="GJ179:GJ180" si="811">IF($H$2=1,GF179,IF($H$2=2,SUM(GF179:GG179),IF($H$2=3,SUM(GF179:GH179),SUM(GF179:GI179))))</f>
        <v>0</v>
      </c>
      <c r="GK179" s="33">
        <f t="shared" ref="GK179:GK181" si="812">SUM(GF179:GI179)</f>
        <v>0</v>
      </c>
      <c r="GL179" s="33">
        <f t="shared" ref="GL179:GL181" si="813">IF(U179="Y",V179*AO179,0)</f>
        <v>0</v>
      </c>
      <c r="GM179" s="33">
        <f t="shared" ref="GM179:GM181" si="814">IF(U179="Y",W179*AO179,0)</f>
        <v>0</v>
      </c>
      <c r="GN179" s="33">
        <f t="shared" ref="GN179:GN181" si="815">IF(U179="Y",X179*AO179,0)</f>
        <v>0</v>
      </c>
      <c r="GO179" s="33">
        <f t="shared" ref="GO179:GO181" si="816">IF(U179="Y",Y179*AO179,0)</f>
        <v>0</v>
      </c>
      <c r="GP179" s="33">
        <f t="shared" ref="GP179:GP181" si="817">IF($H$2=1,GL179,IF($H$2=2,SUM(GL179:GM179),IF($H$2=3,SUM(GL179:GN179),IF($H$2=4,SUM(GL179:GO179)))))</f>
        <v>0</v>
      </c>
      <c r="GQ179" s="114">
        <f t="shared" ref="GQ179:GQ181" si="818">SUM(GL179:GO179)</f>
        <v>0</v>
      </c>
      <c r="GS179" s="507">
        <f t="shared" ref="GS179:GS181" si="819">IFERROR(BJ179+CL179+DN179+EP179,0)</f>
        <v>83252996.603840619</v>
      </c>
      <c r="GT179" s="507">
        <f t="shared" ref="GT179:GT181" si="820">IFERROR(BK179+CM179+DO179+EQ179,0)</f>
        <v>83252996.603840619</v>
      </c>
      <c r="GU179" s="31">
        <f t="shared" ref="GU179:GU181" si="821">IFERROR(GS179/GT179,"")</f>
        <v>1</v>
      </c>
      <c r="GV179" s="124">
        <f t="shared" ca="1" si="588"/>
        <v>0</v>
      </c>
      <c r="GW179" s="124">
        <v>0</v>
      </c>
      <c r="GX179" s="179">
        <f t="shared" ref="GX179:GX181" ca="1" si="822">IFERROR(GV179/AM179,0)</f>
        <v>0</v>
      </c>
    </row>
    <row r="180" spans="1:207" hidden="1">
      <c r="F180" s="104" t="s">
        <v>256</v>
      </c>
      <c r="G180" s="104" t="s">
        <v>226</v>
      </c>
      <c r="H180" s="405" t="s">
        <v>344</v>
      </c>
      <c r="I180" s="106" t="s">
        <v>345</v>
      </c>
      <c r="J180" s="104" t="s">
        <v>212</v>
      </c>
      <c r="K180" s="168" t="s">
        <v>208</v>
      </c>
      <c r="O180" s="549">
        <v>43435</v>
      </c>
      <c r="P180" s="359">
        <v>43647</v>
      </c>
      <c r="Q180" s="323"/>
      <c r="R180" s="109">
        <v>7</v>
      </c>
      <c r="S180" s="108"/>
      <c r="T180" s="110"/>
      <c r="U180" s="483"/>
      <c r="V180" s="483"/>
      <c r="W180" s="405"/>
      <c r="X180" s="405"/>
      <c r="Y180" s="492"/>
      <c r="Z180" s="406"/>
      <c r="AA180" s="394"/>
      <c r="AB180" s="394"/>
      <c r="AC180" s="394"/>
      <c r="AD180" s="394"/>
      <c r="AE180" s="394"/>
      <c r="AF180" s="394"/>
      <c r="AG180" s="394"/>
      <c r="AH180" s="394"/>
      <c r="AI180" s="394"/>
      <c r="AJ180" s="394"/>
      <c r="AK180" s="394"/>
      <c r="AL180" s="394"/>
      <c r="AM180" s="388"/>
      <c r="AN180" s="388"/>
      <c r="AO180" s="389"/>
      <c r="AP180" s="498" t="s">
        <v>676</v>
      </c>
      <c r="AQ180" s="159">
        <v>0.6</v>
      </c>
      <c r="AR180" s="160" t="s">
        <v>211</v>
      </c>
      <c r="AS180" s="119" t="s">
        <v>210</v>
      </c>
      <c r="AT180" s="504"/>
      <c r="AU180" s="504"/>
      <c r="AV180" s="111">
        <v>2860000</v>
      </c>
      <c r="AW180" s="111">
        <v>3117000</v>
      </c>
      <c r="AX180" s="173"/>
      <c r="AY180" s="173"/>
      <c r="AZ180" s="113">
        <v>2790350.7567450805</v>
      </c>
      <c r="BA180" s="506">
        <f t="shared" si="638"/>
        <v>3117000</v>
      </c>
      <c r="BF180" s="114">
        <f t="shared" si="746"/>
        <v>0</v>
      </c>
      <c r="BG180" s="114">
        <f t="shared" si="747"/>
        <v>0</v>
      </c>
      <c r="BH180" s="114">
        <f t="shared" si="748"/>
        <v>2790350.7567450805</v>
      </c>
      <c r="BI180" s="114">
        <f t="shared" si="749"/>
        <v>3117000</v>
      </c>
      <c r="BJ180" s="114">
        <f t="shared" si="750"/>
        <v>5907350.7567450805</v>
      </c>
      <c r="BK180" s="115">
        <f t="shared" si="751"/>
        <v>5977000</v>
      </c>
      <c r="BL180" s="115">
        <f t="shared" si="752"/>
        <v>5977000</v>
      </c>
      <c r="BM180" s="116">
        <f t="shared" si="753"/>
        <v>0.98829999999999996</v>
      </c>
      <c r="BN180" s="126">
        <f t="shared" ca="1" si="754"/>
        <v>0</v>
      </c>
      <c r="BO180" s="117">
        <f t="shared" ca="1" si="755"/>
        <v>0</v>
      </c>
      <c r="BP180" s="118" t="str">
        <f t="shared" si="450"/>
        <v>Uncapped</v>
      </c>
      <c r="BQ180" s="115">
        <f t="shared" ca="1" si="756"/>
        <v>0</v>
      </c>
      <c r="BR180" s="113" t="s">
        <v>688</v>
      </c>
      <c r="BS180" s="119">
        <v>0.2</v>
      </c>
      <c r="BT180" s="113" t="s">
        <v>211</v>
      </c>
      <c r="BU180" s="113" t="s">
        <v>210</v>
      </c>
      <c r="BV180" s="173"/>
      <c r="BW180" s="173"/>
      <c r="BX180" s="506">
        <v>22618799.574099999</v>
      </c>
      <c r="BY180" s="506">
        <v>27098464.121500004</v>
      </c>
      <c r="BZ180" s="173"/>
      <c r="CA180" s="173"/>
      <c r="CB180" s="504">
        <v>22879083.486580007</v>
      </c>
      <c r="CC180" s="506">
        <f t="shared" ref="CC180:CC181" si="823">BY180</f>
        <v>27098464.121500004</v>
      </c>
      <c r="CH180" s="114">
        <f t="shared" si="757"/>
        <v>0</v>
      </c>
      <c r="CI180" s="114">
        <f t="shared" si="758"/>
        <v>0</v>
      </c>
      <c r="CJ180" s="120">
        <f t="shared" si="759"/>
        <v>22879083.486580007</v>
      </c>
      <c r="CK180" s="114">
        <f t="shared" si="760"/>
        <v>27098464.121500004</v>
      </c>
      <c r="CL180" s="114">
        <f t="shared" si="761"/>
        <v>49977547.608080015</v>
      </c>
      <c r="CM180" s="114">
        <f t="shared" si="762"/>
        <v>49717263.695600003</v>
      </c>
      <c r="CN180" s="114">
        <f t="shared" si="763"/>
        <v>49717263.695600003</v>
      </c>
      <c r="CO180" s="116">
        <f t="shared" si="764"/>
        <v>1.0052000000000001</v>
      </c>
      <c r="CP180" s="126">
        <f t="shared" ca="1" si="765"/>
        <v>0</v>
      </c>
      <c r="CQ180" s="115">
        <f t="shared" ca="1" si="766"/>
        <v>0</v>
      </c>
      <c r="CR180" s="118">
        <v>1</v>
      </c>
      <c r="CS180" s="115">
        <f t="shared" si="767"/>
        <v>0</v>
      </c>
      <c r="CT180" s="113" t="s">
        <v>696</v>
      </c>
      <c r="CU180" s="119">
        <v>0.2</v>
      </c>
      <c r="CV180" s="113" t="s">
        <v>217</v>
      </c>
      <c r="CW180" s="113" t="s">
        <v>667</v>
      </c>
      <c r="CX180" s="173"/>
      <c r="CY180" s="173"/>
      <c r="CZ180" s="113">
        <v>69179032.514420599</v>
      </c>
      <c r="DA180" s="113">
        <v>76323964.015026003</v>
      </c>
      <c r="DB180" s="173"/>
      <c r="DC180" s="173"/>
      <c r="DD180" s="113">
        <v>66410604.684560001</v>
      </c>
      <c r="DE180" s="506">
        <v>76323964.015026003</v>
      </c>
      <c r="DF180" s="173"/>
      <c r="DG180" s="173"/>
      <c r="DH180" s="173"/>
      <c r="DI180" s="173"/>
      <c r="DJ180" s="114">
        <f t="shared" si="768"/>
        <v>0</v>
      </c>
      <c r="DK180" s="114">
        <f t="shared" si="769"/>
        <v>0</v>
      </c>
      <c r="DL180" s="114">
        <f t="shared" si="770"/>
        <v>66410604.684560001</v>
      </c>
      <c r="DM180" s="114">
        <f t="shared" si="771"/>
        <v>76323964.015026003</v>
      </c>
      <c r="DN180" s="114">
        <f t="shared" si="772"/>
        <v>142734568.699586</v>
      </c>
      <c r="DO180" s="114">
        <f t="shared" si="773"/>
        <v>145502996.5294466</v>
      </c>
      <c r="DP180" s="114">
        <f t="shared" si="774"/>
        <v>145502996.5294466</v>
      </c>
      <c r="DQ180" s="116">
        <f t="shared" si="775"/>
        <v>0.98099999999999998</v>
      </c>
      <c r="DR180" s="126">
        <f t="shared" ca="1" si="776"/>
        <v>0</v>
      </c>
      <c r="DS180" s="115">
        <f t="shared" ca="1" si="777"/>
        <v>0</v>
      </c>
      <c r="DT180" s="118">
        <v>1</v>
      </c>
      <c r="DU180" s="115">
        <f t="shared" si="778"/>
        <v>0</v>
      </c>
      <c r="DV180" s="173"/>
      <c r="DW180" s="173"/>
      <c r="DX180" s="173"/>
      <c r="DY180" s="173"/>
      <c r="DZ180" s="173"/>
      <c r="EA180" s="173"/>
      <c r="EB180" s="173"/>
      <c r="EC180" s="173"/>
      <c r="ED180" s="173"/>
      <c r="EE180" s="173"/>
      <c r="EF180" s="173"/>
      <c r="EG180" s="173"/>
      <c r="EH180" s="173"/>
      <c r="EI180" s="173"/>
      <c r="EJ180" s="173"/>
      <c r="EK180" s="173"/>
      <c r="EL180" s="114">
        <f t="shared" si="779"/>
        <v>0</v>
      </c>
      <c r="EM180" s="114">
        <f t="shared" si="780"/>
        <v>0</v>
      </c>
      <c r="EN180" s="114">
        <f t="shared" si="781"/>
        <v>0</v>
      </c>
      <c r="EO180" s="114">
        <f t="shared" si="782"/>
        <v>0</v>
      </c>
      <c r="EP180" s="114">
        <f t="shared" si="783"/>
        <v>0</v>
      </c>
      <c r="EQ180" s="114">
        <f t="shared" si="784"/>
        <v>0</v>
      </c>
      <c r="ER180" s="114">
        <f t="shared" si="785"/>
        <v>0</v>
      </c>
      <c r="ES180" s="116">
        <f t="shared" si="786"/>
        <v>0</v>
      </c>
      <c r="ET180" s="126">
        <f t="shared" ca="1" si="787"/>
        <v>0</v>
      </c>
      <c r="EU180" s="115">
        <f t="shared" ca="1" si="788"/>
        <v>0</v>
      </c>
      <c r="EV180" s="118" t="str">
        <f t="shared" ref="EV180:EV181" si="824">IF($T180="Y","100%",IF(DX180="T2","200%",IF($H$2=4,"Uncapped",IF($G180="AA","50%",IF($G180="SA","90%",IF($G180="APJ Regional-AA","50%",IF($G180="APJ Regional-SA","90%",75%)))))))</f>
        <v>Uncapped</v>
      </c>
      <c r="EW180" s="115">
        <f t="shared" ca="1" si="789"/>
        <v>0</v>
      </c>
      <c r="EX180" s="112">
        <f t="shared" ca="1" si="790"/>
        <v>0</v>
      </c>
      <c r="EY180" s="114">
        <f t="shared" ca="1" si="791"/>
        <v>0</v>
      </c>
      <c r="FD180" s="115">
        <f t="shared" si="792"/>
        <v>0</v>
      </c>
      <c r="FE180" s="114">
        <f>SUMIFS(180:180,$5:$5,"SPIFF payout $ (Local CCY)",$4:$4,CONCATENATE("Q",$H$2))</f>
        <v>0</v>
      </c>
      <c r="FJ180" s="115">
        <f t="shared" si="793"/>
        <v>0</v>
      </c>
      <c r="FK180" s="114">
        <f>SUMIFS(180:180,$5:$5,"Other payout $ (Local CCY)",$4:$4,CONCATENATE("Q",$H$2))</f>
        <v>0</v>
      </c>
      <c r="FL180" s="514"/>
      <c r="FM180" s="514"/>
      <c r="FN180" s="514"/>
      <c r="FO180" s="514"/>
      <c r="FP180" s="115">
        <f t="shared" si="794"/>
        <v>0</v>
      </c>
      <c r="FT180" s="33">
        <f t="shared" si="795"/>
        <v>0</v>
      </c>
      <c r="FU180" s="361">
        <f t="shared" ca="1" si="796"/>
        <v>0</v>
      </c>
      <c r="FV180" s="33">
        <f t="shared" ca="1" si="797"/>
        <v>0</v>
      </c>
      <c r="FW180" s="33">
        <f t="shared" si="798"/>
        <v>0</v>
      </c>
      <c r="FX180" s="33">
        <f t="shared" si="799"/>
        <v>0</v>
      </c>
      <c r="FY180" s="33">
        <f t="shared" si="800"/>
        <v>0</v>
      </c>
      <c r="FZ180" s="33">
        <f t="shared" si="801"/>
        <v>0</v>
      </c>
      <c r="GA180" s="33">
        <f t="shared" si="802"/>
        <v>0</v>
      </c>
      <c r="GB180" s="33">
        <f t="shared" si="803"/>
        <v>0</v>
      </c>
      <c r="GC180" s="33">
        <f t="shared" si="804"/>
        <v>0</v>
      </c>
      <c r="GD180" s="33">
        <f t="shared" si="805"/>
        <v>0</v>
      </c>
      <c r="GE180" s="33">
        <f t="shared" si="806"/>
        <v>0</v>
      </c>
      <c r="GF180" s="33">
        <f t="shared" si="807"/>
        <v>0</v>
      </c>
      <c r="GG180" s="33">
        <f t="shared" si="808"/>
        <v>0</v>
      </c>
      <c r="GH180" s="33">
        <f t="shared" si="809"/>
        <v>0</v>
      </c>
      <c r="GI180" s="33">
        <f t="shared" si="810"/>
        <v>0</v>
      </c>
      <c r="GJ180" s="33">
        <f t="shared" si="811"/>
        <v>0</v>
      </c>
      <c r="GK180" s="33">
        <f t="shared" si="812"/>
        <v>0</v>
      </c>
      <c r="GL180" s="33">
        <f t="shared" si="813"/>
        <v>0</v>
      </c>
      <c r="GM180" s="33">
        <f t="shared" si="814"/>
        <v>0</v>
      </c>
      <c r="GN180" s="33">
        <f t="shared" si="815"/>
        <v>0</v>
      </c>
      <c r="GO180" s="33">
        <f t="shared" si="816"/>
        <v>0</v>
      </c>
      <c r="GP180" s="33">
        <f t="shared" si="817"/>
        <v>0</v>
      </c>
      <c r="GQ180" s="114">
        <f t="shared" si="818"/>
        <v>0</v>
      </c>
      <c r="GS180" s="507">
        <f t="shared" si="819"/>
        <v>198619467.0644111</v>
      </c>
      <c r="GT180" s="507">
        <f t="shared" si="820"/>
        <v>201197260.2250466</v>
      </c>
      <c r="GU180" s="31">
        <f t="shared" si="821"/>
        <v>0.98718773228943502</v>
      </c>
      <c r="GV180" s="124">
        <f t="shared" ca="1" si="588"/>
        <v>0</v>
      </c>
      <c r="GW180" s="124">
        <v>0</v>
      </c>
      <c r="GX180" s="179">
        <f t="shared" ca="1" si="822"/>
        <v>0</v>
      </c>
    </row>
    <row r="181" spans="1:207" s="152" customFormat="1" ht="15" customHeight="1">
      <c r="A181" s="129"/>
      <c r="B181" s="130"/>
      <c r="C181" s="130"/>
      <c r="D181" s="131"/>
      <c r="E181" s="131" t="s">
        <v>224</v>
      </c>
      <c r="F181" s="131" t="s">
        <v>225</v>
      </c>
      <c r="G181" s="131" t="s">
        <v>226</v>
      </c>
      <c r="H181" s="132" t="s">
        <v>227</v>
      </c>
      <c r="I181" s="133" t="s">
        <v>228</v>
      </c>
      <c r="J181" s="131" t="s">
        <v>212</v>
      </c>
      <c r="K181" s="536" t="s">
        <v>221</v>
      </c>
      <c r="L181" s="131" t="s">
        <v>229</v>
      </c>
      <c r="M181" s="131" t="s">
        <v>229</v>
      </c>
      <c r="N181" s="134"/>
      <c r="O181" s="551">
        <v>41376</v>
      </c>
      <c r="P181" s="155">
        <v>43556</v>
      </c>
      <c r="Q181" s="321"/>
      <c r="R181" s="109">
        <v>4</v>
      </c>
      <c r="S181" s="108"/>
      <c r="T181" s="135" t="str">
        <f t="shared" ref="T181" si="825">IF(S181&gt;0,"Y","")</f>
        <v/>
      </c>
      <c r="U181" s="134"/>
      <c r="V181" s="134"/>
      <c r="W181" s="134"/>
      <c r="X181" s="134"/>
      <c r="Y181" s="383"/>
      <c r="Z181" s="383" t="s">
        <v>545</v>
      </c>
      <c r="AA181" s="371">
        <v>1000</v>
      </c>
      <c r="AB181" s="371">
        <v>1000</v>
      </c>
      <c r="AC181" s="371">
        <v>1000</v>
      </c>
      <c r="AD181" s="371">
        <v>1000</v>
      </c>
      <c r="AE181" s="371">
        <v>1000</v>
      </c>
      <c r="AF181" s="371">
        <v>1000</v>
      </c>
      <c r="AG181" s="371">
        <v>1000</v>
      </c>
      <c r="AH181" s="371">
        <v>1000</v>
      </c>
      <c r="AI181" s="371">
        <v>1000</v>
      </c>
      <c r="AJ181" s="371">
        <v>1000</v>
      </c>
      <c r="AK181" s="371">
        <v>1000</v>
      </c>
      <c r="AL181" s="371">
        <v>1000</v>
      </c>
      <c r="AM181" s="384">
        <f t="shared" ref="AM181" si="826">IF($H$2=1,SUM(AA181:AC181),IF($H$2=2,SUM(AA181:AF181),IF($H$2=3,SUM(AA181:AI181),SUM(AA181:AL181))))</f>
        <v>12000</v>
      </c>
      <c r="AN181" s="384">
        <f t="shared" ref="AN181" si="827">SUM(AA181:AL181)+INDEX(AA181:AL181,,MATCH($H$3,$AA$5:$AL$5,0))*(12-COUNTA(AA181:AL181))</f>
        <v>12000</v>
      </c>
      <c r="AO181" s="385">
        <f>AI181</f>
        <v>1000</v>
      </c>
      <c r="AP181" s="497" t="s">
        <v>668</v>
      </c>
      <c r="AQ181" s="156">
        <v>0.4</v>
      </c>
      <c r="AR181" s="153" t="s">
        <v>211</v>
      </c>
      <c r="AS181" s="146" t="s">
        <v>210</v>
      </c>
      <c r="AT181" s="136"/>
      <c r="AU181" s="136">
        <v>1811680</v>
      </c>
      <c r="AV181" s="136">
        <v>1811680</v>
      </c>
      <c r="AW181" s="111">
        <v>1672320</v>
      </c>
      <c r="AX181" s="138"/>
      <c r="AY181" s="138">
        <v>2519674.1063998202</v>
      </c>
      <c r="AZ181" s="138">
        <v>2260219.2939180001</v>
      </c>
      <c r="BA181" s="579">
        <f t="shared" si="638"/>
        <v>1672320</v>
      </c>
      <c r="BB181" s="138"/>
      <c r="BC181" s="138"/>
      <c r="BD181" s="138"/>
      <c r="BE181" s="138"/>
      <c r="BF181" s="139">
        <f>AX181+BB181</f>
        <v>0</v>
      </c>
      <c r="BG181" s="139">
        <f>AY181+BC181</f>
        <v>2519674.1063998202</v>
      </c>
      <c r="BH181" s="139">
        <f>AZ181+BD181</f>
        <v>2260219.2939180001</v>
      </c>
      <c r="BI181" s="139">
        <f>BA181+BE181</f>
        <v>1672320</v>
      </c>
      <c r="BJ181" s="139">
        <f t="shared" ref="BJ181" si="828">IF($BB$3="After AR Adjustment",IF($H$2=1,BF181,IF($H$2=2,SUM(BF181:BG181),IF($H$2=3,SUM(BF181:BH181),SUM(BF181:BI181)))),IF($H$2=1,AX181,IF($H$2=2,SUM(AX181:AY181),IF($H$2=3,SUM(AX181:AZ181),SUM(AX181:BA181)))))</f>
        <v>6452213.4003178198</v>
      </c>
      <c r="BK181" s="140">
        <f t="shared" si="751"/>
        <v>5295680</v>
      </c>
      <c r="BL181" s="140">
        <f>SUM(AT181:AW181)</f>
        <v>5295680</v>
      </c>
      <c r="BM181" s="141">
        <f>IFERROR(ROUND(BJ181/BK181,4),0)</f>
        <v>1.2183999999999999</v>
      </c>
      <c r="BN181" s="142">
        <f t="shared" ca="1" si="754"/>
        <v>0</v>
      </c>
      <c r="BO181" s="143">
        <f t="shared" ca="1" si="755"/>
        <v>0</v>
      </c>
      <c r="BP181" s="144" t="str">
        <f t="shared" si="450"/>
        <v>Uncapped</v>
      </c>
      <c r="BQ181" s="140">
        <f t="shared" ca="1" si="756"/>
        <v>0</v>
      </c>
      <c r="BR181" s="138" t="s">
        <v>689</v>
      </c>
      <c r="BS181" s="158">
        <v>0.2</v>
      </c>
      <c r="BT181" s="138" t="s">
        <v>211</v>
      </c>
      <c r="BU181" s="157" t="s">
        <v>210</v>
      </c>
      <c r="BV181" s="138"/>
      <c r="BW181" s="136">
        <v>811460</v>
      </c>
      <c r="BX181" s="136">
        <v>811460</v>
      </c>
      <c r="BY181" s="111">
        <v>749040</v>
      </c>
      <c r="BZ181" s="138"/>
      <c r="CA181" s="138">
        <v>406461.77099999931</v>
      </c>
      <c r="CB181" s="138">
        <v>529108.1189999996</v>
      </c>
      <c r="CC181" s="579">
        <f t="shared" si="823"/>
        <v>749040</v>
      </c>
      <c r="CD181" s="138"/>
      <c r="CE181" s="138"/>
      <c r="CF181" s="138"/>
      <c r="CG181" s="138"/>
      <c r="CH181" s="139">
        <f>BZ181+CD181</f>
        <v>0</v>
      </c>
      <c r="CI181" s="139">
        <f>CA181+CE181</f>
        <v>406461.77099999931</v>
      </c>
      <c r="CJ181" s="145">
        <f>CB181+CF181</f>
        <v>529108.1189999996</v>
      </c>
      <c r="CK181" s="139">
        <f>CC181+CG181</f>
        <v>749040</v>
      </c>
      <c r="CL181" s="139">
        <f t="shared" si="761"/>
        <v>1684609.889999999</v>
      </c>
      <c r="CM181" s="139">
        <f t="shared" si="762"/>
        <v>2371960</v>
      </c>
      <c r="CN181" s="139">
        <f>SUM(BV181:BY181)</f>
        <v>2371960</v>
      </c>
      <c r="CO181" s="141">
        <f>IFERROR(ROUND(CL181/CM181,4),0)</f>
        <v>0.71020000000000005</v>
      </c>
      <c r="CP181" s="142">
        <f ca="1">IF(OR(BR181="MBO",BR181="10% Realized Price"),CO181,SUMPRODUCT(Lower_Payout*(Curve=BT181)*(Lower_Attain&lt;=CO181)*(Upper_Attain&gt;CO181))+(CO181-SUMPRODUCT(Lower_Attain*(Curve=BT181)*(Lower_Attain&lt;=CO181)*(Upper_Attain&gt;CO181)))*SUMPRODUCT(Slope*(Curve=BT181)*(Lower_Attain&lt;=CO181)*(Upper_Attain&gt;CO181)))</f>
        <v>0</v>
      </c>
      <c r="CQ181" s="140">
        <f t="shared" ca="1" si="766"/>
        <v>0</v>
      </c>
      <c r="CR181" s="144">
        <v>1</v>
      </c>
      <c r="CS181" s="140">
        <f t="shared" si="767"/>
        <v>2400</v>
      </c>
      <c r="CT181" s="113" t="s">
        <v>696</v>
      </c>
      <c r="CU181" s="146">
        <v>0.4</v>
      </c>
      <c r="CV181" s="138" t="s">
        <v>217</v>
      </c>
      <c r="CW181" s="138" t="s">
        <v>667</v>
      </c>
      <c r="CX181" s="138"/>
      <c r="CY181" s="136">
        <v>72180793.063260496</v>
      </c>
      <c r="CZ181" s="136">
        <v>69179032.514420599</v>
      </c>
      <c r="DA181" s="113">
        <v>76323964.015026003</v>
      </c>
      <c r="DB181" s="138"/>
      <c r="DC181" s="138">
        <v>65995192.891159989</v>
      </c>
      <c r="DD181" s="138">
        <v>66410604.684560001</v>
      </c>
      <c r="DE181" s="579">
        <v>76323964.015026003</v>
      </c>
      <c r="DF181" s="138"/>
      <c r="DG181" s="138"/>
      <c r="DH181" s="138"/>
      <c r="DI181" s="138"/>
      <c r="DJ181" s="139">
        <f>DB181+DF181</f>
        <v>0</v>
      </c>
      <c r="DK181" s="139">
        <f>DC181+DG181</f>
        <v>65995192.891159989</v>
      </c>
      <c r="DL181" s="139">
        <f>DD181+DH181</f>
        <v>66410604.684560001</v>
      </c>
      <c r="DM181" s="139">
        <f>DE181+DI181</f>
        <v>76323964.015026003</v>
      </c>
      <c r="DN181" s="139">
        <f>IF($BB$3="After AR Adjustment",IF($H$2=1,DJ181,IF($H$2=2,SUM(DJ181:DK181),IF($H$2=3,SUM(DJ181:DL181),SUM(DJ181:DM181)))),IF($H$2=1,DB181,IF($H$2=2,SUM(DB181:DC181),IF($H$2=3,SUM(DB181:DD181),SUM(DB181:DE181)))))</f>
        <v>208729761.59074599</v>
      </c>
      <c r="DO181" s="139">
        <f t="shared" si="773"/>
        <v>217683789.5927071</v>
      </c>
      <c r="DP181" s="139">
        <f>SUM(CX181:DA181)</f>
        <v>217683789.5927071</v>
      </c>
      <c r="DQ181" s="141">
        <f>IFERROR(ROUND(DN181/DO181,4),0)</f>
        <v>0.95889999999999997</v>
      </c>
      <c r="DR181" s="142">
        <f t="shared" ca="1" si="776"/>
        <v>0</v>
      </c>
      <c r="DS181" s="140">
        <f t="shared" ca="1" si="777"/>
        <v>0</v>
      </c>
      <c r="DT181" s="144">
        <v>1</v>
      </c>
      <c r="DU181" s="140">
        <f t="shared" si="778"/>
        <v>4800</v>
      </c>
      <c r="DV181" s="138"/>
      <c r="DW181" s="146">
        <v>0</v>
      </c>
      <c r="DX181" s="138"/>
      <c r="DY181" s="138"/>
      <c r="DZ181" s="138">
        <v>0</v>
      </c>
      <c r="EA181" s="136">
        <v>0</v>
      </c>
      <c r="EB181" s="136">
        <v>0</v>
      </c>
      <c r="EC181" s="136">
        <v>0</v>
      </c>
      <c r="ED181" s="138">
        <v>0</v>
      </c>
      <c r="EE181" s="138">
        <v>0</v>
      </c>
      <c r="EF181" s="138"/>
      <c r="EG181" s="138"/>
      <c r="EH181" s="138"/>
      <c r="EI181" s="138"/>
      <c r="EJ181" s="138"/>
      <c r="EK181" s="138"/>
      <c r="EL181" s="139">
        <f>ED181+EH181</f>
        <v>0</v>
      </c>
      <c r="EM181" s="139">
        <f>EE181+EI181</f>
        <v>0</v>
      </c>
      <c r="EN181" s="139">
        <f>EF181+EJ181</f>
        <v>0</v>
      </c>
      <c r="EO181" s="139">
        <f>EG181+EK181</f>
        <v>0</v>
      </c>
      <c r="EP181" s="139">
        <f t="shared" si="783"/>
        <v>0</v>
      </c>
      <c r="EQ181" s="139">
        <f t="shared" si="784"/>
        <v>0</v>
      </c>
      <c r="ER181" s="139">
        <f>SUM(DZ181:EC181)</f>
        <v>0</v>
      </c>
      <c r="ES181" s="141">
        <f>IFERROR(ROUND(EP181/EQ181,4),0)</f>
        <v>0</v>
      </c>
      <c r="ET181" s="142">
        <f ca="1">IF(OR(DV181="MBO",DV181="10% Realized Price"),ES181,SUMPRODUCT(Lower_Payout*(Curve=DX181)*(Lower_Attain&lt;=ES181)*(Upper_Attain&gt;ES181))+(ES181-SUMPRODUCT(Lower_Attain*(Curve=DX181)*(Lower_Attain&lt;=ES181)*(Upper_Attain&gt;ES181)))*SUMPRODUCT(Slope*(Curve=DX181)*(Lower_Attain&lt;=ES181)*(Upper_Attain&gt;ES181)))</f>
        <v>0</v>
      </c>
      <c r="EU181" s="140">
        <f t="shared" ca="1" si="788"/>
        <v>0</v>
      </c>
      <c r="EV181" s="144" t="str">
        <f t="shared" si="824"/>
        <v>Uncapped</v>
      </c>
      <c r="EW181" s="140">
        <f t="shared" ca="1" si="789"/>
        <v>0</v>
      </c>
      <c r="EX181" s="137">
        <f t="shared" ca="1" si="790"/>
        <v>0</v>
      </c>
      <c r="EY181" s="139">
        <f ca="1">MAX(EX181,GP181)</f>
        <v>0</v>
      </c>
      <c r="EZ181" s="140"/>
      <c r="FA181" s="140"/>
      <c r="FB181" s="115">
        <v>59297</v>
      </c>
      <c r="FC181" s="115">
        <v>0</v>
      </c>
      <c r="FD181" s="140">
        <f t="shared" si="792"/>
        <v>59297</v>
      </c>
      <c r="FE181" s="139">
        <f t="shared" ref="FE181" si="829">SUMIFS(181:181,$5:$5,"SPIFF payout $ (Local CCY)",$4:$4,CONCATENATE("Q",$H$2))</f>
        <v>0</v>
      </c>
      <c r="FF181" s="140">
        <v>0</v>
      </c>
      <c r="FG181" s="140">
        <v>0</v>
      </c>
      <c r="FH181" s="115">
        <v>0</v>
      </c>
      <c r="FI181" s="115">
        <v>0</v>
      </c>
      <c r="FJ181" s="140">
        <f t="shared" ref="FJ181" si="830">IF($H$2=1,FF181,IF($H$2=2,SUM(FF181:FG181),IF($H$2=3,SUM(FF181:FH181),SUM(FF181:FI181))))</f>
        <v>0</v>
      </c>
      <c r="FK181" s="139">
        <f t="shared" ref="FK181" si="831">SUMIFS(181:181,$5:$5,"Other payout $ (Local CCY)",$4:$4,CONCATENATE("Q",$H$2))</f>
        <v>0</v>
      </c>
      <c r="FL181" s="113"/>
      <c r="FM181" s="111"/>
      <c r="FN181" s="111"/>
      <c r="FO181" s="111"/>
      <c r="FP181" s="140">
        <f t="shared" si="794"/>
        <v>0</v>
      </c>
      <c r="FQ181" s="140"/>
      <c r="FR181" s="140"/>
      <c r="FS181" s="140"/>
      <c r="FT181" s="139">
        <f>SUM(FQ181:FS181)</f>
        <v>0</v>
      </c>
      <c r="FU181" s="365">
        <f ca="1">ROUND(MAX(FV181-FT181,0),2)</f>
        <v>59297</v>
      </c>
      <c r="FV181" s="147">
        <f ca="1">SUM(EY181,FD181,FJ181,FP181)</f>
        <v>59297</v>
      </c>
      <c r="FW181" s="139">
        <f t="shared" si="798"/>
        <v>0</v>
      </c>
      <c r="FX181" s="139">
        <f t="shared" si="799"/>
        <v>0</v>
      </c>
      <c r="FY181" s="139">
        <f t="shared" si="800"/>
        <v>0</v>
      </c>
      <c r="FZ181" s="139">
        <f t="shared" si="801"/>
        <v>0</v>
      </c>
      <c r="GA181" s="139">
        <f t="shared" si="802"/>
        <v>0</v>
      </c>
      <c r="GB181" s="139">
        <f t="shared" si="803"/>
        <v>0</v>
      </c>
      <c r="GC181" s="139">
        <f t="shared" si="804"/>
        <v>0</v>
      </c>
      <c r="GD181" s="139">
        <f t="shared" si="805"/>
        <v>59297</v>
      </c>
      <c r="GE181" s="139">
        <f t="shared" si="806"/>
        <v>0</v>
      </c>
      <c r="GF181" s="139">
        <f t="shared" si="807"/>
        <v>0</v>
      </c>
      <c r="GG181" s="139">
        <f t="shared" si="808"/>
        <v>0</v>
      </c>
      <c r="GH181" s="139">
        <f t="shared" si="809"/>
        <v>59297</v>
      </c>
      <c r="GI181" s="139">
        <f t="shared" si="810"/>
        <v>0</v>
      </c>
      <c r="GJ181" s="140">
        <f t="shared" ref="GJ181" si="832">IF($H$2=1,GF181,IF($H$2=2,SUM(GF181:GG181),IF($H$2=3,SUM(GF181:GH181),SUM(GF181:GI181))))</f>
        <v>59297</v>
      </c>
      <c r="GK181" s="139">
        <f t="shared" si="812"/>
        <v>59297</v>
      </c>
      <c r="GL181" s="139">
        <f t="shared" si="813"/>
        <v>0</v>
      </c>
      <c r="GM181" s="139">
        <f t="shared" si="814"/>
        <v>0</v>
      </c>
      <c r="GN181" s="139">
        <f t="shared" si="815"/>
        <v>0</v>
      </c>
      <c r="GO181" s="139">
        <f t="shared" si="816"/>
        <v>0</v>
      </c>
      <c r="GP181" s="139">
        <f t="shared" si="817"/>
        <v>0</v>
      </c>
      <c r="GQ181" s="139">
        <f t="shared" si="818"/>
        <v>0</v>
      </c>
      <c r="GR181" s="409"/>
      <c r="GS181" s="148">
        <f t="shared" si="819"/>
        <v>216866584.88106382</v>
      </c>
      <c r="GT181" s="148">
        <f t="shared" si="820"/>
        <v>225351429.5927071</v>
      </c>
      <c r="GU181" s="149">
        <f t="shared" si="821"/>
        <v>0.96234838746317908</v>
      </c>
      <c r="GV181" s="150">
        <f t="shared" ca="1" si="588"/>
        <v>0</v>
      </c>
      <c r="GW181" s="150">
        <v>0</v>
      </c>
      <c r="GX181" s="151">
        <f t="shared" ca="1" si="822"/>
        <v>0</v>
      </c>
      <c r="GY181" s="100"/>
    </row>
    <row r="182" spans="1:207" s="517" customFormat="1" hidden="1">
      <c r="C182" s="516"/>
      <c r="D182" s="516"/>
      <c r="E182" s="516"/>
      <c r="F182" s="516"/>
      <c r="G182" s="516"/>
      <c r="I182" s="518"/>
      <c r="J182" s="516"/>
      <c r="K182" s="516"/>
      <c r="L182" s="516"/>
      <c r="M182" s="516"/>
      <c r="N182" s="518"/>
      <c r="Q182" s="519"/>
      <c r="R182" s="519"/>
      <c r="S182" s="519"/>
      <c r="T182" s="520"/>
      <c r="U182" s="518"/>
      <c r="V182" s="518"/>
      <c r="Y182" s="521"/>
      <c r="Z182" s="522"/>
      <c r="AA182" s="521"/>
      <c r="AB182" s="521"/>
      <c r="AC182" s="521"/>
      <c r="AD182" s="521"/>
      <c r="AE182" s="521"/>
      <c r="AF182" s="521"/>
      <c r="AG182" s="521"/>
      <c r="AH182" s="521"/>
      <c r="AI182" s="521"/>
      <c r="AJ182" s="521"/>
      <c r="AK182" s="521"/>
      <c r="AL182" s="521"/>
      <c r="AM182" s="521"/>
      <c r="AN182" s="521"/>
      <c r="AO182" s="521"/>
      <c r="AP182" s="521"/>
      <c r="AQ182" s="523"/>
      <c r="AT182" s="524"/>
      <c r="AU182" s="524"/>
      <c r="AV182" s="524"/>
      <c r="AW182" s="524"/>
      <c r="BG182" s="525"/>
      <c r="BH182" s="526"/>
      <c r="BI182" s="527"/>
      <c r="BS182" s="526"/>
      <c r="CB182" s="524"/>
      <c r="CH182" s="524"/>
      <c r="EX182" s="524"/>
      <c r="FF182" s="525"/>
      <c r="FG182" s="525"/>
      <c r="FH182" s="525"/>
      <c r="FI182" s="525"/>
      <c r="FJ182" s="525"/>
      <c r="FL182" s="525"/>
      <c r="FM182" s="525"/>
      <c r="FN182" s="525"/>
      <c r="FO182" s="525"/>
      <c r="FP182" s="525"/>
      <c r="FU182" s="528"/>
      <c r="GR182" s="529"/>
      <c r="GS182" s="530"/>
      <c r="GT182" s="530"/>
      <c r="GU182" s="531"/>
      <c r="GV182" s="531"/>
      <c r="GW182" s="531"/>
      <c r="GX182" s="532"/>
      <c r="GY182" s="525"/>
    </row>
    <row r="183" spans="1:207" hidden="1"/>
    <row r="184" spans="1:207" hidden="1"/>
    <row r="185" spans="1:207" hidden="1"/>
    <row r="186" spans="1:207" hidden="1"/>
    <row r="187" spans="1:207" hidden="1"/>
    <row r="188" spans="1:207" hidden="1"/>
    <row r="189" spans="1:207" hidden="1"/>
    <row r="190" spans="1:207" hidden="1"/>
    <row r="191" spans="1:207" hidden="1"/>
    <row r="192" spans="1:207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55" spans="1:206" s="15" customFormat="1">
      <c r="A255" s="16"/>
      <c r="B255" s="16"/>
      <c r="C255" s="17"/>
      <c r="D255" s="17"/>
      <c r="E255" s="17"/>
      <c r="F255" s="17"/>
      <c r="G255" s="17"/>
      <c r="H255" s="16"/>
      <c r="I255" s="22"/>
      <c r="J255" s="17"/>
      <c r="K255" s="17"/>
      <c r="L255" s="17"/>
      <c r="M255" s="17"/>
      <c r="N255" s="16"/>
      <c r="O255" s="16"/>
      <c r="P255" s="16"/>
      <c r="Q255" s="23"/>
      <c r="R255" s="23"/>
      <c r="S255" s="23"/>
      <c r="T255" s="177"/>
      <c r="U255" s="22"/>
      <c r="V255" s="22"/>
      <c r="W255" s="16"/>
      <c r="X255" s="16"/>
      <c r="Y255" s="372"/>
      <c r="Z255" s="370"/>
      <c r="AA255" s="372"/>
      <c r="AB255" s="372"/>
      <c r="AC255" s="372"/>
      <c r="AD255" s="372"/>
      <c r="AE255" s="372"/>
      <c r="AF255" s="372"/>
      <c r="AG255" s="372"/>
      <c r="AH255" s="372"/>
      <c r="AI255" s="372"/>
      <c r="AJ255" s="372"/>
      <c r="AK255" s="372"/>
      <c r="AL255" s="372"/>
      <c r="AM255" s="372"/>
      <c r="AN255" s="372"/>
      <c r="AO255" s="372"/>
      <c r="AP255" s="372"/>
      <c r="AQ255" s="26"/>
      <c r="AR255" s="16"/>
      <c r="AS255" s="16"/>
      <c r="AT255" s="25"/>
      <c r="AU255" s="25"/>
      <c r="AV255" s="25"/>
      <c r="AW255" s="25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27"/>
      <c r="BT255" s="16"/>
      <c r="BU255" s="16"/>
      <c r="BV255" s="16"/>
      <c r="BW255" s="16"/>
      <c r="BX255" s="16"/>
      <c r="BY255" s="16"/>
      <c r="BZ255" s="16"/>
      <c r="CA255" s="16"/>
      <c r="CB255" s="25"/>
      <c r="CC255" s="16"/>
      <c r="CD255" s="16"/>
      <c r="CE255" s="16"/>
      <c r="CF255" s="16"/>
      <c r="CG255" s="16"/>
      <c r="CH255" s="25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16"/>
      <c r="EJ255" s="16"/>
      <c r="EK255" s="16"/>
      <c r="EL255" s="16"/>
      <c r="EM255" s="16"/>
      <c r="EN255" s="16"/>
      <c r="EO255" s="16"/>
      <c r="EP255" s="16"/>
      <c r="EQ255" s="16"/>
      <c r="ER255" s="16"/>
      <c r="ES255" s="16"/>
      <c r="ET255" s="16"/>
      <c r="EU255" s="16"/>
      <c r="EV255" s="16"/>
      <c r="EW255" s="16"/>
      <c r="EX255" s="25"/>
      <c r="EY255" s="16"/>
      <c r="EZ255" s="16"/>
      <c r="FA255" s="16"/>
      <c r="FB255" s="16"/>
      <c r="FC255" s="16"/>
      <c r="FD255" s="16"/>
      <c r="FE255" s="16"/>
      <c r="FK255" s="16"/>
      <c r="FQ255" s="16"/>
      <c r="FR255" s="16"/>
      <c r="FS255" s="16"/>
      <c r="FT255" s="33"/>
      <c r="FU255" s="361"/>
      <c r="FV255" s="33"/>
      <c r="FW255" s="16"/>
      <c r="FX255" s="16"/>
      <c r="FY255" s="16"/>
      <c r="FZ255" s="16"/>
      <c r="GA255" s="33"/>
      <c r="GB255" s="16"/>
      <c r="GC255" s="16"/>
      <c r="GD255" s="16"/>
      <c r="GE255" s="16"/>
      <c r="GF255" s="33"/>
      <c r="GG255" s="33"/>
      <c r="GH255" s="33"/>
      <c r="GI255" s="33"/>
      <c r="GJ255" s="33"/>
      <c r="GK255" s="33"/>
      <c r="GL255" s="33"/>
      <c r="GM255" s="33"/>
      <c r="GN255" s="33"/>
      <c r="GO255" s="33"/>
      <c r="GP255" s="33"/>
      <c r="GQ255" s="33"/>
      <c r="GR255"/>
      <c r="GS255" s="16"/>
      <c r="GT255" s="16"/>
      <c r="GU255" s="16"/>
      <c r="GV255" s="16"/>
      <c r="GW255" s="16"/>
      <c r="GX255" s="178"/>
    </row>
    <row r="256" spans="1:206" s="15" customFormat="1">
      <c r="A256" s="16"/>
      <c r="B256" s="16"/>
      <c r="C256" s="17"/>
      <c r="D256" s="17"/>
      <c r="E256" s="17"/>
      <c r="F256" s="17"/>
      <c r="G256" s="17"/>
      <c r="H256" s="16"/>
      <c r="I256" s="22"/>
      <c r="J256" s="17"/>
      <c r="K256" s="17"/>
      <c r="L256" s="17"/>
      <c r="M256" s="17"/>
      <c r="N256" s="16"/>
      <c r="O256" s="16"/>
      <c r="P256" s="16"/>
      <c r="Q256" s="23"/>
      <c r="R256" s="23"/>
      <c r="S256" s="23"/>
      <c r="T256" s="177"/>
      <c r="U256" s="22"/>
      <c r="V256" s="22"/>
      <c r="W256" s="16"/>
      <c r="X256" s="16"/>
      <c r="Y256" s="372"/>
      <c r="Z256" s="370"/>
      <c r="AA256" s="372"/>
      <c r="AB256" s="372"/>
      <c r="AC256" s="372"/>
      <c r="AD256" s="372"/>
      <c r="AE256" s="372"/>
      <c r="AF256" s="372"/>
      <c r="AG256" s="372"/>
      <c r="AH256" s="372"/>
      <c r="AI256" s="372"/>
      <c r="AJ256" s="372"/>
      <c r="AK256" s="372"/>
      <c r="AL256" s="372"/>
      <c r="AM256" s="372"/>
      <c r="AN256" s="372"/>
      <c r="AO256" s="372"/>
      <c r="AP256" s="372"/>
      <c r="AQ256" s="26"/>
      <c r="AR256" s="16"/>
      <c r="AS256" s="16"/>
      <c r="AT256" s="25"/>
      <c r="AU256" s="25"/>
      <c r="AV256" s="25"/>
      <c r="AW256" s="25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27"/>
      <c r="BT256" s="16"/>
      <c r="BU256" s="16"/>
      <c r="BV256" s="16"/>
      <c r="BW256" s="16"/>
      <c r="BX256" s="16"/>
      <c r="BY256" s="16"/>
      <c r="BZ256" s="16"/>
      <c r="CA256" s="16"/>
      <c r="CB256" s="25"/>
      <c r="CC256" s="16"/>
      <c r="CD256" s="16"/>
      <c r="CE256" s="16"/>
      <c r="CF256" s="16"/>
      <c r="CG256" s="16"/>
      <c r="CH256" s="25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25"/>
      <c r="EY256" s="16"/>
      <c r="EZ256" s="16"/>
      <c r="FA256" s="16"/>
      <c r="FB256" s="16"/>
      <c r="FC256" s="16"/>
      <c r="FD256" s="16"/>
      <c r="FE256" s="16"/>
      <c r="FK256" s="16"/>
      <c r="FQ256" s="16"/>
      <c r="FR256" s="16"/>
      <c r="FS256" s="16"/>
      <c r="FT256" s="33"/>
      <c r="FU256" s="361"/>
      <c r="FV256" s="33"/>
      <c r="FW256" s="16"/>
      <c r="FX256" s="16"/>
      <c r="FY256" s="16"/>
      <c r="FZ256" s="16"/>
      <c r="GA256" s="33"/>
      <c r="GB256" s="16"/>
      <c r="GC256" s="16"/>
      <c r="GD256" s="16"/>
      <c r="GE256" s="16"/>
      <c r="GF256" s="33"/>
      <c r="GG256" s="33"/>
      <c r="GH256" s="33"/>
      <c r="GI256" s="33"/>
      <c r="GJ256" s="33"/>
      <c r="GK256" s="33"/>
      <c r="GL256" s="33"/>
      <c r="GM256" s="33"/>
      <c r="GN256" s="33"/>
      <c r="GO256" s="33"/>
      <c r="GP256" s="33"/>
      <c r="GQ256" s="33"/>
      <c r="GR256"/>
      <c r="GS256" s="16"/>
      <c r="GT256" s="16"/>
      <c r="GU256" s="16"/>
      <c r="GV256" s="16"/>
      <c r="GW256" s="16"/>
      <c r="GX256" s="178"/>
    </row>
    <row r="257" spans="1:206" s="15" customFormat="1">
      <c r="A257" s="16"/>
      <c r="B257" s="16"/>
      <c r="C257" s="17"/>
      <c r="D257" s="17"/>
      <c r="E257" s="17"/>
      <c r="F257" s="17"/>
      <c r="G257" s="17"/>
      <c r="H257" s="16"/>
      <c r="I257" s="22"/>
      <c r="J257" s="17"/>
      <c r="K257" s="17"/>
      <c r="L257" s="17"/>
      <c r="M257" s="17"/>
      <c r="N257" s="16"/>
      <c r="O257" s="16"/>
      <c r="P257" s="16"/>
      <c r="Q257" s="23"/>
      <c r="R257" s="23"/>
      <c r="S257" s="23"/>
      <c r="T257" s="177"/>
      <c r="U257" s="22"/>
      <c r="V257" s="22"/>
      <c r="W257" s="16"/>
      <c r="X257" s="16"/>
      <c r="Y257" s="372"/>
      <c r="Z257" s="370"/>
      <c r="AA257" s="372"/>
      <c r="AB257" s="372"/>
      <c r="AC257" s="372"/>
      <c r="AD257" s="372"/>
      <c r="AE257" s="372"/>
      <c r="AF257" s="372"/>
      <c r="AG257" s="372"/>
      <c r="AH257" s="372"/>
      <c r="AI257" s="372"/>
      <c r="AJ257" s="372"/>
      <c r="AK257" s="372"/>
      <c r="AL257" s="372"/>
      <c r="AM257" s="372"/>
      <c r="AN257" s="372"/>
      <c r="AO257" s="372"/>
      <c r="AP257" s="372"/>
      <c r="AQ257" s="26"/>
      <c r="AR257" s="16"/>
      <c r="AS257" s="16"/>
      <c r="AT257" s="25"/>
      <c r="AU257" s="25"/>
      <c r="AV257" s="25"/>
      <c r="AW257" s="25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27"/>
      <c r="BT257" s="16"/>
      <c r="BU257" s="16"/>
      <c r="BV257" s="16"/>
      <c r="BW257" s="16"/>
      <c r="BX257" s="16"/>
      <c r="BY257" s="16"/>
      <c r="BZ257" s="16"/>
      <c r="CA257" s="16"/>
      <c r="CB257" s="25"/>
      <c r="CC257" s="16"/>
      <c r="CD257" s="16"/>
      <c r="CE257" s="16"/>
      <c r="CF257" s="16"/>
      <c r="CG257" s="16"/>
      <c r="CH257" s="25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16"/>
      <c r="EJ257" s="16"/>
      <c r="EK257" s="16"/>
      <c r="EL257" s="16"/>
      <c r="EM257" s="16"/>
      <c r="EN257" s="16"/>
      <c r="EO257" s="16"/>
      <c r="EP257" s="16"/>
      <c r="EQ257" s="16"/>
      <c r="ER257" s="16"/>
      <c r="ES257" s="16"/>
      <c r="ET257" s="16"/>
      <c r="EU257" s="16"/>
      <c r="EV257" s="16"/>
      <c r="EW257" s="16"/>
      <c r="EX257" s="25"/>
      <c r="EY257" s="16"/>
      <c r="EZ257" s="16"/>
      <c r="FA257" s="16"/>
      <c r="FB257" s="16"/>
      <c r="FC257" s="16"/>
      <c r="FD257" s="16"/>
      <c r="FE257" s="16"/>
      <c r="FK257" s="16"/>
      <c r="FQ257" s="16"/>
      <c r="FR257" s="16"/>
      <c r="FS257" s="16"/>
      <c r="FT257" s="33"/>
      <c r="FU257" s="361"/>
      <c r="FV257" s="33"/>
      <c r="FW257" s="16"/>
      <c r="FX257" s="16"/>
      <c r="FY257" s="16"/>
      <c r="FZ257" s="16"/>
      <c r="GA257" s="33"/>
      <c r="GB257" s="16"/>
      <c r="GC257" s="16"/>
      <c r="GD257" s="16"/>
      <c r="GE257" s="16"/>
      <c r="GF257" s="33"/>
      <c r="GG257" s="33"/>
      <c r="GH257" s="33"/>
      <c r="GI257" s="33"/>
      <c r="GJ257" s="33"/>
      <c r="GK257" s="33"/>
      <c r="GL257" s="33"/>
      <c r="GM257" s="33"/>
      <c r="GN257" s="33"/>
      <c r="GO257" s="33"/>
      <c r="GP257" s="33"/>
      <c r="GQ257" s="33"/>
      <c r="GR257"/>
      <c r="GS257" s="16"/>
      <c r="GT257" s="16"/>
      <c r="GU257" s="16"/>
      <c r="GV257" s="16"/>
      <c r="GW257" s="16"/>
      <c r="GX257" s="178"/>
    </row>
    <row r="258" spans="1:206" s="15" customFormat="1">
      <c r="A258" s="16"/>
      <c r="B258" s="16"/>
      <c r="C258" s="17"/>
      <c r="D258" s="17"/>
      <c r="E258" s="17"/>
      <c r="F258" s="17"/>
      <c r="G258" s="17"/>
      <c r="H258" s="16"/>
      <c r="I258" s="22"/>
      <c r="J258" s="17"/>
      <c r="K258" s="17"/>
      <c r="L258" s="17"/>
      <c r="M258" s="17"/>
      <c r="N258" s="16"/>
      <c r="O258" s="16"/>
      <c r="P258" s="16"/>
      <c r="Q258" s="23"/>
      <c r="R258" s="23"/>
      <c r="S258" s="23"/>
      <c r="T258" s="177"/>
      <c r="U258" s="22"/>
      <c r="V258" s="22"/>
      <c r="W258" s="16"/>
      <c r="X258" s="16"/>
      <c r="Y258" s="372"/>
      <c r="Z258" s="370"/>
      <c r="AA258" s="372"/>
      <c r="AB258" s="372"/>
      <c r="AC258" s="372"/>
      <c r="AD258" s="372"/>
      <c r="AE258" s="372"/>
      <c r="AF258" s="372"/>
      <c r="AG258" s="372"/>
      <c r="AH258" s="372"/>
      <c r="AI258" s="372"/>
      <c r="AJ258" s="372"/>
      <c r="AK258" s="372"/>
      <c r="AL258" s="372"/>
      <c r="AM258" s="372"/>
      <c r="AN258" s="372"/>
      <c r="AO258" s="372"/>
      <c r="AP258" s="372"/>
      <c r="AQ258" s="26"/>
      <c r="AR258" s="16"/>
      <c r="AS258" s="16"/>
      <c r="AT258" s="25"/>
      <c r="AU258" s="25"/>
      <c r="AV258" s="25"/>
      <c r="AW258" s="25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27"/>
      <c r="BT258" s="16"/>
      <c r="BU258" s="16"/>
      <c r="BV258" s="16"/>
      <c r="BW258" s="16"/>
      <c r="BX258" s="16"/>
      <c r="BY258" s="16"/>
      <c r="BZ258" s="16"/>
      <c r="CA258" s="16"/>
      <c r="CB258" s="25"/>
      <c r="CC258" s="16"/>
      <c r="CD258" s="16"/>
      <c r="CE258" s="16"/>
      <c r="CF258" s="16"/>
      <c r="CG258" s="16"/>
      <c r="CH258" s="25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  <c r="EC258" s="16"/>
      <c r="ED258" s="16"/>
      <c r="EE258" s="16"/>
      <c r="EF258" s="16"/>
      <c r="EG258" s="16"/>
      <c r="EH258" s="16"/>
      <c r="EI258" s="16"/>
      <c r="EJ258" s="16"/>
      <c r="EK258" s="16"/>
      <c r="EL258" s="16"/>
      <c r="EM258" s="16"/>
      <c r="EN258" s="16"/>
      <c r="EO258" s="16"/>
      <c r="EP258" s="16"/>
      <c r="EQ258" s="16"/>
      <c r="ER258" s="16"/>
      <c r="ES258" s="16"/>
      <c r="ET258" s="16"/>
      <c r="EU258" s="16"/>
      <c r="EV258" s="16"/>
      <c r="EW258" s="16"/>
      <c r="EX258" s="25"/>
      <c r="EY258" s="16"/>
      <c r="EZ258" s="16"/>
      <c r="FA258" s="16"/>
      <c r="FB258" s="16"/>
      <c r="FC258" s="16"/>
      <c r="FD258" s="16"/>
      <c r="FE258" s="16"/>
      <c r="FK258" s="16"/>
      <c r="FQ258" s="16"/>
      <c r="FR258" s="16"/>
      <c r="FS258" s="16"/>
      <c r="FT258" s="33"/>
      <c r="FU258" s="361"/>
      <c r="FV258" s="33"/>
      <c r="FW258" s="16"/>
      <c r="FX258" s="16"/>
      <c r="FY258" s="16"/>
      <c r="FZ258" s="16"/>
      <c r="GA258" s="33"/>
      <c r="GB258" s="16"/>
      <c r="GC258" s="16"/>
      <c r="GD258" s="16"/>
      <c r="GE258" s="16"/>
      <c r="GF258" s="33"/>
      <c r="GG258" s="33"/>
      <c r="GH258" s="33"/>
      <c r="GI258" s="33"/>
      <c r="GJ258" s="33"/>
      <c r="GK258" s="33"/>
      <c r="GL258" s="33"/>
      <c r="GM258" s="33"/>
      <c r="GN258" s="33"/>
      <c r="GO258" s="33"/>
      <c r="GP258" s="33"/>
      <c r="GQ258" s="33"/>
      <c r="GR258"/>
      <c r="GS258" s="16"/>
      <c r="GT258" s="16"/>
      <c r="GU258" s="16"/>
      <c r="GV258" s="16"/>
      <c r="GW258" s="16"/>
      <c r="GX258" s="178"/>
    </row>
    <row r="259" spans="1:206" s="15" customFormat="1">
      <c r="A259" s="16"/>
      <c r="B259" s="16"/>
      <c r="C259" s="17"/>
      <c r="D259" s="17"/>
      <c r="E259" s="17"/>
      <c r="F259" s="17"/>
      <c r="G259" s="17"/>
      <c r="H259" s="16"/>
      <c r="I259" s="22"/>
      <c r="J259" s="17"/>
      <c r="K259" s="17"/>
      <c r="L259" s="17"/>
      <c r="M259" s="17"/>
      <c r="N259" s="16"/>
      <c r="O259" s="16"/>
      <c r="P259" s="16"/>
      <c r="Q259" s="23"/>
      <c r="R259" s="23"/>
      <c r="S259" s="23"/>
      <c r="T259" s="177"/>
      <c r="U259" s="22"/>
      <c r="V259" s="22"/>
      <c r="W259" s="16"/>
      <c r="X259" s="16"/>
      <c r="Y259" s="372"/>
      <c r="Z259" s="370"/>
      <c r="AA259" s="372"/>
      <c r="AB259" s="372"/>
      <c r="AC259" s="372"/>
      <c r="AD259" s="372"/>
      <c r="AE259" s="372"/>
      <c r="AF259" s="372"/>
      <c r="AG259" s="372"/>
      <c r="AH259" s="372"/>
      <c r="AI259" s="372"/>
      <c r="AJ259" s="372"/>
      <c r="AK259" s="372"/>
      <c r="AL259" s="372"/>
      <c r="AM259" s="372"/>
      <c r="AN259" s="372"/>
      <c r="AO259" s="372"/>
      <c r="AP259" s="372"/>
      <c r="AQ259" s="26"/>
      <c r="AR259" s="16"/>
      <c r="AS259" s="16"/>
      <c r="AT259" s="25"/>
      <c r="AU259" s="25"/>
      <c r="AV259" s="25"/>
      <c r="AW259" s="25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27"/>
      <c r="BT259" s="16"/>
      <c r="BU259" s="16"/>
      <c r="BV259" s="16"/>
      <c r="BW259" s="16"/>
      <c r="BX259" s="16"/>
      <c r="BY259" s="16"/>
      <c r="BZ259" s="16"/>
      <c r="CA259" s="16"/>
      <c r="CB259" s="25"/>
      <c r="CC259" s="16"/>
      <c r="CD259" s="16"/>
      <c r="CE259" s="16"/>
      <c r="CF259" s="16"/>
      <c r="CG259" s="16"/>
      <c r="CH259" s="25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25"/>
      <c r="EY259" s="16"/>
      <c r="EZ259" s="16"/>
      <c r="FA259" s="16"/>
      <c r="FB259" s="16"/>
      <c r="FC259" s="16"/>
      <c r="FD259" s="16"/>
      <c r="FE259" s="16"/>
      <c r="FK259" s="16"/>
      <c r="FQ259" s="16"/>
      <c r="FR259" s="16"/>
      <c r="FS259" s="16"/>
      <c r="FT259" s="33"/>
      <c r="FU259" s="361"/>
      <c r="FV259" s="33"/>
      <c r="FW259" s="16"/>
      <c r="FX259" s="16"/>
      <c r="FY259" s="16"/>
      <c r="FZ259" s="16"/>
      <c r="GA259" s="33"/>
      <c r="GB259" s="16"/>
      <c r="GC259" s="16"/>
      <c r="GD259" s="16"/>
      <c r="GE259" s="16"/>
      <c r="GF259" s="33"/>
      <c r="GG259" s="33"/>
      <c r="GH259" s="33"/>
      <c r="GI259" s="33"/>
      <c r="GJ259" s="33"/>
      <c r="GK259" s="33"/>
      <c r="GL259" s="33"/>
      <c r="GM259" s="33"/>
      <c r="GN259" s="33"/>
      <c r="GO259" s="33"/>
      <c r="GP259" s="33"/>
      <c r="GQ259" s="33"/>
      <c r="GR259"/>
      <c r="GS259" s="16"/>
      <c r="GT259" s="16"/>
      <c r="GU259" s="16"/>
      <c r="GV259" s="16"/>
      <c r="GW259" s="16"/>
      <c r="GX259" s="178"/>
    </row>
    <row r="260" spans="1:206" s="15" customFormat="1">
      <c r="A260" s="16"/>
      <c r="B260" s="16"/>
      <c r="C260" s="17"/>
      <c r="D260" s="17"/>
      <c r="E260" s="17"/>
      <c r="F260" s="17"/>
      <c r="G260" s="17"/>
      <c r="H260" s="16"/>
      <c r="I260" s="22"/>
      <c r="J260" s="17"/>
      <c r="K260" s="17"/>
      <c r="L260" s="17"/>
      <c r="M260" s="17"/>
      <c r="N260" s="16"/>
      <c r="O260" s="16"/>
      <c r="P260" s="16"/>
      <c r="Q260" s="23"/>
      <c r="R260" s="23"/>
      <c r="S260" s="23"/>
      <c r="T260" s="177"/>
      <c r="U260" s="22"/>
      <c r="V260" s="22"/>
      <c r="W260" s="16"/>
      <c r="X260" s="16"/>
      <c r="Y260" s="372"/>
      <c r="Z260" s="370"/>
      <c r="AA260" s="372"/>
      <c r="AB260" s="372"/>
      <c r="AC260" s="372"/>
      <c r="AD260" s="372"/>
      <c r="AE260" s="372"/>
      <c r="AF260" s="372"/>
      <c r="AG260" s="372"/>
      <c r="AH260" s="372"/>
      <c r="AI260" s="372"/>
      <c r="AJ260" s="372"/>
      <c r="AK260" s="372"/>
      <c r="AL260" s="372"/>
      <c r="AM260" s="372"/>
      <c r="AN260" s="372"/>
      <c r="AO260" s="372"/>
      <c r="AP260" s="372"/>
      <c r="AQ260" s="26"/>
      <c r="AR260" s="16"/>
      <c r="AS260" s="16"/>
      <c r="AT260" s="25"/>
      <c r="AU260" s="25"/>
      <c r="AV260" s="25"/>
      <c r="AW260" s="25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27"/>
      <c r="BT260" s="16"/>
      <c r="BU260" s="16"/>
      <c r="BV260" s="16"/>
      <c r="BW260" s="16"/>
      <c r="BX260" s="16"/>
      <c r="BY260" s="16"/>
      <c r="BZ260" s="16"/>
      <c r="CA260" s="16"/>
      <c r="CB260" s="25"/>
      <c r="CC260" s="16"/>
      <c r="CD260" s="16"/>
      <c r="CE260" s="16"/>
      <c r="CF260" s="16"/>
      <c r="CG260" s="16"/>
      <c r="CH260" s="25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16"/>
      <c r="EJ260" s="16"/>
      <c r="EK260" s="16"/>
      <c r="EL260" s="16"/>
      <c r="EM260" s="16"/>
      <c r="EN260" s="16"/>
      <c r="EO260" s="16"/>
      <c r="EP260" s="16"/>
      <c r="EQ260" s="16"/>
      <c r="ER260" s="16"/>
      <c r="ES260" s="16"/>
      <c r="ET260" s="16"/>
      <c r="EU260" s="16"/>
      <c r="EV260" s="16"/>
      <c r="EW260" s="16"/>
      <c r="EX260" s="25"/>
      <c r="EY260" s="16"/>
      <c r="EZ260" s="16"/>
      <c r="FA260" s="16"/>
      <c r="FB260" s="16"/>
      <c r="FC260" s="16"/>
      <c r="FD260" s="16"/>
      <c r="FE260" s="16"/>
      <c r="FK260" s="16"/>
      <c r="FQ260" s="16"/>
      <c r="FR260" s="16"/>
      <c r="FS260" s="16"/>
      <c r="FT260" s="33"/>
      <c r="FU260" s="361"/>
      <c r="FV260" s="33"/>
      <c r="FW260" s="16"/>
      <c r="FX260" s="16"/>
      <c r="FY260" s="16"/>
      <c r="FZ260" s="16"/>
      <c r="GA260" s="33"/>
      <c r="GB260" s="16"/>
      <c r="GC260" s="16"/>
      <c r="GD260" s="16"/>
      <c r="GE260" s="16"/>
      <c r="GF260" s="33"/>
      <c r="GG260" s="33"/>
      <c r="GH260" s="33"/>
      <c r="GI260" s="33"/>
      <c r="GJ260" s="33"/>
      <c r="GK260" s="33"/>
      <c r="GL260" s="33"/>
      <c r="GM260" s="33"/>
      <c r="GN260" s="33"/>
      <c r="GO260" s="33"/>
      <c r="GP260" s="33"/>
      <c r="GQ260" s="33"/>
      <c r="GR260"/>
      <c r="GS260" s="16"/>
      <c r="GT260" s="16"/>
      <c r="GU260" s="16"/>
      <c r="GV260" s="16"/>
      <c r="GW260" s="16"/>
      <c r="GX260" s="178"/>
    </row>
    <row r="261" spans="1:206" s="15" customFormat="1">
      <c r="A261" s="16"/>
      <c r="B261" s="16"/>
      <c r="C261" s="17"/>
      <c r="D261" s="17"/>
      <c r="E261" s="17"/>
      <c r="F261" s="17"/>
      <c r="G261" s="17"/>
      <c r="H261" s="16"/>
      <c r="I261" s="22"/>
      <c r="J261" s="17"/>
      <c r="K261" s="17"/>
      <c r="L261" s="17"/>
      <c r="M261" s="17"/>
      <c r="N261" s="16"/>
      <c r="O261" s="16"/>
      <c r="P261" s="16"/>
      <c r="Q261" s="23"/>
      <c r="R261" s="23"/>
      <c r="S261" s="23"/>
      <c r="T261" s="177"/>
      <c r="U261" s="22"/>
      <c r="V261" s="22"/>
      <c r="W261" s="16"/>
      <c r="X261" s="16"/>
      <c r="Y261" s="372"/>
      <c r="Z261" s="370"/>
      <c r="AA261" s="372"/>
      <c r="AB261" s="372"/>
      <c r="AC261" s="372"/>
      <c r="AD261" s="372"/>
      <c r="AE261" s="372"/>
      <c r="AF261" s="372"/>
      <c r="AG261" s="372"/>
      <c r="AH261" s="372"/>
      <c r="AI261" s="372"/>
      <c r="AJ261" s="372"/>
      <c r="AK261" s="372"/>
      <c r="AL261" s="372"/>
      <c r="AM261" s="372"/>
      <c r="AN261" s="372"/>
      <c r="AO261" s="372"/>
      <c r="AP261" s="372"/>
      <c r="AQ261" s="26"/>
      <c r="AR261" s="16"/>
      <c r="AS261" s="16"/>
      <c r="AT261" s="25"/>
      <c r="AU261" s="25"/>
      <c r="AV261" s="25"/>
      <c r="AW261" s="25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27"/>
      <c r="BT261" s="16"/>
      <c r="BU261" s="16"/>
      <c r="BV261" s="16"/>
      <c r="BW261" s="16"/>
      <c r="BX261" s="16"/>
      <c r="BY261" s="16"/>
      <c r="BZ261" s="16"/>
      <c r="CA261" s="16"/>
      <c r="CB261" s="25"/>
      <c r="CC261" s="16"/>
      <c r="CD261" s="16"/>
      <c r="CE261" s="16"/>
      <c r="CF261" s="16"/>
      <c r="CG261" s="16"/>
      <c r="CH261" s="25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25"/>
      <c r="EY261" s="16"/>
      <c r="EZ261" s="16"/>
      <c r="FA261" s="16"/>
      <c r="FB261" s="16"/>
      <c r="FC261" s="16"/>
      <c r="FD261" s="16"/>
      <c r="FE261" s="16"/>
      <c r="FK261" s="16"/>
      <c r="FQ261" s="16"/>
      <c r="FR261" s="16"/>
      <c r="FS261" s="16"/>
      <c r="FT261" s="33"/>
      <c r="FU261" s="361"/>
      <c r="FV261" s="33"/>
      <c r="FW261" s="16"/>
      <c r="FX261" s="16"/>
      <c r="FY261" s="16"/>
      <c r="FZ261" s="16"/>
      <c r="GA261" s="33"/>
      <c r="GB261" s="16"/>
      <c r="GC261" s="16"/>
      <c r="GD261" s="16"/>
      <c r="GE261" s="16"/>
      <c r="GF261" s="33"/>
      <c r="GG261" s="33"/>
      <c r="GH261" s="33"/>
      <c r="GI261" s="33"/>
      <c r="GJ261" s="33"/>
      <c r="GK261" s="33"/>
      <c r="GL261" s="33"/>
      <c r="GM261" s="33"/>
      <c r="GN261" s="33"/>
      <c r="GO261" s="33"/>
      <c r="GP261" s="33"/>
      <c r="GQ261" s="33"/>
      <c r="GR261"/>
      <c r="GS261" s="16"/>
      <c r="GT261" s="16"/>
      <c r="GU261" s="16"/>
      <c r="GV261" s="16"/>
      <c r="GW261" s="16"/>
      <c r="GX261" s="178"/>
    </row>
    <row r="262" spans="1:206" s="15" customFormat="1">
      <c r="A262" s="16"/>
      <c r="B262" s="16"/>
      <c r="C262" s="17"/>
      <c r="D262" s="17"/>
      <c r="E262" s="17"/>
      <c r="F262" s="17"/>
      <c r="G262" s="17"/>
      <c r="H262" s="16"/>
      <c r="I262" s="22"/>
      <c r="J262" s="17"/>
      <c r="K262" s="17"/>
      <c r="L262" s="17"/>
      <c r="M262" s="17"/>
      <c r="N262" s="16"/>
      <c r="O262" s="16"/>
      <c r="P262" s="16"/>
      <c r="Q262" s="23"/>
      <c r="R262" s="23"/>
      <c r="S262" s="23"/>
      <c r="T262" s="177"/>
      <c r="U262" s="22"/>
      <c r="V262" s="22"/>
      <c r="W262" s="16"/>
      <c r="X262" s="16"/>
      <c r="Y262" s="372"/>
      <c r="Z262" s="370"/>
      <c r="AA262" s="372"/>
      <c r="AB262" s="372"/>
      <c r="AC262" s="372"/>
      <c r="AD262" s="372"/>
      <c r="AE262" s="372"/>
      <c r="AF262" s="372"/>
      <c r="AG262" s="372"/>
      <c r="AH262" s="372"/>
      <c r="AI262" s="372"/>
      <c r="AJ262" s="372"/>
      <c r="AK262" s="372"/>
      <c r="AL262" s="372"/>
      <c r="AM262" s="372"/>
      <c r="AN262" s="372"/>
      <c r="AO262" s="372"/>
      <c r="AP262" s="372"/>
      <c r="AQ262" s="26"/>
      <c r="AR262" s="16"/>
      <c r="AS262" s="16"/>
      <c r="AT262" s="25"/>
      <c r="AU262" s="25"/>
      <c r="AV262" s="25"/>
      <c r="AW262" s="25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27"/>
      <c r="BT262" s="16"/>
      <c r="BU262" s="16"/>
      <c r="BV262" s="16"/>
      <c r="BW262" s="16"/>
      <c r="BX262" s="16"/>
      <c r="BY262" s="16"/>
      <c r="BZ262" s="16"/>
      <c r="CA262" s="16"/>
      <c r="CB262" s="25"/>
      <c r="CC262" s="16"/>
      <c r="CD262" s="16"/>
      <c r="CE262" s="16"/>
      <c r="CF262" s="16"/>
      <c r="CG262" s="16"/>
      <c r="CH262" s="25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16"/>
      <c r="EJ262" s="16"/>
      <c r="EK262" s="16"/>
      <c r="EL262" s="16"/>
      <c r="EM262" s="16"/>
      <c r="EN262" s="16"/>
      <c r="EO262" s="16"/>
      <c r="EP262" s="16"/>
      <c r="EQ262" s="16"/>
      <c r="ER262" s="16"/>
      <c r="ES262" s="16"/>
      <c r="ET262" s="16"/>
      <c r="EU262" s="16"/>
      <c r="EV262" s="16"/>
      <c r="EW262" s="16"/>
      <c r="EX262" s="25"/>
      <c r="EY262" s="16"/>
      <c r="EZ262" s="16"/>
      <c r="FA262" s="16"/>
      <c r="FB262" s="16"/>
      <c r="FC262" s="16"/>
      <c r="FD262" s="16"/>
      <c r="FE262" s="16"/>
      <c r="FK262" s="16"/>
      <c r="FQ262" s="16"/>
      <c r="FR262" s="16"/>
      <c r="FS262" s="16"/>
      <c r="FT262" s="33"/>
      <c r="FU262" s="361"/>
      <c r="FV262" s="33"/>
      <c r="FW262" s="16"/>
      <c r="FX262" s="16"/>
      <c r="FY262" s="16"/>
      <c r="FZ262" s="16"/>
      <c r="GA262" s="33"/>
      <c r="GB262" s="16"/>
      <c r="GC262" s="16"/>
      <c r="GD262" s="16"/>
      <c r="GE262" s="16"/>
      <c r="GF262" s="33"/>
      <c r="GG262" s="33"/>
      <c r="GH262" s="33"/>
      <c r="GI262" s="33"/>
      <c r="GJ262" s="33"/>
      <c r="GK262" s="33"/>
      <c r="GL262" s="33"/>
      <c r="GM262" s="33"/>
      <c r="GN262" s="33"/>
      <c r="GO262" s="33"/>
      <c r="GP262" s="33"/>
      <c r="GQ262" s="33"/>
      <c r="GR262"/>
      <c r="GS262" s="16"/>
      <c r="GT262" s="16"/>
      <c r="GU262" s="16"/>
      <c r="GV262" s="16"/>
      <c r="GW262" s="16"/>
      <c r="GX262" s="178"/>
    </row>
    <row r="263" spans="1:206" s="15" customFormat="1">
      <c r="A263" s="16"/>
      <c r="B263" s="16"/>
      <c r="C263" s="17"/>
      <c r="D263" s="17"/>
      <c r="E263" s="17"/>
      <c r="F263" s="17"/>
      <c r="G263" s="17"/>
      <c r="H263" s="16"/>
      <c r="I263" s="22"/>
      <c r="J263" s="17"/>
      <c r="K263" s="17"/>
      <c r="L263" s="17"/>
      <c r="M263" s="17"/>
      <c r="N263" s="16"/>
      <c r="O263" s="16"/>
      <c r="P263" s="16"/>
      <c r="Q263" s="23"/>
      <c r="R263" s="23"/>
      <c r="S263" s="23"/>
      <c r="T263" s="177"/>
      <c r="U263" s="22"/>
      <c r="V263" s="22"/>
      <c r="W263" s="16"/>
      <c r="X263" s="16"/>
      <c r="Y263" s="372"/>
      <c r="Z263" s="370"/>
      <c r="AA263" s="372"/>
      <c r="AB263" s="372"/>
      <c r="AC263" s="372"/>
      <c r="AD263" s="372"/>
      <c r="AE263" s="372"/>
      <c r="AF263" s="372"/>
      <c r="AG263" s="372"/>
      <c r="AH263" s="372"/>
      <c r="AI263" s="372"/>
      <c r="AJ263" s="372"/>
      <c r="AK263" s="372"/>
      <c r="AL263" s="372"/>
      <c r="AM263" s="372"/>
      <c r="AN263" s="372"/>
      <c r="AO263" s="372"/>
      <c r="AP263" s="372"/>
      <c r="AQ263" s="26"/>
      <c r="AR263" s="16"/>
      <c r="AS263" s="16"/>
      <c r="AT263" s="25"/>
      <c r="AU263" s="25"/>
      <c r="AV263" s="25"/>
      <c r="AW263" s="25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27"/>
      <c r="BT263" s="16"/>
      <c r="BU263" s="16"/>
      <c r="BV263" s="16"/>
      <c r="BW263" s="16"/>
      <c r="BX263" s="16"/>
      <c r="BY263" s="16"/>
      <c r="BZ263" s="16"/>
      <c r="CA263" s="16"/>
      <c r="CB263" s="25"/>
      <c r="CC263" s="16"/>
      <c r="CD263" s="16"/>
      <c r="CE263" s="16"/>
      <c r="CF263" s="16"/>
      <c r="CG263" s="16"/>
      <c r="CH263" s="25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25"/>
      <c r="EY263" s="16"/>
      <c r="EZ263" s="16"/>
      <c r="FA263" s="16"/>
      <c r="FB263" s="16"/>
      <c r="FC263" s="16"/>
      <c r="FD263" s="16"/>
      <c r="FE263" s="16"/>
      <c r="FK263" s="16"/>
      <c r="FQ263" s="16"/>
      <c r="FR263" s="16"/>
      <c r="FS263" s="16"/>
      <c r="FT263" s="33"/>
      <c r="FU263" s="361"/>
      <c r="FV263" s="33"/>
      <c r="FW263" s="16"/>
      <c r="FX263" s="16"/>
      <c r="FY263" s="16"/>
      <c r="FZ263" s="16"/>
      <c r="GA263" s="33"/>
      <c r="GB263" s="16"/>
      <c r="GC263" s="16"/>
      <c r="GD263" s="16"/>
      <c r="GE263" s="16"/>
      <c r="GF263" s="33"/>
      <c r="GG263" s="33"/>
      <c r="GH263" s="33"/>
      <c r="GI263" s="33"/>
      <c r="GJ263" s="33"/>
      <c r="GK263" s="33"/>
      <c r="GL263" s="33"/>
      <c r="GM263" s="33"/>
      <c r="GN263" s="33"/>
      <c r="GO263" s="33"/>
      <c r="GP263" s="33"/>
      <c r="GQ263" s="33"/>
      <c r="GR263"/>
      <c r="GS263" s="16"/>
      <c r="GT263" s="16"/>
      <c r="GU263" s="16"/>
      <c r="GV263" s="16"/>
      <c r="GW263" s="16"/>
      <c r="GX263" s="178"/>
    </row>
    <row r="264" spans="1:206" s="15" customFormat="1">
      <c r="A264" s="16"/>
      <c r="B264" s="16"/>
      <c r="C264" s="17"/>
      <c r="D264" s="17"/>
      <c r="E264" s="17"/>
      <c r="F264" s="17"/>
      <c r="G264" s="17"/>
      <c r="H264" s="16"/>
      <c r="I264" s="22"/>
      <c r="J264" s="17"/>
      <c r="K264" s="17"/>
      <c r="L264" s="17"/>
      <c r="M264" s="17"/>
      <c r="N264" s="16"/>
      <c r="O264" s="16"/>
      <c r="P264" s="16"/>
      <c r="Q264" s="23"/>
      <c r="R264" s="23"/>
      <c r="S264" s="23"/>
      <c r="T264" s="177"/>
      <c r="U264" s="22"/>
      <c r="V264" s="22"/>
      <c r="W264" s="16"/>
      <c r="X264" s="16"/>
      <c r="Y264" s="372"/>
      <c r="Z264" s="370"/>
      <c r="AA264" s="372"/>
      <c r="AB264" s="372"/>
      <c r="AC264" s="372"/>
      <c r="AD264" s="372"/>
      <c r="AE264" s="372"/>
      <c r="AF264" s="372"/>
      <c r="AG264" s="372"/>
      <c r="AH264" s="372"/>
      <c r="AI264" s="372"/>
      <c r="AJ264" s="372"/>
      <c r="AK264" s="372"/>
      <c r="AL264" s="372"/>
      <c r="AM264" s="372"/>
      <c r="AN264" s="372"/>
      <c r="AO264" s="372"/>
      <c r="AP264" s="372"/>
      <c r="AQ264" s="26"/>
      <c r="AR264" s="16"/>
      <c r="AS264" s="16"/>
      <c r="AT264" s="25"/>
      <c r="AU264" s="25"/>
      <c r="AV264" s="25"/>
      <c r="AW264" s="25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27"/>
      <c r="BT264" s="16"/>
      <c r="BU264" s="16"/>
      <c r="BV264" s="16"/>
      <c r="BW264" s="16"/>
      <c r="BX264" s="16"/>
      <c r="BY264" s="16"/>
      <c r="BZ264" s="16"/>
      <c r="CA264" s="16"/>
      <c r="CB264" s="25"/>
      <c r="CC264" s="16"/>
      <c r="CD264" s="16"/>
      <c r="CE264" s="16"/>
      <c r="CF264" s="16"/>
      <c r="CG264" s="16"/>
      <c r="CH264" s="25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16"/>
      <c r="EJ264" s="16"/>
      <c r="EK264" s="16"/>
      <c r="EL264" s="16"/>
      <c r="EM264" s="16"/>
      <c r="EN264" s="16"/>
      <c r="EO264" s="16"/>
      <c r="EP264" s="16"/>
      <c r="EQ264" s="16"/>
      <c r="ER264" s="16"/>
      <c r="ES264" s="16"/>
      <c r="ET264" s="16"/>
      <c r="EU264" s="16"/>
      <c r="EV264" s="16"/>
      <c r="EW264" s="16"/>
      <c r="EX264" s="25"/>
      <c r="EY264" s="16"/>
      <c r="EZ264" s="16"/>
      <c r="FA264" s="16"/>
      <c r="FB264" s="16"/>
      <c r="FC264" s="16"/>
      <c r="FD264" s="16"/>
      <c r="FE264" s="16"/>
      <c r="FK264" s="16"/>
      <c r="FQ264" s="16"/>
      <c r="FR264" s="16"/>
      <c r="FS264" s="16"/>
      <c r="FT264" s="33"/>
      <c r="FU264" s="361"/>
      <c r="FV264" s="33"/>
      <c r="FW264" s="16"/>
      <c r="FX264" s="16"/>
      <c r="FY264" s="16"/>
      <c r="FZ264" s="16"/>
      <c r="GA264" s="33"/>
      <c r="GB264" s="16"/>
      <c r="GC264" s="16"/>
      <c r="GD264" s="16"/>
      <c r="GE264" s="16"/>
      <c r="GF264" s="33"/>
      <c r="GG264" s="33"/>
      <c r="GH264" s="33"/>
      <c r="GI264" s="33"/>
      <c r="GJ264" s="33"/>
      <c r="GK264" s="33"/>
      <c r="GL264" s="33"/>
      <c r="GM264" s="33"/>
      <c r="GN264" s="33"/>
      <c r="GO264" s="33"/>
      <c r="GP264" s="33"/>
      <c r="GQ264" s="33"/>
      <c r="GR264"/>
      <c r="GS264" s="16"/>
      <c r="GT264" s="16"/>
      <c r="GU264" s="16"/>
      <c r="GV264" s="16"/>
      <c r="GW264" s="16"/>
      <c r="GX264" s="178"/>
    </row>
    <row r="265" spans="1:206" s="15" customFormat="1">
      <c r="A265" s="16"/>
      <c r="B265" s="16"/>
      <c r="C265" s="17"/>
      <c r="D265" s="17"/>
      <c r="E265" s="17"/>
      <c r="F265" s="17"/>
      <c r="G265" s="17"/>
      <c r="H265" s="16"/>
      <c r="I265" s="22"/>
      <c r="J265" s="17"/>
      <c r="K265" s="17"/>
      <c r="L265" s="17"/>
      <c r="M265" s="17"/>
      <c r="N265" s="16"/>
      <c r="O265" s="16"/>
      <c r="P265" s="16"/>
      <c r="Q265" s="23"/>
      <c r="R265" s="23"/>
      <c r="S265" s="23"/>
      <c r="T265" s="177"/>
      <c r="U265" s="22"/>
      <c r="V265" s="22"/>
      <c r="W265" s="16"/>
      <c r="X265" s="16"/>
      <c r="Y265" s="372"/>
      <c r="Z265" s="370"/>
      <c r="AA265" s="372"/>
      <c r="AB265" s="372"/>
      <c r="AC265" s="372"/>
      <c r="AD265" s="372"/>
      <c r="AE265" s="372"/>
      <c r="AF265" s="372"/>
      <c r="AG265" s="372"/>
      <c r="AH265" s="372"/>
      <c r="AI265" s="372"/>
      <c r="AJ265" s="372"/>
      <c r="AK265" s="372"/>
      <c r="AL265" s="372"/>
      <c r="AM265" s="372"/>
      <c r="AN265" s="372"/>
      <c r="AO265" s="372"/>
      <c r="AP265" s="372"/>
      <c r="AQ265" s="26"/>
      <c r="AR265" s="16"/>
      <c r="AS265" s="16"/>
      <c r="AT265" s="25"/>
      <c r="AU265" s="25"/>
      <c r="AV265" s="25"/>
      <c r="AW265" s="25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27"/>
      <c r="BT265" s="16"/>
      <c r="BU265" s="16"/>
      <c r="BV265" s="16"/>
      <c r="BW265" s="16"/>
      <c r="BX265" s="16"/>
      <c r="BY265" s="16"/>
      <c r="BZ265" s="16"/>
      <c r="CA265" s="16"/>
      <c r="CB265" s="25"/>
      <c r="CC265" s="16"/>
      <c r="CD265" s="16"/>
      <c r="CE265" s="16"/>
      <c r="CF265" s="16"/>
      <c r="CG265" s="16"/>
      <c r="CH265" s="25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25"/>
      <c r="EY265" s="16"/>
      <c r="EZ265" s="16"/>
      <c r="FA265" s="16"/>
      <c r="FB265" s="16"/>
      <c r="FC265" s="16"/>
      <c r="FD265" s="16"/>
      <c r="FE265" s="16"/>
      <c r="FK265" s="16"/>
      <c r="FQ265" s="16"/>
      <c r="FR265" s="16"/>
      <c r="FS265" s="16"/>
      <c r="FT265" s="33"/>
      <c r="FU265" s="361"/>
      <c r="FV265" s="33"/>
      <c r="FW265" s="16"/>
      <c r="FX265" s="16"/>
      <c r="FY265" s="16"/>
      <c r="FZ265" s="16"/>
      <c r="GA265" s="33"/>
      <c r="GB265" s="16"/>
      <c r="GC265" s="16"/>
      <c r="GD265" s="16"/>
      <c r="GE265" s="16"/>
      <c r="GF265" s="33"/>
      <c r="GG265" s="33"/>
      <c r="GH265" s="33"/>
      <c r="GI265" s="33"/>
      <c r="GJ265" s="33"/>
      <c r="GK265" s="33"/>
      <c r="GL265" s="33"/>
      <c r="GM265" s="33"/>
      <c r="GN265" s="33"/>
      <c r="GO265" s="33"/>
      <c r="GP265" s="33"/>
      <c r="GQ265" s="33"/>
      <c r="GR265"/>
      <c r="GS265" s="16"/>
      <c r="GT265" s="16"/>
      <c r="GU265" s="16"/>
      <c r="GV265" s="16"/>
      <c r="GW265" s="16"/>
      <c r="GX265" s="178"/>
    </row>
    <row r="266" spans="1:206" s="15" customFormat="1">
      <c r="A266" s="16"/>
      <c r="B266" s="16"/>
      <c r="C266" s="17"/>
      <c r="D266" s="17"/>
      <c r="E266" s="17"/>
      <c r="F266" s="17"/>
      <c r="G266" s="17"/>
      <c r="H266" s="16"/>
      <c r="I266" s="22"/>
      <c r="J266" s="17"/>
      <c r="K266" s="17"/>
      <c r="L266" s="17"/>
      <c r="M266" s="17"/>
      <c r="N266" s="16"/>
      <c r="O266" s="16"/>
      <c r="P266" s="16"/>
      <c r="Q266" s="23"/>
      <c r="R266" s="23"/>
      <c r="S266" s="23"/>
      <c r="T266" s="177"/>
      <c r="U266" s="22"/>
      <c r="V266" s="22"/>
      <c r="W266" s="16"/>
      <c r="X266" s="16"/>
      <c r="Y266" s="372"/>
      <c r="Z266" s="370"/>
      <c r="AA266" s="372"/>
      <c r="AB266" s="372"/>
      <c r="AC266" s="372"/>
      <c r="AD266" s="372"/>
      <c r="AE266" s="372"/>
      <c r="AF266" s="372"/>
      <c r="AG266" s="372"/>
      <c r="AH266" s="372"/>
      <c r="AI266" s="372"/>
      <c r="AJ266" s="372"/>
      <c r="AK266" s="372"/>
      <c r="AL266" s="372"/>
      <c r="AM266" s="372"/>
      <c r="AN266" s="372"/>
      <c r="AO266" s="372"/>
      <c r="AP266" s="372"/>
      <c r="AQ266" s="26"/>
      <c r="AR266" s="16"/>
      <c r="AS266" s="16"/>
      <c r="AT266" s="25"/>
      <c r="AU266" s="25"/>
      <c r="AV266" s="25"/>
      <c r="AW266" s="25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27"/>
      <c r="BT266" s="16"/>
      <c r="BU266" s="16"/>
      <c r="BV266" s="16"/>
      <c r="BW266" s="16"/>
      <c r="BX266" s="16"/>
      <c r="BY266" s="16"/>
      <c r="BZ266" s="16"/>
      <c r="CA266" s="16"/>
      <c r="CB266" s="25"/>
      <c r="CC266" s="16"/>
      <c r="CD266" s="16"/>
      <c r="CE266" s="16"/>
      <c r="CF266" s="16"/>
      <c r="CG266" s="16"/>
      <c r="CH266" s="25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16"/>
      <c r="EJ266" s="16"/>
      <c r="EK266" s="16"/>
      <c r="EL266" s="16"/>
      <c r="EM266" s="16"/>
      <c r="EN266" s="16"/>
      <c r="EO266" s="16"/>
      <c r="EP266" s="16"/>
      <c r="EQ266" s="16"/>
      <c r="ER266" s="16"/>
      <c r="ES266" s="16"/>
      <c r="ET266" s="16"/>
      <c r="EU266" s="16"/>
      <c r="EV266" s="16"/>
      <c r="EW266" s="16"/>
      <c r="EX266" s="25"/>
      <c r="EY266" s="16"/>
      <c r="EZ266" s="16"/>
      <c r="FA266" s="16"/>
      <c r="FB266" s="16"/>
      <c r="FC266" s="16"/>
      <c r="FD266" s="16"/>
      <c r="FE266" s="16"/>
      <c r="FK266" s="16"/>
      <c r="FQ266" s="16"/>
      <c r="FR266" s="16"/>
      <c r="FS266" s="16"/>
      <c r="FT266" s="33"/>
      <c r="FU266" s="361"/>
      <c r="FV266" s="33"/>
      <c r="FW266" s="16"/>
      <c r="FX266" s="16"/>
      <c r="FY266" s="16"/>
      <c r="FZ266" s="16"/>
      <c r="GA266" s="33"/>
      <c r="GB266" s="16"/>
      <c r="GC266" s="16"/>
      <c r="GD266" s="16"/>
      <c r="GE266" s="16"/>
      <c r="GF266" s="33"/>
      <c r="GG266" s="33"/>
      <c r="GH266" s="33"/>
      <c r="GI266" s="33"/>
      <c r="GJ266" s="33"/>
      <c r="GK266" s="33"/>
      <c r="GL266" s="33"/>
      <c r="GM266" s="33"/>
      <c r="GN266" s="33"/>
      <c r="GO266" s="33"/>
      <c r="GP266" s="33"/>
      <c r="GQ266" s="33"/>
      <c r="GR266"/>
      <c r="GS266" s="16"/>
      <c r="GT266" s="16"/>
      <c r="GU266" s="16"/>
      <c r="GV266" s="16"/>
      <c r="GW266" s="16"/>
      <c r="GX266" s="178"/>
    </row>
    <row r="267" spans="1:206" s="15" customFormat="1">
      <c r="A267" s="16"/>
      <c r="B267" s="16"/>
      <c r="C267" s="17"/>
      <c r="D267" s="17"/>
      <c r="E267" s="17"/>
      <c r="F267" s="17"/>
      <c r="G267" s="17"/>
      <c r="H267" s="16"/>
      <c r="I267" s="22"/>
      <c r="J267" s="17"/>
      <c r="K267" s="17"/>
      <c r="L267" s="17"/>
      <c r="M267" s="17"/>
      <c r="N267" s="16"/>
      <c r="O267" s="16"/>
      <c r="P267" s="16"/>
      <c r="Q267" s="23"/>
      <c r="R267" s="23"/>
      <c r="S267" s="23"/>
      <c r="T267" s="177"/>
      <c r="U267" s="22"/>
      <c r="V267" s="22"/>
      <c r="W267" s="16"/>
      <c r="X267" s="16"/>
      <c r="Y267" s="372"/>
      <c r="Z267" s="370"/>
      <c r="AA267" s="372"/>
      <c r="AB267" s="372"/>
      <c r="AC267" s="372"/>
      <c r="AD267" s="372"/>
      <c r="AE267" s="372"/>
      <c r="AF267" s="372"/>
      <c r="AG267" s="372"/>
      <c r="AH267" s="372"/>
      <c r="AI267" s="372"/>
      <c r="AJ267" s="372"/>
      <c r="AK267" s="372"/>
      <c r="AL267" s="372"/>
      <c r="AM267" s="372"/>
      <c r="AN267" s="372"/>
      <c r="AO267" s="372"/>
      <c r="AP267" s="372"/>
      <c r="AQ267" s="26"/>
      <c r="AR267" s="16"/>
      <c r="AS267" s="16"/>
      <c r="AT267" s="25"/>
      <c r="AU267" s="25"/>
      <c r="AV267" s="25"/>
      <c r="AW267" s="25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27"/>
      <c r="BT267" s="16"/>
      <c r="BU267" s="16"/>
      <c r="BV267" s="16"/>
      <c r="BW267" s="16"/>
      <c r="BX267" s="16"/>
      <c r="BY267" s="16"/>
      <c r="BZ267" s="16"/>
      <c r="CA267" s="16"/>
      <c r="CB267" s="25"/>
      <c r="CC267" s="16"/>
      <c r="CD267" s="16"/>
      <c r="CE267" s="16"/>
      <c r="CF267" s="16"/>
      <c r="CG267" s="16"/>
      <c r="CH267" s="25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25"/>
      <c r="EY267" s="16"/>
      <c r="EZ267" s="16"/>
      <c r="FA267" s="16"/>
      <c r="FB267" s="16"/>
      <c r="FC267" s="16"/>
      <c r="FD267" s="16"/>
      <c r="FE267" s="16"/>
      <c r="FK267" s="16"/>
      <c r="FQ267" s="16"/>
      <c r="FR267" s="16"/>
      <c r="FS267" s="16"/>
      <c r="FT267" s="33"/>
      <c r="FU267" s="361"/>
      <c r="FV267" s="33"/>
      <c r="FW267" s="16"/>
      <c r="FX267" s="16"/>
      <c r="FY267" s="16"/>
      <c r="FZ267" s="16"/>
      <c r="GA267" s="33"/>
      <c r="GB267" s="16"/>
      <c r="GC267" s="16"/>
      <c r="GD267" s="16"/>
      <c r="GE267" s="16"/>
      <c r="GF267" s="33"/>
      <c r="GG267" s="33"/>
      <c r="GH267" s="33"/>
      <c r="GI267" s="33"/>
      <c r="GJ267" s="33"/>
      <c r="GK267" s="33"/>
      <c r="GL267" s="33"/>
      <c r="GM267" s="33"/>
      <c r="GN267" s="33"/>
      <c r="GO267" s="33"/>
      <c r="GP267" s="33"/>
      <c r="GQ267" s="33"/>
      <c r="GR267"/>
      <c r="GS267" s="16"/>
      <c r="GT267" s="16"/>
      <c r="GU267" s="16"/>
      <c r="GV267" s="16"/>
      <c r="GW267" s="16"/>
      <c r="GX267" s="178"/>
    </row>
  </sheetData>
  <sheetProtection formatCells="0" formatColumns="0" formatRows="0" insertColumns="0" insertRows="0" insertHyperlinks="0" deleteColumns="0" deleteRows="0" sort="0" autoFilter="0" pivotTables="0"/>
  <autoFilter ref="A5:GY207" xr:uid="{495E9E8E-A6E2-43E7-85C3-EC531B52D748}">
    <filterColumn colId="8">
      <filters>
        <filter val="Jang, Yu Sung （장유성）"/>
      </filters>
    </filterColumn>
  </autoFilter>
  <dataConsolidate/>
  <mergeCells count="19">
    <mergeCell ref="DB4:DE4"/>
    <mergeCell ref="I2:I3"/>
    <mergeCell ref="AT4:AW4"/>
    <mergeCell ref="AX4:BA4"/>
    <mergeCell ref="BB4:BE4"/>
    <mergeCell ref="BF4:BI4"/>
    <mergeCell ref="BV4:BY4"/>
    <mergeCell ref="BZ4:CC4"/>
    <mergeCell ref="CD4:CG4"/>
    <mergeCell ref="CH4:CK4"/>
    <mergeCell ref="CX4:DA4"/>
    <mergeCell ref="FQ4:FS4"/>
    <mergeCell ref="GS4:GX4"/>
    <mergeCell ref="DF4:DI4"/>
    <mergeCell ref="DJ4:DM4"/>
    <mergeCell ref="DZ4:EC4"/>
    <mergeCell ref="ED4:EG4"/>
    <mergeCell ref="EH4:EK4"/>
    <mergeCell ref="EL4:EO4"/>
  </mergeCells>
  <phoneticPr fontId="37" type="noConversion"/>
  <conditionalFormatting sqref="BM81:BM83 BM97:BM98 CO97:CO98 BM22:BM25 CO22:CO25 CO81:CO83 CO27:CO28 BM27:BM28 CO16:CO17 BM16:BM17 CO41:CO42 BM41:BM42 BM32:BM35 CO32:CO35 BM57:BM59 CO57:CO59 CO91:CO95 BM91:BM95 BM62 CO62 BM37:BM39 CO37:CO39 CO6:CO13 BM6:BM13 BM69:BM70 CO69:CO70 CO64:CO66 BM64:BM66 BM47:BM50 CO47:CO50 BM54:BM55 CO54:CO55 BM88 CO88 BM105:BM111 BM113:BM148 CO113:CO148 BM103 CO103:CO111 BM72:BM79 CO72:CO79 CO85:CO86 CO150:CO152 BM150:BM152 BM154:BM180 CO154:CO180">
    <cfRule type="expression" dxfId="155" priority="718">
      <formula>AS6="Annual"</formula>
    </cfRule>
  </conditionalFormatting>
  <conditionalFormatting sqref="P148 P75 P151:P152 P154:P165">
    <cfRule type="cellIs" dxfId="154" priority="709" operator="notEqual">
      <formula>O75</formula>
    </cfRule>
  </conditionalFormatting>
  <conditionalFormatting sqref="DQ97:DQ98 DQ81:DQ83 DQ22:DQ28 DQ16:DQ17 DQ41:DQ42 DQ32:DQ35 DQ57:DQ59 DQ91:DQ95 DQ62 DQ37:DQ39 DQ6:DQ13 DQ69:DQ70 DQ64:DQ66 DQ47:DQ50 DQ54:DQ55 DQ88 DQ113:DQ148 DQ101:DQ111 DQ72:DQ79 DQ85:DQ86 DQ150:DQ152 DQ154:DQ180">
    <cfRule type="expression" dxfId="153" priority="708">
      <formula>CC6="Annual"</formula>
    </cfRule>
  </conditionalFormatting>
  <conditionalFormatting sqref="ES97:ES98 ES19 ES22:ES25 ES27:ES28 ES16:ES17 ES41:ES42 ES32:ES35 ES57:ES59 ES91:ES95 ES62 ES37:ES39 ES6:ES13 ES69:ES70 ES64:ES66 ES47:ES50 ES54:ES55 ES88 ES113:ES148 ES103:ES111 ES72:ES83 ES150:ES152 ES154:ES180">
    <cfRule type="expression" dxfId="152" priority="707">
      <formula>CW6="Annual"</formula>
    </cfRule>
  </conditionalFormatting>
  <conditionalFormatting sqref="CO80 BM80">
    <cfRule type="expression" dxfId="151" priority="706">
      <formula>AS80="Annual"</formula>
    </cfRule>
  </conditionalFormatting>
  <conditionalFormatting sqref="DQ80">
    <cfRule type="expression" dxfId="150" priority="704">
      <formula>CC80="Annual"</formula>
    </cfRule>
  </conditionalFormatting>
  <conditionalFormatting sqref="CO19 BM19">
    <cfRule type="expression" dxfId="149" priority="701">
      <formula>AS19="Annual"</formula>
    </cfRule>
  </conditionalFormatting>
  <conditionalFormatting sqref="DQ19">
    <cfRule type="expression" dxfId="148" priority="699">
      <formula>CC19="Annual"</formula>
    </cfRule>
  </conditionalFormatting>
  <conditionalFormatting sqref="ES18">
    <cfRule type="expression" dxfId="147" priority="691">
      <formula>CW18="Annual"</formula>
    </cfRule>
  </conditionalFormatting>
  <conditionalFormatting sqref="CO18 BM18">
    <cfRule type="expression" dxfId="146" priority="690">
      <formula>AS18="Annual"</formula>
    </cfRule>
  </conditionalFormatting>
  <conditionalFormatting sqref="DQ18">
    <cfRule type="expression" dxfId="145" priority="689">
      <formula>CC18="Annual"</formula>
    </cfRule>
  </conditionalFormatting>
  <conditionalFormatting sqref="ES89">
    <cfRule type="expression" dxfId="144" priority="670">
      <formula>CW89="Annual"</formula>
    </cfRule>
  </conditionalFormatting>
  <conditionalFormatting sqref="CO89 BM89">
    <cfRule type="expression" dxfId="143" priority="669">
      <formula>AS89="Annual"</formula>
    </cfRule>
  </conditionalFormatting>
  <conditionalFormatting sqref="DQ89">
    <cfRule type="expression" dxfId="142" priority="668">
      <formula>CC89="Annual"</formula>
    </cfRule>
  </conditionalFormatting>
  <conditionalFormatting sqref="BM99 CO99">
    <cfRule type="expression" dxfId="141" priority="667">
      <formula>AS99="Annual"</formula>
    </cfRule>
  </conditionalFormatting>
  <conditionalFormatting sqref="DQ99">
    <cfRule type="expression" dxfId="140" priority="666">
      <formula>CC99="Annual"</formula>
    </cfRule>
  </conditionalFormatting>
  <conditionalFormatting sqref="ES99">
    <cfRule type="expression" dxfId="139" priority="665">
      <formula>CW99="Annual"</formula>
    </cfRule>
  </conditionalFormatting>
  <conditionalFormatting sqref="ES96">
    <cfRule type="expression" dxfId="138" priority="606">
      <formula>CW96="Annual"</formula>
    </cfRule>
  </conditionalFormatting>
  <conditionalFormatting sqref="CO96 BM96">
    <cfRule type="expression" dxfId="137" priority="605">
      <formula>AS96="Annual"</formula>
    </cfRule>
  </conditionalFormatting>
  <conditionalFormatting sqref="DQ96">
    <cfRule type="expression" dxfId="136" priority="604">
      <formula>CC96="Annual"</formula>
    </cfRule>
  </conditionalFormatting>
  <conditionalFormatting sqref="ES46">
    <cfRule type="expression" dxfId="135" priority="597">
      <formula>CW46="Annual"</formula>
    </cfRule>
  </conditionalFormatting>
  <conditionalFormatting sqref="CO46 BM46">
    <cfRule type="expression" dxfId="134" priority="596">
      <formula>AS46="Annual"</formula>
    </cfRule>
  </conditionalFormatting>
  <conditionalFormatting sqref="DQ46">
    <cfRule type="expression" dxfId="133" priority="594">
      <formula>CC46="Annual"</formula>
    </cfRule>
  </conditionalFormatting>
  <conditionalFormatting sqref="BM51 CO51">
    <cfRule type="expression" dxfId="132" priority="593">
      <formula>AS51="Annual"</formula>
    </cfRule>
  </conditionalFormatting>
  <conditionalFormatting sqref="DQ51">
    <cfRule type="expression" dxfId="131" priority="592">
      <formula>CC51="Annual"</formula>
    </cfRule>
  </conditionalFormatting>
  <conditionalFormatting sqref="ES51">
    <cfRule type="expression" dxfId="130" priority="591">
      <formula>CW51="Annual"</formula>
    </cfRule>
  </conditionalFormatting>
  <conditionalFormatting sqref="ES90">
    <cfRule type="expression" dxfId="129" priority="574">
      <formula>CW90="Annual"</formula>
    </cfRule>
  </conditionalFormatting>
  <conditionalFormatting sqref="CO90 BM90">
    <cfRule type="expression" dxfId="128" priority="573">
      <formula>AS90="Annual"</formula>
    </cfRule>
  </conditionalFormatting>
  <conditionalFormatting sqref="DQ90">
    <cfRule type="expression" dxfId="127" priority="572">
      <formula>CC90="Annual"</formula>
    </cfRule>
  </conditionalFormatting>
  <conditionalFormatting sqref="ES29">
    <cfRule type="expression" dxfId="126" priority="563">
      <formula>CW29="Annual"</formula>
    </cfRule>
  </conditionalFormatting>
  <conditionalFormatting sqref="CO29 BM29">
    <cfRule type="expression" dxfId="125" priority="562">
      <formula>AS29="Annual"</formula>
    </cfRule>
  </conditionalFormatting>
  <conditionalFormatting sqref="DQ29">
    <cfRule type="expression" dxfId="124" priority="560">
      <formula>CC29="Annual"</formula>
    </cfRule>
  </conditionalFormatting>
  <conditionalFormatting sqref="BM71 CO71">
    <cfRule type="expression" dxfId="123" priority="559">
      <formula>AS71="Annual"</formula>
    </cfRule>
  </conditionalFormatting>
  <conditionalFormatting sqref="DQ71">
    <cfRule type="expression" dxfId="122" priority="558">
      <formula>CC71="Annual"</formula>
    </cfRule>
  </conditionalFormatting>
  <conditionalFormatting sqref="ES71">
    <cfRule type="expression" dxfId="121" priority="557">
      <formula>CW71="Annual"</formula>
    </cfRule>
  </conditionalFormatting>
  <conditionalFormatting sqref="ES85">
    <cfRule type="expression" dxfId="120" priority="544">
      <formula>CW85="Annual"</formula>
    </cfRule>
  </conditionalFormatting>
  <conditionalFormatting sqref="CO85 BM85">
    <cfRule type="expression" dxfId="119" priority="543">
      <formula>AS85="Annual"</formula>
    </cfRule>
  </conditionalFormatting>
  <conditionalFormatting sqref="BM26">
    <cfRule type="expression" dxfId="118" priority="510">
      <formula>AS26="Annual"</formula>
    </cfRule>
  </conditionalFormatting>
  <conditionalFormatting sqref="CO26">
    <cfRule type="expression" dxfId="117" priority="509">
      <formula>BU26="Annual"</formula>
    </cfRule>
  </conditionalFormatting>
  <conditionalFormatting sqref="ES26">
    <cfRule type="expression" dxfId="116" priority="508">
      <formula>CW26="Annual"</formula>
    </cfRule>
  </conditionalFormatting>
  <conditionalFormatting sqref="DQ43">
    <cfRule type="expression" dxfId="115" priority="481">
      <formula>CC43="Annual"</formula>
    </cfRule>
  </conditionalFormatting>
  <conditionalFormatting sqref="BM43">
    <cfRule type="expression" dxfId="114" priority="480">
      <formula>AS43="Annual"</formula>
    </cfRule>
  </conditionalFormatting>
  <conditionalFormatting sqref="CO43">
    <cfRule type="expression" dxfId="113" priority="479">
      <formula>BU43="Annual"</formula>
    </cfRule>
  </conditionalFormatting>
  <conditionalFormatting sqref="ES43">
    <cfRule type="expression" dxfId="112" priority="478">
      <formula>CW43="Annual"</formula>
    </cfRule>
  </conditionalFormatting>
  <conditionalFormatting sqref="DQ20">
    <cfRule type="expression" dxfId="111" priority="457">
      <formula>CC20="Annual"</formula>
    </cfRule>
  </conditionalFormatting>
  <conditionalFormatting sqref="BM20">
    <cfRule type="expression" dxfId="110" priority="456">
      <formula>AS20="Annual"</formula>
    </cfRule>
  </conditionalFormatting>
  <conditionalFormatting sqref="CO20">
    <cfRule type="expression" dxfId="109" priority="455">
      <formula>BU20="Annual"</formula>
    </cfRule>
  </conditionalFormatting>
  <conditionalFormatting sqref="ES20">
    <cfRule type="expression" dxfId="108" priority="454">
      <formula>CW20="Annual"</formula>
    </cfRule>
  </conditionalFormatting>
  <conditionalFormatting sqref="BM61 CO61">
    <cfRule type="expression" dxfId="107" priority="452">
      <formula>AS61="Annual"</formula>
    </cfRule>
  </conditionalFormatting>
  <conditionalFormatting sqref="DQ61">
    <cfRule type="expression" dxfId="106" priority="451">
      <formula>CC61="Annual"</formula>
    </cfRule>
  </conditionalFormatting>
  <conditionalFormatting sqref="ES61">
    <cfRule type="expression" dxfId="105" priority="450">
      <formula>CW61="Annual"</formula>
    </cfRule>
  </conditionalFormatting>
  <conditionalFormatting sqref="BM44 CO44">
    <cfRule type="expression" dxfId="104" priority="443">
      <formula>AS44="Annual"</formula>
    </cfRule>
  </conditionalFormatting>
  <conditionalFormatting sqref="DQ44">
    <cfRule type="expression" dxfId="103" priority="442">
      <formula>CC44="Annual"</formula>
    </cfRule>
  </conditionalFormatting>
  <conditionalFormatting sqref="ES44">
    <cfRule type="expression" dxfId="102" priority="441">
      <formula>CW44="Annual"</formula>
    </cfRule>
  </conditionalFormatting>
  <conditionalFormatting sqref="CO14 BM14">
    <cfRule type="expression" dxfId="101" priority="440">
      <formula>AS14="Annual"</formula>
    </cfRule>
  </conditionalFormatting>
  <conditionalFormatting sqref="DQ14">
    <cfRule type="expression" dxfId="100" priority="438">
      <formula>CC14="Annual"</formula>
    </cfRule>
  </conditionalFormatting>
  <conditionalFormatting sqref="ES14">
    <cfRule type="expression" dxfId="99" priority="437">
      <formula>CW14="Annual"</formula>
    </cfRule>
  </conditionalFormatting>
  <conditionalFormatting sqref="BM45 CO45">
    <cfRule type="expression" dxfId="98" priority="369">
      <formula>AS45="Annual"</formula>
    </cfRule>
  </conditionalFormatting>
  <conditionalFormatting sqref="DQ45">
    <cfRule type="expression" dxfId="97" priority="368">
      <formula>CC45="Annual"</formula>
    </cfRule>
  </conditionalFormatting>
  <conditionalFormatting sqref="ES45">
    <cfRule type="expression" dxfId="96" priority="367">
      <formula>CW45="Annual"</formula>
    </cfRule>
  </conditionalFormatting>
  <conditionalFormatting sqref="CO101 BM101">
    <cfRule type="expression" dxfId="95" priority="363">
      <formula>AS101="Annual"</formula>
    </cfRule>
  </conditionalFormatting>
  <conditionalFormatting sqref="ES101">
    <cfRule type="expression" dxfId="94" priority="362">
      <formula>CW101="Annual"</formula>
    </cfRule>
  </conditionalFormatting>
  <conditionalFormatting sqref="ES102">
    <cfRule type="expression" dxfId="93" priority="360">
      <formula>CW102="Annual"</formula>
    </cfRule>
  </conditionalFormatting>
  <conditionalFormatting sqref="BM102">
    <cfRule type="expression" dxfId="92" priority="359">
      <formula>AS102="Annual"</formula>
    </cfRule>
  </conditionalFormatting>
  <conditionalFormatting sqref="BM30">
    <cfRule type="expression" dxfId="91" priority="321">
      <formula>AS30="Annual"</formula>
    </cfRule>
  </conditionalFormatting>
  <conditionalFormatting sqref="CO30">
    <cfRule type="expression" dxfId="90" priority="320">
      <formula>BU30="Annual"</formula>
    </cfRule>
  </conditionalFormatting>
  <conditionalFormatting sqref="DQ30">
    <cfRule type="expression" dxfId="89" priority="319">
      <formula>CC30="Annual"</formula>
    </cfRule>
  </conditionalFormatting>
  <conditionalFormatting sqref="ES30">
    <cfRule type="expression" dxfId="88" priority="318">
      <formula>CW30="Annual"</formula>
    </cfRule>
  </conditionalFormatting>
  <conditionalFormatting sqref="CO102">
    <cfRule type="expression" dxfId="87" priority="290">
      <formula>BU102="Annual"</formula>
    </cfRule>
  </conditionalFormatting>
  <conditionalFormatting sqref="BM86">
    <cfRule type="expression" dxfId="86" priority="286">
      <formula>AS86="Annual"</formula>
    </cfRule>
  </conditionalFormatting>
  <conditionalFormatting sqref="CO86">
    <cfRule type="expression" dxfId="85" priority="285">
      <formula>BU86="Annual"</formula>
    </cfRule>
  </conditionalFormatting>
  <conditionalFormatting sqref="ES86">
    <cfRule type="expression" dxfId="84" priority="284">
      <formula>CW86="Annual"</formula>
    </cfRule>
  </conditionalFormatting>
  <conditionalFormatting sqref="BM87">
    <cfRule type="expression" dxfId="83" priority="253">
      <formula>AS87="Annual"</formula>
    </cfRule>
  </conditionalFormatting>
  <conditionalFormatting sqref="CO87">
    <cfRule type="expression" dxfId="82" priority="252">
      <formula>BU87="Annual"</formula>
    </cfRule>
  </conditionalFormatting>
  <conditionalFormatting sqref="CO87">
    <cfRule type="expression" dxfId="81" priority="251">
      <formula>BU87="Annual"</formula>
    </cfRule>
  </conditionalFormatting>
  <conditionalFormatting sqref="DQ87">
    <cfRule type="expression" dxfId="80" priority="250">
      <formula>CC87="Annual"</formula>
    </cfRule>
  </conditionalFormatting>
  <conditionalFormatting sqref="ES87">
    <cfRule type="expression" dxfId="79" priority="249">
      <formula>CW87="Annual"</formula>
    </cfRule>
  </conditionalFormatting>
  <conditionalFormatting sqref="BM21">
    <cfRule type="expression" dxfId="78" priority="218">
      <formula>AS21="Annual"</formula>
    </cfRule>
  </conditionalFormatting>
  <conditionalFormatting sqref="CO21">
    <cfRule type="expression" dxfId="77" priority="217">
      <formula>BU21="Annual"</formula>
    </cfRule>
  </conditionalFormatting>
  <conditionalFormatting sqref="DQ21">
    <cfRule type="expression" dxfId="76" priority="216">
      <formula>CC21="Annual"</formula>
    </cfRule>
  </conditionalFormatting>
  <conditionalFormatting sqref="ES21">
    <cfRule type="expression" dxfId="75" priority="215">
      <formula>CW21="Annual"</formula>
    </cfRule>
  </conditionalFormatting>
  <conditionalFormatting sqref="BM31">
    <cfRule type="expression" dxfId="74" priority="167">
      <formula>AS31="Annual"</formula>
    </cfRule>
  </conditionalFormatting>
  <conditionalFormatting sqref="CO31">
    <cfRule type="expression" dxfId="73" priority="166">
      <formula>BU31="Annual"</formula>
    </cfRule>
  </conditionalFormatting>
  <conditionalFormatting sqref="DQ31">
    <cfRule type="expression" dxfId="72" priority="165">
      <formula>CC31="Annual"</formula>
    </cfRule>
  </conditionalFormatting>
  <conditionalFormatting sqref="ES31">
    <cfRule type="expression" dxfId="71" priority="164">
      <formula>CW31="Annual"</formula>
    </cfRule>
  </conditionalFormatting>
  <conditionalFormatting sqref="BM67">
    <cfRule type="expression" dxfId="70" priority="162">
      <formula>AS67="Annual"</formula>
    </cfRule>
  </conditionalFormatting>
  <conditionalFormatting sqref="CO67">
    <cfRule type="expression" dxfId="69" priority="161">
      <formula>BU67="Annual"</formula>
    </cfRule>
  </conditionalFormatting>
  <conditionalFormatting sqref="DQ67">
    <cfRule type="expression" dxfId="68" priority="160">
      <formula>CC67="Annual"</formula>
    </cfRule>
  </conditionalFormatting>
  <conditionalFormatting sqref="ES67">
    <cfRule type="expression" dxfId="67" priority="159">
      <formula>CW67="Annual"</formula>
    </cfRule>
  </conditionalFormatting>
  <conditionalFormatting sqref="BM15">
    <cfRule type="expression" dxfId="66" priority="158">
      <formula>AS15="Annual"</formula>
    </cfRule>
  </conditionalFormatting>
  <conditionalFormatting sqref="CO15">
    <cfRule type="expression" dxfId="65" priority="157">
      <formula>BU15="Annual"</formula>
    </cfRule>
  </conditionalFormatting>
  <conditionalFormatting sqref="DQ15">
    <cfRule type="expression" dxfId="64" priority="156">
      <formula>CC15="Annual"</formula>
    </cfRule>
  </conditionalFormatting>
  <conditionalFormatting sqref="ES15">
    <cfRule type="expression" dxfId="63" priority="155">
      <formula>CW15="Annual"</formula>
    </cfRule>
  </conditionalFormatting>
  <conditionalFormatting sqref="BM40">
    <cfRule type="expression" dxfId="62" priority="153">
      <formula>AS40="Annual"</formula>
    </cfRule>
  </conditionalFormatting>
  <conditionalFormatting sqref="CO40">
    <cfRule type="expression" dxfId="61" priority="152">
      <formula>BU40="Annual"</formula>
    </cfRule>
  </conditionalFormatting>
  <conditionalFormatting sqref="DQ40">
    <cfRule type="expression" dxfId="60" priority="151">
      <formula>CC40="Annual"</formula>
    </cfRule>
  </conditionalFormatting>
  <conditionalFormatting sqref="ES40">
    <cfRule type="expression" dxfId="59" priority="150">
      <formula>CW40="Annual"</formula>
    </cfRule>
  </conditionalFormatting>
  <conditionalFormatting sqref="BM52">
    <cfRule type="expression" dxfId="58" priority="148">
      <formula>AS52="Annual"</formula>
    </cfRule>
  </conditionalFormatting>
  <conditionalFormatting sqref="CO52">
    <cfRule type="expression" dxfId="57" priority="147">
      <formula>BU52="Annual"</formula>
    </cfRule>
  </conditionalFormatting>
  <conditionalFormatting sqref="DQ52">
    <cfRule type="expression" dxfId="56" priority="146">
      <formula>CC52="Annual"</formula>
    </cfRule>
  </conditionalFormatting>
  <conditionalFormatting sqref="ES52">
    <cfRule type="expression" dxfId="55" priority="145">
      <formula>CW52="Annual"</formula>
    </cfRule>
  </conditionalFormatting>
  <conditionalFormatting sqref="BM53">
    <cfRule type="expression" dxfId="54" priority="108">
      <formula>AS53="Annual"</formula>
    </cfRule>
  </conditionalFormatting>
  <conditionalFormatting sqref="CO53">
    <cfRule type="expression" dxfId="53" priority="107">
      <formula>BU53="Annual"</formula>
    </cfRule>
  </conditionalFormatting>
  <conditionalFormatting sqref="DQ53">
    <cfRule type="expression" dxfId="52" priority="106">
      <formula>CC53="Annual"</formula>
    </cfRule>
  </conditionalFormatting>
  <conditionalFormatting sqref="ES53">
    <cfRule type="expression" dxfId="51" priority="105">
      <formula>CW53="Annual"</formula>
    </cfRule>
  </conditionalFormatting>
  <conditionalFormatting sqref="BM112">
    <cfRule type="expression" dxfId="50" priority="100">
      <formula>AS112="Annual"</formula>
    </cfRule>
  </conditionalFormatting>
  <conditionalFormatting sqref="CO112">
    <cfRule type="expression" dxfId="49" priority="99">
      <formula>BU112="Annual"</formula>
    </cfRule>
  </conditionalFormatting>
  <conditionalFormatting sqref="DQ112">
    <cfRule type="expression" dxfId="48" priority="98">
      <formula>CC112="Annual"</formula>
    </cfRule>
  </conditionalFormatting>
  <conditionalFormatting sqref="ES112">
    <cfRule type="expression" dxfId="47" priority="97">
      <formula>CW112="Annual"</formula>
    </cfRule>
  </conditionalFormatting>
  <conditionalFormatting sqref="BM100">
    <cfRule type="expression" dxfId="46" priority="95">
      <formula>AS100="Annual"</formula>
    </cfRule>
  </conditionalFormatting>
  <conditionalFormatting sqref="CO100">
    <cfRule type="expression" dxfId="45" priority="94">
      <formula>BU100="Annual"</formula>
    </cfRule>
  </conditionalFormatting>
  <conditionalFormatting sqref="DQ100">
    <cfRule type="expression" dxfId="44" priority="93">
      <formula>CC100="Annual"</formula>
    </cfRule>
  </conditionalFormatting>
  <conditionalFormatting sqref="ES100">
    <cfRule type="expression" dxfId="43" priority="92">
      <formula>CW100="Annual"</formula>
    </cfRule>
  </conditionalFormatting>
  <conditionalFormatting sqref="BM56">
    <cfRule type="expression" dxfId="42" priority="91">
      <formula>AS56="Annual"</formula>
    </cfRule>
  </conditionalFormatting>
  <conditionalFormatting sqref="CO56">
    <cfRule type="expression" dxfId="41" priority="90">
      <formula>BU56="Annual"</formula>
    </cfRule>
  </conditionalFormatting>
  <conditionalFormatting sqref="DQ56">
    <cfRule type="expression" dxfId="40" priority="89">
      <formula>CC56="Annual"</formula>
    </cfRule>
  </conditionalFormatting>
  <conditionalFormatting sqref="ES56">
    <cfRule type="expression" dxfId="39" priority="88">
      <formula>CW56="Annual"</formula>
    </cfRule>
  </conditionalFormatting>
  <conditionalFormatting sqref="FL64:FO67 FL61:FO62 FL69:FO83 FL85:FO148 FL6:FO59 FL150:FO152 FL154:FO165">
    <cfRule type="cellIs" dxfId="38" priority="83" operator="lessThan">
      <formula>0</formula>
    </cfRule>
  </conditionalFormatting>
  <conditionalFormatting sqref="BM36">
    <cfRule type="expression" dxfId="37" priority="72">
      <formula>AS36="Annual"</formula>
    </cfRule>
  </conditionalFormatting>
  <conditionalFormatting sqref="CO36">
    <cfRule type="expression" dxfId="36" priority="71">
      <formula>BU36="Annual"</formula>
    </cfRule>
  </conditionalFormatting>
  <conditionalFormatting sqref="DQ36">
    <cfRule type="expression" dxfId="35" priority="70">
      <formula>CC36="Annual"</formula>
    </cfRule>
  </conditionalFormatting>
  <conditionalFormatting sqref="ES36">
    <cfRule type="expression" dxfId="34" priority="69">
      <formula>CW36="Annual"</formula>
    </cfRule>
  </conditionalFormatting>
  <conditionalFormatting sqref="BM68">
    <cfRule type="expression" dxfId="33" priority="43">
      <formula>AS68="Annual"</formula>
    </cfRule>
  </conditionalFormatting>
  <conditionalFormatting sqref="CO68">
    <cfRule type="expression" dxfId="32" priority="42">
      <formula>BU68="Annual"</formula>
    </cfRule>
  </conditionalFormatting>
  <conditionalFormatting sqref="DQ68">
    <cfRule type="expression" dxfId="31" priority="41">
      <formula>CC68="Annual"</formula>
    </cfRule>
  </conditionalFormatting>
  <conditionalFormatting sqref="ES68">
    <cfRule type="expression" dxfId="30" priority="40">
      <formula>CW68="Annual"</formula>
    </cfRule>
  </conditionalFormatting>
  <conditionalFormatting sqref="FL68:FO68">
    <cfRule type="cellIs" dxfId="29" priority="39" operator="lessThan">
      <formula>0</formula>
    </cfRule>
  </conditionalFormatting>
  <conditionalFormatting sqref="CO153 BM153">
    <cfRule type="expression" dxfId="28" priority="38">
      <formula>AS153="Annual"</formula>
    </cfRule>
  </conditionalFormatting>
  <conditionalFormatting sqref="P153">
    <cfRule type="cellIs" dxfId="27" priority="37" operator="notEqual">
      <formula>O153</formula>
    </cfRule>
  </conditionalFormatting>
  <conditionalFormatting sqref="DQ153">
    <cfRule type="expression" dxfId="26" priority="36">
      <formula>CC153="Annual"</formula>
    </cfRule>
  </conditionalFormatting>
  <conditionalFormatting sqref="ES153">
    <cfRule type="expression" dxfId="25" priority="35">
      <formula>CW153="Annual"</formula>
    </cfRule>
  </conditionalFormatting>
  <conditionalFormatting sqref="FL153:FO153">
    <cfRule type="cellIs" dxfId="24" priority="34" operator="lessThan">
      <formula>0</formula>
    </cfRule>
  </conditionalFormatting>
  <conditionalFormatting sqref="BM63 CO63">
    <cfRule type="expression" dxfId="23" priority="33">
      <formula>AS63="Annual"</formula>
    </cfRule>
  </conditionalFormatting>
  <conditionalFormatting sqref="DQ63">
    <cfRule type="expression" dxfId="22" priority="32">
      <formula>CC63="Annual"</formula>
    </cfRule>
  </conditionalFormatting>
  <conditionalFormatting sqref="ES63">
    <cfRule type="expression" dxfId="21" priority="31">
      <formula>CW63="Annual"</formula>
    </cfRule>
  </conditionalFormatting>
  <conditionalFormatting sqref="FL63:FO63">
    <cfRule type="cellIs" dxfId="20" priority="30" operator="lessThan">
      <formula>0</formula>
    </cfRule>
  </conditionalFormatting>
  <conditionalFormatting sqref="CO149 BM149">
    <cfRule type="expression" dxfId="19" priority="29">
      <formula>AS149="Annual"</formula>
    </cfRule>
  </conditionalFormatting>
  <conditionalFormatting sqref="DQ149">
    <cfRule type="expression" dxfId="18" priority="28">
      <formula>CC149="Annual"</formula>
    </cfRule>
  </conditionalFormatting>
  <conditionalFormatting sqref="ES149">
    <cfRule type="expression" dxfId="17" priority="27">
      <formula>CW149="Annual"</formula>
    </cfRule>
  </conditionalFormatting>
  <conditionalFormatting sqref="FL149:FO149">
    <cfRule type="cellIs" dxfId="16" priority="26" operator="lessThan">
      <formula>0</formula>
    </cfRule>
  </conditionalFormatting>
  <conditionalFormatting sqref="BM104">
    <cfRule type="expression" dxfId="15" priority="25">
      <formula>AS104="Annual"</formula>
    </cfRule>
  </conditionalFormatting>
  <conditionalFormatting sqref="BM60 CO60">
    <cfRule type="expression" dxfId="14" priority="24">
      <formula>AS60="Annual"</formula>
    </cfRule>
  </conditionalFormatting>
  <conditionalFormatting sqref="DQ60">
    <cfRule type="expression" dxfId="13" priority="23">
      <formula>CC60="Annual"</formula>
    </cfRule>
  </conditionalFormatting>
  <conditionalFormatting sqref="ES60">
    <cfRule type="expression" dxfId="12" priority="22">
      <formula>CW60="Annual"</formula>
    </cfRule>
  </conditionalFormatting>
  <conditionalFormatting sqref="FL60:FO60">
    <cfRule type="cellIs" dxfId="11" priority="21" operator="lessThan">
      <formula>0</formula>
    </cfRule>
  </conditionalFormatting>
  <conditionalFormatting sqref="BM84 CO84">
    <cfRule type="expression" dxfId="10" priority="19">
      <formula>AS84="Annual"</formula>
    </cfRule>
  </conditionalFormatting>
  <conditionalFormatting sqref="DQ84">
    <cfRule type="expression" dxfId="9" priority="18">
      <formula>CC84="Annual"</formula>
    </cfRule>
  </conditionalFormatting>
  <conditionalFormatting sqref="ES84">
    <cfRule type="expression" dxfId="8" priority="17">
      <formula>CW84="Annual"</formula>
    </cfRule>
  </conditionalFormatting>
  <conditionalFormatting sqref="FL84:FO84">
    <cfRule type="cellIs" dxfId="7" priority="16" operator="lessThan">
      <formula>0</formula>
    </cfRule>
  </conditionalFormatting>
  <conditionalFormatting sqref="P84">
    <cfRule type="cellIs" dxfId="6" priority="15" operator="notEqual">
      <formula>O84</formula>
    </cfRule>
  </conditionalFormatting>
  <conditionalFormatting sqref="P166">
    <cfRule type="cellIs" dxfId="5" priority="14" operator="notEqual">
      <formula>O166</formula>
    </cfRule>
  </conditionalFormatting>
  <conditionalFormatting sqref="P167">
    <cfRule type="cellIs" dxfId="4" priority="9" operator="notEqual">
      <formula>O167</formula>
    </cfRule>
  </conditionalFormatting>
  <conditionalFormatting sqref="CO181 BM181">
    <cfRule type="expression" dxfId="3" priority="4">
      <formula>AS181="Annual"</formula>
    </cfRule>
  </conditionalFormatting>
  <conditionalFormatting sqref="DQ181">
    <cfRule type="expression" dxfId="2" priority="3">
      <formula>CC181="Annual"</formula>
    </cfRule>
  </conditionalFormatting>
  <conditionalFormatting sqref="ES181">
    <cfRule type="expression" dxfId="1" priority="2">
      <formula>CW181="Annual"</formula>
    </cfRule>
  </conditionalFormatting>
  <conditionalFormatting sqref="FL181:FO181">
    <cfRule type="cellIs" dxfId="0" priority="1" operator="lessThan">
      <formula>0</formula>
    </cfRule>
  </conditionalFormatting>
  <dataValidations disablePrompts="1" count="7">
    <dataValidation type="list" allowBlank="1" showInputMessage="1" showErrorMessage="1" sqref="H3" xr:uid="{00000000-0002-0000-0000-000001000000}">
      <formula1>$AA$5:$AL$5</formula1>
    </dataValidation>
    <dataValidation type="list" allowBlank="1" showInputMessage="1" showErrorMessage="1" sqref="H2" xr:uid="{00000000-0002-0000-0000-000003000000}">
      <formula1>"1,2,3,4"</formula1>
    </dataValidation>
    <dataValidation type="list" allowBlank="1" showInputMessage="1" showErrorMessage="1" sqref="BB3" xr:uid="{00000000-0002-0000-0000-000004000000}">
      <formula1>"Before AR Adjustment,After AR Adjustment"</formula1>
    </dataValidation>
    <dataValidation type="list" allowBlank="1" showInputMessage="1" showErrorMessage="1" sqref="O254:O265 O148 O75 O182:O252" xr:uid="{00000000-0002-0000-0000-000002000000}">
      <formula1>$O$254:$O$265</formula1>
    </dataValidation>
    <dataValidation showDropDown="1" showInputMessage="1" showErrorMessage="1" sqref="O160:O165" xr:uid="{092A2409-43ED-49D8-93E1-38989EC7801F}"/>
    <dataValidation type="whole" allowBlank="1" showInputMessage="1" showErrorMessage="1" sqref="V6:Y165 V181:Y181" xr:uid="{00000000-0002-0000-0000-000005000000}">
      <formula1>0</formula1>
      <formula2>3</formula2>
    </dataValidation>
    <dataValidation type="list" allowBlank="1" showInputMessage="1" showErrorMessage="1" sqref="V166:Y180 V182:Y1048576" xr:uid="{00000000-0002-0000-0000-000000000000}">
      <formula1>$V$2:$X$2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>
    <tabColor theme="1"/>
  </sheetPr>
  <dimension ref="A1:AD9"/>
  <sheetViews>
    <sheetView showGridLines="0" zoomScale="80" zoomScaleNormal="80" workbookViewId="0">
      <pane xSplit="5" ySplit="5" topLeftCell="F6" activePane="bottomRight" state="frozen"/>
      <selection activeCell="AC3" sqref="AC3"/>
      <selection pane="topRight" activeCell="AC3" sqref="AC3"/>
      <selection pane="bottomLeft" activeCell="AC3" sqref="AC3"/>
      <selection pane="bottomRight" activeCell="AC3" sqref="AC3"/>
    </sheetView>
  </sheetViews>
  <sheetFormatPr defaultRowHeight="14.4" outlineLevelRow="1" outlineLevelCol="2"/>
  <cols>
    <col min="1" max="1" width="4.6640625" customWidth="1"/>
    <col min="2" max="2" width="8.6640625" customWidth="1"/>
    <col min="3" max="3" width="33.109375" customWidth="1"/>
    <col min="4" max="4" width="24.6640625" customWidth="1" outlineLevel="1"/>
    <col min="5" max="5" width="5.6640625" customWidth="1"/>
    <col min="6" max="6" width="16.6640625" style="623" hidden="1" customWidth="1" outlineLevel="1"/>
    <col min="7" max="7" width="16.109375" style="623" hidden="1" customWidth="1" outlineLevel="1"/>
    <col min="8" max="8" width="13.6640625" hidden="1" customWidth="1" outlineLevel="1"/>
    <col min="9" max="10" width="13.6640625" style="623" hidden="1" customWidth="1" outlineLevel="1"/>
    <col min="11" max="11" width="13.6640625" hidden="1" customWidth="1" outlineLevel="1"/>
    <col min="12" max="13" width="13.6640625" style="623" hidden="1" customWidth="1" outlineLevel="2"/>
    <col min="14" max="14" width="13.6640625" hidden="1" customWidth="1" outlineLevel="2"/>
    <col min="15" max="16" width="13.6640625" style="623" hidden="1" customWidth="1" outlineLevel="2"/>
    <col min="17" max="17" width="13.6640625" hidden="1" customWidth="1" outlineLevel="2"/>
    <col min="18" max="18" width="14" style="623" customWidth="1" collapsed="1"/>
    <col min="19" max="19" width="13.109375" style="623" customWidth="1"/>
    <col min="20" max="20" width="17.77734375" customWidth="1"/>
    <col min="21" max="21" width="18.6640625" style="623" customWidth="1"/>
    <col min="22" max="22" width="14.77734375" customWidth="1"/>
    <col min="23" max="23" width="16.109375" style="623" bestFit="1" customWidth="1"/>
    <col min="24" max="24" width="17.77734375" style="623" customWidth="1"/>
    <col min="25" max="25" width="18.109375" style="623" customWidth="1" outlineLevel="1"/>
    <col min="26" max="26" width="16.33203125" style="623" customWidth="1"/>
    <col min="27" max="27" width="18.6640625" style="623" customWidth="1"/>
    <col min="28" max="28" width="10.21875" bestFit="1" customWidth="1"/>
    <col min="29" max="29" width="16.33203125" bestFit="1" customWidth="1"/>
    <col min="30" max="32" width="11.88671875" bestFit="1" customWidth="1"/>
  </cols>
  <sheetData>
    <row r="1" spans="1:30">
      <c r="G1" s="623" t="s">
        <v>836</v>
      </c>
      <c r="H1" s="634">
        <f>MAX(H6:H8)</f>
        <v>1.0570999999999999</v>
      </c>
      <c r="I1" s="634"/>
      <c r="J1" s="634"/>
      <c r="K1" s="634">
        <f>MAX(K6:K8)</f>
        <v>1.0570999999999999</v>
      </c>
      <c r="L1" s="634"/>
      <c r="M1" s="634"/>
      <c r="N1" s="634">
        <f>MAX(N6:N8)</f>
        <v>1.0570999999999999</v>
      </c>
      <c r="O1" s="634"/>
      <c r="P1" s="634"/>
      <c r="Q1" s="634">
        <f>MAX(Q6:Q8)</f>
        <v>1.0570999999999999</v>
      </c>
      <c r="S1" s="623" t="s">
        <v>836</v>
      </c>
      <c r="T1" s="634">
        <f>MAX(T6:T8)</f>
        <v>1.0571428571428572</v>
      </c>
      <c r="V1" s="634">
        <f ca="1">MAX(V6:V8)</f>
        <v>1.2458904099999994</v>
      </c>
    </row>
    <row r="2" spans="1:30">
      <c r="G2" s="623" t="s">
        <v>835</v>
      </c>
      <c r="H2" s="634">
        <f>MEDIAN(H6:H8)</f>
        <v>1.0570999999999999</v>
      </c>
      <c r="I2" s="634"/>
      <c r="J2" s="634"/>
      <c r="K2" s="634">
        <f>MEDIAN(K6:K8)</f>
        <v>1.0570999999999999</v>
      </c>
      <c r="L2" s="634"/>
      <c r="M2" s="634"/>
      <c r="N2" s="634">
        <f>MEDIAN(N6:N8)</f>
        <v>1.0570999999999999</v>
      </c>
      <c r="O2" s="634"/>
      <c r="P2" s="634"/>
      <c r="Q2" s="634">
        <f>MEDIAN(Q6:Q8)</f>
        <v>0</v>
      </c>
      <c r="S2" s="623" t="s">
        <v>835</v>
      </c>
      <c r="T2" s="634">
        <f>MEDIAN(T6:T8)</f>
        <v>1.0571428571428572</v>
      </c>
      <c r="V2" s="634">
        <f ca="1">MEDIAN(V6:V8)</f>
        <v>1.211269999999429</v>
      </c>
      <c r="AA2" s="634">
        <f ca="1">AA3/W3</f>
        <v>0.73087929373246019</v>
      </c>
    </row>
    <row r="3" spans="1:30" outlineLevel="1">
      <c r="A3" s="180"/>
      <c r="B3" s="624">
        <f>영업부!B2</f>
        <v>0</v>
      </c>
      <c r="G3" s="623" t="s">
        <v>834</v>
      </c>
      <c r="H3" s="634">
        <f>SUBTOTAL(1,H6:H8)</f>
        <v>1.0513999999999999</v>
      </c>
      <c r="I3" s="634"/>
      <c r="J3" s="634"/>
      <c r="K3" s="634">
        <f>SUBTOTAL(1,K6:K8)</f>
        <v>1.0513999999999999</v>
      </c>
      <c r="L3" s="634"/>
      <c r="M3" s="634"/>
      <c r="N3" s="634">
        <f>SUBTOTAL(1,N6:N8)</f>
        <v>1.0513999999999999</v>
      </c>
      <c r="O3" s="634"/>
      <c r="P3" s="634"/>
      <c r="Q3" s="634">
        <f>SUBTOTAL(1,Q6:Q8)</f>
        <v>0.35236666666666666</v>
      </c>
      <c r="S3" s="623" t="s">
        <v>834</v>
      </c>
      <c r="T3" s="634">
        <f>SUBTOTAL(1,T6:T8)</f>
        <v>1.0514285714285714</v>
      </c>
      <c r="V3" s="634">
        <f ca="1">SUBTOTAL(1,V6:V8)</f>
        <v>1.199053469999676</v>
      </c>
      <c r="W3" s="623">
        <f>SUBTOTAL(9,W6:W8)</f>
        <v>53450000</v>
      </c>
      <c r="X3" s="623">
        <f ca="1">SUBTOTAL(9,X6:X8)</f>
        <v>39065498.25</v>
      </c>
      <c r="Y3" s="623">
        <f>SUBTOTAL(9,Y6:Y8)</f>
        <v>0</v>
      </c>
      <c r="Z3" s="623">
        <f ca="1">SUBTOTAL(9,Z6:Z8)</f>
        <v>39065498.25</v>
      </c>
      <c r="AA3" s="623">
        <f ca="1">SUBTOTAL(9,AA6:AA8)</f>
        <v>39065498.25</v>
      </c>
      <c r="AB3" s="635"/>
      <c r="AC3" s="635"/>
    </row>
    <row r="4" spans="1:30" ht="18.75" customHeight="1">
      <c r="A4" s="181"/>
      <c r="B4" s="181"/>
      <c r="C4" s="181"/>
      <c r="D4" s="181"/>
      <c r="E4" s="181"/>
      <c r="F4" s="743" t="s">
        <v>15</v>
      </c>
      <c r="G4" s="744"/>
      <c r="H4" s="744"/>
      <c r="I4" s="743" t="s">
        <v>17</v>
      </c>
      <c r="J4" s="744"/>
      <c r="K4" s="744"/>
      <c r="L4" s="743" t="s">
        <v>18</v>
      </c>
      <c r="M4" s="744"/>
      <c r="N4" s="744"/>
      <c r="O4" s="743" t="s">
        <v>19</v>
      </c>
      <c r="P4" s="744"/>
      <c r="Q4" s="744"/>
      <c r="R4" s="745" t="s">
        <v>497</v>
      </c>
      <c r="S4" s="746"/>
      <c r="T4" s="746"/>
      <c r="U4" s="746"/>
      <c r="V4" s="746"/>
      <c r="W4" s="740" t="s">
        <v>498</v>
      </c>
      <c r="X4" s="741"/>
      <c r="Y4" s="741"/>
      <c r="Z4" s="741"/>
      <c r="AA4" s="742"/>
    </row>
    <row r="5" spans="1:30" s="190" customFormat="1" ht="52.5" customHeight="1">
      <c r="A5" s="182" t="s">
        <v>59</v>
      </c>
      <c r="B5" s="183" t="s">
        <v>56</v>
      </c>
      <c r="C5" s="184" t="s">
        <v>499</v>
      </c>
      <c r="D5" s="184" t="s">
        <v>500</v>
      </c>
      <c r="E5" s="184" t="s">
        <v>72</v>
      </c>
      <c r="F5" s="185" t="s">
        <v>501</v>
      </c>
      <c r="G5" s="185" t="s">
        <v>502</v>
      </c>
      <c r="H5" s="186" t="s">
        <v>503</v>
      </c>
      <c r="I5" s="187" t="s">
        <v>501</v>
      </c>
      <c r="J5" s="185" t="s">
        <v>502</v>
      </c>
      <c r="K5" s="186" t="s">
        <v>503</v>
      </c>
      <c r="L5" s="187" t="s">
        <v>501</v>
      </c>
      <c r="M5" s="185" t="s">
        <v>502</v>
      </c>
      <c r="N5" s="186" t="s">
        <v>503</v>
      </c>
      <c r="O5" s="187" t="s">
        <v>501</v>
      </c>
      <c r="P5" s="185" t="s">
        <v>502</v>
      </c>
      <c r="Q5" s="186" t="s">
        <v>503</v>
      </c>
      <c r="R5" s="633" t="s">
        <v>201</v>
      </c>
      <c r="S5" s="632" t="s">
        <v>202</v>
      </c>
      <c r="T5" s="188" t="s">
        <v>504</v>
      </c>
      <c r="U5" s="632" t="s">
        <v>505</v>
      </c>
      <c r="V5" s="189" t="s">
        <v>506</v>
      </c>
      <c r="W5" s="626" t="s">
        <v>507</v>
      </c>
      <c r="X5" s="627" t="str">
        <f>IF(B3&lt;=3,"YTD Earned Payout capped 
(Local CCY)","YTD Earned Payout LSGY19 accessment (Local CCY)")</f>
        <v>YTD Earned Payout capped 
(Local CCY)</v>
      </c>
      <c r="Y5" s="627" t="s">
        <v>508</v>
      </c>
      <c r="Z5" s="627" t="s">
        <v>177</v>
      </c>
      <c r="AA5" s="628" t="s">
        <v>509</v>
      </c>
      <c r="AB5" s="628" t="s">
        <v>837</v>
      </c>
      <c r="AC5" s="190" t="s">
        <v>839</v>
      </c>
      <c r="AD5" s="190" t="s">
        <v>838</v>
      </c>
    </row>
    <row r="6" spans="1:30">
      <c r="A6" s="103" t="str">
        <f>영업부!E7</f>
        <v>영업1부</v>
      </c>
      <c r="B6" s="625" t="str">
        <f>영업부!B7</f>
        <v>001111</v>
      </c>
      <c r="C6" s="103" t="str">
        <f>영업부!C7</f>
        <v>홍길동</v>
      </c>
      <c r="D6" s="103" t="str">
        <f>영업부!G7</f>
        <v>영업1부</v>
      </c>
      <c r="E6" s="103" t="str">
        <f>영업부!S7</f>
        <v>KRW</v>
      </c>
      <c r="F6" s="623">
        <f>영업부!BC7</f>
        <v>37000000</v>
      </c>
      <c r="G6" s="623">
        <f>영업부!BD7</f>
        <v>35000000</v>
      </c>
      <c r="H6" s="191">
        <f t="shared" ref="H6" si="0">IFERROR(ROUND(F6/G6,4),0)</f>
        <v>1.0570999999999999</v>
      </c>
      <c r="I6" s="623">
        <f>영업부!CE7</f>
        <v>3700000</v>
      </c>
      <c r="J6" s="623">
        <f>영업부!CF7</f>
        <v>3500000</v>
      </c>
      <c r="K6" s="191">
        <f t="shared" ref="K6" si="1">IFERROR(ROUND(I6/J6,4),0)</f>
        <v>1.0570999999999999</v>
      </c>
      <c r="L6" s="623">
        <f>영업부!DG7</f>
        <v>185000000</v>
      </c>
      <c r="M6" s="623">
        <f>영업부!DH7</f>
        <v>175000000</v>
      </c>
      <c r="N6" s="191">
        <f t="shared" ref="N6" si="2">IFERROR(ROUND(L6/M6,4),0)</f>
        <v>1.0570999999999999</v>
      </c>
      <c r="O6" s="623">
        <f>영업부!EI7</f>
        <v>18500000</v>
      </c>
      <c r="P6" s="623">
        <f>영업부!EJ7</f>
        <v>17500000</v>
      </c>
      <c r="Q6" s="191">
        <f t="shared" ref="Q6" si="3">IFERROR(ROUND(O6/P6,4),0)</f>
        <v>1.0570999999999999</v>
      </c>
      <c r="R6" s="629">
        <f t="shared" ref="R6" si="4">SUM(F6,I6,L6,O6)</f>
        <v>244200000</v>
      </c>
      <c r="S6" s="629">
        <f t="shared" ref="S6" si="5">SUM(G6,J6,M6,P6)</f>
        <v>231000000</v>
      </c>
      <c r="T6" s="191">
        <f t="shared" ref="T6" si="6">IFERROR(R6/S6,"")</f>
        <v>1.0571428571428572</v>
      </c>
      <c r="U6" s="629">
        <f ca="1">영업부!GP7</f>
        <v>34947226.000499986</v>
      </c>
      <c r="V6" s="191">
        <f t="shared" ref="V6" ca="1" si="7">IFERROR(U6/W6,"")</f>
        <v>1.2458904099999994</v>
      </c>
      <c r="W6" s="629">
        <f>영업부!AF7</f>
        <v>28050000</v>
      </c>
      <c r="X6" s="629">
        <f ca="1">영업부!FP7</f>
        <v>20015498.25</v>
      </c>
      <c r="Y6" s="629">
        <f>영업부!FN7</f>
        <v>0</v>
      </c>
      <c r="Z6" s="630">
        <f t="shared" ref="Z6" ca="1" si="8">X6-Y6</f>
        <v>20015498.25</v>
      </c>
      <c r="AA6" s="631">
        <f t="shared" ref="AA6" ca="1" si="9">Y6+Z6</f>
        <v>20015498.25</v>
      </c>
      <c r="AB6" s="634">
        <f ca="1">AA6/W6</f>
        <v>0.713565</v>
      </c>
      <c r="AC6" s="635">
        <v>0</v>
      </c>
      <c r="AD6" t="s">
        <v>840</v>
      </c>
    </row>
    <row r="7" spans="1:30">
      <c r="A7" s="103" t="str">
        <f>영업부!E8</f>
        <v>영업1부</v>
      </c>
      <c r="B7" s="625" t="str">
        <f>영업부!B8</f>
        <v>001453</v>
      </c>
      <c r="C7" s="103" t="str">
        <f>영업부!C8</f>
        <v>이순신</v>
      </c>
      <c r="D7" s="103" t="str">
        <f>영업부!G8</f>
        <v>영업1부1팀</v>
      </c>
      <c r="E7" s="103" t="str">
        <f>영업부!S8</f>
        <v>KRW</v>
      </c>
      <c r="F7" s="623">
        <f>영업부!BC8</f>
        <v>7400000</v>
      </c>
      <c r="G7" s="623">
        <f>영업부!BD8</f>
        <v>7000000</v>
      </c>
      <c r="H7" s="191">
        <f t="shared" ref="H7:H8" si="10">IFERROR(ROUND(F7/G7,4),0)</f>
        <v>1.0570999999999999</v>
      </c>
      <c r="I7" s="623">
        <f>영업부!CE8</f>
        <v>740000</v>
      </c>
      <c r="J7" s="623">
        <f>영업부!CF8</f>
        <v>700000</v>
      </c>
      <c r="K7" s="191">
        <f t="shared" ref="K7:K8" si="11">IFERROR(ROUND(I7/J7,4),0)</f>
        <v>1.0570999999999999</v>
      </c>
      <c r="L7" s="623">
        <f>영업부!DG8</f>
        <v>37000000</v>
      </c>
      <c r="M7" s="623">
        <f>영업부!DH8</f>
        <v>35000000</v>
      </c>
      <c r="N7" s="191">
        <f t="shared" ref="N7:N8" si="12">IFERROR(ROUND(L7/M7,4),0)</f>
        <v>1.0570999999999999</v>
      </c>
      <c r="O7" s="623">
        <f>영업부!EI8</f>
        <v>0</v>
      </c>
      <c r="P7" s="623">
        <f>영업부!EJ8</f>
        <v>0</v>
      </c>
      <c r="Q7" s="191">
        <f t="shared" ref="Q7:Q8" si="13">IFERROR(ROUND(O7/P7,4),0)</f>
        <v>0</v>
      </c>
      <c r="R7" s="629">
        <f t="shared" ref="R7:R8" si="14">SUM(F7,I7,L7,O7)</f>
        <v>45140000</v>
      </c>
      <c r="S7" s="629">
        <f t="shared" ref="S7:S8" si="15">SUM(G7,J7,M7,P7)</f>
        <v>42700000</v>
      </c>
      <c r="T7" s="191">
        <f t="shared" ref="T7:T8" si="16">IFERROR(R7/S7,"")</f>
        <v>1.0571428571428572</v>
      </c>
      <c r="U7" s="629">
        <f ca="1">영업부!GP8</f>
        <v>23498637.999988921</v>
      </c>
      <c r="V7" s="191">
        <f t="shared" ref="V7:V8" ca="1" si="17">IFERROR(U7/W7,"")</f>
        <v>1.211269999999429</v>
      </c>
      <c r="W7" s="629">
        <f>영업부!AF8</f>
        <v>19400000</v>
      </c>
      <c r="X7" s="629">
        <f ca="1">영업부!FP8</f>
        <v>14550000</v>
      </c>
      <c r="Y7" s="629">
        <f>영업부!FN8</f>
        <v>0</v>
      </c>
      <c r="Z7" s="630">
        <f t="shared" ref="Z7:Z8" ca="1" si="18">X7-Y7</f>
        <v>14550000</v>
      </c>
      <c r="AA7" s="631">
        <f t="shared" ref="AA7:AA8" ca="1" si="19">Y7+Z7</f>
        <v>14550000</v>
      </c>
      <c r="AB7" s="634">
        <f t="shared" ref="AB7:AB8" ca="1" si="20">AA7/W7</f>
        <v>0.75</v>
      </c>
      <c r="AC7" s="635">
        <v>0</v>
      </c>
      <c r="AD7" t="s">
        <v>840</v>
      </c>
    </row>
    <row r="8" spans="1:30">
      <c r="A8" s="103" t="str">
        <f>영업부!E9</f>
        <v>영업1부</v>
      </c>
      <c r="B8" s="625" t="str">
        <f>영업부!B9</f>
        <v>001532</v>
      </c>
      <c r="C8" s="103" t="str">
        <f>영업부!C9</f>
        <v>김세종</v>
      </c>
      <c r="D8" s="103" t="str">
        <f>영업부!G9</f>
        <v>영업1부1팀</v>
      </c>
      <c r="E8" s="103" t="str">
        <f>영업부!S9</f>
        <v>KRW</v>
      </c>
      <c r="F8" s="623">
        <f>영업부!BC9</f>
        <v>1040000</v>
      </c>
      <c r="G8" s="623">
        <f>영업부!BD9</f>
        <v>1000000</v>
      </c>
      <c r="H8" s="191">
        <f t="shared" si="10"/>
        <v>1.04</v>
      </c>
      <c r="I8" s="623">
        <f>영업부!CE9</f>
        <v>104000</v>
      </c>
      <c r="J8" s="623">
        <f>영업부!CF9</f>
        <v>100000</v>
      </c>
      <c r="K8" s="191">
        <f t="shared" si="11"/>
        <v>1.04</v>
      </c>
      <c r="L8" s="623">
        <f>영업부!DG9</f>
        <v>5200000</v>
      </c>
      <c r="M8" s="623">
        <f>영업부!DH9</f>
        <v>5000000</v>
      </c>
      <c r="N8" s="191">
        <f t="shared" si="12"/>
        <v>1.04</v>
      </c>
      <c r="O8" s="623">
        <f>영업부!EI9</f>
        <v>0</v>
      </c>
      <c r="P8" s="623">
        <f>영업부!EJ9</f>
        <v>0</v>
      </c>
      <c r="Q8" s="191">
        <f t="shared" si="13"/>
        <v>0</v>
      </c>
      <c r="R8" s="629">
        <f t="shared" si="14"/>
        <v>6344000</v>
      </c>
      <c r="S8" s="629">
        <f t="shared" si="15"/>
        <v>6100000</v>
      </c>
      <c r="T8" s="191">
        <f t="shared" si="16"/>
        <v>1.04</v>
      </c>
      <c r="U8" s="629">
        <f ca="1">영업부!GP9</f>
        <v>6839999.9999976009</v>
      </c>
      <c r="V8" s="191">
        <f t="shared" ca="1" si="17"/>
        <v>1.1399999999996002</v>
      </c>
      <c r="W8" s="629">
        <f>영업부!AF9</f>
        <v>6000000</v>
      </c>
      <c r="X8" s="629">
        <f ca="1">영업부!FP9</f>
        <v>4500000</v>
      </c>
      <c r="Y8" s="629">
        <f>영업부!FN9</f>
        <v>0</v>
      </c>
      <c r="Z8" s="630">
        <f t="shared" ca="1" si="18"/>
        <v>4500000</v>
      </c>
      <c r="AA8" s="631">
        <f t="shared" ca="1" si="19"/>
        <v>4500000</v>
      </c>
      <c r="AB8" s="634">
        <f t="shared" ca="1" si="20"/>
        <v>0.75</v>
      </c>
      <c r="AC8" s="635">
        <v>0</v>
      </c>
      <c r="AD8" t="s">
        <v>840</v>
      </c>
    </row>
    <row r="9" spans="1:30">
      <c r="W9" s="636"/>
      <c r="AA9" s="634"/>
    </row>
  </sheetData>
  <autoFilter ref="A5:AD8" xr:uid="{5A883EA3-7344-4D60-AB48-568F6EFEC1BB}"/>
  <mergeCells count="6">
    <mergeCell ref="W4:AA4"/>
    <mergeCell ref="F4:H4"/>
    <mergeCell ref="I4:K4"/>
    <mergeCell ref="L4:N4"/>
    <mergeCell ref="O4:Q4"/>
    <mergeCell ref="R4:V4"/>
  </mergeCells>
  <phoneticPr fontId="37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1"/>
    <pageSetUpPr fitToPage="1"/>
  </sheetPr>
  <dimension ref="A1:FK581"/>
  <sheetViews>
    <sheetView showGridLines="0" topLeftCell="C1" zoomScale="85" zoomScaleNormal="85" workbookViewId="0">
      <selection activeCell="M13" sqref="M13"/>
    </sheetView>
  </sheetViews>
  <sheetFormatPr defaultRowHeight="14.4" outlineLevelRow="1" outlineLevelCol="1"/>
  <cols>
    <col min="1" max="1" width="9.109375" style="192" hidden="1" customWidth="1" outlineLevel="1"/>
    <col min="2" max="2" width="23.6640625" hidden="1" customWidth="1" outlineLevel="1"/>
    <col min="3" max="3" width="4.33203125" customWidth="1" collapsed="1"/>
    <col min="4" max="4" width="2.6640625" customWidth="1"/>
    <col min="5" max="5" width="24.109375" style="193" customWidth="1"/>
    <col min="6" max="6" width="11.6640625" style="194" customWidth="1"/>
    <col min="7" max="7" width="21.33203125" style="196" customWidth="1"/>
    <col min="8" max="8" width="15.6640625" style="196" customWidth="1"/>
    <col min="9" max="9" width="13.33203125" style="196" customWidth="1"/>
    <col min="10" max="11" width="15.6640625" style="196" customWidth="1"/>
    <col min="12" max="12" width="12.6640625" style="196" customWidth="1"/>
    <col min="13" max="13" width="19" style="197" customWidth="1"/>
    <col min="14" max="14" width="2.6640625" customWidth="1"/>
    <col min="15" max="15" width="4.33203125" customWidth="1"/>
    <col min="16" max="18" width="8.77734375" customWidth="1"/>
    <col min="19" max="19" width="4.33203125" customWidth="1"/>
    <col min="20" max="20" width="40.6640625" style="192" customWidth="1"/>
    <col min="21" max="22" width="30.77734375" bestFit="1" customWidth="1"/>
  </cols>
  <sheetData>
    <row r="1" spans="1:167" ht="26.4" customHeight="1" thickBot="1">
      <c r="A1" t="s">
        <v>510</v>
      </c>
      <c r="G1" s="195"/>
      <c r="J1" s="195"/>
    </row>
    <row r="2" spans="1:167">
      <c r="A2" s="198">
        <v>1</v>
      </c>
      <c r="D2" s="199"/>
      <c r="E2" s="200"/>
      <c r="F2" s="201"/>
      <c r="G2" s="202"/>
      <c r="H2" s="202"/>
      <c r="I2" s="202"/>
      <c r="J2" s="203"/>
      <c r="K2" s="203"/>
      <c r="L2" s="203"/>
      <c r="M2" s="204"/>
      <c r="N2" s="205"/>
    </row>
    <row r="3" spans="1:167" ht="15.6">
      <c r="A3" s="198">
        <v>1</v>
      </c>
      <c r="D3" s="206"/>
      <c r="E3" s="207" t="s">
        <v>309</v>
      </c>
      <c r="F3" s="208"/>
      <c r="G3" s="209" t="str">
        <f>"Q"&amp;Before!H2&amp;" "&amp;"2019"&amp;" "&amp;"Incentive"&amp;" " &amp;"Scorecard"</f>
        <v>Q4 2019 Incentive Scorecard</v>
      </c>
      <c r="H3" s="210"/>
      <c r="I3" s="210"/>
      <c r="J3" s="211"/>
      <c r="K3" s="211"/>
      <c r="L3" s="211"/>
      <c r="M3" s="212"/>
      <c r="N3" s="213"/>
      <c r="T3" s="214" t="str">
        <f>Before!I6</f>
        <v>Jang, Yu Sung （장유성）</v>
      </c>
    </row>
    <row r="4" spans="1:167" ht="15" thickBot="1">
      <c r="A4" s="198">
        <v>1</v>
      </c>
      <c r="D4" s="215"/>
      <c r="E4" s="216"/>
      <c r="F4" s="217"/>
      <c r="G4" s="218"/>
      <c r="H4" s="218"/>
      <c r="I4" s="218"/>
      <c r="J4" s="219"/>
      <c r="K4" s="219"/>
      <c r="L4" s="219"/>
      <c r="M4" s="220"/>
      <c r="N4" s="221"/>
      <c r="T4" s="214" t="str">
        <f>Before!I7</f>
        <v>Choi, Sang Nam （최상남）</v>
      </c>
    </row>
    <row r="5" spans="1:167" s="223" customFormat="1" ht="48" customHeight="1">
      <c r="A5" s="222">
        <v>1</v>
      </c>
      <c r="D5" s="224"/>
      <c r="E5" s="225" t="s">
        <v>511</v>
      </c>
      <c r="F5" s="226" t="s">
        <v>512</v>
      </c>
      <c r="G5" s="227" t="str">
        <f>"YTD 
Target Incentives ("&amp;L35&amp;")"</f>
        <v>YTD 
Target Incentives (KRW)</v>
      </c>
      <c r="H5" s="227" t="s">
        <v>513</v>
      </c>
      <c r="I5" s="227" t="s">
        <v>514</v>
      </c>
      <c r="J5" s="227" t="s">
        <v>515</v>
      </c>
      <c r="K5" s="227" t="s">
        <v>516</v>
      </c>
      <c r="L5" s="227" t="s">
        <v>105</v>
      </c>
      <c r="M5" s="228" t="str">
        <f>"YTD Earned Payout $ ("&amp;L35&amp;")
(maximum at Cap)"</f>
        <v>YTD Earned Payout $ (KRW)
(maximum at Cap)</v>
      </c>
      <c r="N5" s="229"/>
      <c r="T5" s="214" t="str">
        <f>Before!I8</f>
        <v>Park, Soo Bae （박수배）</v>
      </c>
      <c r="FK5" s="223" t="s">
        <v>199</v>
      </c>
    </row>
    <row r="6" spans="1:167" s="231" customFormat="1">
      <c r="A6" s="230">
        <f>IF(F6&gt;0,1,0)</f>
        <v>1</v>
      </c>
      <c r="D6" s="232"/>
      <c r="E6" s="233" t="str">
        <f>INDEX(Before!AP:AP,MATCH($E$3,Before!$I:$I,0))</f>
        <v xml:space="preserve"> BID Products Territory Total Revenue</v>
      </c>
      <c r="F6" s="234">
        <f>INDEX(Before!AQ:AQ,MATCH($E$3,Before!$I:$I,0))</f>
        <v>0.8</v>
      </c>
      <c r="G6" s="235">
        <f>INDEX(Before!AM:AM,MATCH($E$3,Before!$I:$I,0))*F6</f>
        <v>9600</v>
      </c>
      <c r="H6" s="235">
        <f>INDEX(Before!BK:BK,MATCH($E$3,Before!$I:$I,0))</f>
        <v>1010568.3783000002</v>
      </c>
      <c r="I6" s="235">
        <f>INDEX(Before!BJ:BJ,MATCH($E$3,Before!$I:$I,0))</f>
        <v>946059.36129999976</v>
      </c>
      <c r="J6" s="234">
        <f>INDEX(Before!BM:BM,MATCH($E$3,Before!$I:$I,0))</f>
        <v>0.93620000000000003</v>
      </c>
      <c r="K6" s="236">
        <f ca="1">INDEX(Before!BN:BN,MATCH($E$3,Before!$I:$I,0))</f>
        <v>0</v>
      </c>
      <c r="L6" s="234" t="str">
        <f>INDEX(Before!BP:BP,MATCH($E$3,Before!$I:$I,0))</f>
        <v>Uncapped</v>
      </c>
      <c r="M6" s="237">
        <f ca="1">MIN(INDEX(Before!BO:BO,MATCH($E$3,Before!$I:$I,0)),INDEX(Before!BQ:BQ,MATCH($E$3,Before!$I:$I,0)))</f>
        <v>0</v>
      </c>
      <c r="N6" s="238"/>
      <c r="P6" s="239"/>
      <c r="T6" s="214" t="str">
        <f>Before!I9</f>
        <v>Lee, Sanghyun （이상현）</v>
      </c>
    </row>
    <row r="7" spans="1:167" s="231" customFormat="1">
      <c r="A7" s="230">
        <f>IF(F7&gt;0,1,0)</f>
        <v>1</v>
      </c>
      <c r="D7" s="232"/>
      <c r="E7" s="233" t="str">
        <f>INDEX(Before!BR:BR,MATCH($E$3,Before!$I:$I,0))</f>
        <v xml:space="preserve"> LSG Korea Total Revenue</v>
      </c>
      <c r="F7" s="240">
        <f>INDEX(Before!BS:BS,MATCH($E$3,Before!$I:$I,0))</f>
        <v>0.2</v>
      </c>
      <c r="G7" s="235">
        <f>INDEX(Before!AM:AM,MATCH($E$3,Before!$I:$I,0))*F7</f>
        <v>2400</v>
      </c>
      <c r="H7" s="235">
        <f>INDEX(Before!CM:CM,MATCH($E$3,Before!$I:$I,0))</f>
        <v>217683789.5927071</v>
      </c>
      <c r="I7" s="235">
        <f>INDEX(Before!CL:CL,MATCH($E$3,Before!$I:$I,0))</f>
        <v>208729761.59074599</v>
      </c>
      <c r="J7" s="234">
        <f>INDEX(Before!CO:CO,MATCH($E$3,Before!$I:$I,0))</f>
        <v>0.95889999999999997</v>
      </c>
      <c r="K7" s="236">
        <f ca="1">INDEX(Before!CP:CP,MATCH($E$3,Before!$I:$I,0))</f>
        <v>0</v>
      </c>
      <c r="L7" s="240">
        <f>INDEX(Before!CR:CR,MATCH($E$3,Before!$I:$I,0))</f>
        <v>1</v>
      </c>
      <c r="M7" s="237">
        <f ca="1">MIN(INDEX(Before!CQ:CQ,MATCH($E$3,Before!$I:$I,0)),INDEX(Before!CS:CS,MATCH($E$3,Before!$I:$I,0)))</f>
        <v>0</v>
      </c>
      <c r="N7" s="238"/>
      <c r="T7" s="214" t="str">
        <f>Before!I10</f>
        <v>Sun, Ha-Ik （선하익）</v>
      </c>
    </row>
    <row r="8" spans="1:167" ht="15.75" customHeight="1">
      <c r="A8" s="192">
        <f>IF(F8&gt;0,1,0)</f>
        <v>0</v>
      </c>
      <c r="D8" s="215"/>
      <c r="E8" s="241">
        <f>INDEX(Before!CT:CT,MATCH($E$3,Before!$I:$I,0))</f>
        <v>0</v>
      </c>
      <c r="F8" s="242">
        <f>INDEX(Before!CU:CU,MATCH($E$3,Before!$I:$I,0))</f>
        <v>0</v>
      </c>
      <c r="G8" s="243">
        <f>INDEX(Before!AM:AM,MATCH($E$3,Before!$I:$I,0))*F8</f>
        <v>0</v>
      </c>
      <c r="H8" s="244">
        <f>INDEX(Before!DO:DO,MATCH($E$3,Before!$I:$I,0))</f>
        <v>0</v>
      </c>
      <c r="I8" s="244">
        <f>INDEX(Before!DN:DN,MATCH($E$3,Before!$I:$I,0))</f>
        <v>0</v>
      </c>
      <c r="J8" s="217">
        <f>INDEX(Before!DQ:DQ,MATCH($E$3,Before!$I:$I,0))</f>
        <v>0</v>
      </c>
      <c r="K8" s="217">
        <f ca="1">INDEX(Before!DR:DR,MATCH($E$3,Before!$I:$I,0))</f>
        <v>0</v>
      </c>
      <c r="L8" s="217">
        <f>INDEX(Before!DT:DT,MATCH($E$3,Before!$I:$I,0))</f>
        <v>1</v>
      </c>
      <c r="M8" s="245">
        <f ca="1">MIN(INDEX(Before!DS:DS,MATCH($E$3,Before!$I:$I,0)),INDEX(Before!DU:DU,MATCH($E$3,Before!$I:$I,0)))</f>
        <v>0</v>
      </c>
      <c r="N8" s="221"/>
      <c r="T8" s="214" t="str">
        <f>Before!I11</f>
        <v>Ahn, Kuk Ju （안국주）</v>
      </c>
    </row>
    <row r="9" spans="1:167" ht="15" thickBot="1">
      <c r="A9" s="192">
        <f>IF(F9&gt;0,1,0)</f>
        <v>0</v>
      </c>
      <c r="D9" s="215"/>
      <c r="E9" s="241">
        <f>INDEX(Before!DV:DV,MATCH($E$3,Before!$I:$I,0))</f>
        <v>0</v>
      </c>
      <c r="F9" s="242">
        <f>INDEX(Before!DW:DW,MATCH($E$3,Before!$I:$I,0))</f>
        <v>0</v>
      </c>
      <c r="G9" s="244">
        <f>INDEX(Before!AM:AM,MATCH($E$3,Before!$I:$I,0))*F9</f>
        <v>0</v>
      </c>
      <c r="H9" s="243">
        <f>INDEX(Before!EQ:EQ,MATCH($E$3,Before!$I:$I,0))</f>
        <v>0</v>
      </c>
      <c r="I9" s="244">
        <f>INDEX(Before!EP:EP,MATCH($E$3,Before!$I:$I,0))</f>
        <v>0</v>
      </c>
      <c r="J9" s="217">
        <f>INDEX(Before!ES:ES,MATCH($E$3,Before!$I:$I,0))</f>
        <v>0</v>
      </c>
      <c r="K9" s="217">
        <f ca="1">INDEX(Before!ET:ET,MATCH($E$3,Before!$I:$I,0))</f>
        <v>0</v>
      </c>
      <c r="L9" s="217" t="str">
        <f>INDEX(Before!EV:EV,MATCH($E$3,Before!$I:$I,0))</f>
        <v>Uncapped</v>
      </c>
      <c r="M9" s="245">
        <f ca="1">MIN(INDEX(Before!EU:EU,MATCH($E$3,Before!$I:$I,0)),INDEX(Before!EW:EW,MATCH($E$3,Before!$I:$I,0)))</f>
        <v>0</v>
      </c>
      <c r="N9" s="221"/>
      <c r="T9" s="214" t="str">
        <f>Before!I12</f>
        <v>Kang, Jihye （강지혜）</v>
      </c>
    </row>
    <row r="10" spans="1:167" ht="15" thickBot="1">
      <c r="A10" s="192">
        <f>IF(F10&gt;0,1,0)</f>
        <v>1</v>
      </c>
      <c r="D10" s="246"/>
      <c r="E10" s="247" t="s">
        <v>517</v>
      </c>
      <c r="F10" s="248">
        <f>SUM(F6:F9)</f>
        <v>1</v>
      </c>
      <c r="G10" s="249">
        <f>SUM(G6:G8)</f>
        <v>12000</v>
      </c>
      <c r="H10" s="250">
        <f>SUM(H6:H9)</f>
        <v>218694357.97100711</v>
      </c>
      <c r="I10" s="250">
        <f>SUM(I6:I9)</f>
        <v>209675820.95204598</v>
      </c>
      <c r="J10" s="251">
        <f>INDEX(Before!GU:GU,MATCH(E3,Before!I:I,0))</f>
        <v>0.95876191273230404</v>
      </c>
      <c r="K10" s="252">
        <f ca="1">INDEX(Before!GX:GX,MATCH(E3,Before!I:I,0))</f>
        <v>0</v>
      </c>
      <c r="L10" s="253"/>
      <c r="M10" s="254">
        <f ca="1">SUM(M6:M9)</f>
        <v>0</v>
      </c>
      <c r="N10" s="255"/>
      <c r="T10" s="214" t="str">
        <f>Before!I13</f>
        <v>Lee, Youngha （이영하）</v>
      </c>
    </row>
    <row r="11" spans="1:167" ht="15" thickBot="1">
      <c r="A11" s="198">
        <v>1</v>
      </c>
      <c r="D11" s="215"/>
      <c r="E11" s="216"/>
      <c r="F11" s="217"/>
      <c r="G11" s="195"/>
      <c r="H11" s="195"/>
      <c r="I11" s="195"/>
      <c r="J11" s="219"/>
      <c r="K11" s="219"/>
      <c r="L11" s="219"/>
      <c r="M11" s="220"/>
      <c r="N11" s="221"/>
      <c r="T11" s="214" t="str">
        <f>Before!I14</f>
        <v>Shin, Joongkeun （신중근 - 申重根）</v>
      </c>
    </row>
    <row r="12" spans="1:167" outlineLevel="1">
      <c r="A12" s="192">
        <f>IF(M17&gt;0,1,0)</f>
        <v>1</v>
      </c>
      <c r="B12" t="s">
        <v>518</v>
      </c>
      <c r="D12" s="215"/>
      <c r="E12" s="256" t="s">
        <v>519</v>
      </c>
      <c r="F12" s="257"/>
      <c r="G12" s="258"/>
      <c r="H12" s="258"/>
      <c r="I12" s="258"/>
      <c r="J12" s="259"/>
      <c r="K12" s="259"/>
      <c r="L12" s="259"/>
      <c r="M12" s="260" t="str">
        <f>IFERROR(INDEX(Before!#REF!,MATCH(E3,Before!I:I,0)),"")</f>
        <v/>
      </c>
      <c r="N12" s="221"/>
      <c r="T12" s="214" t="str">
        <f>Before!I15</f>
        <v>Lee, Jangmi （이장미）</v>
      </c>
    </row>
    <row r="13" spans="1:167" outlineLevel="1">
      <c r="A13" s="192">
        <f>IF(M13&gt;0,1,0)</f>
        <v>0</v>
      </c>
      <c r="B13" t="s">
        <v>520</v>
      </c>
      <c r="D13" s="215"/>
      <c r="E13" s="261" t="str">
        <f>IF(M13=0,"",B13)</f>
        <v/>
      </c>
      <c r="F13" s="262"/>
      <c r="G13" s="195"/>
      <c r="H13" s="195"/>
      <c r="I13" s="195"/>
      <c r="J13" s="263"/>
      <c r="K13" s="263"/>
      <c r="L13" s="263"/>
      <c r="M13" s="264">
        <f>IFERROR(INDEX(Before!GL:GL,MATCH($E$3,Before!I:I,0)),0)</f>
        <v>0</v>
      </c>
      <c r="N13" s="221"/>
      <c r="T13" s="214" t="str">
        <f>Before!I16</f>
        <v>Kim, Choong-Il （김충일）</v>
      </c>
    </row>
    <row r="14" spans="1:167" outlineLevel="1">
      <c r="A14" s="192">
        <f>IF(M14&gt;0,1,0)</f>
        <v>1</v>
      </c>
      <c r="B14" t="s">
        <v>521</v>
      </c>
      <c r="D14" s="215"/>
      <c r="E14" s="261" t="str">
        <f>IF(M14=0,"",B14)</f>
        <v>Q2 Guaranteed Payment</v>
      </c>
      <c r="F14" s="262"/>
      <c r="G14" s="195"/>
      <c r="H14" s="195"/>
      <c r="I14" s="195"/>
      <c r="J14" s="263"/>
      <c r="K14" s="263"/>
      <c r="L14" s="263"/>
      <c r="M14" s="264">
        <f>IFERROR(INDEX(Before!GM:GM,MATCH($E$3,Before!I:I,0)),0)</f>
        <v>3000</v>
      </c>
      <c r="N14" s="221"/>
      <c r="T14" s="214" t="str">
        <f>Before!I17</f>
        <v>Lee, Kanghee （이강희）</v>
      </c>
    </row>
    <row r="15" spans="1:167" outlineLevel="1">
      <c r="A15" s="192">
        <f>IF(M15&gt;0,1,0)</f>
        <v>0</v>
      </c>
      <c r="B15" t="s">
        <v>522</v>
      </c>
      <c r="D15" s="215"/>
      <c r="E15" s="261" t="str">
        <f>IF(M15=0,"",B15)</f>
        <v/>
      </c>
      <c r="F15" s="262"/>
      <c r="G15" s="195"/>
      <c r="H15" s="195"/>
      <c r="I15" s="195"/>
      <c r="J15" s="263"/>
      <c r="K15" s="263"/>
      <c r="L15" s="263"/>
      <c r="M15" s="264">
        <f>IFERROR(INDEX(Before!GN:GN,MATCH($E$3,Before!I:I,0)),0)</f>
        <v>0</v>
      </c>
      <c r="N15" s="221"/>
      <c r="T15" s="214" t="str">
        <f>Before!I18</f>
        <v>Shin, Taehwan （신태환 - 申泰煥）</v>
      </c>
    </row>
    <row r="16" spans="1:167" ht="15" outlineLevel="1" thickBot="1">
      <c r="A16" s="192">
        <f>IF(M16&gt;0,1,0)</f>
        <v>0</v>
      </c>
      <c r="B16" t="s">
        <v>523</v>
      </c>
      <c r="D16" s="215"/>
      <c r="E16" s="261" t="str">
        <f>IF(M16=0,"",B16)</f>
        <v/>
      </c>
      <c r="F16" s="262"/>
      <c r="G16" s="195"/>
      <c r="H16" s="195"/>
      <c r="I16" s="195"/>
      <c r="J16" s="263"/>
      <c r="K16" s="263"/>
      <c r="L16" s="263"/>
      <c r="M16" s="264">
        <f>IFERROR(INDEX(Before!GO:GO,MATCH($E$3,Before!I:I,0)),0)</f>
        <v>0</v>
      </c>
      <c r="N16" s="221"/>
      <c r="T16" s="214" t="str">
        <f>Before!I19</f>
        <v>Yoo, Hyegyeong （유혜경）</v>
      </c>
    </row>
    <row r="17" spans="1:20" ht="15" outlineLevel="1" thickBot="1">
      <c r="A17" s="192">
        <f>IF(M17&gt;0,1,0)</f>
        <v>1</v>
      </c>
      <c r="B17" t="s">
        <v>517</v>
      </c>
      <c r="D17" s="215"/>
      <c r="E17" s="247" t="s">
        <v>517</v>
      </c>
      <c r="F17" s="265"/>
      <c r="G17" s="266"/>
      <c r="H17" s="266"/>
      <c r="I17" s="266"/>
      <c r="J17" s="267"/>
      <c r="K17" s="267"/>
      <c r="L17" s="267"/>
      <c r="M17" s="254">
        <f>SUM(M13:M16)</f>
        <v>3000</v>
      </c>
      <c r="N17" s="221"/>
      <c r="T17" s="214" t="str">
        <f>Before!I20</f>
        <v>Yi, Narae （이나래 - 李나래）</v>
      </c>
    </row>
    <row r="18" spans="1:20" outlineLevel="1">
      <c r="A18" s="192">
        <f>IF(M17&gt;0,1,0)</f>
        <v>1</v>
      </c>
      <c r="D18" s="215"/>
      <c r="E18" s="216" t="s">
        <v>524</v>
      </c>
      <c r="F18" s="262"/>
      <c r="G18" s="195"/>
      <c r="H18" s="195"/>
      <c r="I18" s="195"/>
      <c r="J18" s="263"/>
      <c r="K18" s="263"/>
      <c r="L18" s="263"/>
      <c r="M18" s="268"/>
      <c r="N18" s="221"/>
      <c r="T18" s="214" t="str">
        <f>Before!I21</f>
        <v>Yang, Jinseong</v>
      </c>
    </row>
    <row r="19" spans="1:20" ht="15" outlineLevel="1" thickBot="1">
      <c r="A19" s="198">
        <v>0</v>
      </c>
      <c r="D19" s="215"/>
      <c r="E19" s="216"/>
      <c r="F19" s="262"/>
      <c r="G19" s="195"/>
      <c r="H19" s="195"/>
      <c r="I19" s="195"/>
      <c r="J19" s="263"/>
      <c r="K19" s="263"/>
      <c r="L19" s="263"/>
      <c r="M19" s="268"/>
      <c r="N19" s="221"/>
      <c r="T19" s="214" t="str">
        <f>Before!I22</f>
        <v>Kim, Yun Soo （김윤수）</v>
      </c>
    </row>
    <row r="20" spans="1:20" outlineLevel="1">
      <c r="A20" s="192">
        <f>IF(M25&gt;0,1,0)</f>
        <v>0</v>
      </c>
      <c r="B20" t="s">
        <v>525</v>
      </c>
      <c r="D20" s="215"/>
      <c r="E20" s="256" t="s">
        <v>526</v>
      </c>
      <c r="F20" s="257"/>
      <c r="G20" s="258"/>
      <c r="H20" s="258"/>
      <c r="I20" s="258"/>
      <c r="J20" s="259"/>
      <c r="K20" s="259"/>
      <c r="L20" s="259"/>
      <c r="M20" s="260" t="str">
        <f>IFERROR(INDEX(Before!#REF!,MATCH(E11,Before!I:I,0)),"")</f>
        <v/>
      </c>
      <c r="N20" s="221"/>
      <c r="T20" s="214" t="str">
        <f>Before!I23</f>
        <v>Baik, Seoungwoo （백승우 - 白承祐）</v>
      </c>
    </row>
    <row r="21" spans="1:20" outlineLevel="1">
      <c r="A21" s="192">
        <f>IF(M21&gt;0,1,0)</f>
        <v>0</v>
      </c>
      <c r="B21" t="s">
        <v>527</v>
      </c>
      <c r="D21" s="215"/>
      <c r="E21" s="261" t="str">
        <f>IF(M21=0,"",B21)</f>
        <v/>
      </c>
      <c r="F21" s="262"/>
      <c r="G21" s="195"/>
      <c r="H21" s="195"/>
      <c r="I21" s="195"/>
      <c r="J21" s="263"/>
      <c r="K21" s="263"/>
      <c r="L21" s="263"/>
      <c r="M21" s="264">
        <f>IFERROR(INDEX(Before!GB:GB,MATCH($E$3,Before!I:I,0)),0)</f>
        <v>0</v>
      </c>
      <c r="N21" s="221"/>
      <c r="T21" s="214" t="str">
        <f>Before!I24</f>
        <v>Lee, Byeongchol</v>
      </c>
    </row>
    <row r="22" spans="1:20" outlineLevel="1">
      <c r="A22" s="192">
        <f>IF(M22&gt;0,1,0)</f>
        <v>0</v>
      </c>
      <c r="B22" t="s">
        <v>528</v>
      </c>
      <c r="D22" s="215"/>
      <c r="E22" s="261" t="str">
        <f>IF(M22=0,"",B22)</f>
        <v/>
      </c>
      <c r="F22" s="262"/>
      <c r="G22" s="195"/>
      <c r="H22" s="195"/>
      <c r="I22" s="195"/>
      <c r="J22" s="263"/>
      <c r="K22" s="263"/>
      <c r="L22" s="263"/>
      <c r="M22" s="264">
        <f>IFERROR(INDEX(Before!GC:GC,MATCH($E$3,Before!I:I,0)),0)</f>
        <v>0</v>
      </c>
      <c r="N22" s="221"/>
      <c r="T22" s="214" t="str">
        <f>Before!I25</f>
        <v>Kwon, Sunbong</v>
      </c>
    </row>
    <row r="23" spans="1:20" outlineLevel="1">
      <c r="A23" s="192">
        <f>IF(M23&gt;0,1,0)</f>
        <v>0</v>
      </c>
      <c r="B23" t="s">
        <v>186</v>
      </c>
      <c r="D23" s="215"/>
      <c r="E23" s="261" t="str">
        <f>IF(M23=0,"",B23)</f>
        <v/>
      </c>
      <c r="F23" s="262"/>
      <c r="G23" s="195"/>
      <c r="H23" s="195"/>
      <c r="I23" s="195"/>
      <c r="J23" s="263"/>
      <c r="K23" s="263"/>
      <c r="L23" s="263"/>
      <c r="M23" s="264">
        <f>IFERROR(INDEX(Before!GD:GD,MATCH($E$3,Before!I:I,0)),0)</f>
        <v>0</v>
      </c>
      <c r="N23" s="221"/>
      <c r="T23" s="214" t="str">
        <f>Before!I26</f>
        <v>Lee, Kwanwoo</v>
      </c>
    </row>
    <row r="24" spans="1:20" ht="15" outlineLevel="1" thickBot="1">
      <c r="A24" s="192">
        <f>IF(M24&gt;0,1,0)</f>
        <v>0</v>
      </c>
      <c r="B24" t="s">
        <v>187</v>
      </c>
      <c r="D24" s="215"/>
      <c r="E24" s="261" t="str">
        <f>IF(M24=0,"",B24)</f>
        <v/>
      </c>
      <c r="F24" s="262"/>
      <c r="G24" s="195"/>
      <c r="H24" s="195"/>
      <c r="I24" s="195"/>
      <c r="J24" s="263"/>
      <c r="K24" s="263"/>
      <c r="L24" s="263"/>
      <c r="M24" s="264">
        <f>IFERROR(INDEX(Before!GE:GE,MATCH($E$3,Before!I:I,0)),0)</f>
        <v>0</v>
      </c>
      <c r="N24" s="221"/>
      <c r="T24" s="214" t="str">
        <f>Before!I27</f>
        <v>Lee, Junjae （이준재）</v>
      </c>
    </row>
    <row r="25" spans="1:20" ht="15" outlineLevel="1" thickBot="1">
      <c r="A25" s="192">
        <f>IF(M25&gt;0,1,0)</f>
        <v>0</v>
      </c>
      <c r="B25" t="s">
        <v>517</v>
      </c>
      <c r="D25" s="215"/>
      <c r="E25" s="247" t="s">
        <v>517</v>
      </c>
      <c r="F25" s="265"/>
      <c r="G25" s="266"/>
      <c r="H25" s="266"/>
      <c r="I25" s="266"/>
      <c r="J25" s="267"/>
      <c r="K25" s="267"/>
      <c r="L25" s="267"/>
      <c r="M25" s="269">
        <f>SUM(M21:M24)</f>
        <v>0</v>
      </c>
      <c r="N25" s="221"/>
      <c r="T25" s="214" t="str">
        <f>Before!I28</f>
        <v>Kim, Yong Min （김용민）</v>
      </c>
    </row>
    <row r="26" spans="1:20" ht="15" outlineLevel="1" thickBot="1">
      <c r="A26" s="198">
        <v>0</v>
      </c>
      <c r="D26" s="215"/>
      <c r="E26" s="270"/>
      <c r="F26" s="262"/>
      <c r="G26" s="195"/>
      <c r="H26" s="195"/>
      <c r="I26" s="195"/>
      <c r="J26" s="263"/>
      <c r="K26" s="263"/>
      <c r="L26" s="263"/>
      <c r="M26" s="220"/>
      <c r="N26" s="221"/>
      <c r="T26" s="214" t="str">
        <f>Before!I29</f>
        <v>Shim, Jinhan （심진한 - 沈珍漢）</v>
      </c>
    </row>
    <row r="27" spans="1:20" outlineLevel="1">
      <c r="A27" s="192">
        <f>IF(M27&gt;0,1,0)</f>
        <v>0</v>
      </c>
      <c r="B27" t="s">
        <v>529</v>
      </c>
      <c r="D27" s="215"/>
      <c r="E27" s="271" t="str">
        <f>IF(M27=0,"",B27)</f>
        <v/>
      </c>
      <c r="F27" s="272"/>
      <c r="G27" s="273"/>
      <c r="H27" s="273"/>
      <c r="I27" s="273"/>
      <c r="J27" s="274"/>
      <c r="K27" s="274"/>
      <c r="L27" s="274"/>
      <c r="M27" s="275">
        <f>INDEX(Before!FJ:FJ,MATCH($E$3,Before!I:I,0))</f>
        <v>0</v>
      </c>
      <c r="N27" s="221"/>
      <c r="T27" s="214" t="str">
        <f>Before!I30</f>
        <v>Han, Jisoo （한지수）</v>
      </c>
    </row>
    <row r="28" spans="1:20" ht="15" outlineLevel="1" thickBot="1">
      <c r="A28" s="192">
        <f>IF(M28&gt;0,1,0)</f>
        <v>0</v>
      </c>
      <c r="B28" t="s">
        <v>530</v>
      </c>
      <c r="D28" s="215"/>
      <c r="E28" s="276" t="str">
        <f>IF(M28=0,"",B28)</f>
        <v/>
      </c>
      <c r="F28" s="277"/>
      <c r="G28" s="278"/>
      <c r="H28" s="278"/>
      <c r="I28" s="278"/>
      <c r="J28" s="279"/>
      <c r="K28" s="279"/>
      <c r="L28" s="279"/>
      <c r="M28" s="280">
        <f>INDEX(Before!FP:FP,MATCH($E$3,Before!I:I,0))</f>
        <v>0</v>
      </c>
      <c r="N28" s="221"/>
      <c r="T28" s="214" t="str">
        <f>Before!I31</f>
        <v>Yoon, Duckhyen</v>
      </c>
    </row>
    <row r="29" spans="1:20" outlineLevel="1">
      <c r="A29" s="198">
        <v>0</v>
      </c>
      <c r="D29" s="215"/>
      <c r="E29" s="216"/>
      <c r="F29" s="262"/>
      <c r="G29" s="195"/>
      <c r="H29" s="195"/>
      <c r="I29" s="195"/>
      <c r="J29" s="263"/>
      <c r="K29" s="263"/>
      <c r="L29" s="263"/>
      <c r="M29" s="281"/>
      <c r="N29" s="221"/>
      <c r="T29" s="214" t="str">
        <f>Before!I32</f>
        <v>Kim, Ryeonghwan （김령환 - 金鈴煥）</v>
      </c>
    </row>
    <row r="30" spans="1:20" outlineLevel="1">
      <c r="A30" s="192">
        <f>IF(M30&lt;0,1,0)</f>
        <v>0</v>
      </c>
      <c r="D30" s="215"/>
      <c r="E30" s="282" t="s">
        <v>531</v>
      </c>
      <c r="F30" s="262"/>
      <c r="G30" s="195"/>
      <c r="H30" s="195"/>
      <c r="I30" s="195"/>
      <c r="J30" s="263"/>
      <c r="K30" s="263"/>
      <c r="L30" s="263"/>
      <c r="M30" s="283">
        <f>-(INDEX(Before!$FQ:$FQ,MATCH($E3,Before!$I:$I,0)))</f>
        <v>0</v>
      </c>
      <c r="N30" s="221"/>
      <c r="O30" s="284"/>
      <c r="T30" s="214" t="str">
        <f>Before!I33</f>
        <v>Park, Youngjin （박영진）</v>
      </c>
    </row>
    <row r="31" spans="1:20" outlineLevel="1">
      <c r="A31" s="192">
        <f>IF(M31&lt;0,1,0)</f>
        <v>0</v>
      </c>
      <c r="D31" s="215"/>
      <c r="E31" s="282" t="s">
        <v>532</v>
      </c>
      <c r="F31" s="262"/>
      <c r="G31" s="195"/>
      <c r="H31" s="195"/>
      <c r="I31" s="195"/>
      <c r="J31" s="263"/>
      <c r="K31" s="263"/>
      <c r="L31" s="263"/>
      <c r="M31" s="283">
        <f>-(INDEX(Before!$FR:$FR,MATCH($E3,Before!$I:$I,0)))</f>
        <v>0</v>
      </c>
      <c r="N31" s="221"/>
      <c r="T31" s="214" t="str">
        <f>Before!I34</f>
        <v>Moon, HyeRan （문혜란）</v>
      </c>
    </row>
    <row r="32" spans="1:20" outlineLevel="1">
      <c r="A32" s="192">
        <f>IF(M32&lt;0,1,0)</f>
        <v>0</v>
      </c>
      <c r="D32" s="215"/>
      <c r="E32" s="282" t="s">
        <v>533</v>
      </c>
      <c r="F32" s="262"/>
      <c r="G32" s="195"/>
      <c r="H32" s="195"/>
      <c r="I32" s="195"/>
      <c r="J32" s="263"/>
      <c r="K32" s="263"/>
      <c r="L32" s="263"/>
      <c r="M32" s="283">
        <f>-(INDEX(Before!$FS:$FS,MATCH($E3,Before!$I:$I,0)))</f>
        <v>0</v>
      </c>
      <c r="N32" s="221"/>
      <c r="T32" s="214" t="str">
        <f>Before!I35</f>
        <v>Kim, Soyoung （김소영）</v>
      </c>
    </row>
    <row r="33" spans="1:20" outlineLevel="1" collapsed="1">
      <c r="A33" s="198">
        <v>1</v>
      </c>
      <c r="D33" s="215"/>
      <c r="E33" s="285"/>
      <c r="F33" s="262"/>
      <c r="G33" s="195"/>
      <c r="H33" s="195"/>
      <c r="I33" s="195"/>
      <c r="J33" s="263"/>
      <c r="K33" s="263"/>
      <c r="L33" s="263"/>
      <c r="M33" s="283"/>
      <c r="N33" s="221"/>
      <c r="T33" s="214" t="str">
        <f>Before!I36</f>
        <v>Kim, Youngil （김영일）</v>
      </c>
    </row>
    <row r="34" spans="1:20">
      <c r="A34" s="198">
        <v>1</v>
      </c>
      <c r="D34" s="215"/>
      <c r="E34" s="285"/>
      <c r="F34" s="262"/>
      <c r="G34" s="195"/>
      <c r="H34" s="195"/>
      <c r="I34" s="195"/>
      <c r="J34" s="263"/>
      <c r="K34" s="263"/>
      <c r="L34" s="263"/>
      <c r="M34" s="283"/>
      <c r="N34" s="221"/>
      <c r="T34" s="214" t="str">
        <f>Before!I37</f>
        <v>Yoo, Inseo （유인서）</v>
      </c>
    </row>
    <row r="35" spans="1:20" ht="21.6">
      <c r="A35" s="198">
        <v>1</v>
      </c>
      <c r="D35" s="286"/>
      <c r="E35" s="287" t="str">
        <f>"Total Q"&amp;Before!H2&amp;" "&amp;"Payout"</f>
        <v>Total Q4 Payout</v>
      </c>
      <c r="F35" s="288"/>
      <c r="G35" s="289"/>
      <c r="H35" s="289"/>
      <c r="I35" s="289"/>
      <c r="J35" s="290"/>
      <c r="K35" s="290"/>
      <c r="L35" s="291" t="str">
        <f>INDEX(Before!Z:Z,MATCH(E3,Before!I:I,0))</f>
        <v>KRW</v>
      </c>
      <c r="M35" s="292">
        <f ca="1">INDEX(Before!FU:FU,MATCH(E3,Before!I:I,0))</f>
        <v>3000</v>
      </c>
      <c r="N35" s="293"/>
      <c r="T35" s="214" t="str">
        <f>Before!I38</f>
        <v>Kim, Myeonseok （김면석）</v>
      </c>
    </row>
    <row r="36" spans="1:20" ht="18" customHeight="1" thickBot="1">
      <c r="A36" s="198">
        <v>1</v>
      </c>
      <c r="D36" s="294"/>
      <c r="E36" s="295"/>
      <c r="F36" s="296"/>
      <c r="G36" s="297"/>
      <c r="H36" s="297"/>
      <c r="I36" s="297"/>
      <c r="J36" s="298"/>
      <c r="K36" s="298"/>
      <c r="L36" s="299"/>
      <c r="M36" s="300"/>
      <c r="N36" s="301"/>
      <c r="T36" s="214" t="str">
        <f>Before!I39</f>
        <v>Ha, Yun-Bae</v>
      </c>
    </row>
    <row r="37" spans="1:20">
      <c r="A37" s="198">
        <v>1</v>
      </c>
      <c r="T37" s="214" t="str">
        <f>Before!I40</f>
        <v>Park, Byungju （박병주）</v>
      </c>
    </row>
    <row r="38" spans="1:20">
      <c r="T38" s="214" t="str">
        <f>Before!I41</f>
        <v>Lee, Jaeho （이재호）</v>
      </c>
    </row>
    <row r="39" spans="1:20">
      <c r="T39" s="214" t="str">
        <f>Before!I42</f>
        <v>Park, Chan Ju （박찬주 - 朴贊株）</v>
      </c>
    </row>
    <row r="40" spans="1:20">
      <c r="T40" s="214" t="e">
        <f>Before!#REF!</f>
        <v>#REF!</v>
      </c>
    </row>
    <row r="41" spans="1:20">
      <c r="T41" s="214" t="str">
        <f>Before!I43</f>
        <v>Kwak, Taewon</v>
      </c>
    </row>
    <row r="42" spans="1:20">
      <c r="T42" s="214" t="str">
        <f>Before!I44</f>
        <v>Kim, Juyoung （김주영）</v>
      </c>
    </row>
    <row r="43" spans="1:20">
      <c r="T43" s="214" t="e">
        <f>Before!#REF!</f>
        <v>#REF!</v>
      </c>
    </row>
    <row r="44" spans="1:20">
      <c r="T44" s="214" t="str">
        <f>Before!I45</f>
        <v>Lee, Kyosang</v>
      </c>
    </row>
    <row r="45" spans="1:20">
      <c r="T45" s="214" t="str">
        <f>Before!I46</f>
        <v>Jeong, Jeeman</v>
      </c>
    </row>
    <row r="46" spans="1:20">
      <c r="T46" s="214" t="str">
        <f>Before!I47</f>
        <v>Yeom, HyeJung</v>
      </c>
    </row>
    <row r="47" spans="1:20">
      <c r="T47" s="214" t="str">
        <f>Before!I48</f>
        <v>Heo, Seongbeom</v>
      </c>
    </row>
    <row r="48" spans="1:20">
      <c r="T48" s="214" t="str">
        <f>Before!I49</f>
        <v>Kim, Yoonjin （김윤진 - 金潤辰）</v>
      </c>
    </row>
    <row r="49" spans="20:20">
      <c r="T49" s="214" t="e">
        <f>Before!#REF!</f>
        <v>#REF!</v>
      </c>
    </row>
    <row r="50" spans="20:20">
      <c r="T50" s="214" t="str">
        <f>Before!I50</f>
        <v>Kim, Yangeun</v>
      </c>
    </row>
    <row r="51" spans="20:20">
      <c r="T51" s="214" t="e">
        <f>Before!#REF!</f>
        <v>#REF!</v>
      </c>
    </row>
    <row r="52" spans="20:20">
      <c r="T52" s="214" t="str">
        <f>Before!I51</f>
        <v>Kim, Taewoo</v>
      </c>
    </row>
    <row r="53" spans="20:20">
      <c r="T53" s="214" t="str">
        <f>Before!I52</f>
        <v>Kim, Injung （김인중 - 金仁中）</v>
      </c>
    </row>
    <row r="54" spans="20:20">
      <c r="T54" s="214" t="str">
        <f>Before!I53</f>
        <v>Ryu, Jaeyong</v>
      </c>
    </row>
    <row r="55" spans="20:20">
      <c r="T55" s="214" t="str">
        <f>Before!I54</f>
        <v>Park, Sangtae （박상태）</v>
      </c>
    </row>
    <row r="56" spans="20:20">
      <c r="T56" s="214" t="str">
        <f>Before!I55</f>
        <v>Cho, Juho （조주호）</v>
      </c>
    </row>
    <row r="57" spans="20:20">
      <c r="T57" s="214" t="e">
        <f>Before!#REF!</f>
        <v>#REF!</v>
      </c>
    </row>
    <row r="58" spans="20:20">
      <c r="T58" s="214" t="str">
        <f>Before!I56</f>
        <v>Ryu, Taeyeoul （유태열）</v>
      </c>
    </row>
    <row r="59" spans="20:20">
      <c r="T59" s="214" t="str">
        <f>Before!I57</f>
        <v>Song, Seung Youl （송승열）</v>
      </c>
    </row>
    <row r="60" spans="20:20">
      <c r="T60" s="214" t="str">
        <f>Before!I58</f>
        <v>Kim, Hyejin （김혜진 - 金惠鎭）</v>
      </c>
    </row>
    <row r="61" spans="20:20">
      <c r="T61" s="214" t="e">
        <f>Before!#REF!</f>
        <v>#REF!</v>
      </c>
    </row>
    <row r="62" spans="20:20">
      <c r="T62" s="214" t="str">
        <f>Before!I59</f>
        <v>Lee, HongKyu</v>
      </c>
    </row>
    <row r="63" spans="20:20">
      <c r="T63" s="214" t="str">
        <f>Before!I61</f>
        <v>Kim, Taegon</v>
      </c>
    </row>
    <row r="64" spans="20:20">
      <c r="T64" s="214" t="str">
        <f>Before!I62</f>
        <v>Seo, Bong Su （서봉수）</v>
      </c>
    </row>
    <row r="65" spans="20:20">
      <c r="T65" s="214" t="str">
        <f>Before!I63</f>
        <v>Yunsun Song(00188499)</v>
      </c>
    </row>
    <row r="66" spans="20:20">
      <c r="T66" s="214" t="str">
        <f>Before!I64</f>
        <v>Shin, Yong Nam （신용남）</v>
      </c>
    </row>
    <row r="67" spans="20:20">
      <c r="T67" s="214" t="str">
        <f>Before!I65</f>
        <v>Noh, Tae Hyun （노태현 - 盧太賢）</v>
      </c>
    </row>
    <row r="68" spans="20:20">
      <c r="T68" s="214" t="str">
        <f>Before!I66</f>
        <v>Shin, Monica （신민철）</v>
      </c>
    </row>
    <row r="69" spans="20:20">
      <c r="T69" s="214" t="str">
        <f>Before!I67</f>
        <v>So, Seonghyun</v>
      </c>
    </row>
    <row r="70" spans="20:20">
      <c r="T70" s="214" t="str">
        <f>Before!I68</f>
        <v>Sungmin Lee (00238819)</v>
      </c>
    </row>
    <row r="71" spans="20:20">
      <c r="T71" s="214" t="str">
        <f>Before!I69</f>
        <v>Kim, Jung Joo （김정주）</v>
      </c>
    </row>
    <row r="72" spans="20:20">
      <c r="T72" s="214" t="str">
        <f>Before!I70</f>
        <v>Lim, Chang Yong （임창용 - 林昌龍）</v>
      </c>
    </row>
    <row r="73" spans="20:20">
      <c r="T73" s="214" t="str">
        <f>Before!I71</f>
        <v>Kim, Jinhong</v>
      </c>
    </row>
    <row r="74" spans="20:20">
      <c r="T74" s="214" t="str">
        <f>Before!I72</f>
        <v>Lee, Jehyun （이제현）</v>
      </c>
    </row>
    <row r="75" spans="20:20">
      <c r="T75" s="214" t="str">
        <f>Before!I73</f>
        <v>Sohn, Seungghyu （손승규）</v>
      </c>
    </row>
    <row r="76" spans="20:20">
      <c r="T76" s="214" t="str">
        <f>Before!I74</f>
        <v>Sim, Kyungseok （심경석 - 沈涇錫）</v>
      </c>
    </row>
    <row r="77" spans="20:20">
      <c r="T77" s="214" t="str">
        <f>Before!I76</f>
        <v>Shon, Heesoo （손희수）</v>
      </c>
    </row>
    <row r="78" spans="20:20">
      <c r="T78" s="214" t="str">
        <f>Before!I77</f>
        <v>Shin, Hanil （신한일）</v>
      </c>
    </row>
    <row r="79" spans="20:20">
      <c r="T79" s="214" t="str">
        <f>Before!I78</f>
        <v>Kang, Yang Mo （강양모）</v>
      </c>
    </row>
    <row r="80" spans="20:20">
      <c r="T80" s="214" t="str">
        <f>Before!I79</f>
        <v>Seo, Kyoung-Hee （서경희）</v>
      </c>
    </row>
    <row r="81" spans="20:20">
      <c r="T81" s="214" t="str">
        <f>Before!I80</f>
        <v>Shin, Donghwa （신동화 - 申東禾）</v>
      </c>
    </row>
    <row r="82" spans="20:20">
      <c r="T82" s="214" t="str">
        <f>Before!I81</f>
        <v>Kim, HyoungYoon （김형윤）</v>
      </c>
    </row>
    <row r="83" spans="20:20">
      <c r="T83" s="214" t="str">
        <f>Before!I82</f>
        <v>Kim, Kapjin （김갑진）</v>
      </c>
    </row>
    <row r="84" spans="20:20">
      <c r="T84" s="214" t="str">
        <f>Before!I83</f>
        <v>Roh, Suheun （노수흔）</v>
      </c>
    </row>
    <row r="85" spans="20:20">
      <c r="T85" s="214" t="str">
        <f>Before!I85</f>
        <v>Park, Gunhee （박건희 - 朴建熙）</v>
      </c>
    </row>
    <row r="86" spans="20:20">
      <c r="T86" s="214" t="str">
        <f>Before!I86</f>
        <v>Kim, Taekhoon</v>
      </c>
    </row>
    <row r="87" spans="20:20">
      <c r="T87" s="214" t="str">
        <f>Before!I87</f>
        <v>Shin, Jiwoo （신지우）</v>
      </c>
    </row>
    <row r="88" spans="20:20">
      <c r="T88" s="214" t="e">
        <f>Before!#REF!</f>
        <v>#REF!</v>
      </c>
    </row>
    <row r="89" spans="20:20">
      <c r="T89" s="214" t="str">
        <f>Before!I88</f>
        <v>Kang, Minbum （강민범 - 姜敃範）</v>
      </c>
    </row>
    <row r="90" spans="20:20">
      <c r="T90" s="214" t="str">
        <f>Before!I89</f>
        <v>Min, Seonhu</v>
      </c>
    </row>
    <row r="91" spans="20:20">
      <c r="T91" s="214" t="str">
        <f>Before!I90</f>
        <v>Kim, Wooyoung</v>
      </c>
    </row>
    <row r="92" spans="20:20">
      <c r="T92" s="214" t="str">
        <f>Before!I91</f>
        <v>Koo, TaeWan （구태완）</v>
      </c>
    </row>
    <row r="93" spans="20:20">
      <c r="T93" s="214" t="str">
        <f>Before!I92</f>
        <v>Jeon, Youngchul （전영철）</v>
      </c>
    </row>
    <row r="94" spans="20:20">
      <c r="T94" s="214" t="str">
        <f>Before!I93</f>
        <v>Lim, Sanghun （임상훈）</v>
      </c>
    </row>
    <row r="95" spans="20:20">
      <c r="T95" s="214" t="e">
        <f>Before!#REF!</f>
        <v>#REF!</v>
      </c>
    </row>
    <row r="96" spans="20:20">
      <c r="T96" s="214" t="str">
        <f>Before!I94</f>
        <v>Park, Keun-Joon （박근준）</v>
      </c>
    </row>
    <row r="97" spans="20:20">
      <c r="T97" s="214" t="str">
        <f>Before!I95</f>
        <v>Lee, Chang Hyeon （이창현）</v>
      </c>
    </row>
    <row r="98" spans="20:20">
      <c r="T98" s="214" t="str">
        <f>Before!I96</f>
        <v>Kim, Juhyun</v>
      </c>
    </row>
    <row r="99" spans="20:20">
      <c r="T99" s="214" t="str">
        <f>Before!I97</f>
        <v>Kim, Pyung Hee （김평희）</v>
      </c>
    </row>
    <row r="100" spans="20:20">
      <c r="T100" s="214" t="str">
        <f>Before!I98</f>
        <v>You, Hoesuk （유회숙）</v>
      </c>
    </row>
    <row r="101" spans="20:20">
      <c r="T101" s="214" t="str">
        <f>Before!I99</f>
        <v>Park, Mikyung</v>
      </c>
    </row>
    <row r="102" spans="20:20">
      <c r="T102" s="214" t="str">
        <f>Before!I100</f>
        <v>Maeng, Sohyun</v>
      </c>
    </row>
    <row r="103" spans="20:20">
      <c r="T103" s="214" t="str">
        <f>Before!I101</f>
        <v>Choi, Seul Gi （최슬기）</v>
      </c>
    </row>
    <row r="104" spans="20:20">
      <c r="T104" s="214" t="str">
        <f>Before!I102</f>
        <v>Choi, Hee Whan （최희환）</v>
      </c>
    </row>
    <row r="105" spans="20:20">
      <c r="T105" s="214" t="e">
        <f>Before!#REF!</f>
        <v>#REF!</v>
      </c>
    </row>
    <row r="106" spans="20:20">
      <c r="T106" s="214" t="str">
        <f>Before!I103</f>
        <v>Hyun, Eunkyung （현은경）</v>
      </c>
    </row>
    <row r="107" spans="20:20">
      <c r="T107" s="214" t="str">
        <f>Before!I104</f>
        <v>Moon, Noory （문누리）</v>
      </c>
    </row>
    <row r="108" spans="20:20">
      <c r="T108" s="214" t="str">
        <f>Before!I105</f>
        <v>Yun, Seoyeon （윤서연）</v>
      </c>
    </row>
    <row r="109" spans="20:20">
      <c r="T109" s="214" t="str">
        <f>Before!I106</f>
        <v>Jang, Hansaem （장한샘）</v>
      </c>
    </row>
    <row r="110" spans="20:20">
      <c r="T110" s="214" t="str">
        <f>Before!I107</f>
        <v>Oh, Sujin</v>
      </c>
    </row>
    <row r="111" spans="20:20">
      <c r="T111" s="214" t="str">
        <f>Before!I108</f>
        <v>Yang, Mihye</v>
      </c>
    </row>
    <row r="112" spans="20:20">
      <c r="T112" s="214" t="str">
        <f>Before!I109</f>
        <v>Joo, Ilseob</v>
      </c>
    </row>
    <row r="113" spans="20:20">
      <c r="T113" s="214" t="str">
        <f>Before!I110</f>
        <v>Rim, Yeonmi</v>
      </c>
    </row>
    <row r="114" spans="20:20">
      <c r="T114" s="214" t="str">
        <f>Before!I111</f>
        <v>Shin, Hyun Young （신현영）</v>
      </c>
    </row>
    <row r="115" spans="20:20">
      <c r="T115" s="214" t="e">
        <f>Before!#REF!</f>
        <v>#REF!</v>
      </c>
    </row>
    <row r="116" spans="20:20">
      <c r="T116" s="214" t="str">
        <f>Before!I112</f>
        <v>Kwon, Jihyun</v>
      </c>
    </row>
    <row r="117" spans="20:20">
      <c r="T117" s="214" t="str">
        <f>Before!I113</f>
        <v>Kim, Seonah （김선아）</v>
      </c>
    </row>
    <row r="118" spans="20:20">
      <c r="T118" s="214" t="str">
        <f>Before!I114</f>
        <v>Park, Hye-mi （박혜미）</v>
      </c>
    </row>
    <row r="119" spans="20:20">
      <c r="T119" s="214" t="str">
        <f>Before!I115</f>
        <v>Chang, Timothy Uho （장티모시유호）</v>
      </c>
    </row>
    <row r="120" spans="20:20">
      <c r="T120" s="214" t="str">
        <f>Before!I116</f>
        <v>Kim, Kwangmo</v>
      </c>
    </row>
    <row r="121" spans="20:20">
      <c r="T121" s="214" t="str">
        <f>Before!I117</f>
        <v>Park, Edward （박상기 - 朴商起）</v>
      </c>
    </row>
    <row r="122" spans="20:20">
      <c r="T122" s="214" t="str">
        <f>Before!I118</f>
        <v>Lee, Jongho</v>
      </c>
    </row>
    <row r="123" spans="20:20">
      <c r="T123" s="214" t="e">
        <f>Before!#REF!</f>
        <v>#REF!</v>
      </c>
    </row>
    <row r="124" spans="20:20">
      <c r="T124" s="214" t="str">
        <f>Before!I119</f>
        <v>Won, Jinwook （원진욱 - 元進煜）</v>
      </c>
    </row>
    <row r="125" spans="20:20">
      <c r="T125" s="214" t="str">
        <f>Before!I120</f>
        <v>Moon, Dongwook</v>
      </c>
    </row>
    <row r="126" spans="20:20">
      <c r="T126" s="214" t="str">
        <f>Before!I121</f>
        <v>Lee, Jeongwon （이정원 - 李正元）</v>
      </c>
    </row>
    <row r="127" spans="20:20">
      <c r="T127" s="214" t="str">
        <f>Before!I122</f>
        <v>Hwang, Gyubin</v>
      </c>
    </row>
    <row r="128" spans="20:20">
      <c r="T128" s="214" t="str">
        <f>Before!I123</f>
        <v>Seo, Seongwon</v>
      </c>
    </row>
    <row r="129" spans="20:20">
      <c r="T129" s="214" t="str">
        <f>Before!I124</f>
        <v>Kim, Jongsoo</v>
      </c>
    </row>
    <row r="130" spans="20:20">
      <c r="T130" s="214" t="str">
        <f>Before!I125</f>
        <v>Lee, Heontae</v>
      </c>
    </row>
    <row r="131" spans="20:20">
      <c r="T131" s="214" t="str">
        <f>Before!I126</f>
        <v>Jang, Sechan</v>
      </c>
    </row>
    <row r="132" spans="20:20">
      <c r="T132" s="214" t="str">
        <f>Before!I127</f>
        <v>Ahn, Youngmo （안영모 - 安英模）</v>
      </c>
    </row>
    <row r="133" spans="20:20">
      <c r="T133" s="214" t="str">
        <f>Before!I128</f>
        <v>Park, Gayoung</v>
      </c>
    </row>
    <row r="134" spans="20:20">
      <c r="T134" s="214" t="str">
        <f>Before!I129</f>
        <v>Kim, Taehoon （김태훈 - 金兌勳）</v>
      </c>
    </row>
    <row r="135" spans="20:20">
      <c r="T135" s="214" t="str">
        <f>Before!I130</f>
        <v>Jee, Bonggyu （지봉규 - 池俸圭）</v>
      </c>
    </row>
    <row r="136" spans="20:20">
      <c r="T136" s="214" t="str">
        <f>Before!I131</f>
        <v>Kim, Eunjeong</v>
      </c>
    </row>
    <row r="137" spans="20:20">
      <c r="T137" s="214" t="str">
        <f>Before!I132</f>
        <v>Joo, Woohyun （주우현）</v>
      </c>
    </row>
    <row r="138" spans="20:20">
      <c r="T138" s="214" t="str">
        <f>Before!I133</f>
        <v>Kim, Cheonsang （김천상 - 金千詳）</v>
      </c>
    </row>
    <row r="139" spans="20:20">
      <c r="T139" s="214" t="str">
        <f>Before!I134</f>
        <v>Cho, YoungKeun （조영근）</v>
      </c>
    </row>
    <row r="140" spans="20:20">
      <c r="T140" s="214" t="str">
        <f>Before!I135</f>
        <v>Bae, Sungil</v>
      </c>
    </row>
    <row r="141" spans="20:20">
      <c r="T141" s="214" t="e">
        <f>Before!#REF!</f>
        <v>#REF!</v>
      </c>
    </row>
    <row r="142" spans="20:20">
      <c r="T142" s="214" t="str">
        <f>Before!I136</f>
        <v>Jeong, Jaeseong （정재성 - 鄭在成）</v>
      </c>
    </row>
    <row r="143" spans="20:20">
      <c r="T143" s="214" t="str">
        <f>Before!I137</f>
        <v>Cho, Seungbeom （조승범 - 趙勝範）</v>
      </c>
    </row>
    <row r="144" spans="20:20">
      <c r="T144" s="214" t="str">
        <f>Before!I138</f>
        <v>Lee, Taewoong （이태웅）</v>
      </c>
    </row>
    <row r="145" spans="20:20">
      <c r="T145" s="214" t="str">
        <f>Before!I139</f>
        <v>Youk, Changmin</v>
      </c>
    </row>
    <row r="146" spans="20:20">
      <c r="T146" s="214" t="str">
        <f>Before!I140</f>
        <v>Hong, Yonghee （홍용희 - 洪容喜）</v>
      </c>
    </row>
    <row r="147" spans="20:20">
      <c r="T147" s="214" t="str">
        <f>Before!I141</f>
        <v>Chun, Donghoon</v>
      </c>
    </row>
    <row r="148" spans="20:20">
      <c r="T148" s="214" t="str">
        <f>Before!I142</f>
        <v>Kwak, Minjun</v>
      </c>
    </row>
    <row r="149" spans="20:20">
      <c r="T149" s="214" t="str">
        <f>Before!I143</f>
        <v>Koo, Ilmo</v>
      </c>
    </row>
    <row r="150" spans="20:20">
      <c r="T150" s="214" t="str">
        <f>Before!I144</f>
        <v>Song, Euichang</v>
      </c>
    </row>
    <row r="151" spans="20:20">
      <c r="T151" s="214" t="str">
        <f>Before!I145</f>
        <v>Lim, Hyunjong</v>
      </c>
    </row>
    <row r="152" spans="20:20">
      <c r="T152" s="214" t="str">
        <f>Before!I146</f>
        <v>Lee, Heawon</v>
      </c>
    </row>
    <row r="153" spans="20:20">
      <c r="T153" s="214" t="str">
        <f>Before!I147</f>
        <v>Han, Sootaek</v>
      </c>
    </row>
    <row r="154" spans="20:20">
      <c r="T154" s="214" t="e">
        <f>Before!#REF!</f>
        <v>#REF!</v>
      </c>
    </row>
    <row r="155" spans="20:20">
      <c r="T155" s="214" t="str">
        <f>Before!I148</f>
        <v>Kim, Yunhyung</v>
      </c>
    </row>
    <row r="156" spans="20:20">
      <c r="T156" s="214" t="str">
        <f>Before!I149</f>
        <v>Jeeyeon Lee (00250416)</v>
      </c>
    </row>
    <row r="157" spans="20:20">
      <c r="T157" s="214" t="str">
        <f>Before!I150</f>
        <v>Lee, Mac （이정호 - 李政鎬）</v>
      </c>
    </row>
    <row r="158" spans="20:20">
      <c r="T158" s="214" t="e">
        <f>Before!#REF!</f>
        <v>#REF!</v>
      </c>
    </row>
    <row r="159" spans="20:20">
      <c r="T159" s="214" t="str">
        <f>Before!I151</f>
        <v>Hong, Yoojin</v>
      </c>
    </row>
    <row r="160" spans="20:20">
      <c r="T160" s="214" t="str">
        <f>Before!I152</f>
        <v>Kang, Hana</v>
      </c>
    </row>
    <row r="161" spans="20:20">
      <c r="T161" s="214" t="str">
        <f>Before!I153</f>
        <v>Kyungchul Son (00194396)</v>
      </c>
    </row>
    <row r="162" spans="20:20">
      <c r="T162" s="214" t="e">
        <f>Before!#REF!</f>
        <v>#REF!</v>
      </c>
    </row>
    <row r="163" spans="20:20">
      <c r="T163" s="214" t="str">
        <f>Before!I154</f>
        <v>Park, Hyunjoo</v>
      </c>
    </row>
    <row r="164" spans="20:20">
      <c r="T164" s="214" t="str">
        <f>Before!I155</f>
        <v>Kim, Gyutae</v>
      </c>
    </row>
    <row r="165" spans="20:20">
      <c r="T165" s="214" t="str">
        <f>Before!I156</f>
        <v>Joo, Yongjae</v>
      </c>
    </row>
    <row r="166" spans="20:20">
      <c r="T166" s="214" t="str">
        <f>Before!I157</f>
        <v>Park, Jaesung （박재성）</v>
      </c>
    </row>
    <row r="167" spans="20:20">
      <c r="T167" s="214" t="str">
        <f>Before!I158</f>
        <v>Dongju Lee (00248345)</v>
      </c>
    </row>
    <row r="168" spans="20:20">
      <c r="T168" s="214" t="str">
        <f>Before!I159</f>
        <v>Ham, Jaemin</v>
      </c>
    </row>
    <row r="169" spans="20:20">
      <c r="T169" s="214" t="str">
        <f>Before!I160</f>
        <v>Nam, Young-Sun</v>
      </c>
    </row>
    <row r="170" spans="20:20">
      <c r="T170" s="214" t="str">
        <f>Before!I161</f>
        <v>Jeong, Da Eun</v>
      </c>
    </row>
    <row r="171" spans="20:20">
      <c r="T171" s="214" t="str">
        <f>Before!I162</f>
        <v>You, Hye Jin</v>
      </c>
    </row>
    <row r="172" spans="20:20">
      <c r="T172" s="214" t="str">
        <f>Before!I163</f>
        <v>Lee, Hyowon</v>
      </c>
    </row>
    <row r="173" spans="20:20">
      <c r="T173" s="214" t="str">
        <f>Before!I164</f>
        <v>Lee, Uimin</v>
      </c>
    </row>
    <row r="174" spans="20:20">
      <c r="T174" s="214" t="e">
        <f>Before!#REF!</f>
        <v>#REF!</v>
      </c>
    </row>
    <row r="175" spans="20:20">
      <c r="T175" s="214" t="str">
        <f>Before!I165</f>
        <v>Bae, Heejae</v>
      </c>
    </row>
    <row r="176" spans="20:20">
      <c r="T176" s="214" t="str">
        <f>Before!I75</f>
        <v>Sim, Kyungseok （심경석 - 沈涇錫）</v>
      </c>
    </row>
    <row r="177" spans="20:20">
      <c r="T177" s="214" t="e">
        <f>Before!#REF!</f>
        <v>#REF!</v>
      </c>
    </row>
    <row r="178" spans="20:20">
      <c r="T178" s="214" t="e">
        <f>Before!#REF!</f>
        <v>#REF!</v>
      </c>
    </row>
    <row r="179" spans="20:20">
      <c r="T179" s="214" t="e">
        <f>Before!#REF!</f>
        <v>#REF!</v>
      </c>
    </row>
    <row r="180" spans="20:20">
      <c r="T180" s="214" t="e">
        <f>Before!#REF!</f>
        <v>#REF!</v>
      </c>
    </row>
    <row r="181" spans="20:20">
      <c r="T181" s="214" t="e">
        <f>Before!#REF!</f>
        <v>#REF!</v>
      </c>
    </row>
    <row r="182" spans="20:20">
      <c r="T182" s="214" t="e">
        <f>Before!#REF!</f>
        <v>#REF!</v>
      </c>
    </row>
    <row r="183" spans="20:20">
      <c r="T183" s="214" t="e">
        <f>Before!#REF!</f>
        <v>#REF!</v>
      </c>
    </row>
    <row r="184" spans="20:20">
      <c r="T184" s="214" t="e">
        <f>Before!#REF!</f>
        <v>#REF!</v>
      </c>
    </row>
    <row r="185" spans="20:20">
      <c r="T185" s="214" t="e">
        <f>Before!#REF!</f>
        <v>#REF!</v>
      </c>
    </row>
    <row r="186" spans="20:20">
      <c r="T186" s="214" t="e">
        <f>Before!#REF!</f>
        <v>#REF!</v>
      </c>
    </row>
    <row r="187" spans="20:20">
      <c r="T187" s="214" t="e">
        <f>Before!#REF!</f>
        <v>#REF!</v>
      </c>
    </row>
    <row r="188" spans="20:20">
      <c r="T188" s="214" t="e">
        <f>Before!#REF!</f>
        <v>#REF!</v>
      </c>
    </row>
    <row r="189" spans="20:20">
      <c r="T189" s="214" t="e">
        <f>Before!#REF!</f>
        <v>#REF!</v>
      </c>
    </row>
    <row r="190" spans="20:20">
      <c r="T190" s="214" t="e">
        <f>Before!#REF!</f>
        <v>#REF!</v>
      </c>
    </row>
    <row r="191" spans="20:20">
      <c r="T191" s="214" t="e">
        <f>Before!#REF!</f>
        <v>#REF!</v>
      </c>
    </row>
    <row r="192" spans="20:20">
      <c r="T192" s="214" t="e">
        <f>Before!#REF!</f>
        <v>#REF!</v>
      </c>
    </row>
    <row r="193" spans="20:20">
      <c r="T193" s="214" t="e">
        <f>Before!#REF!</f>
        <v>#REF!</v>
      </c>
    </row>
    <row r="194" spans="20:20">
      <c r="T194" s="214" t="e">
        <f>Before!#REF!</f>
        <v>#REF!</v>
      </c>
    </row>
    <row r="195" spans="20:20">
      <c r="T195" s="214" t="e">
        <f>Before!#REF!</f>
        <v>#REF!</v>
      </c>
    </row>
    <row r="196" spans="20:20">
      <c r="T196" s="214" t="e">
        <f>Before!#REF!</f>
        <v>#REF!</v>
      </c>
    </row>
    <row r="197" spans="20:20">
      <c r="T197" s="214" t="e">
        <f>Before!#REF!</f>
        <v>#REF!</v>
      </c>
    </row>
    <row r="198" spans="20:20">
      <c r="T198" s="214" t="str">
        <f>Before!I166</f>
        <v>Park, Edward （박상기 - 朴商起）</v>
      </c>
    </row>
    <row r="199" spans="20:20">
      <c r="T199" s="214" t="str">
        <f>Before!I167</f>
        <v>Kim, Eunjeong</v>
      </c>
    </row>
    <row r="200" spans="20:20">
      <c r="T200" s="214" t="e">
        <f>Before!#REF!</f>
        <v>#REF!</v>
      </c>
    </row>
    <row r="201" spans="20:20">
      <c r="T201" s="214" t="e">
        <f>Before!#REF!</f>
        <v>#REF!</v>
      </c>
    </row>
    <row r="202" spans="20:20">
      <c r="T202" s="214" t="e">
        <f>Before!#REF!</f>
        <v>#REF!</v>
      </c>
    </row>
    <row r="203" spans="20:20">
      <c r="T203" s="214" t="e">
        <f>Before!#REF!</f>
        <v>#REF!</v>
      </c>
    </row>
    <row r="204" spans="20:20">
      <c r="T204" s="214" t="e">
        <f>Before!#REF!</f>
        <v>#REF!</v>
      </c>
    </row>
    <row r="205" spans="20:20">
      <c r="T205" s="214" t="e">
        <f>Before!#REF!</f>
        <v>#REF!</v>
      </c>
    </row>
    <row r="206" spans="20:20">
      <c r="T206" s="214" t="e">
        <f>Before!#REF!</f>
        <v>#REF!</v>
      </c>
    </row>
    <row r="207" spans="20:20">
      <c r="T207" s="214" t="e">
        <f>Before!#REF!</f>
        <v>#REF!</v>
      </c>
    </row>
    <row r="208" spans="20:20">
      <c r="T208" s="214" t="e">
        <f>Before!#REF!</f>
        <v>#REF!</v>
      </c>
    </row>
    <row r="209" spans="20:20">
      <c r="T209" s="214" t="e">
        <f>Before!#REF!</f>
        <v>#REF!</v>
      </c>
    </row>
    <row r="210" spans="20:20">
      <c r="T210" s="214" t="e">
        <f>Before!#REF!</f>
        <v>#REF!</v>
      </c>
    </row>
    <row r="211" spans="20:20">
      <c r="T211" s="214" t="e">
        <f>Before!#REF!</f>
        <v>#REF!</v>
      </c>
    </row>
    <row r="212" spans="20:20">
      <c r="T212" s="214" t="e">
        <f>Before!#REF!</f>
        <v>#REF!</v>
      </c>
    </row>
    <row r="213" spans="20:20">
      <c r="T213" s="214" t="e">
        <f>Before!#REF!</f>
        <v>#REF!</v>
      </c>
    </row>
    <row r="214" spans="20:20">
      <c r="T214" s="214" t="e">
        <f>Before!#REF!</f>
        <v>#REF!</v>
      </c>
    </row>
    <row r="215" spans="20:20">
      <c r="T215" s="214" t="e">
        <f>Before!#REF!</f>
        <v>#REF!</v>
      </c>
    </row>
    <row r="216" spans="20:20">
      <c r="T216" s="214" t="e">
        <f>Before!#REF!</f>
        <v>#REF!</v>
      </c>
    </row>
    <row r="217" spans="20:20">
      <c r="T217" s="214" t="e">
        <f>Before!#REF!</f>
        <v>#REF!</v>
      </c>
    </row>
    <row r="218" spans="20:20">
      <c r="T218" s="214" t="e">
        <f>Before!#REF!</f>
        <v>#REF!</v>
      </c>
    </row>
    <row r="219" spans="20:20">
      <c r="T219" s="214" t="e">
        <f>Before!#REF!</f>
        <v>#REF!</v>
      </c>
    </row>
    <row r="220" spans="20:20">
      <c r="T220" s="214" t="e">
        <f>Before!#REF!</f>
        <v>#REF!</v>
      </c>
    </row>
    <row r="221" spans="20:20">
      <c r="T221" s="214" t="e">
        <f>Before!#REF!</f>
        <v>#REF!</v>
      </c>
    </row>
    <row r="222" spans="20:20">
      <c r="T222" s="214" t="e">
        <f>Before!#REF!</f>
        <v>#REF!</v>
      </c>
    </row>
    <row r="223" spans="20:20">
      <c r="T223" s="214" t="e">
        <f>Before!#REF!</f>
        <v>#REF!</v>
      </c>
    </row>
    <row r="224" spans="20:20">
      <c r="T224" s="214" t="e">
        <f>Before!#REF!</f>
        <v>#REF!</v>
      </c>
    </row>
    <row r="225" spans="20:20">
      <c r="T225" s="214" t="e">
        <f>Before!#REF!</f>
        <v>#REF!</v>
      </c>
    </row>
    <row r="226" spans="20:20">
      <c r="T226" s="214" t="e">
        <f>Before!#REF!</f>
        <v>#REF!</v>
      </c>
    </row>
    <row r="227" spans="20:20">
      <c r="T227" s="214" t="e">
        <f>Before!#REF!</f>
        <v>#REF!</v>
      </c>
    </row>
    <row r="228" spans="20:20">
      <c r="T228" s="214" t="e">
        <f>Before!#REF!</f>
        <v>#REF!</v>
      </c>
    </row>
    <row r="229" spans="20:20">
      <c r="T229" s="214" t="e">
        <f>Before!#REF!</f>
        <v>#REF!</v>
      </c>
    </row>
    <row r="230" spans="20:20">
      <c r="T230" s="214" t="e">
        <f>Before!#REF!</f>
        <v>#REF!</v>
      </c>
    </row>
    <row r="231" spans="20:20">
      <c r="T231" s="214" t="e">
        <f>Before!#REF!</f>
        <v>#REF!</v>
      </c>
    </row>
    <row r="232" spans="20:20">
      <c r="T232" s="214" t="e">
        <f>Before!#REF!</f>
        <v>#REF!</v>
      </c>
    </row>
    <row r="233" spans="20:20">
      <c r="T233" s="214" t="str">
        <f>Before!I168</f>
        <v>Park, Gayoung</v>
      </c>
    </row>
    <row r="234" spans="20:20">
      <c r="T234" s="214" t="str">
        <f>Before!I169</f>
        <v>Park, Sangtae （박상태）</v>
      </c>
    </row>
    <row r="235" spans="20:20">
      <c r="T235" s="214" t="str">
        <f>Before!I170</f>
        <v>Park, Soo Bae （박수배）</v>
      </c>
    </row>
    <row r="236" spans="20:20">
      <c r="T236" s="214" t="str">
        <f>Before!I171</f>
        <v>Lee, Sanghyun （이상현）</v>
      </c>
    </row>
    <row r="237" spans="20:20">
      <c r="T237" s="214" t="str">
        <f>Before!I172</f>
        <v>Kang, Jihye （강지혜）</v>
      </c>
    </row>
    <row r="238" spans="20:20">
      <c r="T238" s="214" t="str">
        <f>Before!I173</f>
        <v>Kim, Choong-Il （김충일）</v>
      </c>
    </row>
    <row r="239" spans="20:20">
      <c r="T239" s="214" t="str">
        <f>Before!I174</f>
        <v>Kim, Ryeonghwan （김령환 - 金鈴煥）</v>
      </c>
    </row>
    <row r="240" spans="20:20">
      <c r="T240" s="214" t="str">
        <f>Before!I175</f>
        <v>Jeong, Jeeman</v>
      </c>
    </row>
    <row r="241" spans="20:20">
      <c r="T241" s="214" t="str">
        <f>Before!I176</f>
        <v>Cho, Juho （조주호）</v>
      </c>
    </row>
    <row r="242" spans="20:20">
      <c r="T242" s="214" t="str">
        <f>Before!I177</f>
        <v>Ryu, Taeyeoul （유태열）</v>
      </c>
    </row>
    <row r="243" spans="20:20">
      <c r="T243" s="214" t="str">
        <f>Before!I178</f>
        <v>Hyun, Eunkyung （현은경）</v>
      </c>
    </row>
    <row r="244" spans="20:20">
      <c r="T244" s="214" t="e">
        <f>Before!#REF!</f>
        <v>#REF!</v>
      </c>
    </row>
    <row r="245" spans="20:20">
      <c r="T245" s="214" t="str">
        <f>Before!I179</f>
        <v>Choi, Sang Nam （최상남）</v>
      </c>
    </row>
    <row r="246" spans="20:20">
      <c r="T246" s="214" t="e">
        <f>Before!#REF!</f>
        <v>#REF!</v>
      </c>
    </row>
    <row r="247" spans="20:20">
      <c r="T247" s="214" t="e">
        <f>Before!#REF!</f>
        <v>#REF!</v>
      </c>
    </row>
    <row r="248" spans="20:20">
      <c r="T248" s="214" t="e">
        <f>Before!#REF!</f>
        <v>#REF!</v>
      </c>
    </row>
    <row r="249" spans="20:20">
      <c r="T249" s="214" t="e">
        <f>Before!#REF!</f>
        <v>#REF!</v>
      </c>
    </row>
    <row r="250" spans="20:20">
      <c r="T250" s="214" t="e">
        <f>Before!#REF!</f>
        <v>#REF!</v>
      </c>
    </row>
    <row r="251" spans="20:20">
      <c r="T251" s="214" t="e">
        <f>Before!#REF!</f>
        <v>#REF!</v>
      </c>
    </row>
    <row r="252" spans="20:20">
      <c r="T252" s="214" t="str">
        <f>Before!I180</f>
        <v>Ryu, Jaeyong</v>
      </c>
    </row>
    <row r="253" spans="20:20">
      <c r="T253" s="214">
        <f>Before!I182</f>
        <v>0</v>
      </c>
    </row>
    <row r="254" spans="20:20">
      <c r="T254" s="214">
        <f>Before!I183</f>
        <v>0</v>
      </c>
    </row>
    <row r="255" spans="20:20">
      <c r="T255" s="214">
        <f>Before!I184</f>
        <v>0</v>
      </c>
    </row>
    <row r="256" spans="20:20">
      <c r="T256" s="214">
        <f>Before!I185</f>
        <v>0</v>
      </c>
    </row>
    <row r="257" spans="20:20">
      <c r="T257" s="214">
        <f>Before!I186</f>
        <v>0</v>
      </c>
    </row>
    <row r="258" spans="20:20">
      <c r="T258" s="214">
        <f>Before!I187</f>
        <v>0</v>
      </c>
    </row>
    <row r="259" spans="20:20">
      <c r="T259" s="214">
        <f>Before!I188</f>
        <v>0</v>
      </c>
    </row>
    <row r="260" spans="20:20">
      <c r="T260" s="214">
        <f>Before!I189</f>
        <v>0</v>
      </c>
    </row>
    <row r="261" spans="20:20">
      <c r="T261" s="214">
        <f>Before!I190</f>
        <v>0</v>
      </c>
    </row>
    <row r="262" spans="20:20">
      <c r="T262" s="214">
        <f>Before!I191</f>
        <v>0</v>
      </c>
    </row>
    <row r="263" spans="20:20">
      <c r="T263" s="214">
        <f>Before!I192</f>
        <v>0</v>
      </c>
    </row>
    <row r="264" spans="20:20">
      <c r="T264" s="214">
        <f>Before!I193</f>
        <v>0</v>
      </c>
    </row>
    <row r="265" spans="20:20">
      <c r="T265" s="214">
        <f>Before!I194</f>
        <v>0</v>
      </c>
    </row>
    <row r="266" spans="20:20">
      <c r="T266" s="214">
        <f>Before!I195</f>
        <v>0</v>
      </c>
    </row>
    <row r="267" spans="20:20">
      <c r="T267" s="214">
        <f>Before!I196</f>
        <v>0</v>
      </c>
    </row>
    <row r="268" spans="20:20">
      <c r="T268" s="214">
        <f>Before!I197</f>
        <v>0</v>
      </c>
    </row>
    <row r="269" spans="20:20">
      <c r="T269" s="214">
        <f>Before!I198</f>
        <v>0</v>
      </c>
    </row>
    <row r="270" spans="20:20">
      <c r="T270" s="214">
        <f>Before!I199</f>
        <v>0</v>
      </c>
    </row>
    <row r="271" spans="20:20">
      <c r="T271" s="214">
        <f>Before!I200</f>
        <v>0</v>
      </c>
    </row>
    <row r="272" spans="20:20">
      <c r="T272" s="214">
        <f>Before!I201</f>
        <v>0</v>
      </c>
    </row>
    <row r="273" spans="20:20">
      <c r="T273" s="214">
        <f>Before!I202</f>
        <v>0</v>
      </c>
    </row>
    <row r="274" spans="20:20">
      <c r="T274" s="214">
        <f>Before!I203</f>
        <v>0</v>
      </c>
    </row>
    <row r="275" spans="20:20">
      <c r="T275" s="214">
        <f>Before!I204</f>
        <v>0</v>
      </c>
    </row>
    <row r="276" spans="20:20">
      <c r="T276" s="214">
        <f>Before!I205</f>
        <v>0</v>
      </c>
    </row>
    <row r="277" spans="20:20">
      <c r="T277" s="214">
        <f>Before!I206</f>
        <v>0</v>
      </c>
    </row>
    <row r="278" spans="20:20">
      <c r="T278" s="214">
        <f>Before!I207</f>
        <v>0</v>
      </c>
    </row>
    <row r="279" spans="20:20">
      <c r="T279" s="214">
        <f>Before!I208</f>
        <v>0</v>
      </c>
    </row>
    <row r="280" spans="20:20">
      <c r="T280" s="214">
        <f>Before!I209</f>
        <v>0</v>
      </c>
    </row>
    <row r="281" spans="20:20">
      <c r="T281" s="214">
        <f>Before!I210</f>
        <v>0</v>
      </c>
    </row>
    <row r="282" spans="20:20">
      <c r="T282" s="214">
        <f>Before!I211</f>
        <v>0</v>
      </c>
    </row>
    <row r="283" spans="20:20">
      <c r="T283" s="214">
        <f>Before!I212</f>
        <v>0</v>
      </c>
    </row>
    <row r="284" spans="20:20">
      <c r="T284" s="214">
        <f>Before!I213</f>
        <v>0</v>
      </c>
    </row>
    <row r="285" spans="20:20">
      <c r="T285" s="214">
        <f>Before!I214</f>
        <v>0</v>
      </c>
    </row>
    <row r="286" spans="20:20">
      <c r="T286" s="214">
        <f>Before!I215</f>
        <v>0</v>
      </c>
    </row>
    <row r="287" spans="20:20">
      <c r="T287" s="214">
        <f>Before!I216</f>
        <v>0</v>
      </c>
    </row>
    <row r="288" spans="20:20">
      <c r="T288" s="214">
        <f>Before!I217</f>
        <v>0</v>
      </c>
    </row>
    <row r="289" spans="20:20">
      <c r="T289" s="214">
        <f>Before!I218</f>
        <v>0</v>
      </c>
    </row>
    <row r="290" spans="20:20">
      <c r="T290" s="214">
        <f>Before!I219</f>
        <v>0</v>
      </c>
    </row>
    <row r="291" spans="20:20">
      <c r="T291" s="214">
        <f>Before!I220</f>
        <v>0</v>
      </c>
    </row>
    <row r="292" spans="20:20">
      <c r="T292" s="214">
        <f>Before!I221</f>
        <v>0</v>
      </c>
    </row>
    <row r="293" spans="20:20">
      <c r="T293" s="214">
        <f>Before!I222</f>
        <v>0</v>
      </c>
    </row>
    <row r="294" spans="20:20">
      <c r="T294" s="214">
        <f>Before!I223</f>
        <v>0</v>
      </c>
    </row>
    <row r="295" spans="20:20">
      <c r="T295" s="214">
        <f>Before!I224</f>
        <v>0</v>
      </c>
    </row>
    <row r="296" spans="20:20">
      <c r="T296" s="214">
        <f>Before!I225</f>
        <v>0</v>
      </c>
    </row>
    <row r="297" spans="20:20">
      <c r="T297" s="214">
        <f>Before!I226</f>
        <v>0</v>
      </c>
    </row>
    <row r="298" spans="20:20">
      <c r="T298" s="214">
        <f>Before!I227</f>
        <v>0</v>
      </c>
    </row>
    <row r="299" spans="20:20">
      <c r="T299" s="214">
        <f>Before!I228</f>
        <v>0</v>
      </c>
    </row>
    <row r="300" spans="20:20">
      <c r="T300" s="214">
        <f>Before!I229</f>
        <v>0</v>
      </c>
    </row>
    <row r="301" spans="20:20">
      <c r="T301" s="214">
        <f>Before!I230</f>
        <v>0</v>
      </c>
    </row>
    <row r="302" spans="20:20">
      <c r="T302" s="214">
        <f>Before!I231</f>
        <v>0</v>
      </c>
    </row>
    <row r="303" spans="20:20">
      <c r="T303" s="214">
        <f>Before!I232</f>
        <v>0</v>
      </c>
    </row>
    <row r="304" spans="20:20">
      <c r="T304" s="214">
        <f>Before!I233</f>
        <v>0</v>
      </c>
    </row>
    <row r="305" spans="20:20">
      <c r="T305" s="214">
        <f>Before!I234</f>
        <v>0</v>
      </c>
    </row>
    <row r="306" spans="20:20">
      <c r="T306" s="214">
        <f>Before!I235</f>
        <v>0</v>
      </c>
    </row>
    <row r="307" spans="20:20">
      <c r="T307" s="214">
        <f>Before!I236</f>
        <v>0</v>
      </c>
    </row>
    <row r="308" spans="20:20">
      <c r="T308" s="214">
        <f>Before!I237</f>
        <v>0</v>
      </c>
    </row>
    <row r="309" spans="20:20">
      <c r="T309" s="214">
        <f>Before!I238</f>
        <v>0</v>
      </c>
    </row>
    <row r="310" spans="20:20">
      <c r="T310" s="214">
        <f>Before!I239</f>
        <v>0</v>
      </c>
    </row>
    <row r="311" spans="20:20">
      <c r="T311" s="214">
        <f>Before!I240</f>
        <v>0</v>
      </c>
    </row>
    <row r="312" spans="20:20">
      <c r="T312" s="214">
        <f>Before!I241</f>
        <v>0</v>
      </c>
    </row>
    <row r="313" spans="20:20">
      <c r="T313" s="214">
        <f>Before!I242</f>
        <v>0</v>
      </c>
    </row>
    <row r="314" spans="20:20">
      <c r="T314" s="214">
        <f>Before!I243</f>
        <v>0</v>
      </c>
    </row>
    <row r="315" spans="20:20">
      <c r="T315" s="214">
        <f>Before!I244</f>
        <v>0</v>
      </c>
    </row>
    <row r="316" spans="20:20">
      <c r="T316" s="214">
        <f>Before!I245</f>
        <v>0</v>
      </c>
    </row>
    <row r="317" spans="20:20">
      <c r="T317" s="214">
        <f>Before!I246</f>
        <v>0</v>
      </c>
    </row>
    <row r="318" spans="20:20">
      <c r="T318" s="214">
        <f>Before!I247</f>
        <v>0</v>
      </c>
    </row>
    <row r="319" spans="20:20">
      <c r="T319" s="214">
        <f>Before!I248</f>
        <v>0</v>
      </c>
    </row>
    <row r="320" spans="20:20">
      <c r="T320" s="214">
        <f>Before!I249</f>
        <v>0</v>
      </c>
    </row>
    <row r="321" spans="20:20">
      <c r="T321" s="214">
        <f>Before!I250</f>
        <v>0</v>
      </c>
    </row>
    <row r="322" spans="20:20">
      <c r="T322" s="214">
        <f>Before!I251</f>
        <v>0</v>
      </c>
    </row>
    <row r="323" spans="20:20">
      <c r="T323" s="214">
        <f>Before!I252</f>
        <v>0</v>
      </c>
    </row>
    <row r="324" spans="20:20">
      <c r="T324" s="214">
        <f>Before!I253</f>
        <v>0</v>
      </c>
    </row>
    <row r="325" spans="20:20">
      <c r="T325" s="214">
        <f>Before!I254</f>
        <v>0</v>
      </c>
    </row>
    <row r="326" spans="20:20">
      <c r="T326" s="214">
        <f>Before!I255</f>
        <v>0</v>
      </c>
    </row>
    <row r="327" spans="20:20">
      <c r="T327" s="214">
        <f>Before!I256</f>
        <v>0</v>
      </c>
    </row>
    <row r="328" spans="20:20">
      <c r="T328" s="214">
        <f>Before!I257</f>
        <v>0</v>
      </c>
    </row>
    <row r="329" spans="20:20">
      <c r="T329" s="214">
        <f>Before!I258</f>
        <v>0</v>
      </c>
    </row>
    <row r="330" spans="20:20">
      <c r="T330" s="214">
        <f>Before!I259</f>
        <v>0</v>
      </c>
    </row>
    <row r="331" spans="20:20">
      <c r="T331" s="214">
        <f>Before!I260</f>
        <v>0</v>
      </c>
    </row>
    <row r="332" spans="20:20">
      <c r="T332" s="214">
        <f>Before!I261</f>
        <v>0</v>
      </c>
    </row>
    <row r="333" spans="20:20">
      <c r="T333" s="214">
        <f>Before!I262</f>
        <v>0</v>
      </c>
    </row>
    <row r="334" spans="20:20">
      <c r="T334" s="214">
        <f>Before!I263</f>
        <v>0</v>
      </c>
    </row>
    <row r="335" spans="20:20">
      <c r="T335" s="214">
        <f>Before!I264</f>
        <v>0</v>
      </c>
    </row>
    <row r="336" spans="20:20">
      <c r="T336" s="214">
        <f>Before!I265</f>
        <v>0</v>
      </c>
    </row>
    <row r="337" spans="20:20">
      <c r="T337" s="214">
        <f>Before!I266</f>
        <v>0</v>
      </c>
    </row>
    <row r="338" spans="20:20">
      <c r="T338" s="214">
        <f>Before!I267</f>
        <v>0</v>
      </c>
    </row>
    <row r="339" spans="20:20">
      <c r="T339" s="214">
        <f>Before!I268</f>
        <v>0</v>
      </c>
    </row>
    <row r="340" spans="20:20">
      <c r="T340" s="214">
        <f>Before!I269</f>
        <v>0</v>
      </c>
    </row>
    <row r="341" spans="20:20">
      <c r="T341" s="214">
        <f>Before!I270</f>
        <v>0</v>
      </c>
    </row>
    <row r="342" spans="20:20">
      <c r="T342" s="214">
        <f>Before!I271</f>
        <v>0</v>
      </c>
    </row>
    <row r="343" spans="20:20">
      <c r="T343" s="214">
        <f>Before!I272</f>
        <v>0</v>
      </c>
    </row>
    <row r="344" spans="20:20">
      <c r="T344" s="214">
        <f>Before!I273</f>
        <v>0</v>
      </c>
    </row>
    <row r="345" spans="20:20">
      <c r="T345" s="214">
        <f>Before!I274</f>
        <v>0</v>
      </c>
    </row>
    <row r="346" spans="20:20">
      <c r="T346" s="214">
        <f>Before!I275</f>
        <v>0</v>
      </c>
    </row>
    <row r="347" spans="20:20">
      <c r="T347" s="214">
        <f>Before!I276</f>
        <v>0</v>
      </c>
    </row>
    <row r="348" spans="20:20">
      <c r="T348" s="214">
        <f>Before!I277</f>
        <v>0</v>
      </c>
    </row>
    <row r="349" spans="20:20">
      <c r="T349" s="214">
        <f>Before!I278</f>
        <v>0</v>
      </c>
    </row>
    <row r="350" spans="20:20">
      <c r="T350" s="214">
        <f>Before!I279</f>
        <v>0</v>
      </c>
    </row>
    <row r="351" spans="20:20">
      <c r="T351" s="214">
        <f>Before!I280</f>
        <v>0</v>
      </c>
    </row>
    <row r="352" spans="20:20">
      <c r="T352" s="214">
        <f>Before!I281</f>
        <v>0</v>
      </c>
    </row>
    <row r="353" spans="20:20">
      <c r="T353" s="214">
        <f>Before!I282</f>
        <v>0</v>
      </c>
    </row>
    <row r="354" spans="20:20">
      <c r="T354" s="214">
        <f>Before!I283</f>
        <v>0</v>
      </c>
    </row>
    <row r="355" spans="20:20">
      <c r="T355" s="214">
        <f>Before!I284</f>
        <v>0</v>
      </c>
    </row>
    <row r="356" spans="20:20">
      <c r="T356" s="214">
        <f>Before!I285</f>
        <v>0</v>
      </c>
    </row>
    <row r="357" spans="20:20">
      <c r="T357" s="214">
        <f>Before!I286</f>
        <v>0</v>
      </c>
    </row>
    <row r="358" spans="20:20">
      <c r="T358" s="214">
        <f>Before!I287</f>
        <v>0</v>
      </c>
    </row>
    <row r="359" spans="20:20">
      <c r="T359" s="214">
        <f>Before!I288</f>
        <v>0</v>
      </c>
    </row>
    <row r="360" spans="20:20">
      <c r="T360" s="214">
        <f>Before!I289</f>
        <v>0</v>
      </c>
    </row>
    <row r="361" spans="20:20">
      <c r="T361" s="214">
        <f>Before!I290</f>
        <v>0</v>
      </c>
    </row>
    <row r="362" spans="20:20">
      <c r="T362" s="214">
        <f>Before!I291</f>
        <v>0</v>
      </c>
    </row>
    <row r="363" spans="20:20">
      <c r="T363" s="214">
        <f>Before!I292</f>
        <v>0</v>
      </c>
    </row>
    <row r="364" spans="20:20">
      <c r="T364" s="214">
        <f>Before!I293</f>
        <v>0</v>
      </c>
    </row>
    <row r="365" spans="20:20">
      <c r="T365" s="214">
        <f>Before!I294</f>
        <v>0</v>
      </c>
    </row>
    <row r="366" spans="20:20">
      <c r="T366" s="214">
        <f>Before!I295</f>
        <v>0</v>
      </c>
    </row>
    <row r="367" spans="20:20">
      <c r="T367" s="214">
        <f>Before!I296</f>
        <v>0</v>
      </c>
    </row>
    <row r="368" spans="20:20">
      <c r="T368" s="214">
        <f>Before!I297</f>
        <v>0</v>
      </c>
    </row>
    <row r="369" spans="20:20">
      <c r="T369" s="214">
        <f>Before!I298</f>
        <v>0</v>
      </c>
    </row>
    <row r="370" spans="20:20">
      <c r="T370" s="214">
        <f>Before!I299</f>
        <v>0</v>
      </c>
    </row>
    <row r="371" spans="20:20">
      <c r="T371" s="214">
        <f>Before!I300</f>
        <v>0</v>
      </c>
    </row>
    <row r="372" spans="20:20">
      <c r="T372" s="214">
        <f>Before!I301</f>
        <v>0</v>
      </c>
    </row>
    <row r="373" spans="20:20">
      <c r="T373" s="214">
        <f>Before!I302</f>
        <v>0</v>
      </c>
    </row>
    <row r="374" spans="20:20">
      <c r="T374" s="214">
        <f>Before!I303</f>
        <v>0</v>
      </c>
    </row>
    <row r="375" spans="20:20">
      <c r="T375" s="214">
        <f>Before!I304</f>
        <v>0</v>
      </c>
    </row>
    <row r="376" spans="20:20">
      <c r="T376" s="214">
        <f>Before!I305</f>
        <v>0</v>
      </c>
    </row>
    <row r="377" spans="20:20">
      <c r="T377" s="214">
        <f>Before!I306</f>
        <v>0</v>
      </c>
    </row>
    <row r="378" spans="20:20">
      <c r="T378" s="214">
        <f>Before!I307</f>
        <v>0</v>
      </c>
    </row>
    <row r="379" spans="20:20">
      <c r="T379" s="214">
        <f>Before!I308</f>
        <v>0</v>
      </c>
    </row>
    <row r="380" spans="20:20">
      <c r="T380" s="214">
        <f>Before!I309</f>
        <v>0</v>
      </c>
    </row>
    <row r="381" spans="20:20">
      <c r="T381" s="214">
        <f>Before!I310</f>
        <v>0</v>
      </c>
    </row>
    <row r="382" spans="20:20">
      <c r="T382" s="214">
        <f>Before!I311</f>
        <v>0</v>
      </c>
    </row>
    <row r="383" spans="20:20">
      <c r="T383" s="214">
        <f>Before!I312</f>
        <v>0</v>
      </c>
    </row>
    <row r="384" spans="20:20">
      <c r="T384" s="214">
        <f>Before!I313</f>
        <v>0</v>
      </c>
    </row>
    <row r="385" spans="20:20">
      <c r="T385" s="214">
        <f>Before!I314</f>
        <v>0</v>
      </c>
    </row>
    <row r="386" spans="20:20">
      <c r="T386" s="214">
        <f>Before!I315</f>
        <v>0</v>
      </c>
    </row>
    <row r="387" spans="20:20">
      <c r="T387" s="214">
        <f>Before!I316</f>
        <v>0</v>
      </c>
    </row>
    <row r="388" spans="20:20">
      <c r="T388" s="214">
        <f>Before!I317</f>
        <v>0</v>
      </c>
    </row>
    <row r="389" spans="20:20">
      <c r="T389" s="214">
        <f>Before!I318</f>
        <v>0</v>
      </c>
    </row>
    <row r="390" spans="20:20">
      <c r="T390" s="214">
        <f>Before!I319</f>
        <v>0</v>
      </c>
    </row>
    <row r="391" spans="20:20">
      <c r="T391" s="214">
        <f>Before!I320</f>
        <v>0</v>
      </c>
    </row>
    <row r="392" spans="20:20">
      <c r="T392" s="214">
        <f>Before!I321</f>
        <v>0</v>
      </c>
    </row>
    <row r="393" spans="20:20">
      <c r="T393" s="214">
        <f>Before!I322</f>
        <v>0</v>
      </c>
    </row>
    <row r="394" spans="20:20">
      <c r="T394" s="214">
        <f>Before!I323</f>
        <v>0</v>
      </c>
    </row>
    <row r="395" spans="20:20">
      <c r="T395" s="214">
        <f>Before!I324</f>
        <v>0</v>
      </c>
    </row>
    <row r="396" spans="20:20">
      <c r="T396" s="214">
        <f>Before!I325</f>
        <v>0</v>
      </c>
    </row>
    <row r="397" spans="20:20">
      <c r="T397" s="214">
        <f>Before!I326</f>
        <v>0</v>
      </c>
    </row>
    <row r="398" spans="20:20">
      <c r="T398" s="214">
        <f>Before!I327</f>
        <v>0</v>
      </c>
    </row>
    <row r="399" spans="20:20">
      <c r="T399" s="214">
        <f>Before!I328</f>
        <v>0</v>
      </c>
    </row>
    <row r="400" spans="20:20">
      <c r="T400" s="214">
        <f>Before!I329</f>
        <v>0</v>
      </c>
    </row>
    <row r="401" spans="20:20">
      <c r="T401" s="214">
        <f>Before!I330</f>
        <v>0</v>
      </c>
    </row>
    <row r="402" spans="20:20">
      <c r="T402" s="214">
        <f>Before!I331</f>
        <v>0</v>
      </c>
    </row>
    <row r="403" spans="20:20">
      <c r="T403" s="214">
        <f>Before!I332</f>
        <v>0</v>
      </c>
    </row>
    <row r="404" spans="20:20">
      <c r="T404" s="214">
        <f>Before!I333</f>
        <v>0</v>
      </c>
    </row>
    <row r="405" spans="20:20">
      <c r="T405" s="214">
        <f>Before!I334</f>
        <v>0</v>
      </c>
    </row>
    <row r="406" spans="20:20">
      <c r="T406" s="214">
        <f>Before!I335</f>
        <v>0</v>
      </c>
    </row>
    <row r="407" spans="20:20">
      <c r="T407" s="214">
        <f>Before!I336</f>
        <v>0</v>
      </c>
    </row>
    <row r="408" spans="20:20">
      <c r="T408" s="214">
        <f>Before!I337</f>
        <v>0</v>
      </c>
    </row>
    <row r="409" spans="20:20">
      <c r="T409" s="214">
        <f>Before!I338</f>
        <v>0</v>
      </c>
    </row>
    <row r="410" spans="20:20">
      <c r="T410" s="214">
        <f>Before!I339</f>
        <v>0</v>
      </c>
    </row>
    <row r="411" spans="20:20">
      <c r="T411" s="214">
        <f>Before!I340</f>
        <v>0</v>
      </c>
    </row>
    <row r="412" spans="20:20">
      <c r="T412" s="214">
        <f>Before!I341</f>
        <v>0</v>
      </c>
    </row>
    <row r="413" spans="20:20">
      <c r="T413" s="214">
        <f>Before!I342</f>
        <v>0</v>
      </c>
    </row>
    <row r="414" spans="20:20">
      <c r="T414" s="214">
        <f>Before!I343</f>
        <v>0</v>
      </c>
    </row>
    <row r="415" spans="20:20">
      <c r="T415" s="214">
        <f>Before!I344</f>
        <v>0</v>
      </c>
    </row>
    <row r="416" spans="20:20">
      <c r="T416" s="214">
        <f>Before!I345</f>
        <v>0</v>
      </c>
    </row>
    <row r="417" spans="20:20">
      <c r="T417" s="214">
        <f>Before!I346</f>
        <v>0</v>
      </c>
    </row>
    <row r="418" spans="20:20">
      <c r="T418" s="214">
        <f>Before!I347</f>
        <v>0</v>
      </c>
    </row>
    <row r="419" spans="20:20">
      <c r="T419" s="214">
        <f>Before!I348</f>
        <v>0</v>
      </c>
    </row>
    <row r="420" spans="20:20">
      <c r="T420" s="214">
        <f>Before!I349</f>
        <v>0</v>
      </c>
    </row>
    <row r="421" spans="20:20">
      <c r="T421" s="214">
        <f>Before!I350</f>
        <v>0</v>
      </c>
    </row>
    <row r="422" spans="20:20">
      <c r="T422" s="214">
        <f>Before!I351</f>
        <v>0</v>
      </c>
    </row>
    <row r="423" spans="20:20">
      <c r="T423" s="214">
        <f>Before!I352</f>
        <v>0</v>
      </c>
    </row>
    <row r="424" spans="20:20">
      <c r="T424" s="214">
        <f>Before!I353</f>
        <v>0</v>
      </c>
    </row>
    <row r="425" spans="20:20">
      <c r="T425" s="214">
        <f>Before!I354</f>
        <v>0</v>
      </c>
    </row>
    <row r="426" spans="20:20">
      <c r="T426" s="214">
        <f>Before!I355</f>
        <v>0</v>
      </c>
    </row>
    <row r="427" spans="20:20">
      <c r="T427" s="214">
        <f>Before!I356</f>
        <v>0</v>
      </c>
    </row>
    <row r="428" spans="20:20">
      <c r="T428" s="214">
        <f>Before!I357</f>
        <v>0</v>
      </c>
    </row>
    <row r="429" spans="20:20">
      <c r="T429" s="214">
        <f>Before!I358</f>
        <v>0</v>
      </c>
    </row>
    <row r="430" spans="20:20">
      <c r="T430" s="214">
        <f>Before!I359</f>
        <v>0</v>
      </c>
    </row>
    <row r="431" spans="20:20">
      <c r="T431" s="214">
        <f>Before!I360</f>
        <v>0</v>
      </c>
    </row>
    <row r="432" spans="20:20">
      <c r="T432" s="214">
        <f>Before!I361</f>
        <v>0</v>
      </c>
    </row>
    <row r="433" spans="20:20">
      <c r="T433" s="214">
        <f>Before!I362</f>
        <v>0</v>
      </c>
    </row>
    <row r="434" spans="20:20">
      <c r="T434" s="214">
        <f>Before!I363</f>
        <v>0</v>
      </c>
    </row>
    <row r="435" spans="20:20">
      <c r="T435" s="214">
        <f>Before!I364</f>
        <v>0</v>
      </c>
    </row>
    <row r="436" spans="20:20">
      <c r="T436" s="214">
        <f>Before!I365</f>
        <v>0</v>
      </c>
    </row>
    <row r="437" spans="20:20">
      <c r="T437" s="214">
        <f>Before!I366</f>
        <v>0</v>
      </c>
    </row>
    <row r="438" spans="20:20">
      <c r="T438" s="214">
        <f>Before!I367</f>
        <v>0</v>
      </c>
    </row>
    <row r="439" spans="20:20">
      <c r="T439" s="214">
        <f>Before!I368</f>
        <v>0</v>
      </c>
    </row>
    <row r="440" spans="20:20">
      <c r="T440" s="214">
        <f>Before!I369</f>
        <v>0</v>
      </c>
    </row>
    <row r="441" spans="20:20">
      <c r="T441" s="214">
        <f>Before!I370</f>
        <v>0</v>
      </c>
    </row>
    <row r="442" spans="20:20">
      <c r="T442" s="214">
        <f>Before!I371</f>
        <v>0</v>
      </c>
    </row>
    <row r="443" spans="20:20">
      <c r="T443" s="214">
        <f>Before!I372</f>
        <v>0</v>
      </c>
    </row>
    <row r="444" spans="20:20">
      <c r="T444" s="214">
        <f>Before!I373</f>
        <v>0</v>
      </c>
    </row>
    <row r="445" spans="20:20">
      <c r="T445" s="214">
        <f>Before!I374</f>
        <v>0</v>
      </c>
    </row>
    <row r="446" spans="20:20">
      <c r="T446" s="214">
        <f>Before!I375</f>
        <v>0</v>
      </c>
    </row>
    <row r="447" spans="20:20">
      <c r="T447" s="214">
        <f>Before!I376</f>
        <v>0</v>
      </c>
    </row>
    <row r="448" spans="20:20">
      <c r="T448" s="214">
        <f>Before!I377</f>
        <v>0</v>
      </c>
    </row>
    <row r="449" spans="20:20">
      <c r="T449" s="214">
        <f>Before!I378</f>
        <v>0</v>
      </c>
    </row>
    <row r="450" spans="20:20">
      <c r="T450" s="214">
        <f>Before!I379</f>
        <v>0</v>
      </c>
    </row>
    <row r="451" spans="20:20">
      <c r="T451" s="214">
        <f>Before!I380</f>
        <v>0</v>
      </c>
    </row>
    <row r="452" spans="20:20">
      <c r="T452" s="214">
        <f>Before!I381</f>
        <v>0</v>
      </c>
    </row>
    <row r="453" spans="20:20">
      <c r="T453" s="214">
        <f>Before!I382</f>
        <v>0</v>
      </c>
    </row>
    <row r="454" spans="20:20">
      <c r="T454" s="214">
        <f>Before!I383</f>
        <v>0</v>
      </c>
    </row>
    <row r="455" spans="20:20">
      <c r="T455" s="214">
        <f>Before!I384</f>
        <v>0</v>
      </c>
    </row>
    <row r="456" spans="20:20">
      <c r="T456" s="214">
        <f>Before!I385</f>
        <v>0</v>
      </c>
    </row>
    <row r="457" spans="20:20">
      <c r="T457" s="214">
        <f>Before!I386</f>
        <v>0</v>
      </c>
    </row>
    <row r="458" spans="20:20">
      <c r="T458" s="214">
        <f>Before!I387</f>
        <v>0</v>
      </c>
    </row>
    <row r="459" spans="20:20">
      <c r="T459" s="214">
        <f>Before!I388</f>
        <v>0</v>
      </c>
    </row>
    <row r="460" spans="20:20">
      <c r="T460" s="214">
        <f>Before!I389</f>
        <v>0</v>
      </c>
    </row>
    <row r="461" spans="20:20">
      <c r="T461" s="214">
        <f>Before!I390</f>
        <v>0</v>
      </c>
    </row>
    <row r="462" spans="20:20">
      <c r="T462" s="214">
        <f>Before!I391</f>
        <v>0</v>
      </c>
    </row>
    <row r="463" spans="20:20">
      <c r="T463" s="214">
        <f>Before!I392</f>
        <v>0</v>
      </c>
    </row>
    <row r="464" spans="20:20">
      <c r="T464" s="214">
        <f>Before!I393</f>
        <v>0</v>
      </c>
    </row>
    <row r="465" spans="20:20">
      <c r="T465" s="214">
        <f>Before!I394</f>
        <v>0</v>
      </c>
    </row>
    <row r="466" spans="20:20">
      <c r="T466" s="214">
        <f>Before!I395</f>
        <v>0</v>
      </c>
    </row>
    <row r="467" spans="20:20">
      <c r="T467" s="214">
        <f>Before!I396</f>
        <v>0</v>
      </c>
    </row>
    <row r="468" spans="20:20">
      <c r="T468" s="214">
        <f>Before!I397</f>
        <v>0</v>
      </c>
    </row>
    <row r="469" spans="20:20">
      <c r="T469" s="214">
        <f>Before!I398</f>
        <v>0</v>
      </c>
    </row>
    <row r="470" spans="20:20">
      <c r="T470" s="214">
        <f>Before!I399</f>
        <v>0</v>
      </c>
    </row>
    <row r="471" spans="20:20">
      <c r="T471" s="214">
        <f>Before!I400</f>
        <v>0</v>
      </c>
    </row>
    <row r="472" spans="20:20">
      <c r="T472" s="214">
        <f>Before!I401</f>
        <v>0</v>
      </c>
    </row>
    <row r="473" spans="20:20">
      <c r="T473" s="214">
        <f>Before!I402</f>
        <v>0</v>
      </c>
    </row>
    <row r="474" spans="20:20">
      <c r="T474" s="214">
        <f>Before!I403</f>
        <v>0</v>
      </c>
    </row>
    <row r="475" spans="20:20">
      <c r="T475" s="214">
        <f>Before!I404</f>
        <v>0</v>
      </c>
    </row>
    <row r="476" spans="20:20">
      <c r="T476" s="214">
        <f>Before!I405</f>
        <v>0</v>
      </c>
    </row>
    <row r="477" spans="20:20">
      <c r="T477" s="214">
        <f>Before!I406</f>
        <v>0</v>
      </c>
    </row>
    <row r="478" spans="20:20">
      <c r="T478" s="214">
        <f>Before!I407</f>
        <v>0</v>
      </c>
    </row>
    <row r="479" spans="20:20">
      <c r="T479" s="214">
        <f>Before!I408</f>
        <v>0</v>
      </c>
    </row>
    <row r="480" spans="20:20">
      <c r="T480" s="214">
        <f>Before!I409</f>
        <v>0</v>
      </c>
    </row>
    <row r="481" spans="20:20">
      <c r="T481" s="214">
        <f>Before!I410</f>
        <v>0</v>
      </c>
    </row>
    <row r="482" spans="20:20">
      <c r="T482" s="214">
        <f>Before!I411</f>
        <v>0</v>
      </c>
    </row>
    <row r="483" spans="20:20">
      <c r="T483" s="214">
        <f>Before!I412</f>
        <v>0</v>
      </c>
    </row>
    <row r="484" spans="20:20">
      <c r="T484" s="214">
        <f>Before!I413</f>
        <v>0</v>
      </c>
    </row>
    <row r="485" spans="20:20">
      <c r="T485" s="214">
        <f>Before!I414</f>
        <v>0</v>
      </c>
    </row>
    <row r="486" spans="20:20">
      <c r="T486" s="214">
        <f>Before!I415</f>
        <v>0</v>
      </c>
    </row>
    <row r="487" spans="20:20">
      <c r="T487" s="214">
        <f>Before!I416</f>
        <v>0</v>
      </c>
    </row>
    <row r="488" spans="20:20">
      <c r="T488" s="214">
        <f>Before!I417</f>
        <v>0</v>
      </c>
    </row>
    <row r="489" spans="20:20">
      <c r="T489" s="214">
        <f>Before!I418</f>
        <v>0</v>
      </c>
    </row>
    <row r="490" spans="20:20">
      <c r="T490" s="214">
        <f>Before!I419</f>
        <v>0</v>
      </c>
    </row>
    <row r="491" spans="20:20">
      <c r="T491" s="214">
        <f>Before!I420</f>
        <v>0</v>
      </c>
    </row>
    <row r="492" spans="20:20">
      <c r="T492" s="214">
        <f>Before!I421</f>
        <v>0</v>
      </c>
    </row>
    <row r="493" spans="20:20">
      <c r="T493" s="214">
        <f>Before!I422</f>
        <v>0</v>
      </c>
    </row>
    <row r="494" spans="20:20">
      <c r="T494" s="214">
        <f>Before!I423</f>
        <v>0</v>
      </c>
    </row>
    <row r="495" spans="20:20">
      <c r="T495" s="214">
        <f>Before!I424</f>
        <v>0</v>
      </c>
    </row>
    <row r="496" spans="20:20">
      <c r="T496" s="214">
        <f>Before!I425</f>
        <v>0</v>
      </c>
    </row>
    <row r="497" spans="20:20">
      <c r="T497" s="214">
        <f>Before!I426</f>
        <v>0</v>
      </c>
    </row>
    <row r="498" spans="20:20">
      <c r="T498" s="214">
        <f>Before!I427</f>
        <v>0</v>
      </c>
    </row>
    <row r="499" spans="20:20">
      <c r="T499" s="214">
        <f>Before!I428</f>
        <v>0</v>
      </c>
    </row>
    <row r="500" spans="20:20">
      <c r="T500" s="214">
        <f>Before!I429</f>
        <v>0</v>
      </c>
    </row>
    <row r="501" spans="20:20">
      <c r="T501" s="214">
        <f>Before!I430</f>
        <v>0</v>
      </c>
    </row>
    <row r="502" spans="20:20">
      <c r="T502" s="214">
        <f>Before!I431</f>
        <v>0</v>
      </c>
    </row>
    <row r="503" spans="20:20">
      <c r="T503" s="214">
        <f>Before!I432</f>
        <v>0</v>
      </c>
    </row>
    <row r="504" spans="20:20">
      <c r="T504" s="214">
        <f>Before!I433</f>
        <v>0</v>
      </c>
    </row>
    <row r="505" spans="20:20">
      <c r="T505" s="214">
        <f>Before!I434</f>
        <v>0</v>
      </c>
    </row>
    <row r="506" spans="20:20">
      <c r="T506" s="214">
        <f>Before!I435</f>
        <v>0</v>
      </c>
    </row>
    <row r="507" spans="20:20">
      <c r="T507" s="214">
        <f>Before!I436</f>
        <v>0</v>
      </c>
    </row>
    <row r="508" spans="20:20">
      <c r="T508" s="214">
        <f>Before!I437</f>
        <v>0</v>
      </c>
    </row>
    <row r="509" spans="20:20">
      <c r="T509" s="214">
        <f>Before!I438</f>
        <v>0</v>
      </c>
    </row>
    <row r="510" spans="20:20">
      <c r="T510" s="214">
        <f>Before!I439</f>
        <v>0</v>
      </c>
    </row>
    <row r="511" spans="20:20">
      <c r="T511" s="214">
        <f>Before!I440</f>
        <v>0</v>
      </c>
    </row>
    <row r="512" spans="20:20">
      <c r="T512" s="214">
        <f>Before!I441</f>
        <v>0</v>
      </c>
    </row>
    <row r="513" spans="20:20">
      <c r="T513" s="214">
        <f>Before!I442</f>
        <v>0</v>
      </c>
    </row>
    <row r="514" spans="20:20">
      <c r="T514" s="214">
        <f>Before!I443</f>
        <v>0</v>
      </c>
    </row>
    <row r="515" spans="20:20">
      <c r="T515" s="214">
        <f>Before!I444</f>
        <v>0</v>
      </c>
    </row>
    <row r="516" spans="20:20">
      <c r="T516" s="214">
        <f>Before!I445</f>
        <v>0</v>
      </c>
    </row>
    <row r="517" spans="20:20">
      <c r="T517" s="214">
        <f>Before!I446</f>
        <v>0</v>
      </c>
    </row>
    <row r="518" spans="20:20">
      <c r="T518" s="214">
        <f>Before!I447</f>
        <v>0</v>
      </c>
    </row>
    <row r="519" spans="20:20">
      <c r="T519" s="214">
        <f>Before!I448</f>
        <v>0</v>
      </c>
    </row>
    <row r="520" spans="20:20">
      <c r="T520" s="214">
        <f>Before!I449</f>
        <v>0</v>
      </c>
    </row>
    <row r="521" spans="20:20">
      <c r="T521" s="214">
        <f>Before!I450</f>
        <v>0</v>
      </c>
    </row>
    <row r="522" spans="20:20">
      <c r="T522" s="214">
        <f>Before!I451</f>
        <v>0</v>
      </c>
    </row>
    <row r="523" spans="20:20">
      <c r="T523" s="214">
        <f>Before!I452</f>
        <v>0</v>
      </c>
    </row>
    <row r="524" spans="20:20">
      <c r="T524" s="214">
        <f>Before!I453</f>
        <v>0</v>
      </c>
    </row>
    <row r="525" spans="20:20">
      <c r="T525" s="214">
        <f>Before!I454</f>
        <v>0</v>
      </c>
    </row>
    <row r="526" spans="20:20">
      <c r="T526" s="214">
        <f>Before!I455</f>
        <v>0</v>
      </c>
    </row>
    <row r="527" spans="20:20">
      <c r="T527" s="214">
        <f>Before!I456</f>
        <v>0</v>
      </c>
    </row>
    <row r="528" spans="20:20">
      <c r="T528" s="214">
        <f>Before!I457</f>
        <v>0</v>
      </c>
    </row>
    <row r="529" spans="20:20">
      <c r="T529" s="214">
        <f>Before!I458</f>
        <v>0</v>
      </c>
    </row>
    <row r="530" spans="20:20">
      <c r="T530" s="214">
        <f>Before!I459</f>
        <v>0</v>
      </c>
    </row>
    <row r="531" spans="20:20">
      <c r="T531" s="214">
        <f>Before!I460</f>
        <v>0</v>
      </c>
    </row>
    <row r="532" spans="20:20">
      <c r="T532" s="214">
        <f>Before!I461</f>
        <v>0</v>
      </c>
    </row>
    <row r="533" spans="20:20">
      <c r="T533" s="214">
        <f>Before!I462</f>
        <v>0</v>
      </c>
    </row>
    <row r="534" spans="20:20">
      <c r="T534" s="214">
        <f>Before!I463</f>
        <v>0</v>
      </c>
    </row>
    <row r="535" spans="20:20">
      <c r="T535" s="214">
        <f>Before!I464</f>
        <v>0</v>
      </c>
    </row>
    <row r="536" spans="20:20">
      <c r="T536" s="214">
        <f>Before!I465</f>
        <v>0</v>
      </c>
    </row>
    <row r="537" spans="20:20">
      <c r="T537" s="214">
        <f>Before!I466</f>
        <v>0</v>
      </c>
    </row>
    <row r="538" spans="20:20">
      <c r="T538" s="214">
        <f>Before!I467</f>
        <v>0</v>
      </c>
    </row>
    <row r="539" spans="20:20">
      <c r="T539" s="214">
        <f>Before!I468</f>
        <v>0</v>
      </c>
    </row>
    <row r="540" spans="20:20">
      <c r="T540" s="214">
        <f>Before!I469</f>
        <v>0</v>
      </c>
    </row>
    <row r="541" spans="20:20">
      <c r="T541" s="214">
        <f>Before!I470</f>
        <v>0</v>
      </c>
    </row>
    <row r="542" spans="20:20">
      <c r="T542" s="214">
        <f>Before!I471</f>
        <v>0</v>
      </c>
    </row>
    <row r="543" spans="20:20">
      <c r="T543" s="214">
        <f>Before!I472</f>
        <v>0</v>
      </c>
    </row>
    <row r="544" spans="20:20">
      <c r="T544" s="214">
        <f>Before!I473</f>
        <v>0</v>
      </c>
    </row>
    <row r="545" spans="20:20">
      <c r="T545" s="214">
        <f>Before!I474</f>
        <v>0</v>
      </c>
    </row>
    <row r="546" spans="20:20">
      <c r="T546" s="214">
        <f>Before!I475</f>
        <v>0</v>
      </c>
    </row>
    <row r="547" spans="20:20">
      <c r="T547" s="214">
        <f>Before!I476</f>
        <v>0</v>
      </c>
    </row>
    <row r="548" spans="20:20">
      <c r="T548" s="214">
        <f>Before!I477</f>
        <v>0</v>
      </c>
    </row>
    <row r="549" spans="20:20">
      <c r="T549" s="214">
        <f>Before!I478</f>
        <v>0</v>
      </c>
    </row>
    <row r="550" spans="20:20">
      <c r="T550" s="214">
        <f>Before!I479</f>
        <v>0</v>
      </c>
    </row>
    <row r="551" spans="20:20">
      <c r="T551" s="214">
        <f>Before!I480</f>
        <v>0</v>
      </c>
    </row>
    <row r="552" spans="20:20">
      <c r="T552" s="214">
        <f>Before!I481</f>
        <v>0</v>
      </c>
    </row>
    <row r="553" spans="20:20">
      <c r="T553" s="214">
        <f>Before!I482</f>
        <v>0</v>
      </c>
    </row>
    <row r="554" spans="20:20">
      <c r="T554" s="214">
        <f>Before!I483</f>
        <v>0</v>
      </c>
    </row>
    <row r="555" spans="20:20">
      <c r="T555" s="214">
        <f>Before!I484</f>
        <v>0</v>
      </c>
    </row>
    <row r="556" spans="20:20">
      <c r="T556" s="214">
        <f>Before!I485</f>
        <v>0</v>
      </c>
    </row>
    <row r="557" spans="20:20">
      <c r="T557" s="214">
        <f>Before!I486</f>
        <v>0</v>
      </c>
    </row>
    <row r="558" spans="20:20">
      <c r="T558" s="214">
        <f>Before!I487</f>
        <v>0</v>
      </c>
    </row>
    <row r="559" spans="20:20">
      <c r="T559" s="214">
        <f>Before!I488</f>
        <v>0</v>
      </c>
    </row>
    <row r="560" spans="20:20">
      <c r="T560" s="214">
        <f>Before!I489</f>
        <v>0</v>
      </c>
    </row>
    <row r="561" spans="20:20">
      <c r="T561" s="214">
        <f>Before!I490</f>
        <v>0</v>
      </c>
    </row>
    <row r="562" spans="20:20">
      <c r="T562" s="214">
        <f>Before!I491</f>
        <v>0</v>
      </c>
    </row>
    <row r="563" spans="20:20">
      <c r="T563" s="214">
        <f>Before!I492</f>
        <v>0</v>
      </c>
    </row>
    <row r="564" spans="20:20">
      <c r="T564" s="214">
        <f>Before!I493</f>
        <v>0</v>
      </c>
    </row>
    <row r="565" spans="20:20">
      <c r="T565" s="214">
        <f>Before!I494</f>
        <v>0</v>
      </c>
    </row>
    <row r="566" spans="20:20">
      <c r="T566" s="214">
        <f>Before!I495</f>
        <v>0</v>
      </c>
    </row>
    <row r="567" spans="20:20">
      <c r="T567" s="214">
        <f>Before!I496</f>
        <v>0</v>
      </c>
    </row>
    <row r="568" spans="20:20">
      <c r="T568" s="214">
        <f>Before!I497</f>
        <v>0</v>
      </c>
    </row>
    <row r="569" spans="20:20">
      <c r="T569" s="214">
        <f>Before!I498</f>
        <v>0</v>
      </c>
    </row>
    <row r="570" spans="20:20">
      <c r="T570" s="214">
        <f>Before!I499</f>
        <v>0</v>
      </c>
    </row>
    <row r="571" spans="20:20">
      <c r="T571" s="214">
        <f>Before!I500</f>
        <v>0</v>
      </c>
    </row>
    <row r="572" spans="20:20">
      <c r="T572" s="214">
        <f>Before!I501</f>
        <v>0</v>
      </c>
    </row>
    <row r="573" spans="20:20">
      <c r="T573" s="214">
        <f>Before!I502</f>
        <v>0</v>
      </c>
    </row>
    <row r="574" spans="20:20">
      <c r="T574" s="214">
        <f>Before!I503</f>
        <v>0</v>
      </c>
    </row>
    <row r="575" spans="20:20">
      <c r="T575" s="214">
        <f>Before!I504</f>
        <v>0</v>
      </c>
    </row>
    <row r="576" spans="20:20">
      <c r="T576" s="214">
        <f>Before!I505</f>
        <v>0</v>
      </c>
    </row>
    <row r="577" spans="20:20">
      <c r="T577" s="214">
        <f>Before!I506</f>
        <v>0</v>
      </c>
    </row>
    <row r="578" spans="20:20">
      <c r="T578" s="302"/>
    </row>
    <row r="579" spans="20:20">
      <c r="T579" s="302"/>
    </row>
    <row r="580" spans="20:20">
      <c r="T580" s="302"/>
    </row>
    <row r="581" spans="20:20">
      <c r="T581" s="302"/>
    </row>
  </sheetData>
  <autoFilter ref="A1:A37" xr:uid="{00000000-0009-0000-0000-000003000000}"/>
  <phoneticPr fontId="37" type="noConversion"/>
  <dataValidations count="1">
    <dataValidation type="list" allowBlank="1" showInputMessage="1" showErrorMessage="1" sqref="E3" xr:uid="{00000000-0002-0000-0300-000000000000}">
      <formula1>$T:$T</formula1>
    </dataValidation>
  </dataValidations>
  <pageMargins left="0.7" right="0.7" top="0.75" bottom="0.75" header="0.3" footer="0.3"/>
  <pageSetup scale="5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C000"/>
  </sheetPr>
  <dimension ref="A2:T5"/>
  <sheetViews>
    <sheetView zoomScale="90" zoomScaleNormal="90" workbookViewId="0">
      <pane ySplit="2" topLeftCell="A3" activePane="bottomLeft" state="frozen"/>
      <selection activeCell="AC3" sqref="AC3"/>
      <selection pane="bottomLeft" activeCell="AC3" sqref="AC3"/>
    </sheetView>
  </sheetViews>
  <sheetFormatPr defaultColWidth="8.77734375" defaultRowHeight="15" customHeight="1"/>
  <cols>
    <col min="1" max="1" width="9.109375" style="312" customWidth="1"/>
    <col min="2" max="2" width="18.77734375" style="318" customWidth="1"/>
    <col min="3" max="3" width="27.6640625" style="318" bestFit="1" customWidth="1"/>
    <col min="4" max="4" width="21" style="317" bestFit="1" customWidth="1"/>
    <col min="5" max="5" width="21" style="712" bestFit="1" customWidth="1"/>
    <col min="6" max="6" width="21" style="318" bestFit="1" customWidth="1"/>
    <col min="7" max="7" width="16.44140625" style="316" customWidth="1"/>
    <col min="8" max="8" width="5.6640625" style="312" customWidth="1"/>
    <col min="9" max="9" width="18.33203125" style="503" bestFit="1" customWidth="1"/>
    <col min="10" max="10" width="22.44140625" style="318" customWidth="1"/>
    <col min="11" max="11" width="8.6640625" style="318" customWidth="1"/>
    <col min="12" max="12" width="12.6640625" style="318" customWidth="1"/>
    <col min="13" max="16" width="5.6640625" style="318" customWidth="1"/>
    <col min="17" max="16384" width="8.77734375" style="312"/>
  </cols>
  <sheetData>
    <row r="2" spans="1:20" s="313" customFormat="1" ht="62.25" customHeight="1">
      <c r="A2" s="726" t="s">
        <v>894</v>
      </c>
      <c r="B2" s="314" t="s">
        <v>874</v>
      </c>
      <c r="C2" s="315" t="s">
        <v>875</v>
      </c>
      <c r="D2" s="314" t="s">
        <v>878</v>
      </c>
      <c r="E2" s="710" t="s">
        <v>892</v>
      </c>
      <c r="F2" s="725" t="s">
        <v>893</v>
      </c>
      <c r="G2" s="316"/>
      <c r="H2" s="316"/>
      <c r="I2" s="316"/>
      <c r="J2" s="316"/>
      <c r="K2" s="316"/>
      <c r="L2" s="316"/>
      <c r="M2" s="316"/>
      <c r="N2" s="316"/>
      <c r="O2" s="316"/>
      <c r="P2" s="316"/>
    </row>
    <row r="3" spans="1:20" ht="15" customHeight="1">
      <c r="A3" s="312">
        <v>1</v>
      </c>
      <c r="B3" s="706" t="str">
        <f>영업부!B7</f>
        <v>001111</v>
      </c>
      <c r="C3" s="706" t="str">
        <f>영업부!C7</f>
        <v>홍길동</v>
      </c>
      <c r="D3" s="317">
        <v>44044</v>
      </c>
      <c r="E3" s="711">
        <f ca="1">영업부!FO7</f>
        <v>20015498.25</v>
      </c>
      <c r="F3" s="312" t="s">
        <v>545</v>
      </c>
      <c r="H3" s="316"/>
      <c r="I3" s="316"/>
      <c r="J3" s="316"/>
      <c r="K3" s="316"/>
      <c r="L3" s="316"/>
      <c r="M3" s="316"/>
      <c r="N3" s="316"/>
      <c r="O3" s="316"/>
      <c r="P3" s="316"/>
      <c r="T3" s="319"/>
    </row>
    <row r="4" spans="1:20" ht="15" customHeight="1">
      <c r="A4" s="312">
        <f>A3+1</f>
        <v>2</v>
      </c>
      <c r="B4" s="367" t="str">
        <f>영업부!B8</f>
        <v>001453</v>
      </c>
      <c r="C4" s="312" t="str">
        <f>영업부!C8</f>
        <v>이순신</v>
      </c>
      <c r="D4" s="317">
        <v>44044</v>
      </c>
      <c r="E4" s="711">
        <f ca="1">영업부!FO8</f>
        <v>14550000</v>
      </c>
      <c r="F4" s="312" t="s">
        <v>545</v>
      </c>
      <c r="H4" s="316"/>
      <c r="I4" s="316"/>
      <c r="J4" s="316"/>
      <c r="K4" s="316"/>
      <c r="L4" s="316"/>
      <c r="M4" s="316"/>
      <c r="N4" s="316"/>
      <c r="O4" s="316"/>
      <c r="P4" s="316"/>
      <c r="T4" s="319"/>
    </row>
    <row r="5" spans="1:20" ht="15" customHeight="1">
      <c r="A5" s="312">
        <f t="shared" ref="A5" si="0">A4+1</f>
        <v>3</v>
      </c>
      <c r="B5" s="367" t="str">
        <f>영업부!B9</f>
        <v>001532</v>
      </c>
      <c r="C5" s="312" t="str">
        <f>영업부!C9</f>
        <v>김세종</v>
      </c>
      <c r="D5" s="317">
        <v>44044</v>
      </c>
      <c r="E5" s="711">
        <f ca="1">영업부!FO9</f>
        <v>4500000</v>
      </c>
      <c r="F5" s="312" t="s">
        <v>545</v>
      </c>
      <c r="H5" s="316"/>
      <c r="I5" s="316"/>
      <c r="J5" s="316"/>
      <c r="K5" s="316"/>
      <c r="L5" s="316"/>
      <c r="M5" s="316"/>
      <c r="N5" s="316"/>
      <c r="O5" s="316"/>
      <c r="P5" s="316"/>
      <c r="T5" s="319"/>
    </row>
  </sheetData>
  <autoFilter ref="A2:F2" xr:uid="{7725FCA9-0F39-4333-91CC-72CFF360C550}"/>
  <phoneticPr fontId="37" type="noConversion"/>
  <dataValidations count="1">
    <dataValidation type="list" allowBlank="1" showInputMessage="1" showErrorMessage="1" sqref="H6:H31760" xr:uid="{00000000-0002-0000-0400-000000000000}">
      <formula1>"Y,N"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3"/>
  <sheetViews>
    <sheetView zoomScale="130" zoomScaleNormal="130" workbookViewId="0">
      <selection activeCell="AC3" sqref="AC3"/>
    </sheetView>
  </sheetViews>
  <sheetFormatPr defaultRowHeight="14.4"/>
  <cols>
    <col min="1" max="1" width="6.6640625" customWidth="1"/>
    <col min="2" max="3" width="10.109375" bestFit="1" customWidth="1"/>
  </cols>
  <sheetData>
    <row r="1" spans="1:3">
      <c r="A1">
        <v>0</v>
      </c>
      <c r="B1" s="155">
        <v>43831</v>
      </c>
      <c r="C1" s="155">
        <v>43831</v>
      </c>
    </row>
    <row r="2" spans="1:3">
      <c r="A2">
        <v>1</v>
      </c>
      <c r="B2" s="155">
        <v>43831</v>
      </c>
      <c r="C2" s="155">
        <v>43845</v>
      </c>
    </row>
    <row r="3" spans="1:3">
      <c r="A3">
        <v>2</v>
      </c>
      <c r="B3" s="155">
        <v>43862</v>
      </c>
      <c r="C3" s="155">
        <v>43875</v>
      </c>
    </row>
    <row r="4" spans="1:3">
      <c r="A4">
        <v>3</v>
      </c>
      <c r="B4" s="155">
        <v>43891</v>
      </c>
      <c r="C4" s="155">
        <v>43903</v>
      </c>
    </row>
    <row r="5" spans="1:3">
      <c r="A5">
        <v>4</v>
      </c>
      <c r="B5" s="155">
        <v>43922</v>
      </c>
      <c r="C5" s="155">
        <v>43935</v>
      </c>
    </row>
    <row r="6" spans="1:3">
      <c r="A6">
        <v>5</v>
      </c>
      <c r="B6" s="155">
        <v>43952</v>
      </c>
      <c r="C6" s="155">
        <v>43969</v>
      </c>
    </row>
    <row r="7" spans="1:3">
      <c r="A7">
        <v>6</v>
      </c>
      <c r="B7" s="155">
        <v>43983</v>
      </c>
      <c r="C7" s="155">
        <v>43994</v>
      </c>
    </row>
    <row r="8" spans="1:3">
      <c r="A8">
        <v>7</v>
      </c>
      <c r="B8" s="155">
        <v>44013</v>
      </c>
      <c r="C8" s="155">
        <v>44026</v>
      </c>
    </row>
    <row r="9" spans="1:3">
      <c r="A9">
        <v>8</v>
      </c>
      <c r="B9" s="155">
        <v>44044</v>
      </c>
      <c r="C9" s="155">
        <v>44057</v>
      </c>
    </row>
    <row r="10" spans="1:3">
      <c r="A10">
        <v>9</v>
      </c>
      <c r="B10" s="155">
        <v>44075</v>
      </c>
      <c r="C10" s="155">
        <v>44088</v>
      </c>
    </row>
    <row r="11" spans="1:3">
      <c r="A11">
        <v>10</v>
      </c>
      <c r="B11" s="155">
        <v>44105</v>
      </c>
      <c r="C11" s="155">
        <v>44123</v>
      </c>
    </row>
    <row r="12" spans="1:3">
      <c r="A12">
        <v>11</v>
      </c>
      <c r="B12" s="155">
        <v>44136</v>
      </c>
      <c r="C12" s="155">
        <v>44148</v>
      </c>
    </row>
    <row r="13" spans="1:3">
      <c r="A13">
        <v>12</v>
      </c>
      <c r="B13" s="155">
        <v>44166</v>
      </c>
      <c r="C13" s="155">
        <v>44179</v>
      </c>
    </row>
  </sheetData>
  <phoneticPr fontId="3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49556-D490-464F-9169-F4D11A00BB68}">
  <dimension ref="A1:D22"/>
  <sheetViews>
    <sheetView workbookViewId="0">
      <selection activeCell="AC3" sqref="AC3"/>
    </sheetView>
  </sheetViews>
  <sheetFormatPr defaultRowHeight="14.4"/>
  <cols>
    <col min="2" max="2" width="20.21875" customWidth="1"/>
    <col min="3" max="3" width="13" bestFit="1" customWidth="1"/>
  </cols>
  <sheetData>
    <row r="1" spans="1:4">
      <c r="A1" t="s">
        <v>56</v>
      </c>
      <c r="B1" t="s">
        <v>201</v>
      </c>
      <c r="C1" t="s">
        <v>890</v>
      </c>
      <c r="D1" t="s">
        <v>891</v>
      </c>
    </row>
    <row r="2" spans="1:4">
      <c r="A2" t="s">
        <v>846</v>
      </c>
      <c r="B2">
        <v>244200000</v>
      </c>
      <c r="C2" s="723">
        <f>_xlfn.XLOOKUP(A2,요약!$B$6:$B$8,요약!$R$6:$R$8)</f>
        <v>244200000</v>
      </c>
      <c r="D2" s="724" t="str">
        <f>IF(B2-C2=0,"","E")</f>
        <v/>
      </c>
    </row>
    <row r="3" spans="1:4">
      <c r="A3" t="s">
        <v>848</v>
      </c>
      <c r="B3">
        <v>45140000</v>
      </c>
      <c r="C3" s="723">
        <f>_xlfn.XLOOKUP(A3,요약!$B$6:$B$8,요약!$R$6:$R$8)</f>
        <v>45140000</v>
      </c>
      <c r="D3" s="724" t="str">
        <f t="shared" ref="D3:D4" si="0">IF(B3-C3=0,"","E")</f>
        <v/>
      </c>
    </row>
    <row r="4" spans="1:4">
      <c r="A4" t="s">
        <v>850</v>
      </c>
      <c r="B4">
        <v>6344000</v>
      </c>
      <c r="C4" s="723">
        <f>_xlfn.XLOOKUP(A4,요약!$B$6:$B$8,요약!$R$6:$R$8)</f>
        <v>6344000</v>
      </c>
      <c r="D4" s="724" t="str">
        <f t="shared" si="0"/>
        <v/>
      </c>
    </row>
    <row r="22" ht="18.75" customHeight="1"/>
  </sheetData>
  <phoneticPr fontId="3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6B816-529E-4AF4-A3B6-DBE6B90EA7C1}">
  <dimension ref="A1:D4"/>
  <sheetViews>
    <sheetView workbookViewId="0">
      <selection activeCell="AC3" sqref="AC3"/>
    </sheetView>
  </sheetViews>
  <sheetFormatPr defaultRowHeight="14.4"/>
  <cols>
    <col min="1" max="1" width="13.77734375" customWidth="1"/>
    <col min="2" max="2" width="16" bestFit="1" customWidth="1"/>
    <col min="3" max="3" width="13" bestFit="1" customWidth="1"/>
  </cols>
  <sheetData>
    <row r="1" spans="1:4">
      <c r="A1" t="s">
        <v>56</v>
      </c>
      <c r="B1" t="s">
        <v>202</v>
      </c>
      <c r="C1" t="s">
        <v>890</v>
      </c>
      <c r="D1" t="s">
        <v>891</v>
      </c>
    </row>
    <row r="2" spans="1:4">
      <c r="A2" t="s">
        <v>846</v>
      </c>
      <c r="B2" s="723">
        <v>231000000</v>
      </c>
      <c r="C2" s="723">
        <f>_xlfn.XLOOKUP(A2,요약!$B$6:$B$8,요약!$S$6:$S$8)</f>
        <v>231000000</v>
      </c>
      <c r="D2" s="724" t="str">
        <f>IF(B2-C2=0,"","E")</f>
        <v/>
      </c>
    </row>
    <row r="3" spans="1:4">
      <c r="A3" t="s">
        <v>848</v>
      </c>
      <c r="B3" s="723">
        <v>42700000</v>
      </c>
      <c r="C3" s="723">
        <f>_xlfn.XLOOKUP(A3,요약!$B$6:$B$8,요약!$S$6:$S$8)</f>
        <v>42700000</v>
      </c>
      <c r="D3" s="724" t="str">
        <f t="shared" ref="D3:D4" si="0">IF(B3-C3=0,"","E")</f>
        <v/>
      </c>
    </row>
    <row r="4" spans="1:4">
      <c r="A4" t="s">
        <v>850</v>
      </c>
      <c r="B4" s="723">
        <v>6100000</v>
      </c>
      <c r="C4" s="723">
        <f>_xlfn.XLOOKUP(A4,요약!$B$6:$B$8,요약!$S$6:$S$8)</f>
        <v>6100000</v>
      </c>
      <c r="D4" s="724" t="str">
        <f t="shared" si="0"/>
        <v/>
      </c>
    </row>
  </sheetData>
  <phoneticPr fontId="3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>
    <tabColor theme="7" tint="0.39997558519241921"/>
    <pageSetUpPr fitToPage="1"/>
  </sheetPr>
  <dimension ref="A1:FK581"/>
  <sheetViews>
    <sheetView showGridLines="0" topLeftCell="C1" zoomScale="85" zoomScaleNormal="85" workbookViewId="0">
      <selection activeCell="F6" sqref="F6"/>
    </sheetView>
  </sheetViews>
  <sheetFormatPr defaultRowHeight="14.4" outlineLevelRow="1" outlineLevelCol="1"/>
  <cols>
    <col min="1" max="1" width="9.109375" style="192" hidden="1" customWidth="1" outlineLevel="1"/>
    <col min="2" max="2" width="23.6640625" hidden="1" customWidth="1" outlineLevel="1"/>
    <col min="3" max="3" width="4.33203125" customWidth="1" collapsed="1"/>
    <col min="4" max="4" width="2.6640625" customWidth="1"/>
    <col min="5" max="5" width="38.77734375" style="193" customWidth="1"/>
    <col min="6" max="6" width="11.6640625" style="194" customWidth="1"/>
    <col min="7" max="7" width="21.33203125" style="196" customWidth="1"/>
    <col min="8" max="8" width="15.6640625" style="196" customWidth="1"/>
    <col min="9" max="9" width="13.33203125" style="196" customWidth="1"/>
    <col min="10" max="11" width="15.6640625" style="196" customWidth="1"/>
    <col min="12" max="12" width="12.6640625" style="196" customWidth="1"/>
    <col min="13" max="13" width="19" style="197" customWidth="1"/>
    <col min="14" max="14" width="2.6640625" customWidth="1"/>
    <col min="15" max="15" width="4.33203125" customWidth="1"/>
    <col min="16" max="16" width="52.33203125" bestFit="1" customWidth="1"/>
    <col min="17" max="18" width="8.77734375" customWidth="1"/>
    <col min="19" max="19" width="4.33203125" customWidth="1"/>
    <col min="20" max="20" width="40.6640625" style="192" customWidth="1"/>
    <col min="21" max="22" width="30.77734375" bestFit="1" customWidth="1"/>
  </cols>
  <sheetData>
    <row r="1" spans="1:167" ht="26.4" customHeight="1" thickBot="1">
      <c r="A1" t="s">
        <v>510</v>
      </c>
      <c r="G1" s="195"/>
      <c r="J1" s="195"/>
      <c r="P1" s="311" t="s">
        <v>546</v>
      </c>
      <c r="T1" s="192" t="str">
        <f>Before!I6</f>
        <v>Jang, Yu Sung （장유성）</v>
      </c>
    </row>
    <row r="2" spans="1:167">
      <c r="A2" s="198">
        <v>1</v>
      </c>
      <c r="D2" s="199"/>
      <c r="E2" s="200"/>
      <c r="F2" s="201"/>
      <c r="G2" s="202"/>
      <c r="H2" s="202"/>
      <c r="I2" s="202"/>
      <c r="J2" s="203"/>
      <c r="K2" s="203"/>
      <c r="L2" s="203"/>
      <c r="M2" s="204"/>
      <c r="N2" s="205"/>
      <c r="T2" s="192" t="str">
        <f>Before!I7</f>
        <v>Choi, Sang Nam （최상남）</v>
      </c>
    </row>
    <row r="3" spans="1:167" ht="15.6">
      <c r="A3" s="198">
        <v>1</v>
      </c>
      <c r="D3" s="206"/>
      <c r="E3" s="207" t="s">
        <v>666</v>
      </c>
      <c r="F3" s="208"/>
      <c r="G3" s="209" t="str">
        <f>Scorecard!G3</f>
        <v>Q4 2019 Incentive Scorecard</v>
      </c>
      <c r="H3" s="210"/>
      <c r="I3" s="210"/>
      <c r="J3" s="211"/>
      <c r="K3" s="211"/>
      <c r="L3" s="211"/>
      <c r="M3" s="212"/>
      <c r="N3" s="213"/>
      <c r="T3" s="192" t="e">
        <f>Before!#REF!</f>
        <v>#REF!</v>
      </c>
    </row>
    <row r="4" spans="1:167" ht="15" thickBot="1">
      <c r="A4" s="198">
        <v>1</v>
      </c>
      <c r="D4" s="215"/>
      <c r="E4" s="216"/>
      <c r="F4" s="217"/>
      <c r="G4" s="218"/>
      <c r="H4" s="218"/>
      <c r="I4" s="218"/>
      <c r="J4" s="219"/>
      <c r="K4" s="219"/>
      <c r="L4" s="219"/>
      <c r="M4" s="220"/>
      <c r="N4" s="221"/>
      <c r="T4" s="192" t="str">
        <f>Before!I8</f>
        <v>Park, Soo Bae （박수배）</v>
      </c>
    </row>
    <row r="5" spans="1:167" s="223" customFormat="1" ht="48" customHeight="1">
      <c r="A5" s="222">
        <v>1</v>
      </c>
      <c r="D5" s="224"/>
      <c r="E5" s="225" t="s">
        <v>511</v>
      </c>
      <c r="F5" s="226" t="s">
        <v>512</v>
      </c>
      <c r="G5" s="227" t="str">
        <f>"YTD 
Target Incentives ("&amp;L35&amp;")"</f>
        <v>YTD 
Target Incentives (KRW)</v>
      </c>
      <c r="H5" s="227" t="s">
        <v>513</v>
      </c>
      <c r="I5" s="227" t="s">
        <v>514</v>
      </c>
      <c r="J5" s="227" t="s">
        <v>515</v>
      </c>
      <c r="K5" s="227" t="s">
        <v>516</v>
      </c>
      <c r="L5" s="227" t="s">
        <v>105</v>
      </c>
      <c r="M5" s="228" t="str">
        <f>"YTD Earned Payout $ ("&amp;L35&amp;")
(maximum at Cap)"</f>
        <v>YTD Earned Payout $ (KRW)
(maximum at Cap)</v>
      </c>
      <c r="N5" s="229"/>
      <c r="T5" s="192" t="str">
        <f>Before!I9</f>
        <v>Lee, Sanghyun （이상현）</v>
      </c>
      <c r="FK5" s="223" t="s">
        <v>199</v>
      </c>
    </row>
    <row r="6" spans="1:167" s="231" customFormat="1">
      <c r="A6" s="230">
        <f>IF(F6&gt;0,1,0)</f>
        <v>1</v>
      </c>
      <c r="D6" s="232"/>
      <c r="E6" s="233" t="str">
        <f>INDEX(Before!AP:AP,MATCH($E$3,Before!$I:$I,0))</f>
        <v xml:space="preserve"> GSDCSD Instruments Total Revenue</v>
      </c>
      <c r="F6" s="234">
        <f>INDEX(Before!AQ:AQ,MATCH($E$3,Before!$I:$I,0))</f>
        <v>0.5</v>
      </c>
      <c r="G6" s="235">
        <f>INDEX(Before!AM:AM,MATCH($E$3,Before!$I:$I,0))*F6</f>
        <v>6000</v>
      </c>
      <c r="H6" s="235">
        <f>INDEX(Before!BK:BK,MATCH($E$3,Before!$I:$I,0))</f>
        <v>20656854.861372266</v>
      </c>
      <c r="I6" s="235">
        <f>INDEX(Before!BJ:BJ,MATCH($E$3,Before!$I:$I,0))</f>
        <v>22208899.921252809</v>
      </c>
      <c r="J6" s="234">
        <f>INDEX(Before!BM:BM,MATCH($E$3,Before!$I:$I,0))</f>
        <v>1.0750999999999999</v>
      </c>
      <c r="K6" s="236">
        <f ca="1">INDEX(Before!BN:BN,MATCH($E$3,Before!$I:$I,0))</f>
        <v>0</v>
      </c>
      <c r="L6" s="234" t="str">
        <f>INDEX(Before!BP:BP,MATCH($E$3,Before!$I:$I,0))</f>
        <v>Uncapped</v>
      </c>
      <c r="M6" s="237">
        <f ca="1">MIN(INDEX(Before!BO:BO,MATCH($E$3,Before!$I:$I,0)),INDEX(Before!BQ:BQ,MATCH($E$3,Before!$I:$I,0)))</f>
        <v>0</v>
      </c>
      <c r="N6" s="238"/>
      <c r="P6" s="239"/>
      <c r="T6" s="192" t="str">
        <f>Before!I10</f>
        <v>Sun, Ha-Ik （선하익）</v>
      </c>
    </row>
    <row r="7" spans="1:167" s="231" customFormat="1">
      <c r="A7" s="230">
        <f>IF(F7&gt;0,1,0)</f>
        <v>1</v>
      </c>
      <c r="D7" s="232"/>
      <c r="E7" s="233" t="str">
        <f>INDEX(Before!BR:BR,MATCH($E$3,Before!$I:$I,0))</f>
        <v xml:space="preserve"> GSDCSD Consumables Total Revenue</v>
      </c>
      <c r="F7" s="240">
        <f>INDEX(Before!BS:BS,MATCH($E$3,Before!$I:$I,0))</f>
        <v>0.3</v>
      </c>
      <c r="G7" s="235">
        <f>INDEX(Before!AM:AM,MATCH($E$3,Before!$I:$I,0))*F7</f>
        <v>3600</v>
      </c>
      <c r="H7" s="235">
        <f>INDEX(Before!CM:CM,MATCH($E$3,Before!$I:$I,0))</f>
        <v>28999325.019624196</v>
      </c>
      <c r="I7" s="235">
        <f>INDEX(Before!CL:CL,MATCH($E$3,Before!$I:$I,0))</f>
        <v>28257448.390394889</v>
      </c>
      <c r="J7" s="234">
        <f>INDEX(Before!CO:CO,MATCH($E$3,Before!$I:$I,0))</f>
        <v>0.97440000000000004</v>
      </c>
      <c r="K7" s="236">
        <f ca="1">INDEX(Before!CP:CP,MATCH($E$3,Before!$I:$I,0))</f>
        <v>0</v>
      </c>
      <c r="L7" s="240">
        <f>INDEX(Before!CR:CR,MATCH($E$3,Before!$I:$I,0))</f>
        <v>1</v>
      </c>
      <c r="M7" s="237">
        <f ca="1">MIN(INDEX(Before!CQ:CQ,MATCH($E$3,Before!$I:$I,0)),INDEX(Before!CS:CS,MATCH($E$3,Before!$I:$I,0)))</f>
        <v>0</v>
      </c>
      <c r="N7" s="238"/>
      <c r="T7" s="192" t="str">
        <f>Before!I11</f>
        <v>Ahn, Kuk Ju （안국주）</v>
      </c>
    </row>
    <row r="8" spans="1:167" ht="15.75" customHeight="1">
      <c r="A8" s="192">
        <f>IF(F8&gt;0,1,0)</f>
        <v>1</v>
      </c>
      <c r="D8" s="215"/>
      <c r="E8" s="241" t="str">
        <f>INDEX(Before!CT:CT,MATCH($E$3,Before!$I:$I,0))</f>
        <v xml:space="preserve"> LSG Korea Total Revenue</v>
      </c>
      <c r="F8" s="242">
        <f>INDEX(Before!CU:CU,MATCH($E$3,Before!$I:$I,0))</f>
        <v>0.2</v>
      </c>
      <c r="G8" s="243">
        <f>INDEX(Before!AM:AM,MATCH($E$3,Before!$I:$I,0))*F8</f>
        <v>2400</v>
      </c>
      <c r="H8" s="244">
        <f>INDEX(Before!DO:DO,MATCH($E$3,Before!$I:$I,0))</f>
        <v>248624650.6166344</v>
      </c>
      <c r="I8" s="244">
        <f>INDEX(Before!DN:DN,MATCH($E$3,Before!$I:$I,0))</f>
        <v>242226229.86008599</v>
      </c>
      <c r="J8" s="217">
        <f>INDEX(Before!DQ:DQ,MATCH($E$3,Before!$I:$I,0))</f>
        <v>0.97430000000000005</v>
      </c>
      <c r="K8" s="217">
        <f ca="1">INDEX(Before!DR:DR,MATCH($E$3,Before!$I:$I,0))</f>
        <v>0</v>
      </c>
      <c r="L8" s="217">
        <f>INDEX(Before!DT:DT,MATCH($E$3,Before!$I:$I,0))</f>
        <v>1</v>
      </c>
      <c r="M8" s="245">
        <f ca="1">MIN(INDEX(Before!DS:DS,MATCH($E$3,Before!$I:$I,0)),INDEX(Before!DU:DU,MATCH($E$3,Before!$I:$I,0)))</f>
        <v>0</v>
      </c>
      <c r="N8" s="221"/>
      <c r="T8" s="192" t="str">
        <f>Before!I12</f>
        <v>Kang, Jihye （강지혜）</v>
      </c>
    </row>
    <row r="9" spans="1:167" ht="15" thickBot="1">
      <c r="A9" s="192">
        <f>IF(F9&gt;0,1,0)</f>
        <v>0</v>
      </c>
      <c r="D9" s="215"/>
      <c r="E9" s="241">
        <f>INDEX(Before!DV:DV,MATCH($E$3,Before!$I:$I,0))</f>
        <v>0</v>
      </c>
      <c r="F9" s="242">
        <f>INDEX(Before!DW:DW,MATCH($E$3,Before!$I:$I,0))</f>
        <v>0</v>
      </c>
      <c r="G9" s="244">
        <f>INDEX(Before!AM:AM,MATCH($E$3,Before!$I:$I,0))*F9</f>
        <v>0</v>
      </c>
      <c r="H9" s="243">
        <f>INDEX(Before!EQ:EQ,MATCH($E$3,Before!$I:$I,0))</f>
        <v>0</v>
      </c>
      <c r="I9" s="244">
        <f>INDEX(Before!EP:EP,MATCH($E$3,Before!$I:$I,0))</f>
        <v>0</v>
      </c>
      <c r="J9" s="217">
        <f>INDEX(Before!ES:ES,MATCH($E$3,Before!$I:$I,0))</f>
        <v>0</v>
      </c>
      <c r="K9" s="217">
        <f ca="1">INDEX(Before!ET:ET,MATCH($E$3,Before!$I:$I,0))</f>
        <v>0</v>
      </c>
      <c r="L9" s="217" t="str">
        <f>INDEX(Before!EV:EV,MATCH($E$3,Before!$I:$I,0))</f>
        <v>Uncapped</v>
      </c>
      <c r="M9" s="245">
        <f ca="1">MIN(INDEX(Before!EU:EU,MATCH($E$3,Before!$I:$I,0)),INDEX(Before!EW:EW,MATCH($E$3,Before!$I:$I,0)))</f>
        <v>0</v>
      </c>
      <c r="N9" s="221"/>
      <c r="T9" s="192" t="str">
        <f>Before!I13</f>
        <v>Lee, Youngha （이영하）</v>
      </c>
    </row>
    <row r="10" spans="1:167" ht="15" thickBot="1">
      <c r="A10" s="192">
        <f>IF(F10&gt;0,1,0)</f>
        <v>1</v>
      </c>
      <c r="D10" s="246"/>
      <c r="E10" s="247" t="s">
        <v>517</v>
      </c>
      <c r="F10" s="248">
        <f>SUM(F6:F9)</f>
        <v>1</v>
      </c>
      <c r="G10" s="249">
        <f>SUM(G6:G8)</f>
        <v>12000</v>
      </c>
      <c r="H10" s="250">
        <f>SUM(H6:H9)</f>
        <v>298280830.49763083</v>
      </c>
      <c r="I10" s="250">
        <f>SUM(I6:I9)</f>
        <v>292692578.17173368</v>
      </c>
      <c r="J10" s="251">
        <f>INDEX(Before!GU:GU,MATCH(E3,Before!I:I,0))</f>
        <v>0.9812651308614968</v>
      </c>
      <c r="K10" s="252">
        <f ca="1">INDEX(Before!GX:GX,MATCH(E3,Before!I:I,0))</f>
        <v>0</v>
      </c>
      <c r="L10" s="253"/>
      <c r="M10" s="254">
        <f ca="1">SUM(M6:M9)</f>
        <v>0</v>
      </c>
      <c r="N10" s="255"/>
      <c r="T10" s="192" t="str">
        <f>Before!I14</f>
        <v>Shin, Joongkeun （신중근 - 申重根）</v>
      </c>
    </row>
    <row r="11" spans="1:167" ht="15" thickBot="1">
      <c r="A11" s="198">
        <v>1</v>
      </c>
      <c r="D11" s="215"/>
      <c r="E11" s="216"/>
      <c r="F11" s="217"/>
      <c r="G11" s="195"/>
      <c r="H11" s="195"/>
      <c r="I11" s="195"/>
      <c r="J11" s="219"/>
      <c r="K11" s="219"/>
      <c r="L11" s="219"/>
      <c r="M11" s="220"/>
      <c r="N11" s="221"/>
      <c r="T11" s="192" t="e">
        <f>Before!#REF!</f>
        <v>#REF!</v>
      </c>
    </row>
    <row r="12" spans="1:167" outlineLevel="1">
      <c r="A12" s="192">
        <f>IF(M17&gt;0,1,0)</f>
        <v>1</v>
      </c>
      <c r="B12" t="s">
        <v>518</v>
      </c>
      <c r="D12" s="215"/>
      <c r="E12" s="256" t="s">
        <v>519</v>
      </c>
      <c r="F12" s="257"/>
      <c r="G12" s="258"/>
      <c r="H12" s="258"/>
      <c r="I12" s="258"/>
      <c r="J12" s="259"/>
      <c r="K12" s="259"/>
      <c r="L12" s="259"/>
      <c r="M12" s="260" t="str">
        <f>IFERROR(INDEX(Before!#REF!,MATCH(E3,Before!I:I,0)),"")</f>
        <v/>
      </c>
      <c r="N12" s="221"/>
      <c r="T12" s="192" t="str">
        <f>Before!I15</f>
        <v>Lee, Jangmi （이장미）</v>
      </c>
    </row>
    <row r="13" spans="1:167" outlineLevel="1">
      <c r="A13" s="192">
        <f>IF(M13&gt;0,1,0)</f>
        <v>1</v>
      </c>
      <c r="B13" t="s">
        <v>520</v>
      </c>
      <c r="D13" s="215"/>
      <c r="E13" s="261" t="str">
        <f>IF(M13=0,"",B13)</f>
        <v>Q1 Guaranteed Payment</v>
      </c>
      <c r="F13" s="262"/>
      <c r="G13" s="195"/>
      <c r="H13" s="195"/>
      <c r="I13" s="195"/>
      <c r="J13" s="263"/>
      <c r="K13" s="263"/>
      <c r="L13" s="263"/>
      <c r="M13" s="264">
        <f>IFERROR(INDEX(Before!GL:GL,MATCH($E$3,Before!I:I,0)),0)</f>
        <v>1000</v>
      </c>
      <c r="N13" s="221"/>
      <c r="T13" s="192" t="str">
        <f>Before!I16</f>
        <v>Kim, Choong-Il （김충일）</v>
      </c>
    </row>
    <row r="14" spans="1:167" outlineLevel="1">
      <c r="A14" s="192">
        <f>IF(M14&gt;0,1,0)</f>
        <v>1</v>
      </c>
      <c r="B14" t="s">
        <v>521</v>
      </c>
      <c r="D14" s="215"/>
      <c r="E14" s="261" t="str">
        <f>IF(M14=0,"",B14)</f>
        <v>Q2 Guaranteed Payment</v>
      </c>
      <c r="F14" s="262"/>
      <c r="G14" s="195"/>
      <c r="H14" s="195"/>
      <c r="I14" s="195"/>
      <c r="J14" s="263"/>
      <c r="K14" s="263"/>
      <c r="L14" s="263"/>
      <c r="M14" s="264">
        <f>IFERROR(INDEX(Before!GM:GM,MATCH($E$3,Before!I:I,0)),0)</f>
        <v>2000</v>
      </c>
      <c r="N14" s="221"/>
      <c r="T14" s="192" t="str">
        <f>Before!I17</f>
        <v>Lee, Kanghee （이강희）</v>
      </c>
    </row>
    <row r="15" spans="1:167" outlineLevel="1">
      <c r="A15" s="192">
        <f>IF(M15&gt;0,1,0)</f>
        <v>0</v>
      </c>
      <c r="B15" t="s">
        <v>522</v>
      </c>
      <c r="D15" s="215"/>
      <c r="E15" s="261" t="str">
        <f>IF(M15=0,"",B15)</f>
        <v/>
      </c>
      <c r="F15" s="262"/>
      <c r="G15" s="195"/>
      <c r="H15" s="195"/>
      <c r="I15" s="195"/>
      <c r="J15" s="263"/>
      <c r="K15" s="263"/>
      <c r="L15" s="263"/>
      <c r="M15" s="264">
        <f>IFERROR(INDEX(Before!GN:GN,MATCH($E$3,Before!I:I,0)),0)</f>
        <v>0</v>
      </c>
      <c r="N15" s="221"/>
      <c r="T15" s="192" t="str">
        <f>Before!I18</f>
        <v>Shin, Taehwan （신태환 - 申泰煥）</v>
      </c>
    </row>
    <row r="16" spans="1:167" ht="15" outlineLevel="1" thickBot="1">
      <c r="A16" s="192">
        <f>IF(M16&gt;0,1,0)</f>
        <v>0</v>
      </c>
      <c r="B16" t="s">
        <v>523</v>
      </c>
      <c r="D16" s="215"/>
      <c r="E16" s="261" t="str">
        <f>IF(M16=0,"",B16)</f>
        <v/>
      </c>
      <c r="F16" s="262"/>
      <c r="G16" s="195"/>
      <c r="H16" s="195"/>
      <c r="I16" s="195"/>
      <c r="J16" s="263"/>
      <c r="K16" s="263"/>
      <c r="L16" s="263"/>
      <c r="M16" s="264">
        <f>IFERROR(INDEX(Before!GO:GO,MATCH($E$3,Before!I:I,0)),0)</f>
        <v>0</v>
      </c>
      <c r="N16" s="221"/>
      <c r="T16" s="192" t="str">
        <f>Before!I19</f>
        <v>Yoo, Hyegyeong （유혜경）</v>
      </c>
    </row>
    <row r="17" spans="1:20" ht="15" outlineLevel="1" thickBot="1">
      <c r="A17" s="192">
        <f>IF(M17&gt;0,1,0)</f>
        <v>1</v>
      </c>
      <c r="B17" t="s">
        <v>517</v>
      </c>
      <c r="D17" s="215"/>
      <c r="E17" s="247" t="s">
        <v>517</v>
      </c>
      <c r="F17" s="265"/>
      <c r="G17" s="266"/>
      <c r="H17" s="266"/>
      <c r="I17" s="266"/>
      <c r="J17" s="267"/>
      <c r="K17" s="267"/>
      <c r="L17" s="267"/>
      <c r="M17" s="254">
        <f>SUM(M13:M16)</f>
        <v>3000</v>
      </c>
      <c r="N17" s="221"/>
      <c r="T17" s="192" t="str">
        <f>Before!I20</f>
        <v>Yi, Narae （이나래 - 李나래）</v>
      </c>
    </row>
    <row r="18" spans="1:20" outlineLevel="1">
      <c r="A18" s="192">
        <f>IF(M17&gt;0,1,0)</f>
        <v>1</v>
      </c>
      <c r="D18" s="215"/>
      <c r="E18" s="216" t="s">
        <v>524</v>
      </c>
      <c r="F18" s="262"/>
      <c r="G18" s="195"/>
      <c r="H18" s="195"/>
      <c r="I18" s="195"/>
      <c r="J18" s="263"/>
      <c r="K18" s="263"/>
      <c r="L18" s="263"/>
      <c r="M18" s="268"/>
      <c r="N18" s="221"/>
      <c r="T18" s="192" t="str">
        <f>Before!I21</f>
        <v>Yang, Jinseong</v>
      </c>
    </row>
    <row r="19" spans="1:20" ht="15" outlineLevel="1" thickBot="1">
      <c r="A19" s="198">
        <v>0</v>
      </c>
      <c r="D19" s="215"/>
      <c r="E19" s="216"/>
      <c r="F19" s="262"/>
      <c r="G19" s="195"/>
      <c r="H19" s="195"/>
      <c r="I19" s="195"/>
      <c r="J19" s="263"/>
      <c r="K19" s="263"/>
      <c r="L19" s="263"/>
      <c r="M19" s="268"/>
      <c r="N19" s="221"/>
      <c r="T19" s="192" t="str">
        <f>Before!I22</f>
        <v>Kim, Yun Soo （김윤수）</v>
      </c>
    </row>
    <row r="20" spans="1:20" outlineLevel="1">
      <c r="A20" s="192">
        <f>IF(M25&gt;0,1,0)</f>
        <v>0</v>
      </c>
      <c r="B20" t="s">
        <v>525</v>
      </c>
      <c r="D20" s="215"/>
      <c r="E20" s="256" t="s">
        <v>526</v>
      </c>
      <c r="F20" s="257"/>
      <c r="G20" s="258"/>
      <c r="H20" s="258"/>
      <c r="I20" s="258"/>
      <c r="J20" s="259"/>
      <c r="K20" s="259"/>
      <c r="L20" s="259"/>
      <c r="M20" s="260" t="str">
        <f>IFERROR(INDEX(Before!#REF!,MATCH(E11,Before!I:I,0)),"")</f>
        <v/>
      </c>
      <c r="N20" s="221"/>
      <c r="T20" s="192" t="str">
        <f>Before!I23</f>
        <v>Baik, Seoungwoo （백승우 - 白承祐）</v>
      </c>
    </row>
    <row r="21" spans="1:20" outlineLevel="1">
      <c r="A21" s="192">
        <f>IF(M21&gt;0,1,0)</f>
        <v>0</v>
      </c>
      <c r="B21" t="s">
        <v>527</v>
      </c>
      <c r="D21" s="215"/>
      <c r="E21" s="261" t="str">
        <f>IF(M21=0,"",B21)</f>
        <v/>
      </c>
      <c r="F21" s="262"/>
      <c r="G21" s="195"/>
      <c r="H21" s="195"/>
      <c r="I21" s="195"/>
      <c r="J21" s="263"/>
      <c r="K21" s="263"/>
      <c r="L21" s="263"/>
      <c r="M21" s="264">
        <f>IFERROR(INDEX(Before!GB:GB,MATCH($E$3,Before!I:I,0)),0)</f>
        <v>0</v>
      </c>
      <c r="N21" s="221"/>
      <c r="T21" s="192" t="str">
        <f>Before!I24</f>
        <v>Lee, Byeongchol</v>
      </c>
    </row>
    <row r="22" spans="1:20" outlineLevel="1">
      <c r="A22" s="192">
        <f>IF(M22&gt;0,1,0)</f>
        <v>0</v>
      </c>
      <c r="B22" t="s">
        <v>528</v>
      </c>
      <c r="D22" s="215"/>
      <c r="E22" s="261" t="str">
        <f>IF(M22=0,"",B22)</f>
        <v/>
      </c>
      <c r="F22" s="262"/>
      <c r="G22" s="195"/>
      <c r="H22" s="195"/>
      <c r="I22" s="195"/>
      <c r="J22" s="263"/>
      <c r="K22" s="263"/>
      <c r="L22" s="263"/>
      <c r="M22" s="264">
        <f>IFERROR(INDEX(Before!GC:GC,MATCH($E$3,Before!I:I,0)),0)</f>
        <v>0</v>
      </c>
      <c r="N22" s="221"/>
      <c r="T22" s="192" t="str">
        <f>Before!I25</f>
        <v>Kwon, Sunbong</v>
      </c>
    </row>
    <row r="23" spans="1:20" outlineLevel="1">
      <c r="A23" s="192">
        <f>IF(M23&gt;0,1,0)</f>
        <v>0</v>
      </c>
      <c r="B23" t="s">
        <v>186</v>
      </c>
      <c r="D23" s="215"/>
      <c r="E23" s="261" t="str">
        <f>IF(M23=0,"",B23)</f>
        <v/>
      </c>
      <c r="F23" s="262"/>
      <c r="G23" s="195"/>
      <c r="H23" s="195"/>
      <c r="I23" s="195"/>
      <c r="J23" s="263"/>
      <c r="K23" s="263"/>
      <c r="L23" s="263"/>
      <c r="M23" s="264">
        <f>IFERROR(INDEX(Before!GD:GD,MATCH($E$3,Before!I:I,0)),0)</f>
        <v>0</v>
      </c>
      <c r="N23" s="221"/>
      <c r="T23" s="192" t="str">
        <f>Before!I26</f>
        <v>Lee, Kwanwoo</v>
      </c>
    </row>
    <row r="24" spans="1:20" ht="15" outlineLevel="1" thickBot="1">
      <c r="A24" s="192">
        <f>IF(M24&gt;0,1,0)</f>
        <v>0</v>
      </c>
      <c r="B24" t="s">
        <v>187</v>
      </c>
      <c r="D24" s="215"/>
      <c r="E24" s="261" t="str">
        <f>IF(M24=0,"",B24)</f>
        <v/>
      </c>
      <c r="F24" s="262"/>
      <c r="G24" s="195"/>
      <c r="H24" s="195"/>
      <c r="I24" s="195"/>
      <c r="J24" s="263"/>
      <c r="K24" s="263"/>
      <c r="L24" s="263"/>
      <c r="M24" s="264">
        <f>IFERROR(INDEX(Before!GE:GE,MATCH($E$3,Before!I:I,0)),0)</f>
        <v>0</v>
      </c>
      <c r="N24" s="221"/>
      <c r="T24" s="192" t="str">
        <f>Before!I27</f>
        <v>Lee, Junjae （이준재）</v>
      </c>
    </row>
    <row r="25" spans="1:20" ht="15" outlineLevel="1" thickBot="1">
      <c r="A25" s="192">
        <f>IF(M25&gt;0,1,0)</f>
        <v>0</v>
      </c>
      <c r="B25" t="s">
        <v>517</v>
      </c>
      <c r="D25" s="215"/>
      <c r="E25" s="247" t="s">
        <v>517</v>
      </c>
      <c r="F25" s="265"/>
      <c r="G25" s="266"/>
      <c r="H25" s="266"/>
      <c r="I25" s="266"/>
      <c r="J25" s="267"/>
      <c r="K25" s="267"/>
      <c r="L25" s="267"/>
      <c r="M25" s="269">
        <f>SUM(M21:M24)</f>
        <v>0</v>
      </c>
      <c r="N25" s="221"/>
      <c r="T25" s="192" t="str">
        <f>Before!I28</f>
        <v>Kim, Yong Min （김용민）</v>
      </c>
    </row>
    <row r="26" spans="1:20" ht="15" outlineLevel="1" thickBot="1">
      <c r="A26" s="198">
        <v>0</v>
      </c>
      <c r="D26" s="215"/>
      <c r="E26" s="270"/>
      <c r="F26" s="262"/>
      <c r="G26" s="195"/>
      <c r="H26" s="195"/>
      <c r="I26" s="195"/>
      <c r="J26" s="263"/>
      <c r="K26" s="263"/>
      <c r="L26" s="263"/>
      <c r="M26" s="220"/>
      <c r="N26" s="221"/>
      <c r="T26" s="192" t="str">
        <f>Before!I29</f>
        <v>Shim, Jinhan （심진한 - 沈珍漢）</v>
      </c>
    </row>
    <row r="27" spans="1:20" outlineLevel="1">
      <c r="A27" s="192">
        <f>IF(M27&gt;0,1,0)</f>
        <v>0</v>
      </c>
      <c r="B27" t="s">
        <v>529</v>
      </c>
      <c r="D27" s="215"/>
      <c r="E27" s="271" t="str">
        <f>IF(M27=0,"",B27)</f>
        <v/>
      </c>
      <c r="F27" s="272"/>
      <c r="G27" s="273"/>
      <c r="H27" s="273"/>
      <c r="I27" s="273"/>
      <c r="J27" s="274"/>
      <c r="K27" s="274"/>
      <c r="L27" s="274"/>
      <c r="M27" s="275">
        <f>INDEX(Before!FJ:FJ,MATCH($E$3,Before!I:I,0))</f>
        <v>0</v>
      </c>
      <c r="N27" s="221"/>
      <c r="T27" s="192" t="str">
        <f>Before!I30</f>
        <v>Han, Jisoo （한지수）</v>
      </c>
    </row>
    <row r="28" spans="1:20" ht="15" outlineLevel="1" thickBot="1">
      <c r="A28" s="192">
        <f>IF(M28&gt;0,1,0)</f>
        <v>0</v>
      </c>
      <c r="B28" t="s">
        <v>530</v>
      </c>
      <c r="D28" s="215"/>
      <c r="E28" s="276" t="str">
        <f>IF(M28=0,"",B28)</f>
        <v/>
      </c>
      <c r="F28" s="277"/>
      <c r="G28" s="278"/>
      <c r="H28" s="278"/>
      <c r="I28" s="278"/>
      <c r="J28" s="279"/>
      <c r="K28" s="279"/>
      <c r="L28" s="279"/>
      <c r="M28" s="280">
        <f>INDEX(Before!FP:FP,MATCH($E$3,Before!I:I,0))</f>
        <v>0</v>
      </c>
      <c r="N28" s="221"/>
      <c r="T28" s="192" t="str">
        <f>Before!I31</f>
        <v>Yoon, Duckhyen</v>
      </c>
    </row>
    <row r="29" spans="1:20" outlineLevel="1">
      <c r="A29" s="198">
        <v>0</v>
      </c>
      <c r="D29" s="215"/>
      <c r="E29" s="216"/>
      <c r="F29" s="262"/>
      <c r="G29" s="195"/>
      <c r="H29" s="195"/>
      <c r="I29" s="195"/>
      <c r="J29" s="263"/>
      <c r="K29" s="263"/>
      <c r="L29" s="263"/>
      <c r="M29" s="281"/>
      <c r="N29" s="221"/>
      <c r="T29" s="192" t="str">
        <f>Before!I32</f>
        <v>Kim, Ryeonghwan （김령환 - 金鈴煥）</v>
      </c>
    </row>
    <row r="30" spans="1:20" outlineLevel="1">
      <c r="A30" s="192">
        <f>IF(M30&lt;0,1,0)</f>
        <v>0</v>
      </c>
      <c r="D30" s="215"/>
      <c r="E30" s="282" t="s">
        <v>531</v>
      </c>
      <c r="F30" s="262"/>
      <c r="G30" s="195"/>
      <c r="H30" s="195"/>
      <c r="I30" s="195"/>
      <c r="J30" s="263"/>
      <c r="K30" s="263"/>
      <c r="L30" s="263"/>
      <c r="M30" s="283">
        <f>-(INDEX(Before!$FQ:$FQ,MATCH($E3,Before!$I:$I,0)))</f>
        <v>0</v>
      </c>
      <c r="N30" s="221"/>
      <c r="O30" s="284"/>
      <c r="T30" s="192" t="str">
        <f>Before!I33</f>
        <v>Park, Youngjin （박영진）</v>
      </c>
    </row>
    <row r="31" spans="1:20" outlineLevel="1">
      <c r="A31" s="192">
        <f>IF(M31&lt;0,1,0)</f>
        <v>0</v>
      </c>
      <c r="D31" s="215"/>
      <c r="E31" s="282" t="s">
        <v>532</v>
      </c>
      <c r="F31" s="262"/>
      <c r="G31" s="195"/>
      <c r="H31" s="195"/>
      <c r="I31" s="195"/>
      <c r="J31" s="263"/>
      <c r="K31" s="263"/>
      <c r="L31" s="263"/>
      <c r="M31" s="283">
        <f>-(INDEX(Before!$FR:$FR,MATCH($E3,Before!$I:$I,0)))</f>
        <v>0</v>
      </c>
      <c r="N31" s="221"/>
      <c r="T31" s="192" t="str">
        <f>Before!I34</f>
        <v>Moon, HyeRan （문혜란）</v>
      </c>
    </row>
    <row r="32" spans="1:20" outlineLevel="1">
      <c r="A32" s="192">
        <f>IF(M32&lt;0,1,0)</f>
        <v>0</v>
      </c>
      <c r="D32" s="215"/>
      <c r="E32" s="282" t="s">
        <v>533</v>
      </c>
      <c r="F32" s="262"/>
      <c r="G32" s="195"/>
      <c r="H32" s="195"/>
      <c r="I32" s="195"/>
      <c r="J32" s="263"/>
      <c r="K32" s="263"/>
      <c r="L32" s="263"/>
      <c r="M32" s="283">
        <f>-(INDEX(Before!$FS:$FS,MATCH($E3,Before!$I:$I,0)))</f>
        <v>0</v>
      </c>
      <c r="N32" s="221"/>
      <c r="T32" s="192" t="str">
        <f>Before!I35</f>
        <v>Kim, Soyoung （김소영）</v>
      </c>
    </row>
    <row r="33" spans="1:20" outlineLevel="1" collapsed="1">
      <c r="A33" s="198">
        <v>1</v>
      </c>
      <c r="D33" s="215"/>
      <c r="E33" s="285"/>
      <c r="F33" s="262"/>
      <c r="G33" s="195"/>
      <c r="H33" s="195"/>
      <c r="I33" s="195"/>
      <c r="J33" s="263"/>
      <c r="K33" s="263"/>
      <c r="L33" s="263"/>
      <c r="M33" s="283"/>
      <c r="N33" s="221"/>
      <c r="T33" s="192" t="str">
        <f>Before!I36</f>
        <v>Kim, Youngil （김영일）</v>
      </c>
    </row>
    <row r="34" spans="1:20">
      <c r="A34" s="198">
        <v>1</v>
      </c>
      <c r="D34" s="215"/>
      <c r="E34" s="285"/>
      <c r="F34" s="262"/>
      <c r="G34" s="195"/>
      <c r="H34" s="195"/>
      <c r="I34" s="195"/>
      <c r="J34" s="263"/>
      <c r="K34" s="263"/>
      <c r="L34" s="263"/>
      <c r="M34" s="283"/>
      <c r="N34" s="221"/>
      <c r="T34" s="192" t="str">
        <f>Before!I37</f>
        <v>Yoo, Inseo （유인서）</v>
      </c>
    </row>
    <row r="35" spans="1:20" ht="21.6">
      <c r="A35" s="198">
        <v>1</v>
      </c>
      <c r="D35" s="286"/>
      <c r="E35" s="287" t="str">
        <f>"Total Q"&amp;Before!H2&amp;" "&amp;"Payout"</f>
        <v>Total Q4 Payout</v>
      </c>
      <c r="F35" s="288"/>
      <c r="G35" s="289"/>
      <c r="H35" s="289"/>
      <c r="I35" s="289"/>
      <c r="J35" s="290"/>
      <c r="K35" s="290"/>
      <c r="L35" s="291" t="str">
        <f>INDEX(Before!Z:Z,MATCH(E3,Before!I:I,0))</f>
        <v>KRW</v>
      </c>
      <c r="M35" s="292">
        <f ca="1">INDEX(Before!FU:FU,MATCH(E3,Before!I:I,0))</f>
        <v>3000</v>
      </c>
      <c r="N35" s="293"/>
      <c r="T35" s="192" t="str">
        <f>Before!I38</f>
        <v>Kim, Myeonseok （김면석）</v>
      </c>
    </row>
    <row r="36" spans="1:20" ht="18" customHeight="1" thickBot="1">
      <c r="A36" s="198">
        <v>1</v>
      </c>
      <c r="D36" s="294"/>
      <c r="E36" s="295"/>
      <c r="F36" s="296"/>
      <c r="G36" s="297"/>
      <c r="H36" s="297"/>
      <c r="I36" s="297"/>
      <c r="J36" s="298"/>
      <c r="K36" s="298"/>
      <c r="L36" s="299"/>
      <c r="M36" s="300"/>
      <c r="N36" s="301"/>
      <c r="T36" s="192" t="str">
        <f>Before!I39</f>
        <v>Ha, Yun-Bae</v>
      </c>
    </row>
    <row r="37" spans="1:20">
      <c r="A37" s="198">
        <v>1</v>
      </c>
      <c r="T37" s="192" t="str">
        <f>Before!I40</f>
        <v>Park, Byungju （박병주）</v>
      </c>
    </row>
    <row r="38" spans="1:20">
      <c r="T38" s="192" t="str">
        <f>Before!I41</f>
        <v>Lee, Jaeho （이재호）</v>
      </c>
    </row>
    <row r="39" spans="1:20">
      <c r="T39" s="192" t="str">
        <f>Before!I42</f>
        <v>Park, Chan Ju （박찬주 - 朴贊株）</v>
      </c>
    </row>
    <row r="40" spans="1:20">
      <c r="T40" s="192" t="e">
        <f>Before!#REF!</f>
        <v>#REF!</v>
      </c>
    </row>
    <row r="41" spans="1:20">
      <c r="T41" s="192" t="str">
        <f>Before!I43</f>
        <v>Kwak, Taewon</v>
      </c>
    </row>
    <row r="42" spans="1:20">
      <c r="T42" s="192" t="str">
        <f>Before!I44</f>
        <v>Kim, Juyoung （김주영）</v>
      </c>
    </row>
    <row r="43" spans="1:20">
      <c r="T43" s="192" t="e">
        <f>Before!#REF!</f>
        <v>#REF!</v>
      </c>
    </row>
    <row r="44" spans="1:20">
      <c r="T44" s="192" t="str">
        <f>Before!I45</f>
        <v>Lee, Kyosang</v>
      </c>
    </row>
    <row r="45" spans="1:20">
      <c r="T45" s="192" t="e">
        <f>Before!#REF!</f>
        <v>#REF!</v>
      </c>
    </row>
    <row r="46" spans="1:20">
      <c r="T46" s="192" t="str">
        <f>Before!I46</f>
        <v>Jeong, Jeeman</v>
      </c>
    </row>
    <row r="47" spans="1:20">
      <c r="T47" s="192" t="str">
        <f>Before!I47</f>
        <v>Yeom, HyeJung</v>
      </c>
    </row>
    <row r="48" spans="1:20">
      <c r="T48" s="192" t="str">
        <f>Before!I48</f>
        <v>Heo, Seongbeom</v>
      </c>
    </row>
    <row r="49" spans="20:20">
      <c r="T49" s="192" t="str">
        <f>Before!I49</f>
        <v>Kim, Yoonjin （김윤진 - 金潤辰）</v>
      </c>
    </row>
    <row r="50" spans="20:20">
      <c r="T50" s="192" t="e">
        <f>Before!#REF!</f>
        <v>#REF!</v>
      </c>
    </row>
    <row r="51" spans="20:20">
      <c r="T51" s="192" t="e">
        <f>Before!#REF!</f>
        <v>#REF!</v>
      </c>
    </row>
    <row r="52" spans="20:20">
      <c r="T52" s="192" t="str">
        <f>Before!I50</f>
        <v>Kim, Yangeun</v>
      </c>
    </row>
    <row r="53" spans="20:20">
      <c r="T53" s="192" t="e">
        <f>Before!#REF!</f>
        <v>#REF!</v>
      </c>
    </row>
    <row r="54" spans="20:20">
      <c r="T54" s="192" t="str">
        <f>Before!I51</f>
        <v>Kim, Taewoo</v>
      </c>
    </row>
    <row r="55" spans="20:20">
      <c r="T55" s="192" t="str">
        <f>Before!I52</f>
        <v>Kim, Injung （김인중 - 金仁中）</v>
      </c>
    </row>
    <row r="56" spans="20:20">
      <c r="T56" s="192" t="str">
        <f>Before!I53</f>
        <v>Ryu, Jaeyong</v>
      </c>
    </row>
    <row r="57" spans="20:20">
      <c r="T57" s="192" t="str">
        <f>Before!I54</f>
        <v>Park, Sangtae （박상태）</v>
      </c>
    </row>
    <row r="58" spans="20:20">
      <c r="T58" s="192" t="str">
        <f>Before!I55</f>
        <v>Cho, Juho （조주호）</v>
      </c>
    </row>
    <row r="59" spans="20:20">
      <c r="T59" s="192" t="e">
        <f>Before!#REF!</f>
        <v>#REF!</v>
      </c>
    </row>
    <row r="60" spans="20:20">
      <c r="T60" s="192" t="str">
        <f>Before!I56</f>
        <v>Ryu, Taeyeoul （유태열）</v>
      </c>
    </row>
    <row r="61" spans="20:20">
      <c r="T61" s="192" t="str">
        <f>Before!I57</f>
        <v>Song, Seung Youl （송승열）</v>
      </c>
    </row>
    <row r="62" spans="20:20">
      <c r="T62" s="192" t="str">
        <f>Before!I58</f>
        <v>Kim, Hyejin （김혜진 - 金惠鎭）</v>
      </c>
    </row>
    <row r="63" spans="20:20">
      <c r="T63" s="192" t="e">
        <f>Before!#REF!</f>
        <v>#REF!</v>
      </c>
    </row>
    <row r="64" spans="20:20">
      <c r="T64" s="192" t="str">
        <f>Before!I59</f>
        <v>Lee, HongKyu</v>
      </c>
    </row>
    <row r="65" spans="20:20">
      <c r="T65" s="192" t="str">
        <f>Before!I61</f>
        <v>Kim, Taegon</v>
      </c>
    </row>
    <row r="66" spans="20:20">
      <c r="T66" s="192" t="str">
        <f>Before!I62</f>
        <v>Seo, Bong Su （서봉수）</v>
      </c>
    </row>
    <row r="67" spans="20:20">
      <c r="T67" s="192" t="str">
        <f>Before!I64</f>
        <v>Shin, Yong Nam （신용남）</v>
      </c>
    </row>
    <row r="68" spans="20:20">
      <c r="T68" s="192" t="str">
        <f>Before!I65</f>
        <v>Noh, Tae Hyun （노태현 - 盧太賢）</v>
      </c>
    </row>
    <row r="69" spans="20:20">
      <c r="T69" s="192" t="str">
        <f>Before!I66</f>
        <v>Shin, Monica （신민철）</v>
      </c>
    </row>
    <row r="70" spans="20:20">
      <c r="T70" s="192" t="str">
        <f>Before!I67</f>
        <v>So, Seonghyun</v>
      </c>
    </row>
    <row r="71" spans="20:20">
      <c r="T71" s="192" t="str">
        <f>Before!I69</f>
        <v>Kim, Jung Joo （김정주）</v>
      </c>
    </row>
    <row r="72" spans="20:20">
      <c r="T72" s="192" t="e">
        <f>Before!#REF!</f>
        <v>#REF!</v>
      </c>
    </row>
    <row r="73" spans="20:20">
      <c r="T73" s="192" t="str">
        <f>Before!I70</f>
        <v>Lim, Chang Yong （임창용 - 林昌龍）</v>
      </c>
    </row>
    <row r="74" spans="20:20">
      <c r="T74" s="192" t="str">
        <f>Before!I71</f>
        <v>Kim, Jinhong</v>
      </c>
    </row>
    <row r="75" spans="20:20">
      <c r="T75" s="192" t="str">
        <f>Before!I72</f>
        <v>Lee, Jehyun （이제현）</v>
      </c>
    </row>
    <row r="76" spans="20:20">
      <c r="T76" s="192" t="str">
        <f>Before!I73</f>
        <v>Sohn, Seungghyu （손승규）</v>
      </c>
    </row>
    <row r="77" spans="20:20">
      <c r="T77" s="192" t="str">
        <f>Before!I74</f>
        <v>Sim, Kyungseok （심경석 - 沈涇錫）</v>
      </c>
    </row>
    <row r="78" spans="20:20">
      <c r="T78" s="192" t="str">
        <f>Before!I76</f>
        <v>Shon, Heesoo （손희수）</v>
      </c>
    </row>
    <row r="79" spans="20:20">
      <c r="T79" s="192" t="str">
        <f>Before!I77</f>
        <v>Shin, Hanil （신한일）</v>
      </c>
    </row>
    <row r="80" spans="20:20">
      <c r="T80" s="192" t="str">
        <f>Before!I78</f>
        <v>Kang, Yang Mo （강양모）</v>
      </c>
    </row>
    <row r="81" spans="20:20">
      <c r="T81" s="192" t="str">
        <f>Before!I79</f>
        <v>Seo, Kyoung-Hee （서경희）</v>
      </c>
    </row>
    <row r="82" spans="20:20">
      <c r="T82" s="192" t="str">
        <f>Before!I80</f>
        <v>Shin, Donghwa （신동화 - 申東禾）</v>
      </c>
    </row>
    <row r="83" spans="20:20">
      <c r="T83" s="192" t="str">
        <f>Before!I81</f>
        <v>Kim, HyoungYoon （김형윤）</v>
      </c>
    </row>
    <row r="84" spans="20:20">
      <c r="T84" s="192" t="str">
        <f>Before!I82</f>
        <v>Kim, Kapjin （김갑진）</v>
      </c>
    </row>
    <row r="85" spans="20:20">
      <c r="T85" s="192" t="str">
        <f>Before!I83</f>
        <v>Roh, Suheun （노수흔）</v>
      </c>
    </row>
    <row r="86" spans="20:20">
      <c r="T86" s="192" t="str">
        <f>Before!I85</f>
        <v>Park, Gunhee （박건희 - 朴建熙）</v>
      </c>
    </row>
    <row r="87" spans="20:20">
      <c r="T87" s="192" t="str">
        <f>Before!I86</f>
        <v>Kim, Taekhoon</v>
      </c>
    </row>
    <row r="88" spans="20:20">
      <c r="T88" s="192" t="str">
        <f>Before!I87</f>
        <v>Shin, Jiwoo （신지우）</v>
      </c>
    </row>
    <row r="89" spans="20:20">
      <c r="T89" s="192" t="e">
        <f>Before!#REF!</f>
        <v>#REF!</v>
      </c>
    </row>
    <row r="90" spans="20:20">
      <c r="T90" s="192" t="str">
        <f>Before!I88</f>
        <v>Kang, Minbum （강민범 - 姜敃範）</v>
      </c>
    </row>
    <row r="91" spans="20:20">
      <c r="T91" s="192" t="str">
        <f>Before!I89</f>
        <v>Min, Seonhu</v>
      </c>
    </row>
    <row r="92" spans="20:20">
      <c r="T92" s="192" t="str">
        <f>Before!I90</f>
        <v>Kim, Wooyoung</v>
      </c>
    </row>
    <row r="93" spans="20:20">
      <c r="T93" s="192" t="str">
        <f>Before!I91</f>
        <v>Koo, TaeWan （구태완）</v>
      </c>
    </row>
    <row r="94" spans="20:20">
      <c r="T94" s="192" t="str">
        <f>Before!I92</f>
        <v>Jeon, Youngchul （전영철）</v>
      </c>
    </row>
    <row r="95" spans="20:20">
      <c r="T95" s="192" t="str">
        <f>Before!I93</f>
        <v>Lim, Sanghun （임상훈）</v>
      </c>
    </row>
    <row r="96" spans="20:20">
      <c r="T96" s="192" t="e">
        <f>Before!#REF!</f>
        <v>#REF!</v>
      </c>
    </row>
    <row r="97" spans="20:20">
      <c r="T97" s="192" t="str">
        <f>Before!I94</f>
        <v>Park, Keun-Joon （박근준）</v>
      </c>
    </row>
    <row r="98" spans="20:20">
      <c r="T98" s="192" t="str">
        <f>Before!I95</f>
        <v>Lee, Chang Hyeon （이창현）</v>
      </c>
    </row>
    <row r="99" spans="20:20">
      <c r="T99" s="192" t="str">
        <f>Before!I96</f>
        <v>Kim, Juhyun</v>
      </c>
    </row>
    <row r="100" spans="20:20">
      <c r="T100" s="192" t="str">
        <f>Before!I97</f>
        <v>Kim, Pyung Hee （김평희）</v>
      </c>
    </row>
    <row r="101" spans="20:20">
      <c r="T101" s="192" t="str">
        <f>Before!I98</f>
        <v>You, Hoesuk （유회숙）</v>
      </c>
    </row>
    <row r="102" spans="20:20">
      <c r="T102" s="192" t="str">
        <f>Before!I99</f>
        <v>Park, Mikyung</v>
      </c>
    </row>
    <row r="103" spans="20:20">
      <c r="T103" s="192" t="e">
        <f>Before!#REF!</f>
        <v>#REF!</v>
      </c>
    </row>
    <row r="104" spans="20:20">
      <c r="T104" s="192" t="str">
        <f>Before!I100</f>
        <v>Maeng, Sohyun</v>
      </c>
    </row>
    <row r="105" spans="20:20">
      <c r="T105" s="192" t="str">
        <f>Before!I101</f>
        <v>Choi, Seul Gi （최슬기）</v>
      </c>
    </row>
    <row r="106" spans="20:20">
      <c r="T106" s="192" t="str">
        <f>Before!I102</f>
        <v>Choi, Hee Whan （최희환）</v>
      </c>
    </row>
    <row r="107" spans="20:20">
      <c r="T107" s="192" t="e">
        <f>Before!#REF!</f>
        <v>#REF!</v>
      </c>
    </row>
    <row r="108" spans="20:20">
      <c r="T108" s="192" t="str">
        <f>Before!I103</f>
        <v>Hyun, Eunkyung （현은경）</v>
      </c>
    </row>
    <row r="109" spans="20:20">
      <c r="T109" s="192" t="str">
        <f>Before!I104</f>
        <v>Moon, Noory （문누리）</v>
      </c>
    </row>
    <row r="110" spans="20:20">
      <c r="T110" s="192" t="str">
        <f>Before!I105</f>
        <v>Yun, Seoyeon （윤서연）</v>
      </c>
    </row>
    <row r="111" spans="20:20">
      <c r="T111" s="192" t="str">
        <f>Before!I106</f>
        <v>Jang, Hansaem （장한샘）</v>
      </c>
    </row>
    <row r="112" spans="20:20">
      <c r="T112" s="192" t="str">
        <f>Before!I107</f>
        <v>Oh, Sujin</v>
      </c>
    </row>
    <row r="113" spans="20:20">
      <c r="T113" s="192" t="str">
        <f>Before!I108</f>
        <v>Yang, Mihye</v>
      </c>
    </row>
    <row r="114" spans="20:20">
      <c r="T114" s="192" t="str">
        <f>Before!I109</f>
        <v>Joo, Ilseob</v>
      </c>
    </row>
    <row r="115" spans="20:20">
      <c r="T115" s="192" t="str">
        <f>Before!I110</f>
        <v>Rim, Yeonmi</v>
      </c>
    </row>
    <row r="116" spans="20:20">
      <c r="T116" s="192" t="str">
        <f>Before!I111</f>
        <v>Shin, Hyun Young （신현영）</v>
      </c>
    </row>
    <row r="117" spans="20:20">
      <c r="T117" s="192" t="e">
        <f>Before!#REF!</f>
        <v>#REF!</v>
      </c>
    </row>
    <row r="118" spans="20:20">
      <c r="T118" s="192" t="str">
        <f>Before!I112</f>
        <v>Kwon, Jihyun</v>
      </c>
    </row>
    <row r="119" spans="20:20">
      <c r="T119" s="192" t="str">
        <f>Before!I113</f>
        <v>Kim, Seonah （김선아）</v>
      </c>
    </row>
    <row r="120" spans="20:20">
      <c r="T120" s="192" t="str">
        <f>Before!I114</f>
        <v>Park, Hye-mi （박혜미）</v>
      </c>
    </row>
    <row r="121" spans="20:20">
      <c r="T121" s="192" t="str">
        <f>Before!I115</f>
        <v>Chang, Timothy Uho （장티모시유호）</v>
      </c>
    </row>
    <row r="122" spans="20:20">
      <c r="T122" s="192" t="str">
        <f>Before!I116</f>
        <v>Kim, Kwangmo</v>
      </c>
    </row>
    <row r="123" spans="20:20">
      <c r="T123" s="192" t="str">
        <f>Before!I117</f>
        <v>Park, Edward （박상기 - 朴商起）</v>
      </c>
    </row>
    <row r="124" spans="20:20">
      <c r="T124" s="192" t="str">
        <f>Before!I118</f>
        <v>Lee, Jongho</v>
      </c>
    </row>
    <row r="125" spans="20:20">
      <c r="T125" s="192" t="e">
        <f>Before!#REF!</f>
        <v>#REF!</v>
      </c>
    </row>
    <row r="126" spans="20:20">
      <c r="T126" s="192" t="str">
        <f>Before!I119</f>
        <v>Won, Jinwook （원진욱 - 元進煜）</v>
      </c>
    </row>
    <row r="127" spans="20:20">
      <c r="T127" s="192" t="str">
        <f>Before!I120</f>
        <v>Moon, Dongwook</v>
      </c>
    </row>
    <row r="128" spans="20:20">
      <c r="T128" s="192" t="str">
        <f>Before!I121</f>
        <v>Lee, Jeongwon （이정원 - 李正元）</v>
      </c>
    </row>
    <row r="129" spans="20:20">
      <c r="T129" s="192" t="str">
        <f>Before!I122</f>
        <v>Hwang, Gyubin</v>
      </c>
    </row>
    <row r="130" spans="20:20">
      <c r="T130" s="192" t="str">
        <f>Before!I123</f>
        <v>Seo, Seongwon</v>
      </c>
    </row>
    <row r="131" spans="20:20">
      <c r="T131" s="192" t="str">
        <f>Before!I124</f>
        <v>Kim, Jongsoo</v>
      </c>
    </row>
    <row r="132" spans="20:20">
      <c r="T132" s="192" t="str">
        <f>Before!I125</f>
        <v>Lee, Heontae</v>
      </c>
    </row>
    <row r="133" spans="20:20">
      <c r="T133" s="192" t="str">
        <f>Before!I126</f>
        <v>Jang, Sechan</v>
      </c>
    </row>
    <row r="134" spans="20:20">
      <c r="T134" s="192" t="str">
        <f>Before!I127</f>
        <v>Ahn, Youngmo （안영모 - 安英模）</v>
      </c>
    </row>
    <row r="135" spans="20:20">
      <c r="T135" s="192" t="str">
        <f>Before!I128</f>
        <v>Park, Gayoung</v>
      </c>
    </row>
    <row r="136" spans="20:20">
      <c r="T136" s="192" t="str">
        <f>Before!I129</f>
        <v>Kim, Taehoon （김태훈 - 金兌勳）</v>
      </c>
    </row>
    <row r="137" spans="20:20">
      <c r="T137" s="192" t="str">
        <f>Before!I130</f>
        <v>Jee, Bonggyu （지봉규 - 池俸圭）</v>
      </c>
    </row>
    <row r="138" spans="20:20">
      <c r="T138" s="192" t="str">
        <f>Before!I131</f>
        <v>Kim, Eunjeong</v>
      </c>
    </row>
    <row r="139" spans="20:20">
      <c r="T139" s="192" t="str">
        <f>Before!I132</f>
        <v>Joo, Woohyun （주우현）</v>
      </c>
    </row>
    <row r="140" spans="20:20">
      <c r="T140" s="192" t="str">
        <f>Before!I133</f>
        <v>Kim, Cheonsang （김천상 - 金千詳）</v>
      </c>
    </row>
    <row r="141" spans="20:20">
      <c r="T141" s="192" t="str">
        <f>Before!I134</f>
        <v>Cho, YoungKeun （조영근）</v>
      </c>
    </row>
    <row r="142" spans="20:20">
      <c r="T142" s="192" t="str">
        <f>Before!I135</f>
        <v>Bae, Sungil</v>
      </c>
    </row>
    <row r="143" spans="20:20">
      <c r="T143" s="192" t="e">
        <f>Before!#REF!</f>
        <v>#REF!</v>
      </c>
    </row>
    <row r="144" spans="20:20">
      <c r="T144" s="192" t="str">
        <f>Before!I136</f>
        <v>Jeong, Jaeseong （정재성 - 鄭在成）</v>
      </c>
    </row>
    <row r="145" spans="20:20">
      <c r="T145" s="192" t="str">
        <f>Before!I137</f>
        <v>Cho, Seungbeom （조승범 - 趙勝範）</v>
      </c>
    </row>
    <row r="146" spans="20:20">
      <c r="T146" s="192" t="str">
        <f>Before!I138</f>
        <v>Lee, Taewoong （이태웅）</v>
      </c>
    </row>
    <row r="147" spans="20:20">
      <c r="T147" s="192" t="str">
        <f>Before!I139</f>
        <v>Youk, Changmin</v>
      </c>
    </row>
    <row r="148" spans="20:20">
      <c r="T148" s="192" t="str">
        <f>Before!I140</f>
        <v>Hong, Yonghee （홍용희 - 洪容喜）</v>
      </c>
    </row>
    <row r="149" spans="20:20">
      <c r="T149" s="192" t="str">
        <f>Before!I141</f>
        <v>Chun, Donghoon</v>
      </c>
    </row>
    <row r="150" spans="20:20">
      <c r="T150" s="192" t="str">
        <f>Before!I142</f>
        <v>Kwak, Minjun</v>
      </c>
    </row>
    <row r="151" spans="20:20">
      <c r="T151" s="192" t="str">
        <f>Before!I143</f>
        <v>Koo, Ilmo</v>
      </c>
    </row>
    <row r="152" spans="20:20">
      <c r="T152" s="192" t="str">
        <f>Before!I144</f>
        <v>Song, Euichang</v>
      </c>
    </row>
    <row r="153" spans="20:20">
      <c r="T153" s="192" t="str">
        <f>Before!I145</f>
        <v>Lim, Hyunjong</v>
      </c>
    </row>
    <row r="154" spans="20:20">
      <c r="T154" s="192" t="str">
        <f>Before!I146</f>
        <v>Lee, Heawon</v>
      </c>
    </row>
    <row r="155" spans="20:20">
      <c r="T155" s="192" t="str">
        <f>Before!I147</f>
        <v>Han, Sootaek</v>
      </c>
    </row>
    <row r="156" spans="20:20">
      <c r="T156" s="192" t="e">
        <f>Before!#REF!</f>
        <v>#REF!</v>
      </c>
    </row>
    <row r="157" spans="20:20">
      <c r="T157" s="192" t="str">
        <f>Before!I148</f>
        <v>Kim, Yunhyung</v>
      </c>
    </row>
    <row r="158" spans="20:20">
      <c r="T158" s="192" t="str">
        <f>Before!I150</f>
        <v>Lee, Mac （이정호 - 李政鎬）</v>
      </c>
    </row>
    <row r="159" spans="20:20">
      <c r="T159" s="192" t="e">
        <f>Before!#REF!</f>
        <v>#REF!</v>
      </c>
    </row>
    <row r="160" spans="20:20">
      <c r="T160" s="192" t="str">
        <f>Before!I151</f>
        <v>Hong, Yoojin</v>
      </c>
    </row>
    <row r="161" spans="20:20">
      <c r="T161" s="192" t="str">
        <f>Before!I152</f>
        <v>Kang, Hana</v>
      </c>
    </row>
    <row r="162" spans="20:20">
      <c r="T162" s="192" t="e">
        <f>Before!#REF!</f>
        <v>#REF!</v>
      </c>
    </row>
    <row r="163" spans="20:20">
      <c r="T163" s="192" t="str">
        <f>Before!I154</f>
        <v>Park, Hyunjoo</v>
      </c>
    </row>
    <row r="164" spans="20:20">
      <c r="T164" s="192" t="str">
        <f>Before!I155</f>
        <v>Kim, Gyutae</v>
      </c>
    </row>
    <row r="165" spans="20:20">
      <c r="T165" s="192" t="str">
        <f>Before!I156</f>
        <v>Joo, Yongjae</v>
      </c>
    </row>
    <row r="166" spans="20:20">
      <c r="T166" s="192" t="str">
        <f>Before!I157</f>
        <v>Park, Jaesung （박재성）</v>
      </c>
    </row>
    <row r="167" spans="20:20">
      <c r="T167" s="192" t="str">
        <f>Before!I158</f>
        <v>Dongju Lee (00248345)</v>
      </c>
    </row>
    <row r="168" spans="20:20">
      <c r="T168" s="192" t="str">
        <f>Before!I159</f>
        <v>Ham, Jaemin</v>
      </c>
    </row>
    <row r="169" spans="20:20">
      <c r="T169" s="192" t="str">
        <f>Before!I160</f>
        <v>Nam, Young-Sun</v>
      </c>
    </row>
    <row r="170" spans="20:20">
      <c r="T170" s="192" t="str">
        <f>Before!I161</f>
        <v>Jeong, Da Eun</v>
      </c>
    </row>
    <row r="171" spans="20:20">
      <c r="T171" s="192" t="str">
        <f>Before!I162</f>
        <v>You, Hye Jin</v>
      </c>
    </row>
    <row r="172" spans="20:20">
      <c r="T172" s="192" t="str">
        <f>Before!I163</f>
        <v>Lee, Hyowon</v>
      </c>
    </row>
    <row r="173" spans="20:20">
      <c r="T173" s="192" t="str">
        <f>Before!I164</f>
        <v>Lee, Uimin</v>
      </c>
    </row>
    <row r="174" spans="20:20">
      <c r="T174" s="192" t="e">
        <f>Before!#REF!</f>
        <v>#REF!</v>
      </c>
    </row>
    <row r="175" spans="20:20">
      <c r="T175" s="192" t="str">
        <f>Before!I165</f>
        <v>Bae, Heejae</v>
      </c>
    </row>
    <row r="176" spans="20:20">
      <c r="T176" s="192" t="str">
        <f>Before!I75</f>
        <v>Sim, Kyungseok （심경석 - 沈涇錫）</v>
      </c>
    </row>
    <row r="177" spans="20:20">
      <c r="T177" s="192" t="e">
        <f>Before!#REF!</f>
        <v>#REF!</v>
      </c>
    </row>
    <row r="178" spans="20:20">
      <c r="T178" s="192" t="e">
        <f>Before!#REF!</f>
        <v>#REF!</v>
      </c>
    </row>
    <row r="179" spans="20:20">
      <c r="T179" s="192" t="e">
        <f>Before!#REF!</f>
        <v>#REF!</v>
      </c>
    </row>
    <row r="180" spans="20:20">
      <c r="T180" s="192" t="e">
        <f>Before!#REF!</f>
        <v>#REF!</v>
      </c>
    </row>
    <row r="181" spans="20:20">
      <c r="T181" s="192" t="e">
        <f>Before!#REF!</f>
        <v>#REF!</v>
      </c>
    </row>
    <row r="182" spans="20:20">
      <c r="T182" s="192" t="e">
        <f>Before!#REF!</f>
        <v>#REF!</v>
      </c>
    </row>
    <row r="183" spans="20:20">
      <c r="T183" s="192" t="e">
        <f>Before!#REF!</f>
        <v>#REF!</v>
      </c>
    </row>
    <row r="184" spans="20:20">
      <c r="T184" s="192" t="e">
        <f>Before!#REF!</f>
        <v>#REF!</v>
      </c>
    </row>
    <row r="185" spans="20:20">
      <c r="T185" s="192" t="e">
        <f>Before!#REF!</f>
        <v>#REF!</v>
      </c>
    </row>
    <row r="186" spans="20:20">
      <c r="T186" s="192" t="e">
        <f>Before!#REF!</f>
        <v>#REF!</v>
      </c>
    </row>
    <row r="187" spans="20:20">
      <c r="T187" s="192" t="e">
        <f>Before!#REF!</f>
        <v>#REF!</v>
      </c>
    </row>
    <row r="188" spans="20:20">
      <c r="T188" s="192" t="e">
        <f>Before!#REF!</f>
        <v>#REF!</v>
      </c>
    </row>
    <row r="189" spans="20:20">
      <c r="T189" s="192" t="e">
        <f>Before!#REF!</f>
        <v>#REF!</v>
      </c>
    </row>
    <row r="190" spans="20:20">
      <c r="T190" s="192" t="e">
        <f>Before!#REF!</f>
        <v>#REF!</v>
      </c>
    </row>
    <row r="191" spans="20:20">
      <c r="T191" s="192" t="e">
        <f>Before!#REF!</f>
        <v>#REF!</v>
      </c>
    </row>
    <row r="192" spans="20:20">
      <c r="T192" s="192" t="e">
        <f>Before!#REF!</f>
        <v>#REF!</v>
      </c>
    </row>
    <row r="193" spans="20:20">
      <c r="T193" s="192" t="e">
        <f>Before!#REF!</f>
        <v>#REF!</v>
      </c>
    </row>
    <row r="194" spans="20:20">
      <c r="T194" s="192" t="e">
        <f>Before!#REF!</f>
        <v>#REF!</v>
      </c>
    </row>
    <row r="195" spans="20:20">
      <c r="T195" s="192" t="e">
        <f>Before!#REF!</f>
        <v>#REF!</v>
      </c>
    </row>
    <row r="196" spans="20:20">
      <c r="T196" s="192" t="e">
        <f>Before!#REF!</f>
        <v>#REF!</v>
      </c>
    </row>
    <row r="197" spans="20:20">
      <c r="T197" s="192" t="e">
        <f>Before!#REF!</f>
        <v>#REF!</v>
      </c>
    </row>
    <row r="198" spans="20:20">
      <c r="T198" s="192" t="str">
        <f>Before!I166</f>
        <v>Park, Edward （박상기 - 朴商起）</v>
      </c>
    </row>
    <row r="199" spans="20:20">
      <c r="T199" s="192" t="str">
        <f>Before!I167</f>
        <v>Kim, Eunjeong</v>
      </c>
    </row>
    <row r="200" spans="20:20">
      <c r="T200" s="192" t="e">
        <f>Before!#REF!</f>
        <v>#REF!</v>
      </c>
    </row>
    <row r="201" spans="20:20">
      <c r="T201" s="192" t="e">
        <f>Before!#REF!</f>
        <v>#REF!</v>
      </c>
    </row>
    <row r="202" spans="20:20">
      <c r="T202" s="192" t="e">
        <f>Before!#REF!</f>
        <v>#REF!</v>
      </c>
    </row>
    <row r="203" spans="20:20">
      <c r="T203" s="192" t="e">
        <f>Before!#REF!</f>
        <v>#REF!</v>
      </c>
    </row>
    <row r="204" spans="20:20">
      <c r="T204" s="192" t="e">
        <f>Before!#REF!</f>
        <v>#REF!</v>
      </c>
    </row>
    <row r="205" spans="20:20">
      <c r="T205" s="192" t="e">
        <f>Before!#REF!</f>
        <v>#REF!</v>
      </c>
    </row>
    <row r="206" spans="20:20">
      <c r="T206" s="192" t="e">
        <f>Before!#REF!</f>
        <v>#REF!</v>
      </c>
    </row>
    <row r="207" spans="20:20">
      <c r="T207" s="192" t="e">
        <f>Before!#REF!</f>
        <v>#REF!</v>
      </c>
    </row>
    <row r="208" spans="20:20">
      <c r="T208" s="192" t="e">
        <f>Before!#REF!</f>
        <v>#REF!</v>
      </c>
    </row>
    <row r="209" spans="20:20">
      <c r="T209" s="192" t="e">
        <f>Before!#REF!</f>
        <v>#REF!</v>
      </c>
    </row>
    <row r="210" spans="20:20">
      <c r="T210" s="192" t="e">
        <f>Before!#REF!</f>
        <v>#REF!</v>
      </c>
    </row>
    <row r="211" spans="20:20">
      <c r="T211" s="192" t="e">
        <f>Before!#REF!</f>
        <v>#REF!</v>
      </c>
    </row>
    <row r="212" spans="20:20">
      <c r="T212" s="192" t="e">
        <f>Before!#REF!</f>
        <v>#REF!</v>
      </c>
    </row>
    <row r="213" spans="20:20">
      <c r="T213" s="192" t="e">
        <f>Before!#REF!</f>
        <v>#REF!</v>
      </c>
    </row>
    <row r="214" spans="20:20">
      <c r="T214" s="192" t="e">
        <f>Before!#REF!</f>
        <v>#REF!</v>
      </c>
    </row>
    <row r="215" spans="20:20">
      <c r="T215" s="192" t="e">
        <f>Before!#REF!</f>
        <v>#REF!</v>
      </c>
    </row>
    <row r="216" spans="20:20">
      <c r="T216" s="192" t="e">
        <f>Before!#REF!</f>
        <v>#REF!</v>
      </c>
    </row>
    <row r="217" spans="20:20">
      <c r="T217" s="192" t="e">
        <f>Before!#REF!</f>
        <v>#REF!</v>
      </c>
    </row>
    <row r="218" spans="20:20">
      <c r="T218" s="192" t="e">
        <f>Before!#REF!</f>
        <v>#REF!</v>
      </c>
    </row>
    <row r="219" spans="20:20">
      <c r="T219" s="192" t="e">
        <f>Before!#REF!</f>
        <v>#REF!</v>
      </c>
    </row>
    <row r="220" spans="20:20">
      <c r="T220" s="192" t="e">
        <f>Before!#REF!</f>
        <v>#REF!</v>
      </c>
    </row>
    <row r="221" spans="20:20">
      <c r="T221" s="192" t="e">
        <f>Before!#REF!</f>
        <v>#REF!</v>
      </c>
    </row>
    <row r="222" spans="20:20">
      <c r="T222" s="192" t="e">
        <f>Before!#REF!</f>
        <v>#REF!</v>
      </c>
    </row>
    <row r="223" spans="20:20">
      <c r="T223" s="192" t="e">
        <f>Before!#REF!</f>
        <v>#REF!</v>
      </c>
    </row>
    <row r="224" spans="20:20">
      <c r="T224" s="192" t="e">
        <f>Before!#REF!</f>
        <v>#REF!</v>
      </c>
    </row>
    <row r="225" spans="20:20">
      <c r="T225" s="192" t="e">
        <f>Before!#REF!</f>
        <v>#REF!</v>
      </c>
    </row>
    <row r="226" spans="20:20">
      <c r="T226" s="192" t="e">
        <f>Before!#REF!</f>
        <v>#REF!</v>
      </c>
    </row>
    <row r="227" spans="20:20">
      <c r="T227" s="192" t="e">
        <f>Before!#REF!</f>
        <v>#REF!</v>
      </c>
    </row>
    <row r="228" spans="20:20">
      <c r="T228" s="192" t="e">
        <f>Before!#REF!</f>
        <v>#REF!</v>
      </c>
    </row>
    <row r="229" spans="20:20">
      <c r="T229" s="192" t="e">
        <f>Before!#REF!</f>
        <v>#REF!</v>
      </c>
    </row>
    <row r="230" spans="20:20">
      <c r="T230" s="192" t="e">
        <f>Before!#REF!</f>
        <v>#REF!</v>
      </c>
    </row>
    <row r="231" spans="20:20">
      <c r="T231" s="192" t="e">
        <f>Before!#REF!</f>
        <v>#REF!</v>
      </c>
    </row>
    <row r="232" spans="20:20">
      <c r="T232" s="192" t="e">
        <f>Before!#REF!</f>
        <v>#REF!</v>
      </c>
    </row>
    <row r="233" spans="20:20">
      <c r="T233" s="192" t="str">
        <f>Before!I168</f>
        <v>Park, Gayoung</v>
      </c>
    </row>
    <row r="234" spans="20:20">
      <c r="T234" s="192" t="str">
        <f>Before!I169</f>
        <v>Park, Sangtae （박상태）</v>
      </c>
    </row>
    <row r="235" spans="20:20">
      <c r="T235" s="192" t="str">
        <f>Before!I170</f>
        <v>Park, Soo Bae （박수배）</v>
      </c>
    </row>
    <row r="236" spans="20:20">
      <c r="T236" s="192" t="str">
        <f>Before!I171</f>
        <v>Lee, Sanghyun （이상현）</v>
      </c>
    </row>
    <row r="237" spans="20:20">
      <c r="T237" s="192" t="str">
        <f>Before!I172</f>
        <v>Kang, Jihye （강지혜）</v>
      </c>
    </row>
    <row r="238" spans="20:20">
      <c r="T238" s="192" t="str">
        <f>Before!I173</f>
        <v>Kim, Choong-Il （김충일）</v>
      </c>
    </row>
    <row r="239" spans="20:20">
      <c r="T239" s="192" t="str">
        <f>Before!I174</f>
        <v>Kim, Ryeonghwan （김령환 - 金鈴煥）</v>
      </c>
    </row>
    <row r="240" spans="20:20">
      <c r="T240" s="192" t="str">
        <f>Before!I175</f>
        <v>Jeong, Jeeman</v>
      </c>
    </row>
    <row r="241" spans="20:20">
      <c r="T241" s="192" t="str">
        <f>Before!I176</f>
        <v>Cho, Juho （조주호）</v>
      </c>
    </row>
    <row r="242" spans="20:20">
      <c r="T242" s="192" t="str">
        <f>Before!I177</f>
        <v>Ryu, Taeyeoul （유태열）</v>
      </c>
    </row>
    <row r="243" spans="20:20">
      <c r="T243" s="192" t="str">
        <f>Before!I178</f>
        <v>Hyun, Eunkyung （현은경）</v>
      </c>
    </row>
    <row r="244" spans="20:20">
      <c r="T244" s="192" t="e">
        <f>Before!#REF!</f>
        <v>#REF!</v>
      </c>
    </row>
    <row r="245" spans="20:20">
      <c r="T245" s="192" t="str">
        <f>Before!I179</f>
        <v>Choi, Sang Nam （최상남）</v>
      </c>
    </row>
    <row r="246" spans="20:20">
      <c r="T246" s="192" t="e">
        <f>Before!#REF!</f>
        <v>#REF!</v>
      </c>
    </row>
    <row r="247" spans="20:20">
      <c r="T247" s="192" t="e">
        <f>Before!#REF!</f>
        <v>#REF!</v>
      </c>
    </row>
    <row r="248" spans="20:20">
      <c r="T248" s="192" t="e">
        <f>Before!#REF!</f>
        <v>#REF!</v>
      </c>
    </row>
    <row r="506" spans="20:20">
      <c r="T506" s="302"/>
    </row>
    <row r="507" spans="20:20">
      <c r="T507" s="302"/>
    </row>
    <row r="508" spans="20:20">
      <c r="T508" s="302"/>
    </row>
    <row r="509" spans="20:20">
      <c r="T509" s="302"/>
    </row>
    <row r="510" spans="20:20">
      <c r="T510" s="302"/>
    </row>
    <row r="511" spans="20:20">
      <c r="T511" s="302"/>
    </row>
    <row r="512" spans="20:20">
      <c r="T512" s="302"/>
    </row>
    <row r="513" spans="20:20">
      <c r="T513" s="302"/>
    </row>
    <row r="514" spans="20:20">
      <c r="T514" s="302"/>
    </row>
    <row r="515" spans="20:20">
      <c r="T515" s="302"/>
    </row>
    <row r="516" spans="20:20">
      <c r="T516" s="302"/>
    </row>
    <row r="517" spans="20:20">
      <c r="T517" s="302"/>
    </row>
    <row r="518" spans="20:20">
      <c r="T518" s="302"/>
    </row>
    <row r="519" spans="20:20">
      <c r="T519" s="302"/>
    </row>
    <row r="520" spans="20:20">
      <c r="T520" s="302"/>
    </row>
    <row r="521" spans="20:20">
      <c r="T521" s="302"/>
    </row>
    <row r="522" spans="20:20">
      <c r="T522" s="302"/>
    </row>
    <row r="523" spans="20:20">
      <c r="T523" s="302"/>
    </row>
    <row r="524" spans="20:20">
      <c r="T524" s="302"/>
    </row>
    <row r="525" spans="20:20">
      <c r="T525" s="302"/>
    </row>
    <row r="526" spans="20:20">
      <c r="T526" s="302"/>
    </row>
    <row r="527" spans="20:20">
      <c r="T527" s="302"/>
    </row>
    <row r="528" spans="20:20">
      <c r="T528" s="302"/>
    </row>
    <row r="529" spans="20:20">
      <c r="T529" s="302"/>
    </row>
    <row r="530" spans="20:20">
      <c r="T530" s="302"/>
    </row>
    <row r="531" spans="20:20">
      <c r="T531" s="302"/>
    </row>
    <row r="532" spans="20:20">
      <c r="T532" s="302"/>
    </row>
    <row r="533" spans="20:20">
      <c r="T533" s="302"/>
    </row>
    <row r="534" spans="20:20">
      <c r="T534" s="302"/>
    </row>
    <row r="535" spans="20:20">
      <c r="T535" s="302"/>
    </row>
    <row r="536" spans="20:20">
      <c r="T536" s="302"/>
    </row>
    <row r="537" spans="20:20">
      <c r="T537" s="302"/>
    </row>
    <row r="538" spans="20:20">
      <c r="T538" s="302"/>
    </row>
    <row r="539" spans="20:20">
      <c r="T539" s="302"/>
    </row>
    <row r="540" spans="20:20">
      <c r="T540" s="302"/>
    </row>
    <row r="541" spans="20:20">
      <c r="T541" s="302"/>
    </row>
    <row r="542" spans="20:20">
      <c r="T542" s="302"/>
    </row>
    <row r="543" spans="20:20">
      <c r="T543" s="302"/>
    </row>
    <row r="544" spans="20:20">
      <c r="T544" s="302"/>
    </row>
    <row r="545" spans="20:20">
      <c r="T545" s="302"/>
    </row>
    <row r="546" spans="20:20">
      <c r="T546" s="302"/>
    </row>
    <row r="547" spans="20:20">
      <c r="T547" s="302"/>
    </row>
    <row r="548" spans="20:20">
      <c r="T548" s="302"/>
    </row>
    <row r="549" spans="20:20">
      <c r="T549" s="302"/>
    </row>
    <row r="550" spans="20:20">
      <c r="T550" s="302"/>
    </row>
    <row r="551" spans="20:20">
      <c r="T551" s="302"/>
    </row>
    <row r="552" spans="20:20">
      <c r="T552" s="302"/>
    </row>
    <row r="553" spans="20:20">
      <c r="T553" s="302"/>
    </row>
    <row r="554" spans="20:20">
      <c r="T554" s="302"/>
    </row>
    <row r="555" spans="20:20">
      <c r="T555" s="302"/>
    </row>
    <row r="556" spans="20:20">
      <c r="T556" s="302"/>
    </row>
    <row r="557" spans="20:20">
      <c r="T557" s="302"/>
    </row>
    <row r="558" spans="20:20">
      <c r="T558" s="302"/>
    </row>
    <row r="559" spans="20:20">
      <c r="T559" s="302"/>
    </row>
    <row r="560" spans="20:20">
      <c r="T560" s="302"/>
    </row>
    <row r="561" spans="20:20">
      <c r="T561" s="302"/>
    </row>
    <row r="562" spans="20:20">
      <c r="T562" s="302"/>
    </row>
    <row r="563" spans="20:20">
      <c r="T563" s="302"/>
    </row>
    <row r="564" spans="20:20">
      <c r="T564" s="302"/>
    </row>
    <row r="565" spans="20:20">
      <c r="T565" s="302"/>
    </row>
    <row r="566" spans="20:20">
      <c r="T566" s="302"/>
    </row>
    <row r="567" spans="20:20">
      <c r="T567" s="302"/>
    </row>
    <row r="568" spans="20:20">
      <c r="T568" s="302"/>
    </row>
    <row r="569" spans="20:20">
      <c r="T569" s="302"/>
    </row>
    <row r="570" spans="20:20">
      <c r="T570" s="302"/>
    </row>
    <row r="571" spans="20:20">
      <c r="T571" s="302"/>
    </row>
    <row r="572" spans="20:20">
      <c r="T572" s="302"/>
    </row>
    <row r="573" spans="20:20">
      <c r="T573" s="302"/>
    </row>
    <row r="574" spans="20:20">
      <c r="T574" s="302"/>
    </row>
    <row r="575" spans="20:20">
      <c r="T575" s="302"/>
    </row>
    <row r="576" spans="20:20">
      <c r="T576" s="302"/>
    </row>
    <row r="577" spans="20:20">
      <c r="T577" s="302"/>
    </row>
    <row r="578" spans="20:20">
      <c r="T578" s="302"/>
    </row>
    <row r="579" spans="20:20">
      <c r="T579" s="302"/>
    </row>
    <row r="580" spans="20:20">
      <c r="T580" s="302"/>
    </row>
    <row r="581" spans="20:20">
      <c r="T581" s="302"/>
    </row>
  </sheetData>
  <autoFilter ref="A1:A37" xr:uid="{00000000-0009-0000-0000-000005000000}"/>
  <phoneticPr fontId="37" type="noConversion"/>
  <dataValidations count="1">
    <dataValidation type="list" allowBlank="1" showInputMessage="1" showErrorMessage="1" sqref="E3" xr:uid="{00000000-0002-0000-0500-000000000000}">
      <formula1>$T:$T</formula1>
    </dataValidation>
  </dataValidations>
  <pageMargins left="0.7" right="0.7" top="0.75" bottom="0.75" header="0.3" footer="0.3"/>
  <pageSetup scale="53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>
    <tabColor theme="7" tint="0.39997558519241921"/>
  </sheetPr>
  <dimension ref="A1:C501"/>
  <sheetViews>
    <sheetView workbookViewId="0">
      <selection activeCell="F6" sqref="F6"/>
    </sheetView>
  </sheetViews>
  <sheetFormatPr defaultRowHeight="14.4"/>
  <cols>
    <col min="1" max="1" width="34.6640625" bestFit="1" customWidth="1"/>
    <col min="2" max="3" width="30.33203125" bestFit="1" customWidth="1"/>
  </cols>
  <sheetData>
    <row r="1" spans="1:3" ht="18">
      <c r="A1" s="747" t="s">
        <v>534</v>
      </c>
      <c r="B1" s="747"/>
      <c r="C1" s="747"/>
    </row>
    <row r="2" spans="1:3">
      <c r="A2" s="303" t="s">
        <v>535</v>
      </c>
      <c r="B2" s="304" t="s">
        <v>536</v>
      </c>
      <c r="C2" s="304" t="s">
        <v>537</v>
      </c>
    </row>
    <row r="3" spans="1:3">
      <c r="A3" s="310"/>
      <c r="B3" s="305"/>
      <c r="C3" s="305"/>
    </row>
    <row r="4" spans="1:3">
      <c r="A4" s="302"/>
      <c r="B4" s="231"/>
      <c r="C4" s="231"/>
    </row>
    <row r="5" spans="1:3">
      <c r="A5" s="302"/>
    </row>
    <row r="6" spans="1:3">
      <c r="A6" s="302"/>
    </row>
    <row r="7" spans="1:3">
      <c r="A7" s="302"/>
    </row>
    <row r="8" spans="1:3">
      <c r="A8" s="302"/>
    </row>
    <row r="9" spans="1:3">
      <c r="A9" s="302"/>
    </row>
    <row r="10" spans="1:3">
      <c r="A10" s="302"/>
    </row>
    <row r="11" spans="1:3">
      <c r="A11" s="302"/>
    </row>
    <row r="12" spans="1:3">
      <c r="A12" s="302"/>
    </row>
    <row r="13" spans="1:3">
      <c r="A13" s="302"/>
    </row>
    <row r="14" spans="1:3">
      <c r="A14" s="302"/>
    </row>
    <row r="15" spans="1:3">
      <c r="A15" s="302"/>
    </row>
    <row r="16" spans="1:3">
      <c r="A16" s="302"/>
    </row>
    <row r="17" spans="1:1">
      <c r="A17" s="302"/>
    </row>
    <row r="18" spans="1:1">
      <c r="A18" s="302"/>
    </row>
    <row r="19" spans="1:1">
      <c r="A19" s="302"/>
    </row>
    <row r="20" spans="1:1">
      <c r="A20" s="302"/>
    </row>
    <row r="21" spans="1:1">
      <c r="A21" s="302"/>
    </row>
    <row r="22" spans="1:1">
      <c r="A22" s="302"/>
    </row>
    <row r="23" spans="1:1">
      <c r="A23" s="302"/>
    </row>
    <row r="24" spans="1:1">
      <c r="A24" s="302"/>
    </row>
    <row r="25" spans="1:1">
      <c r="A25" s="302"/>
    </row>
    <row r="26" spans="1:1">
      <c r="A26" s="302"/>
    </row>
    <row r="27" spans="1:1">
      <c r="A27" s="302"/>
    </row>
    <row r="28" spans="1:1">
      <c r="A28" s="302"/>
    </row>
    <row r="29" spans="1:1">
      <c r="A29" s="302"/>
    </row>
    <row r="30" spans="1:1">
      <c r="A30" s="302"/>
    </row>
    <row r="31" spans="1:1">
      <c r="A31" s="302"/>
    </row>
    <row r="32" spans="1:1">
      <c r="A32" s="302"/>
    </row>
    <row r="33" spans="1:1">
      <c r="A33" s="302"/>
    </row>
    <row r="34" spans="1:1">
      <c r="A34" s="302"/>
    </row>
    <row r="35" spans="1:1">
      <c r="A35" s="302"/>
    </row>
    <row r="36" spans="1:1">
      <c r="A36" s="302"/>
    </row>
    <row r="37" spans="1:1">
      <c r="A37" s="302"/>
    </row>
    <row r="38" spans="1:1">
      <c r="A38" s="302"/>
    </row>
    <row r="39" spans="1:1">
      <c r="A39" s="302"/>
    </row>
    <row r="40" spans="1:1">
      <c r="A40" s="302"/>
    </row>
    <row r="41" spans="1:1">
      <c r="A41" s="302"/>
    </row>
    <row r="42" spans="1:1">
      <c r="A42" s="302"/>
    </row>
    <row r="43" spans="1:1">
      <c r="A43" s="302"/>
    </row>
    <row r="44" spans="1:1">
      <c r="A44" s="302"/>
    </row>
    <row r="45" spans="1:1">
      <c r="A45" s="302"/>
    </row>
    <row r="46" spans="1:1">
      <c r="A46" s="302"/>
    </row>
    <row r="47" spans="1:1">
      <c r="A47" s="302"/>
    </row>
    <row r="48" spans="1:1">
      <c r="A48" s="302"/>
    </row>
    <row r="49" spans="1:1">
      <c r="A49" s="302"/>
    </row>
    <row r="50" spans="1:1">
      <c r="A50" s="302"/>
    </row>
    <row r="51" spans="1:1">
      <c r="A51" s="302"/>
    </row>
    <row r="52" spans="1:1">
      <c r="A52" s="302"/>
    </row>
    <row r="53" spans="1:1">
      <c r="A53" s="302"/>
    </row>
    <row r="54" spans="1:1">
      <c r="A54" s="302"/>
    </row>
    <row r="55" spans="1:1">
      <c r="A55" s="302"/>
    </row>
    <row r="56" spans="1:1">
      <c r="A56" s="302"/>
    </row>
    <row r="57" spans="1:1">
      <c r="A57" s="302"/>
    </row>
    <row r="58" spans="1:1">
      <c r="A58" s="302"/>
    </row>
    <row r="59" spans="1:1">
      <c r="A59" s="302"/>
    </row>
    <row r="60" spans="1:1">
      <c r="A60" s="302"/>
    </row>
    <row r="61" spans="1:1">
      <c r="A61" s="302"/>
    </row>
    <row r="62" spans="1:1">
      <c r="A62" s="302"/>
    </row>
    <row r="63" spans="1:1">
      <c r="A63" s="302"/>
    </row>
    <row r="64" spans="1:1">
      <c r="A64" s="302"/>
    </row>
    <row r="65" spans="1:1">
      <c r="A65" s="302"/>
    </row>
    <row r="66" spans="1:1">
      <c r="A66" s="302"/>
    </row>
    <row r="67" spans="1:1">
      <c r="A67" s="302"/>
    </row>
    <row r="68" spans="1:1">
      <c r="A68" s="302"/>
    </row>
    <row r="69" spans="1:1">
      <c r="A69" s="302"/>
    </row>
    <row r="70" spans="1:1">
      <c r="A70" s="302"/>
    </row>
    <row r="71" spans="1:1">
      <c r="A71" s="302"/>
    </row>
    <row r="72" spans="1:1">
      <c r="A72" s="302"/>
    </row>
    <row r="73" spans="1:1">
      <c r="A73" s="302"/>
    </row>
    <row r="74" spans="1:1">
      <c r="A74" s="302"/>
    </row>
    <row r="75" spans="1:1">
      <c r="A75" s="302"/>
    </row>
    <row r="76" spans="1:1">
      <c r="A76" s="302"/>
    </row>
    <row r="77" spans="1:1">
      <c r="A77" s="302"/>
    </row>
    <row r="78" spans="1:1">
      <c r="A78" s="302"/>
    </row>
    <row r="79" spans="1:1">
      <c r="A79" s="302"/>
    </row>
    <row r="80" spans="1:1">
      <c r="A80" s="302"/>
    </row>
    <row r="81" spans="1:1">
      <c r="A81" s="302"/>
    </row>
    <row r="82" spans="1:1">
      <c r="A82" s="302"/>
    </row>
    <row r="83" spans="1:1">
      <c r="A83" s="302"/>
    </row>
    <row r="84" spans="1:1">
      <c r="A84" s="302"/>
    </row>
    <row r="85" spans="1:1">
      <c r="A85" s="302"/>
    </row>
    <row r="86" spans="1:1">
      <c r="A86" s="302"/>
    </row>
    <row r="87" spans="1:1">
      <c r="A87" s="302"/>
    </row>
    <row r="88" spans="1:1">
      <c r="A88" s="302"/>
    </row>
    <row r="89" spans="1:1">
      <c r="A89" s="302"/>
    </row>
    <row r="90" spans="1:1">
      <c r="A90" s="302"/>
    </row>
    <row r="91" spans="1:1">
      <c r="A91" s="302"/>
    </row>
    <row r="92" spans="1:1">
      <c r="A92" s="302"/>
    </row>
    <row r="93" spans="1:1">
      <c r="A93" s="302"/>
    </row>
    <row r="94" spans="1:1">
      <c r="A94" s="302"/>
    </row>
    <row r="95" spans="1:1">
      <c r="A95" s="302"/>
    </row>
    <row r="96" spans="1:1">
      <c r="A96" s="302"/>
    </row>
    <row r="97" spans="1:1">
      <c r="A97" s="302"/>
    </row>
    <row r="98" spans="1:1">
      <c r="A98" s="302"/>
    </row>
    <row r="99" spans="1:1">
      <c r="A99" s="302"/>
    </row>
    <row r="100" spans="1:1">
      <c r="A100" s="302"/>
    </row>
    <row r="101" spans="1:1">
      <c r="A101" s="302"/>
    </row>
    <row r="102" spans="1:1">
      <c r="A102" s="302"/>
    </row>
    <row r="103" spans="1:1">
      <c r="A103" s="302"/>
    </row>
    <row r="104" spans="1:1">
      <c r="A104" s="302"/>
    </row>
    <row r="105" spans="1:1">
      <c r="A105" s="302"/>
    </row>
    <row r="106" spans="1:1">
      <c r="A106" s="302"/>
    </row>
    <row r="107" spans="1:1">
      <c r="A107" s="302"/>
    </row>
    <row r="108" spans="1:1">
      <c r="A108" s="302"/>
    </row>
    <row r="109" spans="1:1">
      <c r="A109" s="302"/>
    </row>
    <row r="110" spans="1:1">
      <c r="A110" s="302"/>
    </row>
    <row r="111" spans="1:1">
      <c r="A111" s="302"/>
    </row>
    <row r="112" spans="1:1">
      <c r="A112" s="302"/>
    </row>
    <row r="113" spans="1:1">
      <c r="A113" s="302"/>
    </row>
    <row r="114" spans="1:1">
      <c r="A114" s="302"/>
    </row>
    <row r="115" spans="1:1">
      <c r="A115" s="302"/>
    </row>
    <row r="116" spans="1:1">
      <c r="A116" s="302"/>
    </row>
    <row r="117" spans="1:1">
      <c r="A117" s="302"/>
    </row>
    <row r="118" spans="1:1">
      <c r="A118" s="302"/>
    </row>
    <row r="119" spans="1:1">
      <c r="A119" s="302"/>
    </row>
    <row r="120" spans="1:1">
      <c r="A120" s="302"/>
    </row>
    <row r="121" spans="1:1">
      <c r="A121" s="302"/>
    </row>
    <row r="122" spans="1:1">
      <c r="A122" s="302"/>
    </row>
    <row r="123" spans="1:1">
      <c r="A123" s="302"/>
    </row>
    <row r="124" spans="1:1">
      <c r="A124" s="302"/>
    </row>
    <row r="125" spans="1:1">
      <c r="A125" s="302"/>
    </row>
    <row r="126" spans="1:1">
      <c r="A126" s="302"/>
    </row>
    <row r="127" spans="1:1">
      <c r="A127" s="302"/>
    </row>
    <row r="128" spans="1:1">
      <c r="A128" s="302"/>
    </row>
    <row r="129" spans="1:1">
      <c r="A129" s="302"/>
    </row>
    <row r="130" spans="1:1">
      <c r="A130" s="302"/>
    </row>
    <row r="131" spans="1:1">
      <c r="A131" s="302"/>
    </row>
    <row r="132" spans="1:1">
      <c r="A132" s="302"/>
    </row>
    <row r="133" spans="1:1">
      <c r="A133" s="302"/>
    </row>
    <row r="134" spans="1:1">
      <c r="A134" s="302"/>
    </row>
    <row r="135" spans="1:1">
      <c r="A135" s="302"/>
    </row>
    <row r="136" spans="1:1">
      <c r="A136" s="302"/>
    </row>
    <row r="137" spans="1:1">
      <c r="A137" s="302"/>
    </row>
    <row r="138" spans="1:1">
      <c r="A138" s="302"/>
    </row>
    <row r="139" spans="1:1">
      <c r="A139" s="302"/>
    </row>
    <row r="140" spans="1:1">
      <c r="A140" s="302"/>
    </row>
    <row r="141" spans="1:1">
      <c r="A141" s="302"/>
    </row>
    <row r="142" spans="1:1">
      <c r="A142" s="302"/>
    </row>
    <row r="143" spans="1:1">
      <c r="A143" s="302"/>
    </row>
    <row r="144" spans="1:1">
      <c r="A144" s="302"/>
    </row>
    <row r="145" spans="1:1">
      <c r="A145" s="302"/>
    </row>
    <row r="146" spans="1:1">
      <c r="A146" s="302"/>
    </row>
    <row r="147" spans="1:1">
      <c r="A147" s="302"/>
    </row>
    <row r="148" spans="1:1">
      <c r="A148" s="302"/>
    </row>
    <row r="149" spans="1:1">
      <c r="A149" s="302"/>
    </row>
    <row r="150" spans="1:1">
      <c r="A150" s="302"/>
    </row>
    <row r="151" spans="1:1">
      <c r="A151" s="302"/>
    </row>
    <row r="152" spans="1:1">
      <c r="A152" s="302"/>
    </row>
    <row r="153" spans="1:1">
      <c r="A153" s="302"/>
    </row>
    <row r="154" spans="1:1">
      <c r="A154" s="302"/>
    </row>
    <row r="155" spans="1:1">
      <c r="A155" s="302"/>
    </row>
    <row r="156" spans="1:1">
      <c r="A156" s="302"/>
    </row>
    <row r="157" spans="1:1">
      <c r="A157" s="302"/>
    </row>
    <row r="158" spans="1:1">
      <c r="A158" s="302"/>
    </row>
    <row r="159" spans="1:1">
      <c r="A159" s="302"/>
    </row>
    <row r="160" spans="1:1">
      <c r="A160" s="302"/>
    </row>
    <row r="161" spans="1:1">
      <c r="A161" s="302"/>
    </row>
    <row r="162" spans="1:1">
      <c r="A162" s="302"/>
    </row>
    <row r="163" spans="1:1">
      <c r="A163" s="302"/>
    </row>
    <row r="164" spans="1:1">
      <c r="A164" s="302"/>
    </row>
    <row r="165" spans="1:1">
      <c r="A165" s="302"/>
    </row>
    <row r="166" spans="1:1">
      <c r="A166" s="302"/>
    </row>
    <row r="167" spans="1:1">
      <c r="A167" s="302"/>
    </row>
    <row r="168" spans="1:1">
      <c r="A168" s="302"/>
    </row>
    <row r="169" spans="1:1">
      <c r="A169" s="302"/>
    </row>
    <row r="170" spans="1:1">
      <c r="A170" s="302"/>
    </row>
    <row r="171" spans="1:1">
      <c r="A171" s="302"/>
    </row>
    <row r="172" spans="1:1">
      <c r="A172" s="302"/>
    </row>
    <row r="173" spans="1:1">
      <c r="A173" s="302"/>
    </row>
    <row r="174" spans="1:1">
      <c r="A174" s="302"/>
    </row>
    <row r="175" spans="1:1">
      <c r="A175" s="302"/>
    </row>
    <row r="176" spans="1:1">
      <c r="A176" s="302"/>
    </row>
    <row r="177" spans="1:1">
      <c r="A177" s="302"/>
    </row>
    <row r="178" spans="1:1">
      <c r="A178" s="302"/>
    </row>
    <row r="179" spans="1:1">
      <c r="A179" s="302"/>
    </row>
    <row r="180" spans="1:1">
      <c r="A180" s="302"/>
    </row>
    <row r="181" spans="1:1">
      <c r="A181" s="302"/>
    </row>
    <row r="182" spans="1:1">
      <c r="A182" s="302"/>
    </row>
    <row r="183" spans="1:1">
      <c r="A183" s="302"/>
    </row>
    <row r="184" spans="1:1">
      <c r="A184" s="302"/>
    </row>
    <row r="185" spans="1:1">
      <c r="A185" s="302"/>
    </row>
    <row r="186" spans="1:1">
      <c r="A186" s="302"/>
    </row>
    <row r="187" spans="1:1">
      <c r="A187" s="302"/>
    </row>
    <row r="188" spans="1:1">
      <c r="A188" s="302"/>
    </row>
    <row r="189" spans="1:1">
      <c r="A189" s="302"/>
    </row>
    <row r="190" spans="1:1">
      <c r="A190" s="302"/>
    </row>
    <row r="191" spans="1:1">
      <c r="A191" s="302"/>
    </row>
    <row r="192" spans="1:1">
      <c r="A192" s="302"/>
    </row>
    <row r="193" spans="1:1">
      <c r="A193" s="302"/>
    </row>
    <row r="194" spans="1:1">
      <c r="A194" s="302"/>
    </row>
    <row r="195" spans="1:1">
      <c r="A195" s="302"/>
    </row>
    <row r="196" spans="1:1">
      <c r="A196" s="302"/>
    </row>
    <row r="197" spans="1:1">
      <c r="A197" s="302"/>
    </row>
    <row r="198" spans="1:1">
      <c r="A198" s="302"/>
    </row>
    <row r="199" spans="1:1">
      <c r="A199" s="302"/>
    </row>
    <row r="200" spans="1:1">
      <c r="A200" s="302"/>
    </row>
    <row r="201" spans="1:1">
      <c r="A201" s="302"/>
    </row>
    <row r="202" spans="1:1">
      <c r="A202" s="302"/>
    </row>
    <row r="203" spans="1:1">
      <c r="A203" s="302"/>
    </row>
    <row r="204" spans="1:1">
      <c r="A204" s="302"/>
    </row>
    <row r="205" spans="1:1">
      <c r="A205" s="302"/>
    </row>
    <row r="206" spans="1:1">
      <c r="A206" s="302"/>
    </row>
    <row r="207" spans="1:1">
      <c r="A207" s="302"/>
    </row>
    <row r="208" spans="1:1">
      <c r="A208" s="302"/>
    </row>
    <row r="209" spans="1:1">
      <c r="A209" s="302"/>
    </row>
    <row r="210" spans="1:1">
      <c r="A210" s="302"/>
    </row>
    <row r="211" spans="1:1">
      <c r="A211" s="302"/>
    </row>
    <row r="212" spans="1:1">
      <c r="A212" s="302"/>
    </row>
    <row r="213" spans="1:1">
      <c r="A213" s="302"/>
    </row>
    <row r="214" spans="1:1">
      <c r="A214" s="302"/>
    </row>
    <row r="215" spans="1:1">
      <c r="A215" s="302"/>
    </row>
    <row r="216" spans="1:1">
      <c r="A216" s="302"/>
    </row>
    <row r="217" spans="1:1">
      <c r="A217" s="302"/>
    </row>
    <row r="218" spans="1:1">
      <c r="A218" s="302"/>
    </row>
    <row r="219" spans="1:1">
      <c r="A219" s="302"/>
    </row>
    <row r="220" spans="1:1">
      <c r="A220" s="302"/>
    </row>
    <row r="221" spans="1:1">
      <c r="A221" s="302"/>
    </row>
    <row r="222" spans="1:1">
      <c r="A222" s="302"/>
    </row>
    <row r="223" spans="1:1">
      <c r="A223" s="302"/>
    </row>
    <row r="224" spans="1:1">
      <c r="A224" s="302"/>
    </row>
    <row r="225" spans="1:1">
      <c r="A225" s="302"/>
    </row>
    <row r="226" spans="1:1">
      <c r="A226" s="302"/>
    </row>
    <row r="227" spans="1:1">
      <c r="A227" s="302"/>
    </row>
    <row r="228" spans="1:1">
      <c r="A228" s="302"/>
    </row>
    <row r="229" spans="1:1">
      <c r="A229" s="302"/>
    </row>
    <row r="230" spans="1:1">
      <c r="A230" s="302"/>
    </row>
    <row r="231" spans="1:1">
      <c r="A231" s="302"/>
    </row>
    <row r="232" spans="1:1">
      <c r="A232" s="302"/>
    </row>
    <row r="233" spans="1:1">
      <c r="A233" s="302"/>
    </row>
    <row r="234" spans="1:1">
      <c r="A234" s="302"/>
    </row>
    <row r="235" spans="1:1">
      <c r="A235" s="302"/>
    </row>
    <row r="236" spans="1:1">
      <c r="A236" s="302"/>
    </row>
    <row r="237" spans="1:1">
      <c r="A237" s="302"/>
    </row>
    <row r="238" spans="1:1">
      <c r="A238" s="302"/>
    </row>
    <row r="239" spans="1:1">
      <c r="A239" s="302"/>
    </row>
    <row r="240" spans="1:1">
      <c r="A240" s="302"/>
    </row>
    <row r="241" spans="1:1">
      <c r="A241" s="302"/>
    </row>
    <row r="242" spans="1:1">
      <c r="A242" s="302"/>
    </row>
    <row r="243" spans="1:1">
      <c r="A243" s="302"/>
    </row>
    <row r="244" spans="1:1">
      <c r="A244" s="302"/>
    </row>
    <row r="245" spans="1:1">
      <c r="A245" s="302"/>
    </row>
    <row r="246" spans="1:1">
      <c r="A246" s="302"/>
    </row>
    <row r="247" spans="1:1">
      <c r="A247" s="302"/>
    </row>
    <row r="248" spans="1:1">
      <c r="A248" s="302"/>
    </row>
    <row r="249" spans="1:1">
      <c r="A249" s="302"/>
    </row>
    <row r="250" spans="1:1">
      <c r="A250" s="302"/>
    </row>
    <row r="251" spans="1:1">
      <c r="A251" s="302"/>
    </row>
    <row r="252" spans="1:1">
      <c r="A252" s="302"/>
    </row>
    <row r="253" spans="1:1">
      <c r="A253" s="302"/>
    </row>
    <row r="254" spans="1:1">
      <c r="A254" s="302"/>
    </row>
    <row r="255" spans="1:1">
      <c r="A255" s="302"/>
    </row>
    <row r="256" spans="1:1">
      <c r="A256" s="302"/>
    </row>
    <row r="257" spans="1:1">
      <c r="A257" s="302"/>
    </row>
    <row r="258" spans="1:1">
      <c r="A258" s="302"/>
    </row>
    <row r="259" spans="1:1">
      <c r="A259" s="302"/>
    </row>
    <row r="260" spans="1:1">
      <c r="A260" s="302"/>
    </row>
    <row r="261" spans="1:1">
      <c r="A261" s="302"/>
    </row>
    <row r="262" spans="1:1">
      <c r="A262" s="302"/>
    </row>
    <row r="263" spans="1:1">
      <c r="A263" s="302"/>
    </row>
    <row r="264" spans="1:1">
      <c r="A264" s="302"/>
    </row>
    <row r="265" spans="1:1">
      <c r="A265" s="302"/>
    </row>
    <row r="266" spans="1:1">
      <c r="A266" s="302"/>
    </row>
    <row r="267" spans="1:1">
      <c r="A267" s="302"/>
    </row>
    <row r="268" spans="1:1">
      <c r="A268" s="302"/>
    </row>
    <row r="269" spans="1:1">
      <c r="A269" s="302"/>
    </row>
    <row r="270" spans="1:1">
      <c r="A270" s="302"/>
    </row>
    <row r="271" spans="1:1">
      <c r="A271" s="302"/>
    </row>
    <row r="272" spans="1:1">
      <c r="A272" s="302"/>
    </row>
    <row r="273" spans="1:1">
      <c r="A273" s="302"/>
    </row>
    <row r="274" spans="1:1">
      <c r="A274" s="302"/>
    </row>
    <row r="275" spans="1:1">
      <c r="A275" s="302"/>
    </row>
    <row r="276" spans="1:1">
      <c r="A276" s="302"/>
    </row>
    <row r="277" spans="1:1">
      <c r="A277" s="302"/>
    </row>
    <row r="278" spans="1:1">
      <c r="A278" s="302"/>
    </row>
    <row r="279" spans="1:1">
      <c r="A279" s="302"/>
    </row>
    <row r="280" spans="1:1">
      <c r="A280" s="302"/>
    </row>
    <row r="281" spans="1:1">
      <c r="A281" s="302"/>
    </row>
    <row r="282" spans="1:1">
      <c r="A282" s="302"/>
    </row>
    <row r="283" spans="1:1">
      <c r="A283" s="302"/>
    </row>
    <row r="284" spans="1:1">
      <c r="A284" s="302"/>
    </row>
    <row r="285" spans="1:1">
      <c r="A285" s="302"/>
    </row>
    <row r="286" spans="1:1">
      <c r="A286" s="302"/>
    </row>
    <row r="287" spans="1:1">
      <c r="A287" s="302"/>
    </row>
    <row r="288" spans="1:1">
      <c r="A288" s="302"/>
    </row>
    <row r="289" spans="1:1">
      <c r="A289" s="302"/>
    </row>
    <row r="290" spans="1:1">
      <c r="A290" s="302"/>
    </row>
    <row r="291" spans="1:1">
      <c r="A291" s="302"/>
    </row>
    <row r="292" spans="1:1">
      <c r="A292" s="302"/>
    </row>
    <row r="293" spans="1:1">
      <c r="A293" s="302"/>
    </row>
    <row r="294" spans="1:1">
      <c r="A294" s="302"/>
    </row>
    <row r="295" spans="1:1">
      <c r="A295" s="302"/>
    </row>
    <row r="296" spans="1:1">
      <c r="A296" s="302"/>
    </row>
    <row r="297" spans="1:1">
      <c r="A297" s="302"/>
    </row>
    <row r="298" spans="1:1">
      <c r="A298" s="302"/>
    </row>
    <row r="299" spans="1:1">
      <c r="A299" s="302"/>
    </row>
    <row r="300" spans="1:1">
      <c r="A300" s="302"/>
    </row>
    <row r="301" spans="1:1">
      <c r="A301" s="302"/>
    </row>
    <row r="302" spans="1:1">
      <c r="A302" s="302"/>
    </row>
    <row r="303" spans="1:1">
      <c r="A303" s="302"/>
    </row>
    <row r="304" spans="1:1">
      <c r="A304" s="302"/>
    </row>
    <row r="305" spans="1:1">
      <c r="A305" s="302"/>
    </row>
    <row r="306" spans="1:1">
      <c r="A306" s="302"/>
    </row>
    <row r="307" spans="1:1">
      <c r="A307" s="302"/>
    </row>
    <row r="308" spans="1:1">
      <c r="A308" s="302"/>
    </row>
    <row r="309" spans="1:1">
      <c r="A309" s="302"/>
    </row>
    <row r="310" spans="1:1">
      <c r="A310" s="302"/>
    </row>
    <row r="311" spans="1:1">
      <c r="A311" s="302"/>
    </row>
    <row r="312" spans="1:1">
      <c r="A312" s="302"/>
    </row>
    <row r="313" spans="1:1">
      <c r="A313" s="302"/>
    </row>
    <row r="314" spans="1:1">
      <c r="A314" s="302"/>
    </row>
    <row r="315" spans="1:1">
      <c r="A315" s="302"/>
    </row>
    <row r="316" spans="1:1">
      <c r="A316" s="302"/>
    </row>
    <row r="317" spans="1:1">
      <c r="A317" s="302"/>
    </row>
    <row r="318" spans="1:1">
      <c r="A318" s="302"/>
    </row>
    <row r="319" spans="1:1">
      <c r="A319" s="302"/>
    </row>
    <row r="320" spans="1:1">
      <c r="A320" s="302"/>
    </row>
    <row r="321" spans="1:1">
      <c r="A321" s="302"/>
    </row>
    <row r="322" spans="1:1">
      <c r="A322" s="302"/>
    </row>
    <row r="323" spans="1:1">
      <c r="A323" s="302"/>
    </row>
    <row r="324" spans="1:1">
      <c r="A324" s="302"/>
    </row>
    <row r="325" spans="1:1">
      <c r="A325" s="302"/>
    </row>
    <row r="326" spans="1:1">
      <c r="A326" s="302"/>
    </row>
    <row r="327" spans="1:1">
      <c r="A327" s="302"/>
    </row>
    <row r="328" spans="1:1">
      <c r="A328" s="302"/>
    </row>
    <row r="329" spans="1:1">
      <c r="A329" s="302"/>
    </row>
    <row r="330" spans="1:1">
      <c r="A330" s="302"/>
    </row>
    <row r="331" spans="1:1">
      <c r="A331" s="302"/>
    </row>
    <row r="332" spans="1:1">
      <c r="A332" s="302"/>
    </row>
    <row r="333" spans="1:1">
      <c r="A333" s="302"/>
    </row>
    <row r="334" spans="1:1">
      <c r="A334" s="302"/>
    </row>
    <row r="335" spans="1:1">
      <c r="A335" s="302"/>
    </row>
    <row r="336" spans="1:1">
      <c r="A336" s="302"/>
    </row>
    <row r="337" spans="1:1">
      <c r="A337" s="302"/>
    </row>
    <row r="338" spans="1:1">
      <c r="A338" s="302"/>
    </row>
    <row r="339" spans="1:1">
      <c r="A339" s="302"/>
    </row>
    <row r="340" spans="1:1">
      <c r="A340" s="302"/>
    </row>
    <row r="341" spans="1:1">
      <c r="A341" s="302"/>
    </row>
    <row r="342" spans="1:1">
      <c r="A342" s="302"/>
    </row>
    <row r="343" spans="1:1">
      <c r="A343" s="302"/>
    </row>
    <row r="344" spans="1:1">
      <c r="A344" s="302"/>
    </row>
    <row r="345" spans="1:1">
      <c r="A345" s="302"/>
    </row>
    <row r="346" spans="1:1">
      <c r="A346" s="302"/>
    </row>
    <row r="347" spans="1:1">
      <c r="A347" s="302"/>
    </row>
    <row r="348" spans="1:1">
      <c r="A348" s="302"/>
    </row>
    <row r="349" spans="1:1">
      <c r="A349" s="302"/>
    </row>
    <row r="350" spans="1:1">
      <c r="A350" s="302"/>
    </row>
    <row r="351" spans="1:1">
      <c r="A351" s="302"/>
    </row>
    <row r="352" spans="1:1">
      <c r="A352" s="302"/>
    </row>
    <row r="353" spans="1:1">
      <c r="A353" s="302"/>
    </row>
    <row r="354" spans="1:1">
      <c r="A354" s="302"/>
    </row>
    <row r="355" spans="1:1">
      <c r="A355" s="302"/>
    </row>
    <row r="356" spans="1:1">
      <c r="A356" s="302"/>
    </row>
    <row r="357" spans="1:1">
      <c r="A357" s="302"/>
    </row>
    <row r="358" spans="1:1">
      <c r="A358" s="302"/>
    </row>
    <row r="359" spans="1:1">
      <c r="A359" s="302"/>
    </row>
    <row r="360" spans="1:1">
      <c r="A360" s="302"/>
    </row>
    <row r="361" spans="1:1">
      <c r="A361" s="302"/>
    </row>
    <row r="362" spans="1:1">
      <c r="A362" s="302"/>
    </row>
    <row r="363" spans="1:1">
      <c r="A363" s="302"/>
    </row>
    <row r="364" spans="1:1">
      <c r="A364" s="302"/>
    </row>
    <row r="365" spans="1:1">
      <c r="A365" s="302"/>
    </row>
    <row r="366" spans="1:1">
      <c r="A366" s="302"/>
    </row>
    <row r="367" spans="1:1">
      <c r="A367" s="302"/>
    </row>
    <row r="368" spans="1:1">
      <c r="A368" s="302"/>
    </row>
    <row r="369" spans="1:1">
      <c r="A369" s="302"/>
    </row>
    <row r="370" spans="1:1">
      <c r="A370" s="302"/>
    </row>
    <row r="371" spans="1:1">
      <c r="A371" s="302"/>
    </row>
    <row r="372" spans="1:1">
      <c r="A372" s="302"/>
    </row>
    <row r="373" spans="1:1">
      <c r="A373" s="302"/>
    </row>
    <row r="374" spans="1:1">
      <c r="A374" s="302"/>
    </row>
    <row r="375" spans="1:1">
      <c r="A375" s="302"/>
    </row>
    <row r="376" spans="1:1">
      <c r="A376" s="302"/>
    </row>
    <row r="377" spans="1:1">
      <c r="A377" s="302"/>
    </row>
    <row r="378" spans="1:1">
      <c r="A378" s="302"/>
    </row>
    <row r="379" spans="1:1">
      <c r="A379" s="302"/>
    </row>
    <row r="380" spans="1:1">
      <c r="A380" s="302"/>
    </row>
    <row r="381" spans="1:1">
      <c r="A381" s="302"/>
    </row>
    <row r="382" spans="1:1">
      <c r="A382" s="302"/>
    </row>
    <row r="383" spans="1:1">
      <c r="A383" s="302"/>
    </row>
    <row r="384" spans="1:1">
      <c r="A384" s="302"/>
    </row>
    <row r="385" spans="1:1">
      <c r="A385" s="302"/>
    </row>
    <row r="386" spans="1:1">
      <c r="A386" s="302"/>
    </row>
    <row r="387" spans="1:1">
      <c r="A387" s="302"/>
    </row>
    <row r="388" spans="1:1">
      <c r="A388" s="302"/>
    </row>
    <row r="389" spans="1:1">
      <c r="A389" s="302"/>
    </row>
    <row r="390" spans="1:1">
      <c r="A390" s="302"/>
    </row>
    <row r="391" spans="1:1">
      <c r="A391" s="302"/>
    </row>
    <row r="392" spans="1:1">
      <c r="A392" s="302"/>
    </row>
    <row r="393" spans="1:1">
      <c r="A393" s="302"/>
    </row>
    <row r="394" spans="1:1">
      <c r="A394" s="302"/>
    </row>
    <row r="395" spans="1:1">
      <c r="A395" s="302"/>
    </row>
    <row r="396" spans="1:1">
      <c r="A396" s="302"/>
    </row>
    <row r="397" spans="1:1">
      <c r="A397" s="302"/>
    </row>
    <row r="398" spans="1:1">
      <c r="A398" s="302"/>
    </row>
    <row r="399" spans="1:1">
      <c r="A399" s="302"/>
    </row>
    <row r="400" spans="1:1">
      <c r="A400" s="302"/>
    </row>
    <row r="401" spans="1:1">
      <c r="A401" s="302"/>
    </row>
    <row r="402" spans="1:1">
      <c r="A402" s="302"/>
    </row>
    <row r="403" spans="1:1">
      <c r="A403" s="302"/>
    </row>
    <row r="404" spans="1:1">
      <c r="A404" s="302"/>
    </row>
    <row r="405" spans="1:1">
      <c r="A405" s="302"/>
    </row>
    <row r="406" spans="1:1">
      <c r="A406" s="302"/>
    </row>
    <row r="407" spans="1:1">
      <c r="A407" s="302"/>
    </row>
    <row r="408" spans="1:1">
      <c r="A408" s="302"/>
    </row>
    <row r="409" spans="1:1">
      <c r="A409" s="302"/>
    </row>
    <row r="410" spans="1:1">
      <c r="A410" s="302"/>
    </row>
    <row r="411" spans="1:1">
      <c r="A411" s="302"/>
    </row>
    <row r="412" spans="1:1">
      <c r="A412" s="302"/>
    </row>
    <row r="413" spans="1:1">
      <c r="A413" s="302"/>
    </row>
    <row r="414" spans="1:1">
      <c r="A414" s="302"/>
    </row>
    <row r="415" spans="1:1">
      <c r="A415" s="302"/>
    </row>
    <row r="416" spans="1:1">
      <c r="A416" s="302"/>
    </row>
    <row r="417" spans="1:1">
      <c r="A417" s="302"/>
    </row>
    <row r="418" spans="1:1">
      <c r="A418" s="302"/>
    </row>
    <row r="419" spans="1:1">
      <c r="A419" s="302"/>
    </row>
    <row r="420" spans="1:1">
      <c r="A420" s="302"/>
    </row>
    <row r="421" spans="1:1">
      <c r="A421" s="302"/>
    </row>
    <row r="422" spans="1:1">
      <c r="A422" s="302"/>
    </row>
    <row r="423" spans="1:1">
      <c r="A423" s="302"/>
    </row>
    <row r="424" spans="1:1">
      <c r="A424" s="302"/>
    </row>
    <row r="425" spans="1:1">
      <c r="A425" s="302"/>
    </row>
    <row r="426" spans="1:1">
      <c r="A426" s="302"/>
    </row>
    <row r="427" spans="1:1">
      <c r="A427" s="302"/>
    </row>
    <row r="428" spans="1:1">
      <c r="A428" s="302"/>
    </row>
    <row r="429" spans="1:1">
      <c r="A429" s="302"/>
    </row>
    <row r="430" spans="1:1">
      <c r="A430" s="302"/>
    </row>
    <row r="431" spans="1:1">
      <c r="A431" s="302"/>
    </row>
    <row r="432" spans="1:1">
      <c r="A432" s="302"/>
    </row>
    <row r="433" spans="1:1">
      <c r="A433" s="302"/>
    </row>
    <row r="434" spans="1:1">
      <c r="A434" s="302"/>
    </row>
    <row r="435" spans="1:1">
      <c r="A435" s="302"/>
    </row>
    <row r="436" spans="1:1">
      <c r="A436" s="302"/>
    </row>
    <row r="437" spans="1:1">
      <c r="A437" s="302"/>
    </row>
    <row r="438" spans="1:1">
      <c r="A438" s="302"/>
    </row>
    <row r="439" spans="1:1">
      <c r="A439" s="302"/>
    </row>
    <row r="440" spans="1:1">
      <c r="A440" s="302"/>
    </row>
    <row r="441" spans="1:1">
      <c r="A441" s="302"/>
    </row>
    <row r="442" spans="1:1">
      <c r="A442" s="302"/>
    </row>
    <row r="443" spans="1:1">
      <c r="A443" s="302"/>
    </row>
    <row r="444" spans="1:1">
      <c r="A444" s="302"/>
    </row>
    <row r="445" spans="1:1">
      <c r="A445" s="302"/>
    </row>
    <row r="446" spans="1:1">
      <c r="A446" s="302"/>
    </row>
    <row r="447" spans="1:1">
      <c r="A447" s="302"/>
    </row>
    <row r="448" spans="1:1">
      <c r="A448" s="302"/>
    </row>
    <row r="449" spans="1:1">
      <c r="A449" s="302"/>
    </row>
    <row r="450" spans="1:1">
      <c r="A450" s="302"/>
    </row>
    <row r="451" spans="1:1">
      <c r="A451" s="302"/>
    </row>
    <row r="452" spans="1:1">
      <c r="A452" s="302"/>
    </row>
    <row r="453" spans="1:1">
      <c r="A453" s="302"/>
    </row>
    <row r="454" spans="1:1">
      <c r="A454" s="302"/>
    </row>
    <row r="455" spans="1:1">
      <c r="A455" s="302"/>
    </row>
    <row r="456" spans="1:1">
      <c r="A456" s="302"/>
    </row>
    <row r="457" spans="1:1">
      <c r="A457" s="302"/>
    </row>
    <row r="458" spans="1:1">
      <c r="A458" s="302"/>
    </row>
    <row r="459" spans="1:1">
      <c r="A459" s="302"/>
    </row>
    <row r="460" spans="1:1">
      <c r="A460" s="302"/>
    </row>
    <row r="461" spans="1:1">
      <c r="A461" s="302"/>
    </row>
    <row r="462" spans="1:1">
      <c r="A462" s="302"/>
    </row>
    <row r="463" spans="1:1">
      <c r="A463" s="302"/>
    </row>
    <row r="464" spans="1:1">
      <c r="A464" s="302"/>
    </row>
    <row r="465" spans="1:1">
      <c r="A465" s="302"/>
    </row>
    <row r="466" spans="1:1">
      <c r="A466" s="302"/>
    </row>
    <row r="467" spans="1:1">
      <c r="A467" s="302"/>
    </row>
    <row r="468" spans="1:1">
      <c r="A468" s="302"/>
    </row>
    <row r="469" spans="1:1">
      <c r="A469" s="302"/>
    </row>
    <row r="470" spans="1:1">
      <c r="A470" s="302"/>
    </row>
    <row r="471" spans="1:1">
      <c r="A471" s="302"/>
    </row>
    <row r="472" spans="1:1">
      <c r="A472" s="302"/>
    </row>
    <row r="473" spans="1:1">
      <c r="A473" s="302"/>
    </row>
    <row r="474" spans="1:1">
      <c r="A474" s="302"/>
    </row>
    <row r="475" spans="1:1">
      <c r="A475" s="302"/>
    </row>
    <row r="476" spans="1:1">
      <c r="A476" s="302"/>
    </row>
    <row r="477" spans="1:1">
      <c r="A477" s="302"/>
    </row>
    <row r="478" spans="1:1">
      <c r="A478" s="302"/>
    </row>
    <row r="479" spans="1:1">
      <c r="A479" s="302"/>
    </row>
    <row r="480" spans="1:1">
      <c r="A480" s="302"/>
    </row>
    <row r="481" spans="1:1">
      <c r="A481" s="302"/>
    </row>
    <row r="482" spans="1:1">
      <c r="A482" s="302"/>
    </row>
    <row r="483" spans="1:1">
      <c r="A483" s="302"/>
    </row>
    <row r="484" spans="1:1">
      <c r="A484" s="302"/>
    </row>
    <row r="485" spans="1:1">
      <c r="A485" s="302"/>
    </row>
    <row r="486" spans="1:1">
      <c r="A486" s="302"/>
    </row>
    <row r="487" spans="1:1">
      <c r="A487" s="302"/>
    </row>
    <row r="488" spans="1:1">
      <c r="A488" s="302"/>
    </row>
    <row r="489" spans="1:1">
      <c r="A489" s="302"/>
    </row>
    <row r="490" spans="1:1">
      <c r="A490" s="302"/>
    </row>
    <row r="491" spans="1:1">
      <c r="A491" s="302"/>
    </row>
    <row r="492" spans="1:1">
      <c r="A492" s="302"/>
    </row>
    <row r="493" spans="1:1">
      <c r="A493" s="302"/>
    </row>
    <row r="494" spans="1:1">
      <c r="A494" s="302"/>
    </row>
    <row r="495" spans="1:1">
      <c r="A495" s="302"/>
    </row>
    <row r="496" spans="1:1">
      <c r="A496" s="302"/>
    </row>
    <row r="497" spans="1:1">
      <c r="A497" s="302"/>
    </row>
    <row r="498" spans="1:1">
      <c r="A498" s="302"/>
    </row>
    <row r="499" spans="1:1">
      <c r="A499" s="302"/>
    </row>
    <row r="500" spans="1:1">
      <c r="A500" s="302"/>
    </row>
    <row r="501" spans="1:1">
      <c r="A501" s="302"/>
    </row>
  </sheetData>
  <mergeCells count="1">
    <mergeCell ref="A1:C1"/>
  </mergeCells>
  <phoneticPr fontId="37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A1:F182"/>
  <sheetViews>
    <sheetView workbookViewId="0">
      <pane ySplit="1" topLeftCell="A2" activePane="bottomLeft" state="frozen"/>
      <selection activeCell="AC3" sqref="AC3"/>
      <selection pane="bottomLeft" activeCell="AC3" sqref="AC3"/>
    </sheetView>
  </sheetViews>
  <sheetFormatPr defaultRowHeight="14.4"/>
  <cols>
    <col min="1" max="1" width="16.77734375" bestFit="1" customWidth="1"/>
    <col min="2" max="2" width="22.33203125" bestFit="1" customWidth="1"/>
    <col min="3" max="3" width="23" customWidth="1"/>
    <col min="4" max="4" width="20.33203125" customWidth="1"/>
    <col min="5" max="5" width="23" customWidth="1"/>
    <col min="6" max="6" width="18.77734375" bestFit="1" customWidth="1"/>
  </cols>
  <sheetData>
    <row r="1" spans="1:6">
      <c r="A1" t="s">
        <v>538</v>
      </c>
      <c r="B1" t="s">
        <v>539</v>
      </c>
      <c r="C1" t="s">
        <v>540</v>
      </c>
      <c r="D1" t="s">
        <v>541</v>
      </c>
      <c r="E1" t="s">
        <v>542</v>
      </c>
      <c r="F1" t="s">
        <v>543</v>
      </c>
    </row>
    <row r="2" spans="1:6">
      <c r="A2" t="s">
        <v>863</v>
      </c>
      <c r="B2" s="306">
        <v>0.8</v>
      </c>
      <c r="C2" s="307">
        <v>1</v>
      </c>
      <c r="D2" s="307">
        <v>0.4</v>
      </c>
      <c r="E2" s="307">
        <v>1</v>
      </c>
      <c r="F2" s="308">
        <v>3</v>
      </c>
    </row>
    <row r="3" spans="1:6">
      <c r="A3" t="s">
        <v>863</v>
      </c>
      <c r="B3" s="306">
        <v>1</v>
      </c>
      <c r="C3" s="307">
        <v>1.3</v>
      </c>
      <c r="D3" s="307">
        <v>1</v>
      </c>
      <c r="E3" s="307">
        <v>2</v>
      </c>
      <c r="F3" s="309">
        <v>3.3333333333000001</v>
      </c>
    </row>
    <row r="4" spans="1:6">
      <c r="A4" t="s">
        <v>863</v>
      </c>
      <c r="B4" s="306">
        <v>1.3</v>
      </c>
      <c r="C4" s="307">
        <v>99999.99</v>
      </c>
      <c r="D4" s="307">
        <v>2</v>
      </c>
      <c r="E4" s="307"/>
      <c r="F4" s="309">
        <v>2</v>
      </c>
    </row>
    <row r="5" spans="1:6">
      <c r="A5" t="s">
        <v>861</v>
      </c>
      <c r="B5" s="306">
        <v>0.8</v>
      </c>
      <c r="C5" s="307">
        <v>1</v>
      </c>
      <c r="D5" s="307">
        <v>0.4</v>
      </c>
      <c r="E5" s="307">
        <v>1</v>
      </c>
      <c r="F5" s="309">
        <v>3</v>
      </c>
    </row>
    <row r="6" spans="1:6">
      <c r="A6" t="s">
        <v>861</v>
      </c>
      <c r="B6" s="306">
        <v>1</v>
      </c>
      <c r="C6" s="307">
        <v>1.3333333333333333</v>
      </c>
      <c r="D6" s="307">
        <v>1</v>
      </c>
      <c r="E6" s="307">
        <v>2</v>
      </c>
      <c r="F6" s="309">
        <v>3</v>
      </c>
    </row>
    <row r="7" spans="1:6">
      <c r="A7" t="s">
        <v>861</v>
      </c>
      <c r="B7" s="306">
        <v>1.3333333333333333</v>
      </c>
      <c r="C7" s="307">
        <v>99999.99</v>
      </c>
      <c r="D7" s="307">
        <v>2</v>
      </c>
      <c r="E7" s="307"/>
      <c r="F7" s="309">
        <v>2</v>
      </c>
    </row>
    <row r="8" spans="1:6">
      <c r="A8" t="s">
        <v>859</v>
      </c>
      <c r="B8" s="306">
        <v>0.8</v>
      </c>
      <c r="C8" s="307">
        <v>1</v>
      </c>
      <c r="D8" s="307">
        <v>0</v>
      </c>
      <c r="E8" s="307">
        <v>1</v>
      </c>
      <c r="F8" s="309">
        <v>5</v>
      </c>
    </row>
    <row r="9" spans="1:6">
      <c r="A9" t="s">
        <v>859</v>
      </c>
      <c r="B9" s="306">
        <v>1</v>
      </c>
      <c r="C9" s="307">
        <v>1.2</v>
      </c>
      <c r="D9" s="307">
        <v>1</v>
      </c>
      <c r="E9" s="307">
        <v>2</v>
      </c>
      <c r="F9" s="309">
        <v>5</v>
      </c>
    </row>
    <row r="10" spans="1:6">
      <c r="A10" t="s">
        <v>859</v>
      </c>
      <c r="B10" s="306">
        <v>1.2</v>
      </c>
      <c r="C10" s="307">
        <v>99999.99</v>
      </c>
      <c r="D10" s="307">
        <v>2</v>
      </c>
      <c r="E10" s="307"/>
      <c r="F10" s="309">
        <v>4</v>
      </c>
    </row>
    <row r="11" spans="1:6">
      <c r="A11" t="s">
        <v>864</v>
      </c>
      <c r="B11" s="306">
        <v>0.9</v>
      </c>
      <c r="C11" s="307">
        <v>1</v>
      </c>
      <c r="D11" s="307">
        <v>0</v>
      </c>
      <c r="E11" s="307">
        <v>1</v>
      </c>
      <c r="F11" s="309">
        <v>10</v>
      </c>
    </row>
    <row r="12" spans="1:6">
      <c r="A12" t="s">
        <v>864</v>
      </c>
      <c r="B12" s="306">
        <v>1</v>
      </c>
      <c r="C12" s="307">
        <v>1.1000000000000001</v>
      </c>
      <c r="D12" s="307">
        <v>1</v>
      </c>
      <c r="E12" s="307">
        <v>2</v>
      </c>
      <c r="F12" s="309">
        <v>10</v>
      </c>
    </row>
    <row r="13" spans="1:6">
      <c r="A13" t="s">
        <v>864</v>
      </c>
      <c r="B13" s="306">
        <v>1.1000000000000001</v>
      </c>
      <c r="C13" s="307">
        <v>99999.99</v>
      </c>
      <c r="D13" s="307">
        <v>2</v>
      </c>
      <c r="E13" s="307"/>
      <c r="F13" s="309">
        <v>4</v>
      </c>
    </row>
    <row r="14" spans="1:6">
      <c r="A14" t="s">
        <v>865</v>
      </c>
      <c r="B14" s="306">
        <v>0.8</v>
      </c>
      <c r="C14" s="307">
        <v>1</v>
      </c>
      <c r="D14" s="307">
        <v>0.4</v>
      </c>
      <c r="E14" s="307">
        <v>1</v>
      </c>
      <c r="F14" s="309">
        <v>3</v>
      </c>
    </row>
    <row r="15" spans="1:6">
      <c r="A15" t="s">
        <v>865</v>
      </c>
      <c r="B15" s="306">
        <v>1</v>
      </c>
      <c r="C15" s="307">
        <v>1.3</v>
      </c>
      <c r="D15" s="307">
        <v>1</v>
      </c>
      <c r="E15" s="307">
        <v>2</v>
      </c>
      <c r="F15" s="309">
        <v>3.3333333333000001</v>
      </c>
    </row>
    <row r="16" spans="1:6">
      <c r="A16" t="s">
        <v>865</v>
      </c>
      <c r="B16" s="306">
        <v>1.3</v>
      </c>
      <c r="C16" s="307">
        <v>3</v>
      </c>
      <c r="D16" s="307">
        <v>2</v>
      </c>
      <c r="E16" s="307">
        <v>3</v>
      </c>
      <c r="F16" s="309">
        <v>2</v>
      </c>
    </row>
    <row r="17" spans="1:6">
      <c r="A17" t="s">
        <v>866</v>
      </c>
      <c r="B17" s="306">
        <v>0.8</v>
      </c>
      <c r="C17" s="307">
        <v>1</v>
      </c>
      <c r="D17" s="307">
        <v>0.4</v>
      </c>
      <c r="E17" s="307">
        <v>1</v>
      </c>
      <c r="F17" s="309">
        <v>3</v>
      </c>
    </row>
    <row r="18" spans="1:6">
      <c r="A18" t="s">
        <v>866</v>
      </c>
      <c r="B18" s="306">
        <v>1</v>
      </c>
      <c r="C18" s="307">
        <v>1.3333333333333333</v>
      </c>
      <c r="D18" s="307">
        <v>1</v>
      </c>
      <c r="E18" s="307">
        <v>2</v>
      </c>
      <c r="F18" s="309">
        <v>3</v>
      </c>
    </row>
    <row r="19" spans="1:6">
      <c r="A19" t="s">
        <v>866</v>
      </c>
      <c r="B19" s="306">
        <v>1.3333333333333333</v>
      </c>
      <c r="C19" s="307">
        <v>3</v>
      </c>
      <c r="D19" s="307">
        <v>2</v>
      </c>
      <c r="E19" s="192">
        <v>3</v>
      </c>
      <c r="F19" s="309">
        <v>2</v>
      </c>
    </row>
    <row r="20" spans="1:6">
      <c r="A20" t="s">
        <v>867</v>
      </c>
      <c r="B20" s="306">
        <v>0.8</v>
      </c>
      <c r="C20" s="307">
        <v>1</v>
      </c>
      <c r="D20" s="307">
        <v>0</v>
      </c>
      <c r="E20" s="307">
        <v>1</v>
      </c>
      <c r="F20" s="309">
        <v>5</v>
      </c>
    </row>
    <row r="21" spans="1:6">
      <c r="A21" t="s">
        <v>867</v>
      </c>
      <c r="B21" s="306">
        <v>1</v>
      </c>
      <c r="C21" s="307">
        <v>1.2</v>
      </c>
      <c r="D21" s="307">
        <v>1</v>
      </c>
      <c r="E21" s="307">
        <v>2</v>
      </c>
      <c r="F21" s="309">
        <v>5</v>
      </c>
    </row>
    <row r="22" spans="1:6">
      <c r="A22" t="s">
        <v>867</v>
      </c>
      <c r="B22" s="306">
        <v>1.2</v>
      </c>
      <c r="C22" s="307">
        <v>3</v>
      </c>
      <c r="D22" s="307">
        <v>2</v>
      </c>
      <c r="E22" s="192">
        <v>3</v>
      </c>
      <c r="F22" s="309">
        <v>4</v>
      </c>
    </row>
    <row r="23" spans="1:6">
      <c r="A23" t="s">
        <v>868</v>
      </c>
      <c r="B23" s="306">
        <v>0.9</v>
      </c>
      <c r="C23" s="307">
        <v>1</v>
      </c>
      <c r="D23" s="307">
        <v>0</v>
      </c>
      <c r="E23" s="307">
        <v>1</v>
      </c>
      <c r="F23" s="309">
        <v>10</v>
      </c>
    </row>
    <row r="24" spans="1:6">
      <c r="A24" t="s">
        <v>868</v>
      </c>
      <c r="B24" s="306">
        <v>1</v>
      </c>
      <c r="C24" s="307">
        <v>1.1000000000000001</v>
      </c>
      <c r="D24" s="307">
        <v>1</v>
      </c>
      <c r="E24" s="307">
        <v>2</v>
      </c>
      <c r="F24" s="309">
        <v>10</v>
      </c>
    </row>
    <row r="25" spans="1:6">
      <c r="A25" t="s">
        <v>868</v>
      </c>
      <c r="B25" s="306">
        <v>1.1000000000000001</v>
      </c>
      <c r="C25" s="307">
        <v>3</v>
      </c>
      <c r="D25" s="307">
        <v>2</v>
      </c>
      <c r="E25" s="307">
        <v>3</v>
      </c>
      <c r="F25" s="309">
        <v>4</v>
      </c>
    </row>
    <row r="26" spans="1:6">
      <c r="A26" s="192"/>
      <c r="B26" s="307"/>
      <c r="C26" s="307"/>
      <c r="D26" s="307"/>
      <c r="E26" s="192"/>
      <c r="F26" s="309"/>
    </row>
    <row r="27" spans="1:6">
      <c r="A27" s="192"/>
      <c r="B27" s="307"/>
      <c r="C27" s="307"/>
      <c r="D27" s="307"/>
      <c r="E27" s="307"/>
      <c r="F27" s="309"/>
    </row>
    <row r="28" spans="1:6">
      <c r="A28" s="192"/>
      <c r="B28" s="307"/>
      <c r="C28" s="307"/>
      <c r="D28" s="307"/>
      <c r="E28" s="307"/>
      <c r="F28" s="309"/>
    </row>
    <row r="29" spans="1:6">
      <c r="A29" s="192"/>
      <c r="B29" s="307"/>
      <c r="C29" s="307"/>
      <c r="D29" s="307"/>
      <c r="E29" s="307"/>
      <c r="F29" s="309"/>
    </row>
    <row r="30" spans="1:6">
      <c r="A30" s="192"/>
      <c r="B30" s="307"/>
      <c r="C30" s="307"/>
      <c r="D30" s="307"/>
      <c r="E30" s="192"/>
      <c r="F30" s="309"/>
    </row>
    <row r="31" spans="1:6">
      <c r="A31" s="192"/>
      <c r="B31" s="307"/>
      <c r="C31" s="307"/>
      <c r="D31" s="307"/>
      <c r="E31" s="307"/>
      <c r="F31" s="309"/>
    </row>
    <row r="32" spans="1:6">
      <c r="A32" s="192"/>
      <c r="B32" s="307"/>
      <c r="C32" s="307"/>
      <c r="D32" s="307"/>
      <c r="E32" s="192"/>
      <c r="F32" s="309"/>
    </row>
    <row r="33" spans="1:6">
      <c r="A33" s="192"/>
      <c r="B33" s="307"/>
      <c r="C33" s="307"/>
      <c r="D33" s="307"/>
      <c r="E33" s="307"/>
      <c r="F33" s="309"/>
    </row>
    <row r="34" spans="1:6">
      <c r="A34" s="192"/>
      <c r="B34" s="307"/>
      <c r="C34" s="307"/>
      <c r="D34" s="307"/>
      <c r="E34" s="307"/>
      <c r="F34" s="309"/>
    </row>
    <row r="35" spans="1:6">
      <c r="A35" s="192"/>
      <c r="B35" s="307"/>
      <c r="C35" s="307"/>
      <c r="D35" s="307"/>
      <c r="E35" s="192"/>
      <c r="F35" s="309"/>
    </row>
    <row r="36" spans="1:6">
      <c r="A36" s="192"/>
      <c r="B36" s="307"/>
      <c r="C36" s="307"/>
      <c r="D36" s="307"/>
      <c r="E36" s="307"/>
      <c r="F36" s="309"/>
    </row>
    <row r="37" spans="1:6">
      <c r="A37" s="192"/>
      <c r="B37" s="307"/>
      <c r="C37" s="307"/>
      <c r="D37" s="307"/>
      <c r="E37" s="307"/>
      <c r="F37" s="309"/>
    </row>
    <row r="38" spans="1:6">
      <c r="A38" s="192"/>
      <c r="B38" s="307"/>
      <c r="C38" s="307"/>
      <c r="D38" s="307"/>
      <c r="E38" s="307"/>
      <c r="F38" s="309"/>
    </row>
    <row r="39" spans="1:6">
      <c r="A39" s="192"/>
      <c r="B39" s="307"/>
      <c r="C39" s="307"/>
      <c r="D39" s="307"/>
      <c r="E39" s="307"/>
      <c r="F39" s="309"/>
    </row>
    <row r="40" spans="1:6">
      <c r="A40" s="192"/>
      <c r="B40" s="307"/>
      <c r="C40" s="307"/>
      <c r="D40" s="307"/>
      <c r="E40" s="307"/>
      <c r="F40" s="309"/>
    </row>
    <row r="41" spans="1:6">
      <c r="A41" s="192"/>
      <c r="B41" s="307"/>
      <c r="C41" s="307"/>
      <c r="D41" s="307"/>
      <c r="E41" s="307"/>
      <c r="F41" s="309"/>
    </row>
    <row r="42" spans="1:6">
      <c r="A42" s="192"/>
      <c r="B42" s="307"/>
      <c r="C42" s="307"/>
      <c r="D42" s="307"/>
      <c r="E42" s="192"/>
      <c r="F42" s="309"/>
    </row>
    <row r="43" spans="1:6">
      <c r="A43" s="192"/>
      <c r="B43" s="307"/>
      <c r="C43" s="307"/>
      <c r="D43" s="307"/>
      <c r="E43" s="307"/>
      <c r="F43" s="309"/>
    </row>
    <row r="44" spans="1:6">
      <c r="A44" s="192"/>
      <c r="B44" s="307"/>
      <c r="C44" s="307"/>
      <c r="D44" s="307"/>
      <c r="E44" s="307"/>
      <c r="F44" s="309"/>
    </row>
    <row r="45" spans="1:6">
      <c r="A45" s="192"/>
      <c r="B45" s="307"/>
      <c r="C45" s="307"/>
      <c r="D45" s="307"/>
      <c r="E45" s="192"/>
      <c r="F45" s="309"/>
    </row>
    <row r="46" spans="1:6">
      <c r="A46" s="192"/>
      <c r="B46" s="307"/>
      <c r="C46" s="307"/>
      <c r="D46" s="307"/>
      <c r="E46" s="307"/>
      <c r="F46" s="309"/>
    </row>
    <row r="47" spans="1:6">
      <c r="A47" s="192"/>
      <c r="B47" s="307"/>
      <c r="C47" s="307"/>
      <c r="D47" s="307"/>
      <c r="E47" s="307"/>
      <c r="F47" s="309"/>
    </row>
    <row r="48" spans="1:6">
      <c r="A48" s="192"/>
      <c r="B48" s="307"/>
      <c r="C48" s="307"/>
      <c r="D48" s="307"/>
      <c r="E48" s="307"/>
      <c r="F48" s="192"/>
    </row>
    <row r="49" spans="1:6">
      <c r="A49" s="192"/>
      <c r="B49" s="307"/>
      <c r="C49" s="307"/>
      <c r="D49" s="307"/>
      <c r="E49" s="192"/>
      <c r="F49" s="309"/>
    </row>
    <row r="50" spans="1:6">
      <c r="A50" s="192"/>
      <c r="B50" s="307"/>
      <c r="C50" s="307"/>
      <c r="D50" s="307"/>
      <c r="E50" s="307"/>
      <c r="F50" s="192"/>
    </row>
    <row r="51" spans="1:6">
      <c r="A51" s="192"/>
      <c r="B51" s="307"/>
      <c r="C51" s="307"/>
      <c r="D51" s="307"/>
      <c r="E51" s="307"/>
      <c r="F51" s="309"/>
    </row>
    <row r="52" spans="1:6">
      <c r="A52" s="192"/>
      <c r="B52" s="307"/>
      <c r="C52" s="307"/>
      <c r="D52" s="307"/>
      <c r="E52" s="192"/>
      <c r="F52" s="309"/>
    </row>
    <row r="53" spans="1:6">
      <c r="A53" s="192"/>
      <c r="B53" s="307"/>
      <c r="C53" s="307"/>
      <c r="D53" s="307"/>
      <c r="E53" s="307"/>
      <c r="F53" s="309"/>
    </row>
    <row r="54" spans="1:6">
      <c r="A54" s="192"/>
      <c r="B54" s="307"/>
      <c r="C54" s="307"/>
      <c r="D54" s="307"/>
      <c r="E54" s="192"/>
      <c r="F54" s="309"/>
    </row>
    <row r="55" spans="1:6">
      <c r="A55" s="192"/>
      <c r="B55" s="307"/>
      <c r="C55" s="307"/>
      <c r="D55" s="307"/>
      <c r="E55" s="307"/>
      <c r="F55" s="309"/>
    </row>
    <row r="56" spans="1:6">
      <c r="A56" s="192"/>
      <c r="B56" s="307"/>
      <c r="C56" s="307"/>
      <c r="D56" s="307"/>
      <c r="E56" s="307"/>
      <c r="F56" s="309"/>
    </row>
    <row r="57" spans="1:6">
      <c r="A57" s="192"/>
      <c r="B57" s="307"/>
      <c r="C57" s="307"/>
      <c r="D57" s="307"/>
      <c r="E57" s="307"/>
      <c r="F57" s="309"/>
    </row>
    <row r="58" spans="1:6">
      <c r="A58" s="192"/>
      <c r="B58" s="307"/>
      <c r="C58" s="307"/>
      <c r="D58" s="307"/>
      <c r="E58" s="307"/>
      <c r="F58" s="309"/>
    </row>
    <row r="59" spans="1:6">
      <c r="A59" s="192"/>
      <c r="B59" s="307"/>
      <c r="C59" s="307"/>
      <c r="D59" s="307"/>
      <c r="E59" s="307"/>
      <c r="F59" s="309"/>
    </row>
    <row r="60" spans="1:6">
      <c r="A60" s="192"/>
      <c r="B60" s="307"/>
      <c r="C60" s="307"/>
      <c r="D60" s="307"/>
      <c r="E60" s="307"/>
      <c r="F60" s="309"/>
    </row>
    <row r="61" spans="1:6">
      <c r="A61" s="192"/>
      <c r="B61" s="307"/>
      <c r="C61" s="307"/>
      <c r="D61" s="307"/>
      <c r="E61" s="307"/>
      <c r="F61" s="309"/>
    </row>
    <row r="62" spans="1:6">
      <c r="A62" s="192"/>
      <c r="B62" s="307"/>
      <c r="C62" s="307"/>
      <c r="D62" s="307"/>
      <c r="E62" s="307"/>
      <c r="F62" s="309"/>
    </row>
    <row r="63" spans="1:6">
      <c r="A63" s="192"/>
      <c r="B63" s="307"/>
      <c r="C63" s="307"/>
      <c r="D63" s="307"/>
      <c r="E63" s="307"/>
      <c r="F63" s="309"/>
    </row>
    <row r="64" spans="1:6">
      <c r="A64" s="192"/>
      <c r="B64" s="307"/>
      <c r="C64" s="307"/>
      <c r="D64" s="307"/>
      <c r="E64" s="307"/>
      <c r="F64" s="309"/>
    </row>
    <row r="65" spans="1:6">
      <c r="A65" s="192"/>
      <c r="B65" s="307"/>
      <c r="C65" s="307"/>
      <c r="D65" s="307"/>
      <c r="E65" s="307"/>
      <c r="F65" s="309"/>
    </row>
    <row r="66" spans="1:6">
      <c r="A66" s="192"/>
      <c r="B66" s="307"/>
      <c r="C66" s="307"/>
      <c r="D66" s="307"/>
      <c r="E66" s="307"/>
      <c r="F66" s="309"/>
    </row>
    <row r="67" spans="1:6">
      <c r="A67" s="192"/>
      <c r="B67" s="307"/>
      <c r="C67" s="307"/>
      <c r="D67" s="307"/>
      <c r="E67" s="307"/>
      <c r="F67" s="192"/>
    </row>
    <row r="68" spans="1:6">
      <c r="A68" s="192"/>
      <c r="B68" s="307"/>
      <c r="C68" s="307"/>
      <c r="D68" s="307"/>
      <c r="E68" s="307"/>
      <c r="F68" s="192"/>
    </row>
    <row r="69" spans="1:6">
      <c r="A69" s="192"/>
      <c r="B69" s="307"/>
      <c r="C69" s="307"/>
      <c r="D69" s="307"/>
      <c r="E69" s="307"/>
      <c r="F69" s="192"/>
    </row>
    <row r="70" spans="1:6">
      <c r="A70" s="192"/>
      <c r="B70" s="307"/>
      <c r="C70" s="307"/>
      <c r="D70" s="307"/>
      <c r="E70" s="307"/>
      <c r="F70" s="309"/>
    </row>
    <row r="71" spans="1:6">
      <c r="A71" s="192"/>
      <c r="B71" s="307"/>
      <c r="C71" s="307"/>
      <c r="D71" s="307"/>
      <c r="E71" s="192"/>
      <c r="F71" s="309"/>
    </row>
    <row r="72" spans="1:6">
      <c r="A72" s="192"/>
      <c r="B72" s="307"/>
      <c r="C72" s="307"/>
      <c r="D72" s="307"/>
      <c r="E72" s="307"/>
      <c r="F72" s="309"/>
    </row>
    <row r="73" spans="1:6">
      <c r="A73" s="192"/>
      <c r="B73" s="307"/>
      <c r="C73" s="307"/>
      <c r="D73" s="307"/>
      <c r="E73" s="307"/>
      <c r="F73" s="309"/>
    </row>
    <row r="74" spans="1:6">
      <c r="A74" s="192"/>
      <c r="B74" s="307"/>
      <c r="C74" s="307"/>
      <c r="D74" s="307"/>
      <c r="E74" s="307"/>
      <c r="F74" s="309"/>
    </row>
    <row r="75" spans="1:6">
      <c r="A75" s="192"/>
      <c r="B75" s="307"/>
      <c r="C75" s="307"/>
      <c r="D75" s="307"/>
      <c r="E75" s="307"/>
      <c r="F75" s="309"/>
    </row>
    <row r="76" spans="1:6">
      <c r="A76" s="192"/>
      <c r="B76" s="307"/>
      <c r="C76" s="307"/>
      <c r="D76" s="307"/>
      <c r="E76" s="192"/>
      <c r="F76" s="309"/>
    </row>
    <row r="77" spans="1:6">
      <c r="A77" s="192"/>
      <c r="B77" s="307"/>
      <c r="C77" s="307"/>
      <c r="D77" s="307"/>
      <c r="E77" s="307"/>
      <c r="F77" s="309"/>
    </row>
    <row r="78" spans="1:6">
      <c r="A78" s="192"/>
      <c r="B78" s="307"/>
      <c r="C78" s="307"/>
      <c r="D78" s="307"/>
      <c r="E78" s="192"/>
      <c r="F78" s="309"/>
    </row>
    <row r="79" spans="1:6">
      <c r="A79" s="192"/>
      <c r="B79" s="307"/>
      <c r="C79" s="307"/>
      <c r="D79" s="307"/>
      <c r="E79" s="307"/>
      <c r="F79" s="309"/>
    </row>
    <row r="80" spans="1:6">
      <c r="A80" s="192"/>
      <c r="B80" s="307"/>
      <c r="C80" s="307"/>
      <c r="D80" s="307"/>
      <c r="E80" s="192"/>
      <c r="F80" s="309"/>
    </row>
    <row r="81" spans="1:6">
      <c r="A81" s="192"/>
      <c r="B81" s="307"/>
      <c r="C81" s="307"/>
      <c r="D81" s="307"/>
      <c r="E81" s="307"/>
      <c r="F81" s="309"/>
    </row>
    <row r="82" spans="1:6">
      <c r="A82" s="192"/>
      <c r="B82" s="307"/>
      <c r="C82" s="307"/>
      <c r="D82" s="307"/>
      <c r="E82" s="307"/>
      <c r="F82" s="309"/>
    </row>
    <row r="83" spans="1:6">
      <c r="A83" s="192"/>
      <c r="B83" s="307"/>
      <c r="C83" s="307"/>
      <c r="D83" s="307"/>
      <c r="E83" s="307"/>
      <c r="F83" s="309"/>
    </row>
    <row r="84" spans="1:6">
      <c r="A84" s="192"/>
      <c r="B84" s="307"/>
      <c r="C84" s="307"/>
      <c r="D84" s="307"/>
      <c r="E84" s="307"/>
      <c r="F84" s="309"/>
    </row>
    <row r="85" spans="1:6">
      <c r="A85" s="192"/>
      <c r="B85" s="307"/>
      <c r="C85" s="307"/>
      <c r="D85" s="307"/>
      <c r="E85" s="307"/>
      <c r="F85" s="309"/>
    </row>
    <row r="86" spans="1:6">
      <c r="A86" s="192"/>
      <c r="B86" s="307"/>
      <c r="C86" s="307"/>
      <c r="D86" s="307"/>
      <c r="E86" s="192"/>
      <c r="F86" s="309"/>
    </row>
    <row r="87" spans="1:6">
      <c r="A87" s="192"/>
      <c r="B87" s="307"/>
      <c r="C87" s="307"/>
      <c r="D87" s="307"/>
      <c r="E87" s="307"/>
      <c r="F87" s="309"/>
    </row>
    <row r="88" spans="1:6">
      <c r="A88" s="192"/>
      <c r="B88" s="307"/>
      <c r="C88" s="307"/>
      <c r="D88" s="307"/>
      <c r="E88" s="192"/>
      <c r="F88" s="309"/>
    </row>
    <row r="89" spans="1:6">
      <c r="A89" s="192"/>
      <c r="B89" s="307"/>
      <c r="C89" s="307"/>
      <c r="D89" s="307"/>
      <c r="E89" s="307"/>
      <c r="F89" s="309"/>
    </row>
    <row r="90" spans="1:6">
      <c r="A90" s="192"/>
      <c r="B90" s="307"/>
      <c r="C90" s="307"/>
      <c r="D90" s="307"/>
      <c r="E90" s="307"/>
      <c r="F90" s="309"/>
    </row>
    <row r="91" spans="1:6">
      <c r="A91" s="192"/>
      <c r="B91" s="307"/>
      <c r="C91" s="307"/>
      <c r="D91" s="307"/>
      <c r="E91" s="192"/>
      <c r="F91" s="309"/>
    </row>
    <row r="92" spans="1:6">
      <c r="A92" s="192"/>
      <c r="B92" s="307"/>
      <c r="C92" s="307"/>
      <c r="D92" s="307"/>
      <c r="E92" s="307"/>
      <c r="F92" s="309"/>
    </row>
    <row r="93" spans="1:6">
      <c r="A93" s="192"/>
      <c r="B93" s="307"/>
      <c r="C93" s="307"/>
      <c r="D93" s="307"/>
      <c r="E93" s="192"/>
      <c r="F93" s="309"/>
    </row>
    <row r="94" spans="1:6">
      <c r="A94" s="192"/>
      <c r="B94" s="307"/>
      <c r="C94" s="307"/>
      <c r="D94" s="307"/>
      <c r="E94" s="307"/>
      <c r="F94" s="309"/>
    </row>
    <row r="95" spans="1:6">
      <c r="A95" s="192"/>
      <c r="B95" s="307"/>
      <c r="C95" s="307"/>
      <c r="D95" s="307"/>
      <c r="E95" s="307"/>
      <c r="F95" s="309"/>
    </row>
    <row r="96" spans="1:6">
      <c r="A96" s="192"/>
      <c r="B96" s="307"/>
      <c r="C96" s="307"/>
      <c r="D96" s="307"/>
      <c r="E96" s="307"/>
      <c r="F96" s="309"/>
    </row>
    <row r="97" spans="1:6">
      <c r="A97" s="192"/>
      <c r="B97" s="307"/>
      <c r="C97" s="307"/>
      <c r="D97" s="307"/>
      <c r="E97" s="307"/>
      <c r="F97" s="309"/>
    </row>
    <row r="98" spans="1:6">
      <c r="A98" s="192"/>
      <c r="B98" s="307"/>
      <c r="C98" s="307"/>
      <c r="D98" s="307"/>
      <c r="E98" s="307"/>
      <c r="F98" s="309"/>
    </row>
    <row r="99" spans="1:6">
      <c r="A99" s="192"/>
      <c r="B99" s="307"/>
      <c r="C99" s="307"/>
      <c r="D99" s="307"/>
      <c r="E99" s="307"/>
      <c r="F99" s="309"/>
    </row>
    <row r="100" spans="1:6">
      <c r="A100" s="192"/>
      <c r="B100" s="307"/>
      <c r="C100" s="307"/>
      <c r="D100" s="307"/>
      <c r="E100" s="307"/>
      <c r="F100" s="309"/>
    </row>
    <row r="101" spans="1:6">
      <c r="A101" s="192"/>
      <c r="B101" s="307"/>
      <c r="C101" s="307"/>
      <c r="D101" s="307"/>
      <c r="E101" s="192"/>
      <c r="F101" s="309"/>
    </row>
    <row r="102" spans="1:6">
      <c r="A102" s="192"/>
      <c r="B102" s="307"/>
      <c r="C102" s="307"/>
      <c r="D102" s="307"/>
      <c r="E102" s="307"/>
      <c r="F102" s="309"/>
    </row>
    <row r="103" spans="1:6">
      <c r="A103" s="192"/>
      <c r="B103" s="307"/>
      <c r="C103" s="307"/>
      <c r="D103" s="307"/>
      <c r="E103" s="307"/>
      <c r="F103" s="309"/>
    </row>
    <row r="104" spans="1:6">
      <c r="A104" s="192"/>
      <c r="B104" s="307"/>
      <c r="C104" s="720"/>
      <c r="D104" s="307"/>
      <c r="E104" s="307"/>
      <c r="F104" s="309"/>
    </row>
    <row r="105" spans="1:6">
      <c r="A105" s="192"/>
      <c r="B105" s="307"/>
      <c r="C105" s="307"/>
      <c r="D105" s="307"/>
      <c r="E105" s="307"/>
      <c r="F105" s="309"/>
    </row>
    <row r="106" spans="1:6">
      <c r="A106" s="192"/>
      <c r="B106" s="307"/>
      <c r="C106" s="307"/>
      <c r="D106" s="307"/>
      <c r="E106" s="307"/>
      <c r="F106" s="309"/>
    </row>
    <row r="107" spans="1:6">
      <c r="A107" s="192"/>
      <c r="B107" s="307"/>
      <c r="C107" s="307"/>
      <c r="D107" s="307"/>
      <c r="E107" s="720"/>
      <c r="F107" s="309"/>
    </row>
    <row r="108" spans="1:6">
      <c r="A108" s="192"/>
      <c r="B108" s="720"/>
      <c r="C108" s="720"/>
      <c r="D108" s="720"/>
      <c r="E108" s="720"/>
      <c r="F108" s="309"/>
    </row>
    <row r="109" spans="1:6">
      <c r="A109" s="192"/>
      <c r="B109" s="720"/>
      <c r="C109" s="720"/>
      <c r="D109" s="720"/>
      <c r="E109" s="720"/>
      <c r="F109" s="309"/>
    </row>
    <row r="110" spans="1:6">
      <c r="A110" s="192"/>
      <c r="B110" s="307"/>
      <c r="C110" s="307"/>
      <c r="D110" s="307"/>
      <c r="E110" s="307"/>
      <c r="F110" s="309"/>
    </row>
    <row r="111" spans="1:6">
      <c r="A111" s="192"/>
      <c r="B111" s="307"/>
      <c r="C111" s="307"/>
      <c r="D111" s="307"/>
      <c r="E111" s="307"/>
      <c r="F111" s="309"/>
    </row>
    <row r="112" spans="1:6">
      <c r="A112" s="192"/>
      <c r="B112" s="720"/>
      <c r="C112" s="720"/>
      <c r="D112" s="720"/>
      <c r="E112" s="720"/>
      <c r="F112" s="721"/>
    </row>
    <row r="113" spans="1:6">
      <c r="A113" s="192"/>
      <c r="B113" s="720"/>
      <c r="C113" s="720"/>
      <c r="D113" s="720"/>
      <c r="E113" s="720"/>
      <c r="F113" s="721"/>
    </row>
    <row r="114" spans="1:6">
      <c r="A114" s="192"/>
      <c r="B114" s="720"/>
      <c r="C114" s="720"/>
      <c r="D114" s="720"/>
      <c r="E114" s="720"/>
      <c r="F114" s="721"/>
    </row>
    <row r="115" spans="1:6">
      <c r="A115" s="192"/>
      <c r="B115" s="307"/>
      <c r="C115" s="307"/>
      <c r="D115" s="307"/>
      <c r="E115" s="307"/>
      <c r="F115" s="309"/>
    </row>
    <row r="116" spans="1:6">
      <c r="A116" s="192"/>
      <c r="B116" s="307"/>
      <c r="C116" s="307"/>
      <c r="D116" s="307"/>
      <c r="E116" s="307"/>
      <c r="F116" s="309"/>
    </row>
    <row r="117" spans="1:6">
      <c r="A117" s="192"/>
      <c r="B117" s="720"/>
      <c r="C117" s="720"/>
      <c r="D117" s="720"/>
      <c r="E117" s="720"/>
      <c r="F117" s="721"/>
    </row>
    <row r="118" spans="1:6">
      <c r="A118" s="192"/>
      <c r="B118" s="720"/>
      <c r="C118" s="720"/>
      <c r="D118" s="720"/>
      <c r="E118" s="720"/>
      <c r="F118" s="721"/>
    </row>
    <row r="119" spans="1:6">
      <c r="A119" s="192"/>
      <c r="B119" s="307"/>
      <c r="C119" s="307"/>
      <c r="D119" s="307"/>
      <c r="E119" s="307"/>
      <c r="F119" s="309"/>
    </row>
    <row r="120" spans="1:6">
      <c r="A120" s="192"/>
      <c r="B120" s="307"/>
      <c r="C120" s="307"/>
      <c r="D120" s="307"/>
      <c r="E120" s="307"/>
      <c r="F120" s="309"/>
    </row>
    <row r="121" spans="1:6">
      <c r="A121" s="192"/>
      <c r="B121" s="720"/>
      <c r="C121" s="720"/>
      <c r="D121" s="720"/>
      <c r="E121" s="720"/>
      <c r="F121" s="721"/>
    </row>
    <row r="122" spans="1:6">
      <c r="A122" s="192"/>
      <c r="B122" s="720"/>
      <c r="C122" s="720"/>
      <c r="D122" s="720"/>
      <c r="E122" s="720"/>
      <c r="F122" s="721"/>
    </row>
    <row r="123" spans="1:6">
      <c r="A123" s="192"/>
      <c r="B123" s="307"/>
      <c r="C123" s="307"/>
      <c r="D123" s="307"/>
      <c r="E123" s="307"/>
      <c r="F123" s="309"/>
    </row>
    <row r="124" spans="1:6">
      <c r="A124" s="192"/>
      <c r="B124" s="307"/>
      <c r="C124" s="307"/>
      <c r="D124" s="307"/>
      <c r="E124" s="307"/>
      <c r="F124" s="309"/>
    </row>
    <row r="125" spans="1:6">
      <c r="A125" s="192"/>
      <c r="B125" s="307"/>
      <c r="C125" s="307"/>
      <c r="D125" s="307"/>
      <c r="E125" s="307"/>
      <c r="F125" s="309"/>
    </row>
    <row r="126" spans="1:6">
      <c r="A126" s="192"/>
      <c r="B126" s="720"/>
      <c r="C126" s="720"/>
      <c r="D126" s="720"/>
      <c r="E126" s="720"/>
      <c r="F126" s="721"/>
    </row>
    <row r="127" spans="1:6">
      <c r="A127" s="192"/>
      <c r="B127" s="720"/>
      <c r="C127" s="720"/>
      <c r="D127" s="720"/>
      <c r="E127" s="720"/>
      <c r="F127" s="721"/>
    </row>
    <row r="128" spans="1:6">
      <c r="A128" s="192"/>
      <c r="B128" s="720"/>
      <c r="C128" s="720"/>
      <c r="D128" s="720"/>
      <c r="E128" s="720"/>
      <c r="F128" s="721"/>
    </row>
    <row r="129" spans="1:6">
      <c r="A129" s="192"/>
      <c r="B129" s="307"/>
      <c r="C129" s="307"/>
      <c r="D129" s="307"/>
      <c r="E129" s="307"/>
      <c r="F129" s="309"/>
    </row>
    <row r="130" spans="1:6">
      <c r="A130" s="192"/>
      <c r="B130" s="307"/>
      <c r="C130" s="307"/>
      <c r="D130" s="307"/>
      <c r="E130" s="307"/>
      <c r="F130" s="309"/>
    </row>
    <row r="131" spans="1:6">
      <c r="A131" s="192"/>
      <c r="B131" s="307"/>
      <c r="C131" s="307"/>
      <c r="D131" s="307"/>
      <c r="E131" s="307"/>
      <c r="F131" s="309"/>
    </row>
    <row r="132" spans="1:6">
      <c r="A132" s="192"/>
      <c r="B132" s="720"/>
      <c r="C132" s="720"/>
      <c r="D132" s="720"/>
      <c r="E132" s="720"/>
      <c r="F132" s="721"/>
    </row>
    <row r="133" spans="1:6">
      <c r="A133" s="192"/>
      <c r="B133" s="720"/>
      <c r="C133" s="720"/>
      <c r="D133" s="720"/>
      <c r="E133" s="720"/>
      <c r="F133" s="721"/>
    </row>
    <row r="134" spans="1:6">
      <c r="A134" s="192"/>
      <c r="B134" s="307"/>
      <c r="C134" s="307"/>
      <c r="D134" s="307"/>
      <c r="E134" s="307"/>
      <c r="F134" s="309"/>
    </row>
    <row r="135" spans="1:6">
      <c r="A135" s="192"/>
      <c r="B135" s="720"/>
      <c r="C135" s="720"/>
      <c r="D135" s="720"/>
      <c r="E135" s="720"/>
      <c r="F135" s="721"/>
    </row>
    <row r="136" spans="1:6">
      <c r="A136" s="192"/>
      <c r="B136" s="720"/>
      <c r="C136" s="720"/>
      <c r="D136" s="720"/>
      <c r="E136" s="720"/>
      <c r="F136" s="721"/>
    </row>
    <row r="137" spans="1:6">
      <c r="A137" s="192"/>
      <c r="B137" s="720"/>
      <c r="C137" s="720"/>
      <c r="D137" s="720"/>
      <c r="E137" s="720"/>
      <c r="F137" s="721"/>
    </row>
    <row r="138" spans="1:6">
      <c r="A138" s="192"/>
      <c r="B138" s="720"/>
      <c r="C138" s="720"/>
      <c r="D138" s="720"/>
      <c r="E138" s="307"/>
      <c r="F138" s="309"/>
    </row>
    <row r="139" spans="1:6">
      <c r="A139" s="192"/>
      <c r="B139" s="720"/>
      <c r="C139" s="720"/>
      <c r="D139" s="720"/>
      <c r="E139" s="307"/>
      <c r="F139" s="309"/>
    </row>
    <row r="140" spans="1:6">
      <c r="A140" s="192"/>
      <c r="B140" s="720"/>
      <c r="C140" s="720"/>
      <c r="D140" s="720"/>
      <c r="E140" s="307"/>
      <c r="F140" s="309"/>
    </row>
    <row r="141" spans="1:6">
      <c r="A141" s="192"/>
      <c r="B141" s="720"/>
      <c r="C141" s="720"/>
      <c r="D141" s="720"/>
      <c r="E141" s="720"/>
      <c r="F141" s="721"/>
    </row>
    <row r="142" spans="1:6">
      <c r="A142" s="192"/>
      <c r="B142" s="720"/>
      <c r="C142" s="720"/>
      <c r="D142" s="720"/>
      <c r="E142" s="720"/>
      <c r="F142" s="721"/>
    </row>
    <row r="143" spans="1:6">
      <c r="A143" s="192"/>
      <c r="B143" s="720"/>
      <c r="C143" s="720"/>
      <c r="D143" s="720"/>
      <c r="E143" s="720"/>
      <c r="F143" s="721"/>
    </row>
    <row r="144" spans="1:6">
      <c r="A144" s="192"/>
      <c r="B144" s="307"/>
      <c r="C144" s="307"/>
      <c r="D144" s="307"/>
      <c r="E144" s="307"/>
      <c r="F144" s="309"/>
    </row>
    <row r="145" spans="1:6">
      <c r="A145" s="192"/>
      <c r="B145" s="307"/>
      <c r="C145" s="307"/>
      <c r="D145" s="307"/>
      <c r="E145" s="307"/>
      <c r="F145" s="309"/>
    </row>
    <row r="146" spans="1:6">
      <c r="A146" s="192"/>
      <c r="B146" s="720"/>
      <c r="C146" s="720"/>
      <c r="D146" s="720"/>
      <c r="E146" s="720"/>
      <c r="F146" s="721"/>
    </row>
    <row r="147" spans="1:6">
      <c r="A147" s="192"/>
      <c r="B147" s="720"/>
      <c r="C147" s="720"/>
      <c r="D147" s="720"/>
      <c r="E147" s="720"/>
      <c r="F147" s="721"/>
    </row>
    <row r="148" spans="1:6">
      <c r="A148" s="192"/>
      <c r="B148" s="307"/>
      <c r="C148" s="307"/>
      <c r="D148" s="307"/>
      <c r="E148" s="307"/>
      <c r="F148" s="309"/>
    </row>
    <row r="149" spans="1:6">
      <c r="A149" s="192"/>
      <c r="B149" s="307"/>
      <c r="C149" s="307"/>
      <c r="D149" s="307"/>
      <c r="E149" s="307"/>
      <c r="F149" s="309"/>
    </row>
    <row r="150" spans="1:6">
      <c r="A150" s="192"/>
      <c r="B150" s="307"/>
      <c r="C150" s="307"/>
      <c r="D150" s="307"/>
      <c r="E150" s="307"/>
      <c r="F150" s="309"/>
    </row>
    <row r="151" spans="1:6">
      <c r="A151" s="192"/>
      <c r="B151" s="720"/>
      <c r="C151" s="720"/>
      <c r="D151" s="720"/>
      <c r="E151" s="720"/>
      <c r="F151" s="721"/>
    </row>
    <row r="152" spans="1:6">
      <c r="A152" s="192"/>
      <c r="B152" s="720"/>
      <c r="C152" s="720"/>
      <c r="D152" s="720"/>
      <c r="E152" s="720"/>
      <c r="F152" s="721"/>
    </row>
    <row r="153" spans="1:6">
      <c r="A153" s="192"/>
      <c r="B153" s="720"/>
      <c r="C153" s="720"/>
      <c r="D153" s="720"/>
      <c r="E153" s="720"/>
      <c r="F153" s="721"/>
    </row>
    <row r="154" spans="1:6">
      <c r="A154" s="192"/>
      <c r="B154" s="307"/>
      <c r="C154" s="307"/>
      <c r="D154" s="307"/>
      <c r="E154" s="307"/>
      <c r="F154" s="309"/>
    </row>
    <row r="155" spans="1:6">
      <c r="A155" s="192"/>
      <c r="B155" s="307"/>
      <c r="C155" s="307"/>
      <c r="D155" s="307"/>
      <c r="E155" s="307"/>
      <c r="F155" s="309"/>
    </row>
    <row r="156" spans="1:6">
      <c r="A156" s="192"/>
      <c r="B156" s="720"/>
      <c r="C156" s="720"/>
      <c r="D156" s="720"/>
      <c r="E156" s="720"/>
      <c r="F156" s="721"/>
    </row>
    <row r="157" spans="1:6">
      <c r="A157" s="192"/>
      <c r="B157" s="720"/>
      <c r="C157" s="720"/>
      <c r="D157" s="720"/>
      <c r="E157" s="720"/>
      <c r="F157" s="721"/>
    </row>
    <row r="158" spans="1:6">
      <c r="A158" s="192"/>
      <c r="B158" s="720"/>
      <c r="C158" s="720"/>
      <c r="D158" s="720"/>
      <c r="E158" s="307"/>
      <c r="F158" s="309"/>
    </row>
    <row r="159" spans="1:6">
      <c r="A159" s="192"/>
      <c r="B159" s="720"/>
      <c r="C159" s="720"/>
      <c r="D159" s="720"/>
      <c r="E159" s="307"/>
      <c r="F159" s="309"/>
    </row>
    <row r="160" spans="1:6">
      <c r="A160" s="192"/>
      <c r="B160" s="720"/>
      <c r="C160" s="720"/>
      <c r="D160" s="720"/>
      <c r="E160" s="307"/>
      <c r="F160" s="309"/>
    </row>
    <row r="161" spans="1:6">
      <c r="A161" s="192"/>
      <c r="B161" s="720"/>
      <c r="C161" s="720"/>
      <c r="D161" s="720"/>
      <c r="E161" s="307"/>
      <c r="F161" s="309"/>
    </row>
    <row r="162" spans="1:6">
      <c r="A162" s="192"/>
      <c r="B162" s="720"/>
      <c r="C162" s="720"/>
      <c r="D162" s="720"/>
      <c r="E162" s="720"/>
      <c r="F162" s="721"/>
    </row>
    <row r="163" spans="1:6">
      <c r="A163" s="192"/>
      <c r="B163" s="720"/>
      <c r="C163" s="720"/>
      <c r="D163" s="720"/>
      <c r="E163" s="720"/>
      <c r="F163" s="721"/>
    </row>
    <row r="164" spans="1:6">
      <c r="A164" s="192"/>
      <c r="B164" s="720"/>
      <c r="C164" s="720"/>
      <c r="D164" s="720"/>
      <c r="E164" s="720"/>
      <c r="F164" s="721"/>
    </row>
    <row r="165" spans="1:6">
      <c r="A165" s="192"/>
      <c r="B165" s="307"/>
      <c r="C165" s="307"/>
      <c r="D165" s="307"/>
      <c r="E165" s="307"/>
      <c r="F165" s="309"/>
    </row>
    <row r="166" spans="1:6">
      <c r="A166" s="192"/>
      <c r="B166" s="307"/>
      <c r="C166" s="307"/>
      <c r="D166" s="307"/>
      <c r="E166" s="307"/>
      <c r="F166" s="309"/>
    </row>
    <row r="167" spans="1:6">
      <c r="A167" s="192"/>
      <c r="B167" s="307"/>
      <c r="C167" s="307"/>
      <c r="D167" s="307"/>
      <c r="E167" s="307"/>
      <c r="F167" s="192"/>
    </row>
    <row r="168" spans="1:6">
      <c r="A168" s="192"/>
      <c r="B168" s="720"/>
      <c r="C168" s="720"/>
      <c r="D168" s="720"/>
      <c r="E168" s="720"/>
      <c r="F168" s="721"/>
    </row>
    <row r="169" spans="1:6">
      <c r="A169" s="192"/>
      <c r="B169" s="720"/>
      <c r="C169" s="720"/>
      <c r="D169" s="720"/>
      <c r="E169" s="720"/>
      <c r="F169" s="721"/>
    </row>
    <row r="170" spans="1:6">
      <c r="A170" s="192"/>
      <c r="B170" s="720"/>
      <c r="C170" s="720"/>
      <c r="D170" s="720"/>
      <c r="E170" s="720"/>
      <c r="F170" s="721"/>
    </row>
    <row r="171" spans="1:6">
      <c r="A171" s="192"/>
      <c r="B171" s="307"/>
      <c r="C171" s="307"/>
      <c r="D171" s="307"/>
      <c r="E171" s="307"/>
      <c r="F171" s="309"/>
    </row>
    <row r="172" spans="1:6">
      <c r="A172" s="192"/>
      <c r="B172" s="307"/>
      <c r="C172" s="307"/>
      <c r="D172" s="307"/>
      <c r="E172" s="307"/>
      <c r="F172" s="309"/>
    </row>
    <row r="173" spans="1:6">
      <c r="A173" s="192"/>
      <c r="B173" s="720"/>
      <c r="C173" s="720"/>
      <c r="D173" s="720"/>
      <c r="E173" s="720"/>
      <c r="F173" s="721"/>
    </row>
    <row r="174" spans="1:6">
      <c r="A174" s="192"/>
      <c r="B174" s="720"/>
      <c r="C174" s="720"/>
      <c r="D174" s="720"/>
      <c r="E174" s="720"/>
      <c r="F174" s="721"/>
    </row>
    <row r="175" spans="1:6">
      <c r="F175" s="309"/>
    </row>
    <row r="176" spans="1:6">
      <c r="F176" s="309"/>
    </row>
    <row r="177" spans="6:6">
      <c r="F177" s="309"/>
    </row>
    <row r="178" spans="6:6">
      <c r="F178" s="309"/>
    </row>
    <row r="179" spans="6:6">
      <c r="F179" s="309"/>
    </row>
    <row r="180" spans="6:6">
      <c r="F180" s="309"/>
    </row>
    <row r="181" spans="6:6">
      <c r="F181" s="309"/>
    </row>
    <row r="182" spans="6:6">
      <c r="F182" s="309"/>
    </row>
  </sheetData>
  <autoFilter ref="A1:F52" xr:uid="{00000000-0009-0000-0000-000007000000}"/>
  <phoneticPr fontId="37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5940DDCA9C014EB309CF5A1270C484" ma:contentTypeVersion="13" ma:contentTypeDescription="Create a new document." ma:contentTypeScope="" ma:versionID="2d723beb87e98c7d31753912ceb16cb5">
  <xsd:schema xmlns:xsd="http://www.w3.org/2001/XMLSchema" xmlns:xs="http://www.w3.org/2001/XMLSchema" xmlns:p="http://schemas.microsoft.com/office/2006/metadata/properties" xmlns:ns3="97214e85-d9ba-4fc1-b4a5-4ce029a1b062" xmlns:ns4="8d295b2b-38e0-4232-af0b-f949a4fde787" targetNamespace="http://schemas.microsoft.com/office/2006/metadata/properties" ma:root="true" ma:fieldsID="e8c5fd3e0035411eb4a238cbd99e223c" ns3:_="" ns4:_="">
    <xsd:import namespace="97214e85-d9ba-4fc1-b4a5-4ce029a1b062"/>
    <xsd:import namespace="8d295b2b-38e0-4232-af0b-f949a4fde78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214e85-d9ba-4fc1-b4a5-4ce029a1b0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295b2b-38e0-4232-af0b-f949a4fde78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47774B-82F1-4D80-A88D-027265E2CE9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F0D7570-55C4-4F29-B388-57768BAD51D9}">
  <ds:schemaRefs>
    <ds:schemaRef ds:uri="http://schemas.microsoft.com/office/2006/metadata/properties"/>
    <ds:schemaRef ds:uri="97214e85-d9ba-4fc1-b4a5-4ce029a1b062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8d295b2b-38e0-4232-af0b-f949a4fde787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24672B3-B5E7-45D5-BC59-A777228B69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214e85-d9ba-4fc1-b4a5-4ce029a1b062"/>
    <ds:schemaRef ds:uri="8d295b2b-38e0-4232-af0b-f949a4fde7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Only GSDCSD</vt:lpstr>
      <vt:lpstr>영업부</vt:lpstr>
      <vt:lpstr>Before</vt:lpstr>
      <vt:lpstr>요약</vt:lpstr>
      <vt:lpstr>Scorecard</vt:lpstr>
      <vt:lpstr>지급액</vt:lpstr>
      <vt:lpstr>month</vt:lpstr>
      <vt:lpstr>ACT검산</vt:lpstr>
      <vt:lpstr>AOT 검산</vt:lpstr>
      <vt:lpstr>SC_Template</vt:lpstr>
      <vt:lpstr>SC_Generate</vt:lpstr>
      <vt:lpstr>PayCurve</vt:lpstr>
      <vt:lpstr>SC_Template!Print_Area</vt:lpstr>
      <vt:lpstr>Scorecard!Print_Area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Kwon, Brian</dc:creator>
  <cp:lastModifiedBy>Kwon, Brian</cp:lastModifiedBy>
  <cp:lastPrinted>2019-05-03T02:06:31Z</cp:lastPrinted>
  <dcterms:created xsi:type="dcterms:W3CDTF">2019-05-03T01:39:09Z</dcterms:created>
  <dcterms:modified xsi:type="dcterms:W3CDTF">2020-12-27T04:13:45Z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0x010100775940DDCA9C014EB309CF5A1270C484</vt:lpwstr>
  </property>
</Properties>
</file>